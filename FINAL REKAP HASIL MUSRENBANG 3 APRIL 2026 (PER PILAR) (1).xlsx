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Bappeda\KONSEP\SDD\"/>
    </mc:Choice>
  </mc:AlternateContent>
  <xr:revisionPtr revIDLastSave="0" documentId="13_ncr:1_{DA255352-58AB-4371-9FF7-A744A578F9BE}" xr6:coauthVersionLast="45" xr6:coauthVersionMax="45" xr10:uidLastSave="{00000000-0000-0000-0000-000000000000}"/>
  <bookViews>
    <workbookView xWindow="-110" yWindow="-110" windowWidth="21820" windowHeight="13000" firstSheet="5" activeTab="5" xr2:uid="{00000000-000D-0000-FFFF-FFFF00000000}"/>
  </bookViews>
  <sheets>
    <sheet name="REKAP 2 APRIL" sheetId="1" state="hidden" r:id="rId1"/>
    <sheet name="OPD_KEC_musrenbang" sheetId="2" state="hidden" r:id="rId2"/>
    <sheet name="PAGU PER PRIORITAS" sheetId="3" state="hidden" r:id="rId3"/>
    <sheet name="PAGU PER PROGRAM" sheetId="4" state="hidden" r:id="rId4"/>
    <sheet name="REKAP PER OPD SAJA" sheetId="6" state="hidden" r:id="rId5"/>
    <sheet name="REKAP 3 APRIL (edit)" sheetId="7" r:id="rId6"/>
    <sheet name="PAGU PER PILAR 2027" sheetId="5" r:id="rId7"/>
  </sheets>
  <externalReferences>
    <externalReference r:id="rId8"/>
  </externalReferences>
  <definedNames>
    <definedName name="_xlnm._FilterDatabase" localSheetId="1" hidden="1">OPD_KEC_musrenbang!$A$3:$D$21</definedName>
    <definedName name="_xlnm._FilterDatabase" localSheetId="6" hidden="1">'PAGU PER PILAR 2027'!$A$56:$H$83</definedName>
    <definedName name="_xlnm._FilterDatabase" localSheetId="3" hidden="1">'PAGU PER PROGRAM'!$A$3:$G$41</definedName>
    <definedName name="_xlnm._FilterDatabase" localSheetId="0" hidden="1">'REKAP 2 APRIL'!$A$5:$P$1452</definedName>
    <definedName name="_xlnm._FilterDatabase" localSheetId="5" hidden="1">'REKAP 3 APRIL (edit)'!$A$5:$Q$1452</definedName>
    <definedName name="_xlnm._FilterDatabase" localSheetId="4" hidden="1">'REKAP PER OPD SAJA'!$A$3:$D$21</definedName>
    <definedName name="_xlnm.Print_Area" localSheetId="1">OPD_KEC_musrenbang!$A$1:$M$21</definedName>
    <definedName name="_xlnm.Print_Area" localSheetId="3">'PAGU PER PROGRAM'!$A$1:$G$39</definedName>
    <definedName name="_xlnm.Print_Area" localSheetId="4">'REKAP PER OPD SAJA'!$A$1:$D$31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85" i="5" l="1"/>
  <c r="G86" i="5" s="1"/>
  <c r="I52" i="5"/>
  <c r="J52" i="5"/>
  <c r="K52" i="5"/>
  <c r="H51" i="5"/>
  <c r="K51" i="5"/>
  <c r="J51" i="5"/>
  <c r="I51" i="5"/>
  <c r="C7" i="5" l="1"/>
  <c r="C19" i="6"/>
  <c r="C18" i="6"/>
  <c r="C17" i="6"/>
  <c r="C16" i="6"/>
  <c r="C15" i="6"/>
  <c r="C14" i="6"/>
  <c r="C13" i="6"/>
  <c r="C12" i="6"/>
  <c r="C11" i="6"/>
  <c r="C9" i="6"/>
  <c r="C8" i="6"/>
  <c r="C7" i="6"/>
  <c r="C6" i="6"/>
  <c r="C5" i="6"/>
  <c r="C4" i="6"/>
  <c r="A1451" i="7"/>
  <c r="A1452" i="7" s="1"/>
  <c r="A1445" i="7"/>
  <c r="A1446" i="7" s="1"/>
  <c r="A1447" i="7" s="1"/>
  <c r="A1420" i="7"/>
  <c r="A1421" i="7" s="1"/>
  <c r="A1422" i="7" s="1"/>
  <c r="A1423" i="7" s="1"/>
  <c r="A1424" i="7" s="1"/>
  <c r="A1425" i="7" s="1"/>
  <c r="A1426" i="7" s="1"/>
  <c r="A1427" i="7" s="1"/>
  <c r="A1428" i="7" s="1"/>
  <c r="A1429" i="7" s="1"/>
  <c r="A1430" i="7" s="1"/>
  <c r="A1431" i="7" s="1"/>
  <c r="A1432" i="7" s="1"/>
  <c r="A1433" i="7" s="1"/>
  <c r="A1434" i="7" s="1"/>
  <c r="A1435" i="7" s="1"/>
  <c r="A1436" i="7" s="1"/>
  <c r="A1437" i="7" s="1"/>
  <c r="A1438" i="7" s="1"/>
  <c r="A1439" i="7" s="1"/>
  <c r="A1440" i="7" s="1"/>
  <c r="A1441" i="7" s="1"/>
  <c r="A1442" i="7" s="1"/>
  <c r="A1443" i="7" s="1"/>
  <c r="A1401" i="7"/>
  <c r="A1402" i="7" s="1"/>
  <c r="A1403" i="7" s="1"/>
  <c r="A1404" i="7" s="1"/>
  <c r="A1405" i="7" s="1"/>
  <c r="A1406" i="7" s="1"/>
  <c r="A1407" i="7" s="1"/>
  <c r="A1408" i="7" s="1"/>
  <c r="A1409" i="7" s="1"/>
  <c r="A1410" i="7" s="1"/>
  <c r="A1411" i="7" s="1"/>
  <c r="A1412" i="7" s="1"/>
  <c r="A1413" i="7" s="1"/>
  <c r="A1414" i="7" s="1"/>
  <c r="A1415" i="7" s="1"/>
  <c r="A1416" i="7" s="1"/>
  <c r="A1417" i="7" s="1"/>
  <c r="A1418" i="7" s="1"/>
  <c r="A1355" i="7"/>
  <c r="A1356" i="7" s="1"/>
  <c r="A1357" i="7" s="1"/>
  <c r="A1358" i="7" s="1"/>
  <c r="A1359" i="7" s="1"/>
  <c r="A1360" i="7" s="1"/>
  <c r="A1361" i="7" s="1"/>
  <c r="A1362" i="7" s="1"/>
  <c r="A1363" i="7" s="1"/>
  <c r="A1364" i="7" s="1"/>
  <c r="A1365" i="7" s="1"/>
  <c r="A1366" i="7" s="1"/>
  <c r="A1367" i="7" s="1"/>
  <c r="A1368" i="7" s="1"/>
  <c r="A1369" i="7" s="1"/>
  <c r="A1370" i="7" s="1"/>
  <c r="A1371" i="7" s="1"/>
  <c r="A1372" i="7" s="1"/>
  <c r="A1373" i="7" s="1"/>
  <c r="A1374" i="7" s="1"/>
  <c r="A1375" i="7" s="1"/>
  <c r="A1376" i="7" s="1"/>
  <c r="A1377" i="7" s="1"/>
  <c r="A1378" i="7" s="1"/>
  <c r="A1379" i="7" s="1"/>
  <c r="A1380" i="7" s="1"/>
  <c r="A1381" i="7" s="1"/>
  <c r="A1382" i="7" s="1"/>
  <c r="A1383" i="7" s="1"/>
  <c r="A1384" i="7" s="1"/>
  <c r="A1385" i="7" s="1"/>
  <c r="A1386" i="7" s="1"/>
  <c r="A1387" i="7" s="1"/>
  <c r="A1388" i="7" s="1"/>
  <c r="A1389" i="7" s="1"/>
  <c r="A1390" i="7" s="1"/>
  <c r="A1391" i="7" s="1"/>
  <c r="A1392" i="7" s="1"/>
  <c r="A1393" i="7" s="1"/>
  <c r="A1394" i="7" s="1"/>
  <c r="A1395" i="7" s="1"/>
  <c r="A1396" i="7" s="1"/>
  <c r="A1397" i="7" s="1"/>
  <c r="A1398" i="7" s="1"/>
  <c r="A1399" i="7" s="1"/>
  <c r="A1341" i="7"/>
  <c r="A1342" i="7" s="1"/>
  <c r="A1343" i="7" s="1"/>
  <c r="A1344" i="7" s="1"/>
  <c r="A1345" i="7" s="1"/>
  <c r="A1346" i="7" s="1"/>
  <c r="A1347" i="7" s="1"/>
  <c r="A1348" i="7" s="1"/>
  <c r="A1349" i="7" s="1"/>
  <c r="A1350" i="7" s="1"/>
  <c r="A1351" i="7" s="1"/>
  <c r="A1352" i="7" s="1"/>
  <c r="A1353" i="7" s="1"/>
  <c r="A1302" i="7"/>
  <c r="A1303" i="7" s="1"/>
  <c r="A1304" i="7" s="1"/>
  <c r="A1305" i="7" s="1"/>
  <c r="A1306" i="7" s="1"/>
  <c r="A1307" i="7" s="1"/>
  <c r="A1308" i="7" s="1"/>
  <c r="A1309" i="7" s="1"/>
  <c r="A1310" i="7" s="1"/>
  <c r="A1311" i="7" s="1"/>
  <c r="A1312" i="7" s="1"/>
  <c r="A1313" i="7" s="1"/>
  <c r="A1314" i="7" s="1"/>
  <c r="A1315" i="7" s="1"/>
  <c r="A1316" i="7" s="1"/>
  <c r="A1317" i="7" s="1"/>
  <c r="A1318" i="7" s="1"/>
  <c r="A1319" i="7" s="1"/>
  <c r="A1320" i="7" s="1"/>
  <c r="A1321" i="7" s="1"/>
  <c r="A1322" i="7" s="1"/>
  <c r="A1323" i="7" s="1"/>
  <c r="A1324" i="7" s="1"/>
  <c r="A1325" i="7" s="1"/>
  <c r="A1326" i="7" s="1"/>
  <c r="A1327" i="7" s="1"/>
  <c r="A1328" i="7" s="1"/>
  <c r="A1329" i="7" s="1"/>
  <c r="A1330" i="7" s="1"/>
  <c r="A1331" i="7" s="1"/>
  <c r="A1332" i="7" s="1"/>
  <c r="A1333" i="7" s="1"/>
  <c r="A1334" i="7" s="1"/>
  <c r="A1335" i="7" s="1"/>
  <c r="A1336" i="7" s="1"/>
  <c r="A1337" i="7" s="1"/>
  <c r="A1338" i="7" s="1"/>
  <c r="A1339" i="7" s="1"/>
  <c r="O1240" i="7"/>
  <c r="O1237" i="7"/>
  <c r="A1229" i="7"/>
  <c r="A1230" i="7" s="1"/>
  <c r="A1231" i="7" s="1"/>
  <c r="A1232" i="7" s="1"/>
  <c r="A1233" i="7" s="1"/>
  <c r="A1234" i="7" s="1"/>
  <c r="A1235" i="7" s="1"/>
  <c r="A1236" i="7" s="1"/>
  <c r="A1237" i="7" s="1"/>
  <c r="A1238" i="7" s="1"/>
  <c r="A1239" i="7" s="1"/>
  <c r="A1240" i="7" s="1"/>
  <c r="A1241" i="7" s="1"/>
  <c r="A1242" i="7" s="1"/>
  <c r="A1243" i="7" s="1"/>
  <c r="A1244" i="7" s="1"/>
  <c r="A1245" i="7" s="1"/>
  <c r="A1246" i="7" s="1"/>
  <c r="A1247" i="7" s="1"/>
  <c r="A1248" i="7" s="1"/>
  <c r="A1249" i="7" s="1"/>
  <c r="A1250" i="7" s="1"/>
  <c r="A1251" i="7" s="1"/>
  <c r="A1252" i="7" s="1"/>
  <c r="A1253" i="7" s="1"/>
  <c r="A1254" i="7" s="1"/>
  <c r="A1255" i="7" s="1"/>
  <c r="A1256" i="7" s="1"/>
  <c r="A1257" i="7" s="1"/>
  <c r="A1258" i="7" s="1"/>
  <c r="A1259" i="7" s="1"/>
  <c r="A1260" i="7" s="1"/>
  <c r="A1261" i="7" s="1"/>
  <c r="A1262" i="7" s="1"/>
  <c r="A1263" i="7" s="1"/>
  <c r="A1264" i="7" s="1"/>
  <c r="A1265" i="7" s="1"/>
  <c r="A1266" i="7" s="1"/>
  <c r="A1267" i="7" s="1"/>
  <c r="A1268" i="7" s="1"/>
  <c r="A1269" i="7" s="1"/>
  <c r="A1270" i="7" s="1"/>
  <c r="A1271" i="7" s="1"/>
  <c r="A1228" i="7"/>
  <c r="A1227" i="7"/>
  <c r="A1226" i="7"/>
  <c r="A1225" i="7"/>
  <c r="A1224" i="7"/>
  <c r="A1218" i="7"/>
  <c r="A1219" i="7" s="1"/>
  <c r="A1220" i="7" s="1"/>
  <c r="A1221" i="7" s="1"/>
  <c r="A1222" i="7" s="1"/>
  <c r="A1223" i="7" s="1"/>
  <c r="A1203" i="7"/>
  <c r="A1204" i="7" s="1"/>
  <c r="A1205" i="7" s="1"/>
  <c r="A1206" i="7" s="1"/>
  <c r="A1207" i="7" s="1"/>
  <c r="A1208" i="7" s="1"/>
  <c r="A1209" i="7" s="1"/>
  <c r="A1210" i="7" s="1"/>
  <c r="A1211" i="7" s="1"/>
  <c r="A1212" i="7" s="1"/>
  <c r="A1213" i="7" s="1"/>
  <c r="A1214" i="7" s="1"/>
  <c r="A1215" i="7" s="1"/>
  <c r="A1216" i="7" s="1"/>
  <c r="A1217" i="7" s="1"/>
  <c r="A1200" i="7"/>
  <c r="A1201" i="7" s="1"/>
  <c r="A1202" i="7" s="1"/>
  <c r="A1199" i="7"/>
  <c r="A1198" i="7"/>
  <c r="A1197" i="7"/>
  <c r="A1194" i="7"/>
  <c r="A1195" i="7" s="1"/>
  <c r="A1196" i="7" s="1"/>
  <c r="A1191" i="7"/>
  <c r="A1192" i="7" s="1"/>
  <c r="A1193" i="7" s="1"/>
  <c r="A1190" i="7"/>
  <c r="A1188" i="7"/>
  <c r="A1189" i="7" s="1"/>
  <c r="A1178" i="7"/>
  <c r="A1179" i="7" s="1"/>
  <c r="A1180" i="7" s="1"/>
  <c r="A1181" i="7" s="1"/>
  <c r="A1182" i="7" s="1"/>
  <c r="A1183" i="7" s="1"/>
  <c r="A1184" i="7" s="1"/>
  <c r="A1185" i="7" s="1"/>
  <c r="A1186" i="7" s="1"/>
  <c r="A1187" i="7" s="1"/>
  <c r="A1177" i="7"/>
  <c r="A1169" i="7"/>
  <c r="A1170" i="7" s="1"/>
  <c r="A1171" i="7" s="1"/>
  <c r="A1172" i="7" s="1"/>
  <c r="A1173" i="7" s="1"/>
  <c r="A1174" i="7" s="1"/>
  <c r="A1175" i="7" s="1"/>
  <c r="A1176" i="7" s="1"/>
  <c r="A1146" i="7"/>
  <c r="A1147" i="7" s="1"/>
  <c r="A1148" i="7" s="1"/>
  <c r="A1149" i="7" s="1"/>
  <c r="A1150" i="7" s="1"/>
  <c r="A1151" i="7" s="1"/>
  <c r="A1152" i="7" s="1"/>
  <c r="A1153" i="7" s="1"/>
  <c r="A1154" i="7" s="1"/>
  <c r="A1155" i="7" s="1"/>
  <c r="A1156" i="7" s="1"/>
  <c r="A1157" i="7" s="1"/>
  <c r="A1158" i="7" s="1"/>
  <c r="A1159" i="7" s="1"/>
  <c r="A1160" i="7" s="1"/>
  <c r="A1161" i="7" s="1"/>
  <c r="A1162" i="7" s="1"/>
  <c r="A1163" i="7" s="1"/>
  <c r="A1164" i="7" s="1"/>
  <c r="A1165" i="7" s="1"/>
  <c r="A1166" i="7" s="1"/>
  <c r="A1167" i="7" s="1"/>
  <c r="A1168" i="7" s="1"/>
  <c r="A1145" i="7"/>
  <c r="A1128" i="7"/>
  <c r="A1129" i="7" s="1"/>
  <c r="A1130" i="7" s="1"/>
  <c r="A1131" i="7" s="1"/>
  <c r="A1132" i="7" s="1"/>
  <c r="A1133" i="7" s="1"/>
  <c r="A1134" i="7" s="1"/>
  <c r="A1135" i="7" s="1"/>
  <c r="A1136" i="7" s="1"/>
  <c r="A1137" i="7" s="1"/>
  <c r="A1138" i="7" s="1"/>
  <c r="A1139" i="7" s="1"/>
  <c r="A1140" i="7" s="1"/>
  <c r="A1141" i="7" s="1"/>
  <c r="A1142" i="7" s="1"/>
  <c r="A1143" i="7" s="1"/>
  <c r="A1144" i="7" s="1"/>
  <c r="A1127" i="7"/>
  <c r="A1121" i="7"/>
  <c r="A1122" i="7" s="1"/>
  <c r="A1123" i="7" s="1"/>
  <c r="A1124" i="7" s="1"/>
  <c r="A1125" i="7" s="1"/>
  <c r="A1126" i="7" s="1"/>
  <c r="A1120" i="7"/>
  <c r="A1118" i="7"/>
  <c r="A1119" i="7" s="1"/>
  <c r="A1116" i="7"/>
  <c r="A1117" i="7" s="1"/>
  <c r="A1115" i="7"/>
  <c r="A1114" i="7"/>
  <c r="A1113" i="7"/>
  <c r="A1109" i="7"/>
  <c r="A1110" i="7" s="1"/>
  <c r="A1111" i="7" s="1"/>
  <c r="A1112" i="7" s="1"/>
  <c r="A1102" i="7"/>
  <c r="A1103" i="7" s="1"/>
  <c r="A1104" i="7" s="1"/>
  <c r="A1105" i="7" s="1"/>
  <c r="A1106" i="7" s="1"/>
  <c r="A1107" i="7" s="1"/>
  <c r="A1108" i="7" s="1"/>
  <c r="A1101" i="7"/>
  <c r="A1092" i="7"/>
  <c r="A1093" i="7" s="1"/>
  <c r="A1094" i="7" s="1"/>
  <c r="A1095" i="7" s="1"/>
  <c r="A1096" i="7" s="1"/>
  <c r="A1097" i="7" s="1"/>
  <c r="A1098" i="7" s="1"/>
  <c r="A1099" i="7" s="1"/>
  <c r="A1100" i="7" s="1"/>
  <c r="A1091" i="7"/>
  <c r="A1086" i="7"/>
  <c r="A1087" i="7" s="1"/>
  <c r="A1088" i="7" s="1"/>
  <c r="A1089" i="7" s="1"/>
  <c r="A1090" i="7" s="1"/>
  <c r="A1085" i="7"/>
  <c r="A1073" i="7"/>
  <c r="A1074" i="7" s="1"/>
  <c r="A1075" i="7" s="1"/>
  <c r="A1076" i="7" s="1"/>
  <c r="A1077" i="7" s="1"/>
  <c r="A1078" i="7" s="1"/>
  <c r="A1079" i="7" s="1"/>
  <c r="A1080" i="7" s="1"/>
  <c r="A1081" i="7" s="1"/>
  <c r="A1082" i="7" s="1"/>
  <c r="A1083" i="7" s="1"/>
  <c r="A1084" i="7" s="1"/>
  <c r="A1066" i="7"/>
  <c r="A1067" i="7" s="1"/>
  <c r="A1068" i="7" s="1"/>
  <c r="A1069" i="7" s="1"/>
  <c r="A1070" i="7" s="1"/>
  <c r="A1071" i="7" s="1"/>
  <c r="A1072" i="7" s="1"/>
  <c r="A1044" i="7"/>
  <c r="A1045" i="7" s="1"/>
  <c r="A1046" i="7" s="1"/>
  <c r="A1047" i="7" s="1"/>
  <c r="A1048" i="7" s="1"/>
  <c r="A1049" i="7" s="1"/>
  <c r="A1050" i="7" s="1"/>
  <c r="A1051" i="7" s="1"/>
  <c r="A1052" i="7" s="1"/>
  <c r="A1053" i="7" s="1"/>
  <c r="A1054" i="7" s="1"/>
  <c r="A1055" i="7" s="1"/>
  <c r="A1056" i="7" s="1"/>
  <c r="A1057" i="7" s="1"/>
  <c r="A1058" i="7" s="1"/>
  <c r="A1059" i="7" s="1"/>
  <c r="A1060" i="7" s="1"/>
  <c r="A1061" i="7" s="1"/>
  <c r="A1062" i="7" s="1"/>
  <c r="A1063" i="7" s="1"/>
  <c r="A1064" i="7" s="1"/>
  <c r="A1065" i="7" s="1"/>
  <c r="A1043" i="7"/>
  <c r="A1042" i="7"/>
  <c r="A1040" i="7"/>
  <c r="A1041" i="7" s="1"/>
  <c r="A1018" i="7"/>
  <c r="A1019" i="7" s="1"/>
  <c r="A1020" i="7" s="1"/>
  <c r="A1021" i="7" s="1"/>
  <c r="A1022" i="7" s="1"/>
  <c r="A1023" i="7" s="1"/>
  <c r="A1024" i="7" s="1"/>
  <c r="A1025" i="7" s="1"/>
  <c r="A1026" i="7" s="1"/>
  <c r="A1027" i="7" s="1"/>
  <c r="A1028" i="7" s="1"/>
  <c r="A1029" i="7" s="1"/>
  <c r="A1030" i="7" s="1"/>
  <c r="A1031" i="7" s="1"/>
  <c r="A1032" i="7" s="1"/>
  <c r="A1033" i="7" s="1"/>
  <c r="A1034" i="7" s="1"/>
  <c r="A1035" i="7" s="1"/>
  <c r="A1036" i="7" s="1"/>
  <c r="A1037" i="7" s="1"/>
  <c r="A1038" i="7" s="1"/>
  <c r="A1039" i="7" s="1"/>
  <c r="A1017" i="7"/>
  <c r="A979" i="7"/>
  <c r="A980" i="7" s="1"/>
  <c r="A981" i="7" s="1"/>
  <c r="A982" i="7" s="1"/>
  <c r="A983" i="7" s="1"/>
  <c r="A984" i="7" s="1"/>
  <c r="A985" i="7" s="1"/>
  <c r="A986" i="7" s="1"/>
  <c r="A987" i="7" s="1"/>
  <c r="A988" i="7" s="1"/>
  <c r="A989" i="7" s="1"/>
  <c r="A990" i="7" s="1"/>
  <c r="A991" i="7" s="1"/>
  <c r="A992" i="7" s="1"/>
  <c r="A993" i="7" s="1"/>
  <c r="A994" i="7" s="1"/>
  <c r="A995" i="7" s="1"/>
  <c r="A996" i="7" s="1"/>
  <c r="A997" i="7" s="1"/>
  <c r="A998" i="7" s="1"/>
  <c r="A999" i="7" s="1"/>
  <c r="A1000" i="7" s="1"/>
  <c r="A1001" i="7" s="1"/>
  <c r="A1002" i="7" s="1"/>
  <c r="A1003" i="7" s="1"/>
  <c r="A1004" i="7" s="1"/>
  <c r="A1005" i="7" s="1"/>
  <c r="A1006" i="7" s="1"/>
  <c r="A1007" i="7" s="1"/>
  <c r="A1008" i="7" s="1"/>
  <c r="A1009" i="7" s="1"/>
  <c r="A1010" i="7" s="1"/>
  <c r="A1011" i="7" s="1"/>
  <c r="A1012" i="7" s="1"/>
  <c r="A1013" i="7" s="1"/>
  <c r="A1014" i="7" s="1"/>
  <c r="A1015" i="7" s="1"/>
  <c r="A1016" i="7" s="1"/>
  <c r="A962" i="7"/>
  <c r="A963" i="7" s="1"/>
  <c r="A964" i="7" s="1"/>
  <c r="A965" i="7" s="1"/>
  <c r="A966" i="7" s="1"/>
  <c r="A967" i="7" s="1"/>
  <c r="A968" i="7" s="1"/>
  <c r="A969" i="7" s="1"/>
  <c r="A970" i="7" s="1"/>
  <c r="A971" i="7" s="1"/>
  <c r="A972" i="7" s="1"/>
  <c r="A973" i="7" s="1"/>
  <c r="A974" i="7" s="1"/>
  <c r="A975" i="7" s="1"/>
  <c r="A976" i="7" s="1"/>
  <c r="A977" i="7" s="1"/>
  <c r="A978" i="7" s="1"/>
  <c r="A961" i="7"/>
  <c r="A960" i="7"/>
  <c r="A958" i="7"/>
  <c r="A959" i="7" s="1"/>
  <c r="A957" i="7"/>
  <c r="A955" i="7"/>
  <c r="A956" i="7" s="1"/>
  <c r="A954" i="7"/>
  <c r="A953" i="7"/>
  <c r="A952" i="7"/>
  <c r="A951" i="7"/>
  <c r="A938" i="7"/>
  <c r="A939" i="7" s="1"/>
  <c r="A940" i="7" s="1"/>
  <c r="A941" i="7" s="1"/>
  <c r="A942" i="7" s="1"/>
  <c r="A943" i="7" s="1"/>
  <c r="A944" i="7" s="1"/>
  <c r="A945" i="7" s="1"/>
  <c r="A946" i="7" s="1"/>
  <c r="A947" i="7" s="1"/>
  <c r="A948" i="7" s="1"/>
  <c r="A949" i="7" s="1"/>
  <c r="A950" i="7" s="1"/>
  <c r="A929" i="7"/>
  <c r="A930" i="7" s="1"/>
  <c r="A931" i="7" s="1"/>
  <c r="A932" i="7" s="1"/>
  <c r="A933" i="7" s="1"/>
  <c r="A934" i="7" s="1"/>
  <c r="A935" i="7" s="1"/>
  <c r="A936" i="7" s="1"/>
  <c r="A937" i="7" s="1"/>
  <c r="A927" i="7"/>
  <c r="A928" i="7" s="1"/>
  <c r="A924" i="7"/>
  <c r="A925" i="7" s="1"/>
  <c r="A926" i="7" s="1"/>
  <c r="A898" i="7"/>
  <c r="A899" i="7" s="1"/>
  <c r="A900" i="7" s="1"/>
  <c r="A901" i="7" s="1"/>
  <c r="A902" i="7" s="1"/>
  <c r="A903" i="7" s="1"/>
  <c r="A904" i="7" s="1"/>
  <c r="A905" i="7" s="1"/>
  <c r="A906" i="7" s="1"/>
  <c r="A907" i="7" s="1"/>
  <c r="A908" i="7" s="1"/>
  <c r="A909" i="7" s="1"/>
  <c r="A910" i="7" s="1"/>
  <c r="A911" i="7" s="1"/>
  <c r="A912" i="7" s="1"/>
  <c r="A913" i="7" s="1"/>
  <c r="A914" i="7" s="1"/>
  <c r="A915" i="7" s="1"/>
  <c r="A916" i="7" s="1"/>
  <c r="A917" i="7" s="1"/>
  <c r="A918" i="7" s="1"/>
  <c r="A919" i="7" s="1"/>
  <c r="A920" i="7" s="1"/>
  <c r="A921" i="7" s="1"/>
  <c r="A922" i="7" s="1"/>
  <c r="A923" i="7" s="1"/>
  <c r="A897" i="7"/>
  <c r="A876" i="7"/>
  <c r="A877" i="7" s="1"/>
  <c r="A878" i="7" s="1"/>
  <c r="A879" i="7" s="1"/>
  <c r="A880" i="7" s="1"/>
  <c r="A881" i="7" s="1"/>
  <c r="A882" i="7" s="1"/>
  <c r="A883" i="7" s="1"/>
  <c r="A884" i="7" s="1"/>
  <c r="A885" i="7" s="1"/>
  <c r="A886" i="7" s="1"/>
  <c r="A887" i="7" s="1"/>
  <c r="A888" i="7" s="1"/>
  <c r="A889" i="7" s="1"/>
  <c r="A890" i="7" s="1"/>
  <c r="A891" i="7" s="1"/>
  <c r="A892" i="7" s="1"/>
  <c r="A893" i="7" s="1"/>
  <c r="A894" i="7" s="1"/>
  <c r="A895" i="7" s="1"/>
  <c r="A896" i="7" s="1"/>
  <c r="A875" i="7"/>
  <c r="A869" i="7"/>
  <c r="A870" i="7" s="1"/>
  <c r="A871" i="7" s="1"/>
  <c r="A872" i="7" s="1"/>
  <c r="A873" i="7" s="1"/>
  <c r="A874" i="7" s="1"/>
  <c r="A846" i="7"/>
  <c r="A847" i="7" s="1"/>
  <c r="A848" i="7" s="1"/>
  <c r="A849" i="7" s="1"/>
  <c r="A850" i="7" s="1"/>
  <c r="A851" i="7" s="1"/>
  <c r="A852" i="7" s="1"/>
  <c r="A853" i="7" s="1"/>
  <c r="A854" i="7" s="1"/>
  <c r="A855" i="7" s="1"/>
  <c r="A856" i="7" s="1"/>
  <c r="A857" i="7" s="1"/>
  <c r="A858" i="7" s="1"/>
  <c r="A859" i="7" s="1"/>
  <c r="A860" i="7" s="1"/>
  <c r="A861" i="7" s="1"/>
  <c r="A862" i="7" s="1"/>
  <c r="A863" i="7" s="1"/>
  <c r="A864" i="7" s="1"/>
  <c r="A865" i="7" s="1"/>
  <c r="A866" i="7" s="1"/>
  <c r="A867" i="7" s="1"/>
  <c r="A868" i="7" s="1"/>
  <c r="O840" i="7"/>
  <c r="N840" i="7"/>
  <c r="O838" i="7"/>
  <c r="N838" i="7"/>
  <c r="O837" i="7"/>
  <c r="O836" i="7"/>
  <c r="N836" i="7"/>
  <c r="O835" i="7"/>
  <c r="N835" i="7"/>
  <c r="O834" i="7"/>
  <c r="N834" i="7"/>
  <c r="O833" i="7"/>
  <c r="A831" i="7"/>
  <c r="A832" i="7" s="1"/>
  <c r="A833" i="7" s="1"/>
  <c r="A834" i="7" s="1"/>
  <c r="A835" i="7" s="1"/>
  <c r="A836" i="7" s="1"/>
  <c r="A837" i="7" s="1"/>
  <c r="A838" i="7" s="1"/>
  <c r="A839" i="7" s="1"/>
  <c r="A840" i="7" s="1"/>
  <c r="A841" i="7" s="1"/>
  <c r="A842" i="7" s="1"/>
  <c r="A843" i="7" s="1"/>
  <c r="A844" i="7" s="1"/>
  <c r="A845" i="7" s="1"/>
  <c r="A830" i="7"/>
  <c r="O817" i="7"/>
  <c r="O813" i="7"/>
  <c r="O805" i="7"/>
  <c r="O801" i="7"/>
  <c r="A788" i="7"/>
  <c r="A789" i="7" s="1"/>
  <c r="A790" i="7" s="1"/>
  <c r="A791" i="7" s="1"/>
  <c r="A792" i="7" s="1"/>
  <c r="A793" i="7" s="1"/>
  <c r="A794" i="7" s="1"/>
  <c r="A795" i="7" s="1"/>
  <c r="A796" i="7" s="1"/>
  <c r="A797" i="7" s="1"/>
  <c r="A798" i="7" s="1"/>
  <c r="A799" i="7" s="1"/>
  <c r="A800" i="7" s="1"/>
  <c r="A801" i="7" s="1"/>
  <c r="A802" i="7" s="1"/>
  <c r="A803" i="7" s="1"/>
  <c r="A804" i="7" s="1"/>
  <c r="A805" i="7" s="1"/>
  <c r="A806" i="7" s="1"/>
  <c r="A807" i="7" s="1"/>
  <c r="A808" i="7" s="1"/>
  <c r="A809" i="7" s="1"/>
  <c r="A810" i="7" s="1"/>
  <c r="A811" i="7" s="1"/>
  <c r="A812" i="7" s="1"/>
  <c r="A813" i="7" s="1"/>
  <c r="A814" i="7" s="1"/>
  <c r="A815" i="7" s="1"/>
  <c r="A816" i="7" s="1"/>
  <c r="A817" i="7" s="1"/>
  <c r="A818" i="7" s="1"/>
  <c r="A819" i="7" s="1"/>
  <c r="A820" i="7" s="1"/>
  <c r="A821" i="7" s="1"/>
  <c r="A822" i="7" s="1"/>
  <c r="A823" i="7" s="1"/>
  <c r="A824" i="7" s="1"/>
  <c r="A825" i="7" s="1"/>
  <c r="A826" i="7" s="1"/>
  <c r="A827" i="7" s="1"/>
  <c r="A828" i="7" s="1"/>
  <c r="A829" i="7" s="1"/>
  <c r="A787" i="7"/>
  <c r="A784" i="7"/>
  <c r="A785" i="7" s="1"/>
  <c r="A786" i="7" s="1"/>
  <c r="O781" i="7"/>
  <c r="O780" i="7"/>
  <c r="O779" i="7"/>
  <c r="O777" i="7"/>
  <c r="O776" i="7"/>
  <c r="O775" i="7"/>
  <c r="O774" i="7"/>
  <c r="O773" i="7"/>
  <c r="N750" i="7"/>
  <c r="P750" i="7" s="1"/>
  <c r="O750" i="7" s="1"/>
  <c r="P749" i="7"/>
  <c r="N749" i="7"/>
  <c r="P748" i="7"/>
  <c r="O748" i="7" s="1"/>
  <c r="N748" i="7"/>
  <c r="A748" i="7"/>
  <c r="A749" i="7" s="1"/>
  <c r="A750" i="7" s="1"/>
  <c r="A751" i="7" s="1"/>
  <c r="A752" i="7" s="1"/>
  <c r="A753" i="7" s="1"/>
  <c r="A754" i="7" s="1"/>
  <c r="A755" i="7" s="1"/>
  <c r="A756" i="7" s="1"/>
  <c r="A757" i="7" s="1"/>
  <c r="A758" i="7" s="1"/>
  <c r="A759" i="7" s="1"/>
  <c r="A760" i="7" s="1"/>
  <c r="A761" i="7" s="1"/>
  <c r="A762" i="7" s="1"/>
  <c r="A763" i="7" s="1"/>
  <c r="A764" i="7" s="1"/>
  <c r="A765" i="7" s="1"/>
  <c r="A766" i="7" s="1"/>
  <c r="A767" i="7" s="1"/>
  <c r="A768" i="7" s="1"/>
  <c r="A769" i="7" s="1"/>
  <c r="A770" i="7" s="1"/>
  <c r="A771" i="7" s="1"/>
  <c r="A772" i="7" s="1"/>
  <c r="A773" i="7" s="1"/>
  <c r="A774" i="7" s="1"/>
  <c r="A775" i="7" s="1"/>
  <c r="A776" i="7" s="1"/>
  <c r="A777" i="7" s="1"/>
  <c r="A778" i="7" s="1"/>
  <c r="A779" i="7" s="1"/>
  <c r="A780" i="7" s="1"/>
  <c r="A781" i="7" s="1"/>
  <c r="A782" i="7" s="1"/>
  <c r="A783" i="7" s="1"/>
  <c r="P747" i="7"/>
  <c r="O747" i="7" s="1"/>
  <c r="N747" i="7"/>
  <c r="P746" i="7"/>
  <c r="N745" i="7"/>
  <c r="P745" i="7" s="1"/>
  <c r="O745" i="7" s="1"/>
  <c r="N744" i="7"/>
  <c r="P744" i="7" s="1"/>
  <c r="O744" i="7" s="1"/>
  <c r="N743" i="7"/>
  <c r="P743" i="7" s="1"/>
  <c r="O743" i="7" s="1"/>
  <c r="A628" i="7"/>
  <c r="A629" i="7" s="1"/>
  <c r="A630" i="7" s="1"/>
  <c r="A631" i="7" s="1"/>
  <c r="A632" i="7" s="1"/>
  <c r="A633" i="7" s="1"/>
  <c r="A634" i="7" s="1"/>
  <c r="A635" i="7" s="1"/>
  <c r="A636" i="7" s="1"/>
  <c r="A637" i="7" s="1"/>
  <c r="A638" i="7" s="1"/>
  <c r="A639" i="7" s="1"/>
  <c r="A640" i="7" s="1"/>
  <c r="A641" i="7" s="1"/>
  <c r="A642" i="7" s="1"/>
  <c r="A643" i="7" s="1"/>
  <c r="A644" i="7" s="1"/>
  <c r="A645" i="7" s="1"/>
  <c r="A646" i="7" s="1"/>
  <c r="A647" i="7" s="1"/>
  <c r="A648" i="7" s="1"/>
  <c r="A649" i="7" s="1"/>
  <c r="A650" i="7" s="1"/>
  <c r="A651" i="7" s="1"/>
  <c r="A652" i="7" s="1"/>
  <c r="A653" i="7" s="1"/>
  <c r="A654" i="7" s="1"/>
  <c r="A655" i="7" s="1"/>
  <c r="A656" i="7" s="1"/>
  <c r="A657" i="7" s="1"/>
  <c r="A658" i="7" s="1"/>
  <c r="A659" i="7" s="1"/>
  <c r="A660" i="7" s="1"/>
  <c r="A661" i="7" s="1"/>
  <c r="A662" i="7" s="1"/>
  <c r="A663" i="7" s="1"/>
  <c r="A664" i="7" s="1"/>
  <c r="A665" i="7" s="1"/>
  <c r="A666" i="7" s="1"/>
  <c r="A667" i="7" s="1"/>
  <c r="A668" i="7" s="1"/>
  <c r="A669" i="7" s="1"/>
  <c r="A670" i="7" s="1"/>
  <c r="A671" i="7" s="1"/>
  <c r="A672" i="7" s="1"/>
  <c r="A673" i="7" s="1"/>
  <c r="A674" i="7" s="1"/>
  <c r="A675" i="7" s="1"/>
  <c r="A676" i="7" s="1"/>
  <c r="A677" i="7" s="1"/>
  <c r="A678" i="7" s="1"/>
  <c r="A679" i="7" s="1"/>
  <c r="A680" i="7" s="1"/>
  <c r="A681" i="7" s="1"/>
  <c r="A682" i="7" s="1"/>
  <c r="A683" i="7" s="1"/>
  <c r="A684" i="7" s="1"/>
  <c r="A685" i="7" s="1"/>
  <c r="A686" i="7" s="1"/>
  <c r="A687" i="7" s="1"/>
  <c r="A688" i="7" s="1"/>
  <c r="A689" i="7" s="1"/>
  <c r="A690" i="7" s="1"/>
  <c r="A691" i="7" s="1"/>
  <c r="A692" i="7" s="1"/>
  <c r="A693" i="7" s="1"/>
  <c r="A694" i="7" s="1"/>
  <c r="A695" i="7" s="1"/>
  <c r="A696" i="7" s="1"/>
  <c r="A697" i="7" s="1"/>
  <c r="A698" i="7" s="1"/>
  <c r="A699" i="7" s="1"/>
  <c r="A700" i="7" s="1"/>
  <c r="A701" i="7" s="1"/>
  <c r="A702" i="7" s="1"/>
  <c r="A703" i="7" s="1"/>
  <c r="A704" i="7" s="1"/>
  <c r="A705" i="7" s="1"/>
  <c r="A706" i="7" s="1"/>
  <c r="A707" i="7" s="1"/>
  <c r="A708" i="7" s="1"/>
  <c r="A709" i="7" s="1"/>
  <c r="A710" i="7" s="1"/>
  <c r="A711" i="7" s="1"/>
  <c r="A712" i="7" s="1"/>
  <c r="A713" i="7" s="1"/>
  <c r="A714" i="7" s="1"/>
  <c r="A715" i="7" s="1"/>
  <c r="A716" i="7" s="1"/>
  <c r="A717" i="7" s="1"/>
  <c r="A718" i="7" s="1"/>
  <c r="A719" i="7" s="1"/>
  <c r="A720" i="7" s="1"/>
  <c r="A721" i="7" s="1"/>
  <c r="A722" i="7" s="1"/>
  <c r="A723" i="7" s="1"/>
  <c r="A724" i="7" s="1"/>
  <c r="A725" i="7" s="1"/>
  <c r="A726" i="7" s="1"/>
  <c r="A727" i="7" s="1"/>
  <c r="A728" i="7" s="1"/>
  <c r="A729" i="7" s="1"/>
  <c r="A730" i="7" s="1"/>
  <c r="A731" i="7" s="1"/>
  <c r="A732" i="7" s="1"/>
  <c r="A733" i="7" s="1"/>
  <c r="A734" i="7" s="1"/>
  <c r="A735" i="7" s="1"/>
  <c r="A736" i="7" s="1"/>
  <c r="A737" i="7" s="1"/>
  <c r="A738" i="7" s="1"/>
  <c r="A739" i="7" s="1"/>
  <c r="A740" i="7" s="1"/>
  <c r="A741" i="7" s="1"/>
  <c r="A742" i="7" s="1"/>
  <c r="A743" i="7" s="1"/>
  <c r="A744" i="7" s="1"/>
  <c r="A745" i="7" s="1"/>
  <c r="A746" i="7" s="1"/>
  <c r="A747" i="7" s="1"/>
  <c r="A607" i="7"/>
  <c r="A608" i="7" s="1"/>
  <c r="A609" i="7" s="1"/>
  <c r="A610" i="7" s="1"/>
  <c r="A611" i="7" s="1"/>
  <c r="A612" i="7" s="1"/>
  <c r="A613" i="7" s="1"/>
  <c r="A614" i="7" s="1"/>
  <c r="A615" i="7" s="1"/>
  <c r="A616" i="7" s="1"/>
  <c r="A617" i="7" s="1"/>
  <c r="A618" i="7" s="1"/>
  <c r="A619" i="7" s="1"/>
  <c r="A620" i="7" s="1"/>
  <c r="A621" i="7" s="1"/>
  <c r="A622" i="7" s="1"/>
  <c r="A623" i="7" s="1"/>
  <c r="A624" i="7" s="1"/>
  <c r="A625" i="7" s="1"/>
  <c r="A626" i="7" s="1"/>
  <c r="A627" i="7" s="1"/>
  <c r="A606" i="7"/>
  <c r="A601" i="7"/>
  <c r="A602" i="7" s="1"/>
  <c r="A603" i="7" s="1"/>
  <c r="A604" i="7" s="1"/>
  <c r="A605" i="7" s="1"/>
  <c r="P588" i="7"/>
  <c r="A576" i="7"/>
  <c r="A577" i="7" s="1"/>
  <c r="A578" i="7" s="1"/>
  <c r="A579" i="7" s="1"/>
  <c r="A580" i="7" s="1"/>
  <c r="A581" i="7" s="1"/>
  <c r="A582" i="7" s="1"/>
  <c r="A583" i="7" s="1"/>
  <c r="A584" i="7" s="1"/>
  <c r="A585" i="7" s="1"/>
  <c r="A586" i="7" s="1"/>
  <c r="A587" i="7" s="1"/>
  <c r="A588" i="7" s="1"/>
  <c r="A589" i="7" s="1"/>
  <c r="A590" i="7" s="1"/>
  <c r="A591" i="7" s="1"/>
  <c r="A592" i="7" s="1"/>
  <c r="A593" i="7" s="1"/>
  <c r="A594" i="7" s="1"/>
  <c r="A595" i="7" s="1"/>
  <c r="A596" i="7" s="1"/>
  <c r="A597" i="7" s="1"/>
  <c r="A598" i="7" s="1"/>
  <c r="A599" i="7" s="1"/>
  <c r="A600" i="7" s="1"/>
  <c r="A575" i="7"/>
  <c r="A564" i="7"/>
  <c r="A565" i="7" s="1"/>
  <c r="A566" i="7" s="1"/>
  <c r="A567" i="7" s="1"/>
  <c r="A568" i="7" s="1"/>
  <c r="A569" i="7" s="1"/>
  <c r="A570" i="7" s="1"/>
  <c r="A571" i="7" s="1"/>
  <c r="A572" i="7" s="1"/>
  <c r="A573" i="7" s="1"/>
  <c r="A574" i="7" s="1"/>
  <c r="A563" i="7"/>
  <c r="A560" i="7"/>
  <c r="A561" i="7" s="1"/>
  <c r="A562" i="7" s="1"/>
  <c r="A559" i="7"/>
  <c r="A557" i="7"/>
  <c r="A558" i="7" s="1"/>
  <c r="N550" i="7"/>
  <c r="A517" i="7"/>
  <c r="A518" i="7" s="1"/>
  <c r="A519" i="7" s="1"/>
  <c r="A520" i="7" s="1"/>
  <c r="A521" i="7" s="1"/>
  <c r="A522" i="7" s="1"/>
  <c r="A523" i="7" s="1"/>
  <c r="A524" i="7" s="1"/>
  <c r="A525" i="7" s="1"/>
  <c r="A526" i="7" s="1"/>
  <c r="A527" i="7" s="1"/>
  <c r="A528" i="7" s="1"/>
  <c r="A529" i="7" s="1"/>
  <c r="A530" i="7" s="1"/>
  <c r="A531" i="7" s="1"/>
  <c r="A532" i="7" s="1"/>
  <c r="A533" i="7" s="1"/>
  <c r="A534" i="7" s="1"/>
  <c r="A535" i="7" s="1"/>
  <c r="A536" i="7" s="1"/>
  <c r="A537" i="7" s="1"/>
  <c r="A538" i="7" s="1"/>
  <c r="A539" i="7" s="1"/>
  <c r="A540" i="7" s="1"/>
  <c r="A541" i="7" s="1"/>
  <c r="A542" i="7" s="1"/>
  <c r="A543" i="7" s="1"/>
  <c r="A544" i="7" s="1"/>
  <c r="A545" i="7" s="1"/>
  <c r="A546" i="7" s="1"/>
  <c r="A547" i="7" s="1"/>
  <c r="A548" i="7" s="1"/>
  <c r="A549" i="7" s="1"/>
  <c r="A550" i="7" s="1"/>
  <c r="A551" i="7" s="1"/>
  <c r="A552" i="7" s="1"/>
  <c r="A553" i="7" s="1"/>
  <c r="A554" i="7" s="1"/>
  <c r="A555" i="7" s="1"/>
  <c r="A556" i="7" s="1"/>
  <c r="A502" i="7"/>
  <c r="A503" i="7" s="1"/>
  <c r="A504" i="7" s="1"/>
  <c r="A505" i="7" s="1"/>
  <c r="A506" i="7" s="1"/>
  <c r="A507" i="7" s="1"/>
  <c r="A508" i="7" s="1"/>
  <c r="A509" i="7" s="1"/>
  <c r="A510" i="7" s="1"/>
  <c r="A511" i="7" s="1"/>
  <c r="A512" i="7" s="1"/>
  <c r="A513" i="7" s="1"/>
  <c r="A514" i="7" s="1"/>
  <c r="A515" i="7" s="1"/>
  <c r="A516" i="7" s="1"/>
  <c r="O396" i="7"/>
  <c r="O395" i="7"/>
  <c r="A269" i="7"/>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235" i="7"/>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N161" i="7"/>
  <c r="A158" i="7"/>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144" i="7"/>
  <c r="A145" i="7" s="1"/>
  <c r="A146" i="7" s="1"/>
  <c r="A147" i="7" s="1"/>
  <c r="A148" i="7" s="1"/>
  <c r="A149" i="7" s="1"/>
  <c r="A150" i="7" s="1"/>
  <c r="A151" i="7" s="1"/>
  <c r="O123" i="7"/>
  <c r="O114" i="7"/>
  <c r="O108" i="7"/>
  <c r="O103" i="7"/>
  <c r="O82" i="7"/>
  <c r="A76" i="7"/>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O47" i="7"/>
  <c r="O1454" i="7" s="1"/>
  <c r="O28" i="7"/>
  <c r="O27" i="7"/>
  <c r="O20" i="7"/>
  <c r="A13" i="7"/>
  <c r="A14" i="7" s="1"/>
  <c r="A15" i="7" s="1"/>
  <c r="A12" i="7"/>
  <c r="H8" i="7"/>
  <c r="A6" i="7"/>
  <c r="A7" i="7" s="1"/>
  <c r="A8" i="7" s="1"/>
  <c r="A9" i="7" s="1"/>
  <c r="A10" i="7" s="1"/>
  <c r="A11" i="7" s="1"/>
  <c r="G20" i="6"/>
  <c r="G19" i="6"/>
  <c r="G18" i="6"/>
  <c r="G17" i="6"/>
  <c r="G16" i="6"/>
  <c r="G15" i="6"/>
  <c r="G14" i="6"/>
  <c r="G13" i="6"/>
  <c r="G12" i="6"/>
  <c r="G11" i="6"/>
  <c r="G10" i="6"/>
  <c r="G9" i="6"/>
  <c r="G8" i="6"/>
  <c r="G7" i="6"/>
  <c r="G6" i="6"/>
  <c r="G5" i="6"/>
  <c r="A5" i="6"/>
  <c r="A6" i="6" s="1"/>
  <c r="A7" i="6" s="1"/>
  <c r="A8" i="6" s="1"/>
  <c r="A9" i="6" s="1"/>
  <c r="A10" i="6" s="1"/>
  <c r="A11" i="6" s="1"/>
  <c r="A12" i="6" s="1"/>
  <c r="A13" i="6" s="1"/>
  <c r="A14" i="6" s="1"/>
  <c r="A15" i="6" s="1"/>
  <c r="A16" i="6" s="1"/>
  <c r="A17" i="6" s="1"/>
  <c r="A18" i="6" s="1"/>
  <c r="A19" i="6" s="1"/>
  <c r="A20" i="6" s="1"/>
  <c r="G4" i="6"/>
  <c r="E38" i="4"/>
  <c r="D37" i="4"/>
  <c r="F37" i="4" s="1"/>
  <c r="D36" i="4"/>
  <c r="F36" i="4" s="1"/>
  <c r="D35" i="4"/>
  <c r="F35" i="4" s="1"/>
  <c r="D34" i="4"/>
  <c r="F34" i="4" s="1"/>
  <c r="D33" i="4"/>
  <c r="F33" i="4" s="1"/>
  <c r="D32" i="4"/>
  <c r="F32" i="4" s="1"/>
  <c r="F31" i="4"/>
  <c r="D31" i="4"/>
  <c r="D30" i="4"/>
  <c r="F30" i="4" s="1"/>
  <c r="D29" i="4"/>
  <c r="F29" i="4" s="1"/>
  <c r="D28" i="4"/>
  <c r="F28" i="4" s="1"/>
  <c r="D27" i="4"/>
  <c r="F27" i="4" s="1"/>
  <c r="D26" i="4"/>
  <c r="F26" i="4" s="1"/>
  <c r="D25" i="4"/>
  <c r="F25" i="4" s="1"/>
  <c r="D24" i="4"/>
  <c r="F24" i="4" s="1"/>
  <c r="D23" i="4"/>
  <c r="F23" i="4" s="1"/>
  <c r="D22" i="4"/>
  <c r="F22" i="4" s="1"/>
  <c r="D21" i="4"/>
  <c r="F21" i="4" s="1"/>
  <c r="D20" i="4"/>
  <c r="F20" i="4" s="1"/>
  <c r="D19" i="4"/>
  <c r="F19" i="4" s="1"/>
  <c r="D18" i="4"/>
  <c r="F18" i="4" s="1"/>
  <c r="D17" i="4"/>
  <c r="F17" i="4" s="1"/>
  <c r="D16" i="4"/>
  <c r="F16" i="4" s="1"/>
  <c r="D15" i="4"/>
  <c r="F15" i="4" s="1"/>
  <c r="D14" i="4"/>
  <c r="F14" i="4" s="1"/>
  <c r="D13" i="4"/>
  <c r="F13" i="4" s="1"/>
  <c r="D12" i="4"/>
  <c r="F12" i="4" s="1"/>
  <c r="F11" i="4"/>
  <c r="D11" i="4"/>
  <c r="D10" i="4"/>
  <c r="F10" i="4" s="1"/>
  <c r="D9" i="4"/>
  <c r="F9" i="4" s="1"/>
  <c r="D8" i="4"/>
  <c r="F8" i="4" s="1"/>
  <c r="D7" i="4"/>
  <c r="F7" i="4" s="1"/>
  <c r="D6" i="4"/>
  <c r="F6" i="4" s="1"/>
  <c r="D5" i="4"/>
  <c r="F5" i="4" s="1"/>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D4" i="4"/>
  <c r="F4" i="4" s="1"/>
  <c r="C12" i="3"/>
  <c r="C11" i="3"/>
  <c r="C10" i="3"/>
  <c r="C9" i="3"/>
  <c r="C8" i="3"/>
  <c r="C7" i="3"/>
  <c r="C6" i="3"/>
  <c r="C5" i="3"/>
  <c r="C4" i="3"/>
  <c r="C13" i="3" s="1"/>
  <c r="P20" i="2"/>
  <c r="L20" i="2"/>
  <c r="K20" i="2"/>
  <c r="J20" i="2"/>
  <c r="I20" i="2"/>
  <c r="H20" i="2"/>
  <c r="G20" i="2"/>
  <c r="F20" i="2"/>
  <c r="E20" i="2"/>
  <c r="D20" i="2"/>
  <c r="C20" i="2"/>
  <c r="M20" i="2" s="1"/>
  <c r="P19" i="2"/>
  <c r="Q19" i="2" s="1"/>
  <c r="L19" i="2"/>
  <c r="K19" i="2"/>
  <c r="J19" i="2"/>
  <c r="I19" i="2"/>
  <c r="H19" i="2"/>
  <c r="G19" i="2"/>
  <c r="F19" i="2"/>
  <c r="E19" i="2"/>
  <c r="D19" i="2"/>
  <c r="C19" i="2"/>
  <c r="M19" i="2" s="1"/>
  <c r="P18" i="2"/>
  <c r="Q18" i="2" s="1"/>
  <c r="L18" i="2"/>
  <c r="K18" i="2"/>
  <c r="J18" i="2"/>
  <c r="I18" i="2"/>
  <c r="H18" i="2"/>
  <c r="G18" i="2"/>
  <c r="F18" i="2"/>
  <c r="E18" i="2"/>
  <c r="D18" i="2"/>
  <c r="C18" i="2"/>
  <c r="M18" i="2" s="1"/>
  <c r="P17" i="2"/>
  <c r="Q17" i="2" s="1"/>
  <c r="L17" i="2"/>
  <c r="K17" i="2"/>
  <c r="J17" i="2"/>
  <c r="I17" i="2"/>
  <c r="H17" i="2"/>
  <c r="G17" i="2"/>
  <c r="F17" i="2"/>
  <c r="M17" i="2" s="1"/>
  <c r="E17" i="2"/>
  <c r="D17" i="2"/>
  <c r="C17" i="2"/>
  <c r="P16" i="2"/>
  <c r="Q16" i="2" s="1"/>
  <c r="L16" i="2"/>
  <c r="K16" i="2"/>
  <c r="J16" i="2"/>
  <c r="I16" i="2"/>
  <c r="H16" i="2"/>
  <c r="M16" i="2" s="1"/>
  <c r="G16" i="2"/>
  <c r="F16" i="2"/>
  <c r="E16" i="2"/>
  <c r="D16" i="2"/>
  <c r="C16" i="2"/>
  <c r="P15" i="2"/>
  <c r="L15" i="2"/>
  <c r="K15" i="2"/>
  <c r="J15" i="2"/>
  <c r="I15" i="2"/>
  <c r="H15" i="2"/>
  <c r="G15" i="2"/>
  <c r="F15" i="2"/>
  <c r="E15" i="2"/>
  <c r="D15" i="2"/>
  <c r="C15" i="2"/>
  <c r="M15" i="2" s="1"/>
  <c r="Q15" i="2" s="1"/>
  <c r="P14" i="2"/>
  <c r="L14" i="2"/>
  <c r="M14" i="2" s="1"/>
  <c r="K14" i="2"/>
  <c r="J14" i="2"/>
  <c r="I14" i="2"/>
  <c r="H14" i="2"/>
  <c r="G14" i="2"/>
  <c r="F14" i="2"/>
  <c r="E14" i="2"/>
  <c r="D14" i="2"/>
  <c r="C14" i="2"/>
  <c r="P13" i="2"/>
  <c r="Q13" i="2" s="1"/>
  <c r="L13" i="2"/>
  <c r="K13" i="2"/>
  <c r="J13" i="2"/>
  <c r="I13" i="2"/>
  <c r="H13" i="2"/>
  <c r="G13" i="2"/>
  <c r="F13" i="2"/>
  <c r="E13" i="2"/>
  <c r="D13" i="2"/>
  <c r="C13" i="2"/>
  <c r="M13" i="2" s="1"/>
  <c r="P12" i="2"/>
  <c r="Q12" i="2" s="1"/>
  <c r="L12" i="2"/>
  <c r="K12" i="2"/>
  <c r="J12" i="2"/>
  <c r="I12" i="2"/>
  <c r="H12" i="2"/>
  <c r="G12" i="2"/>
  <c r="F12" i="2"/>
  <c r="E12" i="2"/>
  <c r="D12" i="2"/>
  <c r="M12" i="2" s="1"/>
  <c r="C12" i="2"/>
  <c r="P11" i="2"/>
  <c r="L11" i="2"/>
  <c r="K11" i="2"/>
  <c r="J11" i="2"/>
  <c r="I11" i="2"/>
  <c r="H11" i="2"/>
  <c r="G11" i="2"/>
  <c r="F11" i="2"/>
  <c r="M11" i="2" s="1"/>
  <c r="E11" i="2"/>
  <c r="D11" i="2"/>
  <c r="C11" i="2"/>
  <c r="P10" i="2"/>
  <c r="L10" i="2"/>
  <c r="K10" i="2"/>
  <c r="J10" i="2"/>
  <c r="I10" i="2"/>
  <c r="H10" i="2"/>
  <c r="M10" i="2" s="1"/>
  <c r="G10" i="2"/>
  <c r="F10" i="2"/>
  <c r="E10" i="2"/>
  <c r="D10" i="2"/>
  <c r="C10" i="2"/>
  <c r="P9" i="2"/>
  <c r="L9" i="2"/>
  <c r="K9" i="2"/>
  <c r="J9" i="2"/>
  <c r="I9" i="2"/>
  <c r="H9" i="2"/>
  <c r="G9" i="2"/>
  <c r="F9" i="2"/>
  <c r="E9" i="2"/>
  <c r="D9" i="2"/>
  <c r="C9" i="2"/>
  <c r="M9" i="2" s="1"/>
  <c r="Q9" i="2" s="1"/>
  <c r="P8" i="2"/>
  <c r="L8" i="2"/>
  <c r="M8" i="2" s="1"/>
  <c r="K8" i="2"/>
  <c r="J8" i="2"/>
  <c r="I8" i="2"/>
  <c r="H8" i="2"/>
  <c r="G8" i="2"/>
  <c r="F8" i="2"/>
  <c r="E8" i="2"/>
  <c r="D8" i="2"/>
  <c r="C8" i="2"/>
  <c r="P7" i="2"/>
  <c r="Q7" i="2" s="1"/>
  <c r="L7" i="2"/>
  <c r="K7" i="2"/>
  <c r="J7" i="2"/>
  <c r="I7" i="2"/>
  <c r="H7" i="2"/>
  <c r="G7" i="2"/>
  <c r="F7" i="2"/>
  <c r="E7" i="2"/>
  <c r="D7" i="2"/>
  <c r="C7" i="2"/>
  <c r="M7" i="2" s="1"/>
  <c r="A7" i="2"/>
  <c r="A8" i="2" s="1"/>
  <c r="A9" i="2" s="1"/>
  <c r="A10" i="2" s="1"/>
  <c r="A11" i="2" s="1"/>
  <c r="A12" i="2" s="1"/>
  <c r="A13" i="2" s="1"/>
  <c r="A14" i="2" s="1"/>
  <c r="A15" i="2" s="1"/>
  <c r="A16" i="2" s="1"/>
  <c r="A17" i="2" s="1"/>
  <c r="A18" i="2" s="1"/>
  <c r="A19" i="2" s="1"/>
  <c r="A20" i="2" s="1"/>
  <c r="P6" i="2"/>
  <c r="Q6" i="2" s="1"/>
  <c r="L6" i="2"/>
  <c r="K6" i="2"/>
  <c r="J6" i="2"/>
  <c r="I6" i="2"/>
  <c r="H6" i="2"/>
  <c r="G6" i="2"/>
  <c r="F6" i="2"/>
  <c r="E6" i="2"/>
  <c r="D6" i="2"/>
  <c r="C6" i="2"/>
  <c r="M6" i="2" s="1"/>
  <c r="A6" i="2"/>
  <c r="P5" i="2"/>
  <c r="Q5" i="2" s="1"/>
  <c r="L5" i="2"/>
  <c r="K5" i="2"/>
  <c r="J5" i="2"/>
  <c r="I5" i="2"/>
  <c r="H5" i="2"/>
  <c r="G5" i="2"/>
  <c r="F5" i="2"/>
  <c r="M5" i="2" s="1"/>
  <c r="E5" i="2"/>
  <c r="D5" i="2"/>
  <c r="C5" i="2"/>
  <c r="A5" i="2"/>
  <c r="P4" i="2"/>
  <c r="L21" i="2"/>
  <c r="K21" i="2"/>
  <c r="J21" i="2"/>
  <c r="I21" i="2"/>
  <c r="H21" i="2"/>
  <c r="G21" i="2"/>
  <c r="F21" i="2"/>
  <c r="E21" i="2"/>
  <c r="D21" i="2"/>
  <c r="C21" i="2"/>
  <c r="C5" i="5" l="1"/>
  <c r="H13" i="6"/>
  <c r="C6" i="5"/>
  <c r="C4" i="5"/>
  <c r="H7" i="6"/>
  <c r="C20" i="6"/>
  <c r="C10" i="6"/>
  <c r="O1456" i="7"/>
  <c r="H15" i="6"/>
  <c r="H4" i="6"/>
  <c r="H18" i="6"/>
  <c r="H9" i="6"/>
  <c r="H17" i="6"/>
  <c r="H14" i="6"/>
  <c r="H16" i="6"/>
  <c r="H12" i="6"/>
  <c r="H11" i="6"/>
  <c r="H8" i="6"/>
  <c r="H19" i="6"/>
  <c r="H5" i="6"/>
  <c r="H6" i="6"/>
  <c r="M21" i="2"/>
  <c r="M24" i="2" s="1"/>
  <c r="D43" i="4"/>
  <c r="D38" i="4"/>
  <c r="D5" i="3"/>
  <c r="D6" i="3"/>
  <c r="D7" i="3"/>
  <c r="D8" i="3"/>
  <c r="D9" i="3"/>
  <c r="C16" i="3"/>
  <c r="D13" i="3"/>
  <c r="D10" i="3"/>
  <c r="D11" i="3"/>
  <c r="D12" i="3"/>
  <c r="D4" i="3"/>
  <c r="Q14" i="2"/>
  <c r="Q11" i="2"/>
  <c r="Q10" i="2"/>
  <c r="Q8" i="2"/>
  <c r="Q20" i="2"/>
  <c r="M4" i="2"/>
  <c r="Q4" i="2" s="1"/>
  <c r="D41" i="4" l="1"/>
  <c r="F38" i="4"/>
  <c r="A1451" i="1" l="1"/>
  <c r="A1452" i="1" s="1"/>
  <c r="A1445" i="1"/>
  <c r="A1446" i="1" s="1"/>
  <c r="A1447" i="1" s="1"/>
  <c r="A1420" i="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01" i="1"/>
  <c r="A1402" i="1" s="1"/>
  <c r="A1403" i="1" s="1"/>
  <c r="A1404" i="1" s="1"/>
  <c r="A1405" i="1" s="1"/>
  <c r="A1406" i="1" s="1"/>
  <c r="A1407" i="1" s="1"/>
  <c r="A1408" i="1" s="1"/>
  <c r="A1409" i="1" s="1"/>
  <c r="A1410" i="1" s="1"/>
  <c r="A1411" i="1" s="1"/>
  <c r="A1412" i="1" s="1"/>
  <c r="A1413" i="1" s="1"/>
  <c r="A1414" i="1" s="1"/>
  <c r="A1415" i="1" s="1"/>
  <c r="A1416" i="1" s="1"/>
  <c r="A1417" i="1" s="1"/>
  <c r="A1418" i="1" s="1"/>
  <c r="A1355" i="1" l="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341" i="1"/>
  <c r="A1342" i="1" s="1"/>
  <c r="A1343" i="1" s="1"/>
  <c r="A1344" i="1" s="1"/>
  <c r="A1345" i="1" s="1"/>
  <c r="A1346" i="1" s="1"/>
  <c r="A1347" i="1" s="1"/>
  <c r="A1348" i="1" s="1"/>
  <c r="A1349" i="1" s="1"/>
  <c r="A1350" i="1" s="1"/>
  <c r="A1351" i="1" s="1"/>
  <c r="A1352" i="1" s="1"/>
  <c r="A1353" i="1" s="1"/>
  <c r="A1302" i="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O1240" i="1" l="1"/>
  <c r="O1237" i="1"/>
  <c r="A1230" i="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29" i="1"/>
  <c r="A1228" i="1"/>
  <c r="A1226" i="1"/>
  <c r="A1227" i="1" s="1"/>
  <c r="A1225" i="1"/>
  <c r="A1224" i="1"/>
  <c r="A1218" i="1"/>
  <c r="A1219" i="1" s="1"/>
  <c r="A1220" i="1" s="1"/>
  <c r="A1221" i="1" s="1"/>
  <c r="A1222" i="1" s="1"/>
  <c r="A1223" i="1" s="1"/>
  <c r="A1204" i="1"/>
  <c r="A1205" i="1" s="1"/>
  <c r="A1206" i="1" s="1"/>
  <c r="A1207" i="1" s="1"/>
  <c r="A1208" i="1" s="1"/>
  <c r="A1209" i="1" s="1"/>
  <c r="A1210" i="1" s="1"/>
  <c r="A1211" i="1" s="1"/>
  <c r="A1212" i="1" s="1"/>
  <c r="A1213" i="1" s="1"/>
  <c r="A1214" i="1" s="1"/>
  <c r="A1215" i="1" s="1"/>
  <c r="A1216" i="1" s="1"/>
  <c r="A1217" i="1" s="1"/>
  <c r="A1203" i="1"/>
  <c r="A1199" i="1"/>
  <c r="A1200" i="1" s="1"/>
  <c r="A1201" i="1" s="1"/>
  <c r="A1202" i="1" s="1"/>
  <c r="A1198" i="1"/>
  <c r="A1197" i="1"/>
  <c r="A1194" i="1"/>
  <c r="A1195" i="1" s="1"/>
  <c r="A1196" i="1" s="1"/>
  <c r="A1191" i="1"/>
  <c r="A1192" i="1" s="1"/>
  <c r="A1193" i="1" s="1"/>
  <c r="A1190" i="1"/>
  <c r="A1188" i="1"/>
  <c r="A1189" i="1" s="1"/>
  <c r="A1178" i="1"/>
  <c r="A1179" i="1" s="1"/>
  <c r="A1180" i="1" s="1"/>
  <c r="A1181" i="1" s="1"/>
  <c r="A1182" i="1" s="1"/>
  <c r="A1183" i="1" s="1"/>
  <c r="A1184" i="1" s="1"/>
  <c r="A1185" i="1" s="1"/>
  <c r="A1186" i="1" s="1"/>
  <c r="A1187" i="1" s="1"/>
  <c r="A1177" i="1"/>
  <c r="A1169" i="1"/>
  <c r="A1170" i="1" s="1"/>
  <c r="A1171" i="1" s="1"/>
  <c r="A1172" i="1" s="1"/>
  <c r="A1173" i="1" s="1"/>
  <c r="A1174" i="1" s="1"/>
  <c r="A1175" i="1" s="1"/>
  <c r="A1176" i="1" s="1"/>
  <c r="A1145" i="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27" i="1"/>
  <c r="A1128" i="1" s="1"/>
  <c r="A1129" i="1" s="1"/>
  <c r="A1130" i="1" s="1"/>
  <c r="A1131" i="1" s="1"/>
  <c r="A1132" i="1" s="1"/>
  <c r="A1133" i="1" s="1"/>
  <c r="A1134" i="1" s="1"/>
  <c r="A1135" i="1" s="1"/>
  <c r="A1136" i="1" s="1"/>
  <c r="A1137" i="1" s="1"/>
  <c r="A1138" i="1" s="1"/>
  <c r="A1139" i="1" s="1"/>
  <c r="A1140" i="1" s="1"/>
  <c r="A1141" i="1" s="1"/>
  <c r="A1142" i="1" s="1"/>
  <c r="A1143" i="1" s="1"/>
  <c r="A1144" i="1" s="1"/>
  <c r="A1120" i="1"/>
  <c r="A1121" i="1" s="1"/>
  <c r="A1122" i="1" s="1"/>
  <c r="A1123" i="1" s="1"/>
  <c r="A1124" i="1" s="1"/>
  <c r="A1125" i="1" s="1"/>
  <c r="A1126" i="1" s="1"/>
  <c r="A1118" i="1"/>
  <c r="A1119" i="1" s="1"/>
  <c r="A1115" i="1"/>
  <c r="A1116" i="1" s="1"/>
  <c r="A1117" i="1" s="1"/>
  <c r="A1114" i="1"/>
  <c r="A1113" i="1"/>
  <c r="A1110" i="1"/>
  <c r="A1111" i="1" s="1"/>
  <c r="A1112" i="1" s="1"/>
  <c r="A1109" i="1"/>
  <c r="A1101" i="1"/>
  <c r="A1102" i="1" s="1"/>
  <c r="A1103" i="1" s="1"/>
  <c r="A1104" i="1" s="1"/>
  <c r="A1105" i="1" s="1"/>
  <c r="A1106" i="1" s="1"/>
  <c r="A1107" i="1" s="1"/>
  <c r="A1108" i="1" s="1"/>
  <c r="A1091" i="1"/>
  <c r="A1092" i="1" s="1"/>
  <c r="A1093" i="1" s="1"/>
  <c r="A1094" i="1" s="1"/>
  <c r="A1095" i="1" s="1"/>
  <c r="A1096" i="1" s="1"/>
  <c r="A1097" i="1" s="1"/>
  <c r="A1098" i="1" s="1"/>
  <c r="A1099" i="1" s="1"/>
  <c r="A1100" i="1" s="1"/>
  <c r="A1086" i="1"/>
  <c r="A1087" i="1" s="1"/>
  <c r="A1088" i="1" s="1"/>
  <c r="A1089" i="1" s="1"/>
  <c r="A1090" i="1" s="1"/>
  <c r="A1085" i="1"/>
  <c r="A1073" i="1"/>
  <c r="A1074" i="1" s="1"/>
  <c r="A1075" i="1" s="1"/>
  <c r="A1076" i="1" s="1"/>
  <c r="A1077" i="1" s="1"/>
  <c r="A1078" i="1" s="1"/>
  <c r="A1079" i="1" s="1"/>
  <c r="A1080" i="1" s="1"/>
  <c r="A1081" i="1" s="1"/>
  <c r="A1082" i="1" s="1"/>
  <c r="A1083" i="1" s="1"/>
  <c r="A1084" i="1" s="1"/>
  <c r="A1067" i="1"/>
  <c r="A1068" i="1" s="1"/>
  <c r="A1069" i="1" s="1"/>
  <c r="A1070" i="1" s="1"/>
  <c r="A1071" i="1" s="1"/>
  <c r="A1072" i="1" s="1"/>
  <c r="A1066" i="1"/>
  <c r="A1043" i="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42" i="1"/>
  <c r="A1040" i="1"/>
  <c r="A1041" i="1" s="1"/>
  <c r="A1018" i="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17" i="1"/>
  <c r="A979" i="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962" i="1"/>
  <c r="A963" i="1" s="1"/>
  <c r="A964" i="1" s="1"/>
  <c r="A965" i="1" s="1"/>
  <c r="A966" i="1" s="1"/>
  <c r="A967" i="1" s="1"/>
  <c r="A968" i="1" s="1"/>
  <c r="A969" i="1" s="1"/>
  <c r="A970" i="1" s="1"/>
  <c r="A971" i="1" s="1"/>
  <c r="A972" i="1" s="1"/>
  <c r="A973" i="1" s="1"/>
  <c r="A974" i="1" s="1"/>
  <c r="A975" i="1" s="1"/>
  <c r="A976" i="1" s="1"/>
  <c r="A977" i="1" s="1"/>
  <c r="A978" i="1" s="1"/>
  <c r="A961" i="1"/>
  <c r="A960" i="1"/>
  <c r="A957" i="1"/>
  <c r="A958" i="1" s="1"/>
  <c r="A959" i="1" s="1"/>
  <c r="A955" i="1"/>
  <c r="A956" i="1" s="1"/>
  <c r="A954" i="1"/>
  <c r="A953" i="1"/>
  <c r="A952" i="1"/>
  <c r="A951" i="1"/>
  <c r="A938" i="1"/>
  <c r="A939" i="1" s="1"/>
  <c r="A940" i="1" s="1"/>
  <c r="A941" i="1" s="1"/>
  <c r="A942" i="1" s="1"/>
  <c r="A943" i="1" s="1"/>
  <c r="A944" i="1" s="1"/>
  <c r="A945" i="1" s="1"/>
  <c r="A946" i="1" s="1"/>
  <c r="A947" i="1" s="1"/>
  <c r="A948" i="1" s="1"/>
  <c r="A949" i="1" s="1"/>
  <c r="A950" i="1" s="1"/>
  <c r="A929" i="1"/>
  <c r="A930" i="1" s="1"/>
  <c r="A931" i="1" s="1"/>
  <c r="A932" i="1" s="1"/>
  <c r="A933" i="1" s="1"/>
  <c r="A934" i="1" s="1"/>
  <c r="A935" i="1" s="1"/>
  <c r="A936" i="1" s="1"/>
  <c r="A937" i="1" s="1"/>
  <c r="A927" i="1"/>
  <c r="A928" i="1" s="1"/>
  <c r="A924" i="1"/>
  <c r="A925" i="1" s="1"/>
  <c r="A926" i="1" s="1"/>
  <c r="A898" i="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897" i="1"/>
  <c r="A875" i="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69" i="1"/>
  <c r="A870" i="1" s="1"/>
  <c r="A871" i="1" s="1"/>
  <c r="A872" i="1" s="1"/>
  <c r="A873" i="1" s="1"/>
  <c r="A874" i="1" s="1"/>
  <c r="A846" i="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O840" i="1"/>
  <c r="N840" i="1"/>
  <c r="O838" i="1"/>
  <c r="N838" i="1"/>
  <c r="O837" i="1"/>
  <c r="O836" i="1"/>
  <c r="N836" i="1"/>
  <c r="O835" i="1"/>
  <c r="N835" i="1"/>
  <c r="O834" i="1"/>
  <c r="N834" i="1"/>
  <c r="O833" i="1"/>
  <c r="A830" i="1"/>
  <c r="A831" i="1" s="1"/>
  <c r="A832" i="1" s="1"/>
  <c r="A833" i="1" s="1"/>
  <c r="A834" i="1" s="1"/>
  <c r="A835" i="1" s="1"/>
  <c r="A836" i="1" s="1"/>
  <c r="A837" i="1" s="1"/>
  <c r="A838" i="1" s="1"/>
  <c r="A839" i="1" s="1"/>
  <c r="A840" i="1" s="1"/>
  <c r="A841" i="1" s="1"/>
  <c r="A842" i="1" s="1"/>
  <c r="A843" i="1" s="1"/>
  <c r="A844" i="1" s="1"/>
  <c r="A845" i="1" s="1"/>
  <c r="O817" i="1"/>
  <c r="O813" i="1"/>
  <c r="O805" i="1"/>
  <c r="O801" i="1"/>
  <c r="A787" i="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784" i="1"/>
  <c r="A785" i="1" s="1"/>
  <c r="A786" i="1" s="1"/>
  <c r="O781" i="1"/>
  <c r="O780" i="1"/>
  <c r="O779" i="1"/>
  <c r="O777" i="1"/>
  <c r="O776" i="1"/>
  <c r="O775" i="1"/>
  <c r="O774" i="1"/>
  <c r="O773" i="1"/>
  <c r="P750" i="1"/>
  <c r="O750" i="1"/>
  <c r="N750" i="1"/>
  <c r="P749" i="1"/>
  <c r="N749" i="1"/>
  <c r="A749" i="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P748" i="1"/>
  <c r="O748" i="1" s="1"/>
  <c r="N748" i="1"/>
  <c r="A748" i="1"/>
  <c r="N747" i="1"/>
  <c r="P747" i="1" s="1"/>
  <c r="O747" i="1" s="1"/>
  <c r="P746" i="1"/>
  <c r="N745" i="1"/>
  <c r="P745" i="1" s="1"/>
  <c r="O745" i="1" s="1"/>
  <c r="P744" i="1"/>
  <c r="O744" i="1"/>
  <c r="N744" i="1"/>
  <c r="P743" i="1"/>
  <c r="O743" i="1" s="1"/>
  <c r="N743" i="1"/>
  <c r="A628" i="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607" i="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06" i="1"/>
  <c r="A601" i="1"/>
  <c r="A602" i="1" s="1"/>
  <c r="A603" i="1" s="1"/>
  <c r="A604" i="1" s="1"/>
  <c r="A605" i="1" s="1"/>
  <c r="P588" i="1"/>
  <c r="A576" i="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575" i="1"/>
  <c r="A564" i="1"/>
  <c r="A565" i="1" s="1"/>
  <c r="A566" i="1" s="1"/>
  <c r="A567" i="1" s="1"/>
  <c r="A568" i="1" s="1"/>
  <c r="A569" i="1" s="1"/>
  <c r="A570" i="1" s="1"/>
  <c r="A571" i="1" s="1"/>
  <c r="A572" i="1" s="1"/>
  <c r="A573" i="1" s="1"/>
  <c r="A574" i="1" s="1"/>
  <c r="A563" i="1"/>
  <c r="A560" i="1"/>
  <c r="A561" i="1" s="1"/>
  <c r="A562" i="1" s="1"/>
  <c r="A559" i="1"/>
  <c r="A557" i="1"/>
  <c r="A558" i="1" s="1"/>
  <c r="N550" i="1"/>
  <c r="A518" i="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17" i="1"/>
  <c r="A502" i="1"/>
  <c r="A503" i="1" s="1"/>
  <c r="A504" i="1" s="1"/>
  <c r="A505" i="1" s="1"/>
  <c r="A506" i="1" s="1"/>
  <c r="A507" i="1" s="1"/>
  <c r="A508" i="1" s="1"/>
  <c r="A509" i="1" s="1"/>
  <c r="A510" i="1" s="1"/>
  <c r="A511" i="1" s="1"/>
  <c r="A512" i="1" s="1"/>
  <c r="A513" i="1" s="1"/>
  <c r="A514" i="1" s="1"/>
  <c r="A515" i="1" s="1"/>
  <c r="A516" i="1" s="1"/>
  <c r="O396" i="1" l="1"/>
  <c r="O395" i="1"/>
  <c r="H20" i="6" l="1"/>
  <c r="A269" i="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235" i="1" l="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N161" i="1"/>
  <c r="A158" i="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144" i="1" l="1"/>
  <c r="A145" i="1" s="1"/>
  <c r="A146" i="1" s="1"/>
  <c r="A147" i="1" s="1"/>
  <c r="A148" i="1" s="1"/>
  <c r="A149" i="1" s="1"/>
  <c r="A150" i="1" s="1"/>
  <c r="A151" i="1" s="1"/>
  <c r="O123" i="1" l="1"/>
  <c r="O114" i="1"/>
  <c r="O108" i="1"/>
  <c r="O103" i="1"/>
  <c r="O82" i="1"/>
  <c r="A76" i="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O47" i="1" l="1"/>
  <c r="O28" i="1"/>
  <c r="O27" i="1"/>
  <c r="O20" i="1"/>
  <c r="H10" i="6" l="1"/>
  <c r="C21" i="6"/>
  <c r="C24" i="6" s="1"/>
  <c r="O1454" i="1"/>
  <c r="A12" i="1"/>
  <c r="A13" i="1" s="1"/>
  <c r="A14" i="1" s="1"/>
  <c r="A15" i="1" s="1"/>
  <c r="H8" i="1"/>
  <c r="A6" i="1"/>
  <c r="A7" i="1" s="1"/>
  <c r="A8" i="1" s="1"/>
  <c r="A9" i="1" s="1"/>
  <c r="A10" i="1" s="1"/>
  <c r="A11" i="1" s="1"/>
  <c r="C8" i="5" l="1"/>
  <c r="D4" i="5" s="1"/>
  <c r="D5" i="5" l="1"/>
  <c r="D7" i="5"/>
  <c r="D6" i="5"/>
  <c r="D8" i="5" l="1"/>
  <c r="H5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P59" authorId="0" shapeId="0" xr:uid="{BA14CB29-BA95-4054-9BB4-FD3D000BDAF1}">
      <text>
        <r>
          <rPr>
            <b/>
            <sz val="9"/>
            <color indexed="81"/>
            <rFont val="Tahoma"/>
            <family val="2"/>
          </rPr>
          <t xml:space="preserve">rekap 1 april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P59" authorId="0" shapeId="0" xr:uid="{3D66A4E7-0C52-4F24-BED1-8132C27F1BB8}">
      <text>
        <r>
          <rPr>
            <b/>
            <sz val="9"/>
            <color indexed="81"/>
            <rFont val="Tahoma"/>
            <family val="2"/>
          </rPr>
          <t xml:space="preserve">rekap 1 april
</t>
        </r>
      </text>
    </comment>
  </commentList>
</comments>
</file>

<file path=xl/sharedStrings.xml><?xml version="1.0" encoding="utf-8"?>
<sst xmlns="http://schemas.openxmlformats.org/spreadsheetml/2006/main" count="33160" uniqueCount="3609">
  <si>
    <t>NO</t>
  </si>
  <si>
    <t>PRIORITAS DAERAH</t>
  </si>
  <si>
    <t>SASARAN DAERAH</t>
  </si>
  <si>
    <t>PROGRAM</t>
  </si>
  <si>
    <t>KEGIATAN PRIORITAS</t>
  </si>
  <si>
    <t>SASARAN KEGIATAN</t>
  </si>
  <si>
    <t>LOKASI (DESA/KEL)</t>
  </si>
  <si>
    <t>VOLUME</t>
  </si>
  <si>
    <t>PAGU USULAN AWAL</t>
  </si>
  <si>
    <t>PERANGKAT DAERAH PENANGGUNG JAWAB</t>
  </si>
  <si>
    <t>ID USULAN</t>
  </si>
  <si>
    <t>KECAMATAN</t>
  </si>
  <si>
    <t>HASIL PERBAIKAN KECAMATAN</t>
  </si>
  <si>
    <t>KETERANGAN</t>
  </si>
  <si>
    <t>DESA</t>
  </si>
  <si>
    <t>DUSUN</t>
  </si>
  <si>
    <t>VOL</t>
  </si>
  <si>
    <t>PAGU</t>
  </si>
  <si>
    <t>Infrastruktur Berkelanjutan</t>
  </si>
  <si>
    <t>Meningkatnya Ketahanan Daerah terhadap Bencana</t>
  </si>
  <si>
    <t>PROGRAM PENANGGULANGAN BENCANA</t>
  </si>
  <si>
    <t>Pembangunan Sumur Bor</t>
  </si>
  <si>
    <t>Masyarakat Dusun Karang Duntal</t>
  </si>
  <si>
    <t>GERIMAX INDAH</t>
  </si>
  <si>
    <t>KARANG DUNTAL</t>
  </si>
  <si>
    <t>1 unit</t>
  </si>
  <si>
    <t>Badan Penanggulangan Bencana Daerah</t>
  </si>
  <si>
    <t>Narmada</t>
  </si>
  <si>
    <t>1 paket</t>
  </si>
  <si>
    <t>Dilengkapi dengan 
usulan Proposal</t>
  </si>
  <si>
    <t>Masyarakat Dusun Karang Anyar</t>
  </si>
  <si>
    <t>KARANG ANYAR (GERIMAX INDAH)</t>
  </si>
  <si>
    <t>PENANGGULANGAN BENCANA</t>
  </si>
  <si>
    <t>Pelatihan Relawan
 Kebencanaan</t>
  </si>
  <si>
    <t>Gerimax Indah</t>
  </si>
  <si>
    <t>1 Paket</t>
  </si>
  <si>
    <t>Pindahan dari Pol PP</t>
  </si>
  <si>
    <t>Meningkatnya pembangunan Infrastruktur Dasar dan Konektivitas Antar Wilayah</t>
  </si>
  <si>
    <t>PENGADAAN SUMUR BOR dan Intalasinya</t>
  </si>
  <si>
    <t>Masyarakat Dusun Lekong Siwak</t>
  </si>
  <si>
    <t>TANAK BEAK</t>
  </si>
  <si>
    <t>LEKONG SIWAK</t>
  </si>
  <si>
    <t>sumur bor</t>
  </si>
  <si>
    <t>Pemasangan Jalur Evakuasi dan papan 
Informasi Bencana</t>
  </si>
  <si>
    <t xml:space="preserve">BAGIK POLAK BARAT </t>
  </si>
  <si>
    <t>LENDANG</t>
  </si>
  <si>
    <t>Labuapi</t>
  </si>
  <si>
    <t>Pelatihan Relawan Kebencanaan</t>
  </si>
  <si>
    <t>-</t>
  </si>
  <si>
    <t>Karang Bongkot</t>
  </si>
  <si>
    <t>Pengadaan sumur bor dan jaringan instalasinya untuk daerah rawan kekeringan</t>
  </si>
  <si>
    <t>Masyarakat Dusun Lendang Bontong</t>
  </si>
  <si>
    <t>SEKOTONG TENGAH</t>
  </si>
  <si>
    <t>LENDANG BONTONG</t>
  </si>
  <si>
    <t>2 Unit</t>
  </si>
  <si>
    <t>Sekotong</t>
  </si>
  <si>
    <t>1 pkt</t>
  </si>
  <si>
    <t>dilengkapi dengan 
proposal</t>
  </si>
  <si>
    <t>Masyarakat Dusun Montong Bao</t>
  </si>
  <si>
    <t>KEDARO</t>
  </si>
  <si>
    <t>MONTONG BAO</t>
  </si>
  <si>
    <t>2 Paket</t>
  </si>
  <si>
    <t>_</t>
  </si>
  <si>
    <t>Pindahan dari DPUPRPKM</t>
  </si>
  <si>
    <t>Masyarakat Dusun medames</t>
  </si>
  <si>
    <t>MEDAMES</t>
  </si>
  <si>
    <t>Masyarakat Dusun Mendawe Utara</t>
  </si>
  <si>
    <t>MENDAWE UTARA</t>
  </si>
  <si>
    <t>Selat</t>
  </si>
  <si>
    <t>Montong Daye</t>
  </si>
  <si>
    <t>Ada di BA Musrenbang Kab, pindahan PUPR</t>
  </si>
  <si>
    <t>Transformasi dan Kemandirian Ekonomi</t>
  </si>
  <si>
    <t>Terjaganya stabilitas inflasi</t>
  </si>
  <si>
    <t>PROGRAM PENINGKATAN SARANA DISTRIBUSI PERDAGANGAN</t>
  </si>
  <si>
    <t>Pengadaan Rombong Roda beratap 50 Paket dan penataan UMKM</t>
  </si>
  <si>
    <t>Kelompok UMKM pada Dusun Senggigi</t>
  </si>
  <si>
    <t>SENGGIGI</t>
  </si>
  <si>
    <t>50 Paket</t>
  </si>
  <si>
    <t>Dinas Perdagangan</t>
  </si>
  <si>
    <t>Batulayar</t>
  </si>
  <si>
    <t>Bantuan Sarpras UMKM ( Rombong, Tenda Stand, Meja, Kursi )</t>
  </si>
  <si>
    <t>Kelompok UMKM yang ada pada Desa senteluk Daye</t>
  </si>
  <si>
    <t>SENTELUK</t>
  </si>
  <si>
    <t>PENYANGGET</t>
  </si>
  <si>
    <t>10 paket</t>
  </si>
  <si>
    <t>Bantuan Sarana dan Prasarana Perdagangan</t>
  </si>
  <si>
    <t>Kelompok UMKM desa sandik</t>
  </si>
  <si>
    <t>Sandik</t>
  </si>
  <si>
    <t>???</t>
  </si>
  <si>
    <t>4 paket</t>
  </si>
  <si>
    <t>Pindahan Diskop</t>
  </si>
  <si>
    <t>UKM</t>
  </si>
  <si>
    <t>Masyarakat Dusun Penimbung Barat</t>
  </si>
  <si>
    <t>PENIMBUNG</t>
  </si>
  <si>
    <t>PENIMBUNG BARAT</t>
  </si>
  <si>
    <t>3 UNIT</t>
  </si>
  <si>
    <t xml:space="preserve"> </t>
  </si>
  <si>
    <t>Gunung Sari</t>
  </si>
  <si>
    <t>pindahan dari provinsi</t>
  </si>
  <si>
    <t>Grobak UMKM</t>
  </si>
  <si>
    <t>Masyarakat Dusun Bukit Tinggi</t>
  </si>
  <si>
    <t xml:space="preserve">BUKIT TINGGI </t>
  </si>
  <si>
    <t>BUKIT TINGGI</t>
  </si>
  <si>
    <t>5 kelompok</t>
  </si>
  <si>
    <t>pindahan dari Disperinkop</t>
  </si>
  <si>
    <t>Bantuan Gerobak,Etalase dan Tenda untuk pedagang sate bulayak dusun karang mas</t>
  </si>
  <si>
    <t>Kelompok Dagang Sate Karang Mas</t>
  </si>
  <si>
    <t>Batu Kumbung</t>
  </si>
  <si>
    <t>Karang Mas</t>
  </si>
  <si>
    <t>Lingsar</t>
  </si>
  <si>
    <t>GEROBAK (7 unit Rp 44.415.000), Tenda (7 unit Rp41.300.000), Etalase (7 uni Rp 14.000.000)</t>
  </si>
  <si>
    <t>Masyarakat Desa</t>
  </si>
  <si>
    <t>LINGSAR</t>
  </si>
  <si>
    <t>LINGSAR TAMAN</t>
  </si>
  <si>
    <t>50 Bh</t>
  </si>
  <si>
    <t>Kelompok Pedagang</t>
  </si>
  <si>
    <t xml:space="preserve">BUG-BUG </t>
  </si>
  <si>
    <t>BUG-BUG UTARA TIMUR</t>
  </si>
  <si>
    <t>3 KELOMPOK</t>
  </si>
  <si>
    <t>gerobak (2 unit Rp 12.690.000), Etalase P. 150X40X110 (1 unit Rp 2.000.000)</t>
  </si>
  <si>
    <t>BUG-BUG SELATAN</t>
  </si>
  <si>
    <t>BANTUAN SARANA DAN PRASARANA PERDAGANGAN GEROBAK</t>
  </si>
  <si>
    <t>2 unit</t>
  </si>
  <si>
    <t>OPERAN PERINKOP</t>
  </si>
  <si>
    <t>Masyarakat Dusun Kembang Kuning</t>
  </si>
  <si>
    <t>KEMBANG KUNING</t>
  </si>
  <si>
    <t>15 unit</t>
  </si>
  <si>
    <t>Masyarakat Dusun Dasan Montor</t>
  </si>
  <si>
    <t>DASAN MONTOR</t>
  </si>
  <si>
    <t>4 unit</t>
  </si>
  <si>
    <t>SELAT</t>
  </si>
  <si>
    <t>SELAT BARAT</t>
  </si>
  <si>
    <t>SELAT TIMUR</t>
  </si>
  <si>
    <t>10 Unit Gerobak</t>
  </si>
  <si>
    <t>Warga Dusun Bangket Punik, Desa Golong</t>
  </si>
  <si>
    <t xml:space="preserve">GOLONG </t>
  </si>
  <si>
    <t>BANGKET PUNIK</t>
  </si>
  <si>
    <t>UMKM Dusun Golong, Desa Golong</t>
  </si>
  <si>
    <t>Golong</t>
  </si>
  <si>
    <t>Banyak Umkm di desa Lelede  yang memerlukan sarana dan prasarana berupa RAK untuk menunjang Kreativitas usahanya (Jadi Etalase)</t>
  </si>
  <si>
    <t>Masyarakat Dusun setempat</t>
  </si>
  <si>
    <t>LELEDE</t>
  </si>
  <si>
    <t>DASAN BAWAK</t>
  </si>
  <si>
    <t>6 UNIT</t>
  </si>
  <si>
    <t>Kediri</t>
  </si>
  <si>
    <t>12 UNIT</t>
  </si>
  <si>
    <t>OPERAN DISKOP
(ETALASE)</t>
  </si>
  <si>
    <t>Sarana Perdagangan BUMDES desa Gelogor (boxshop)</t>
  </si>
  <si>
    <t>masyarakat  setempat</t>
  </si>
  <si>
    <t>GELOGOR</t>
  </si>
  <si>
    <t>GELOGOR SELATAN</t>
  </si>
  <si>
    <t>10 unit</t>
  </si>
  <si>
    <t>OPERAN BPMD</t>
  </si>
  <si>
    <t>Kurangnya Alat-Alat dagang bagi pengusaha kecil menegah seperti(Gerobak dan lain lain)</t>
  </si>
  <si>
    <t>BANYUMULEK</t>
  </si>
  <si>
    <t>DASAN TAWAR</t>
  </si>
  <si>
    <t>banyak Umkm di desa Ombe baru yang memerluka sarana dan prasarana untuk menunjang usahanya (Grobak)</t>
  </si>
  <si>
    <t>OMBE BARU</t>
  </si>
  <si>
    <t>OMBE BEBAE DAN OMBE DESE</t>
  </si>
  <si>
    <t>2x0,80</t>
  </si>
  <si>
    <t>Bantuan Sarana dan Prasarana
Perdagangan</t>
  </si>
  <si>
    <t>JOGOT SELATAN</t>
  </si>
  <si>
    <t>Bajur</t>
  </si>
  <si>
    <t>BAJUR AMPEL</t>
  </si>
  <si>
    <t>5 Unit</t>
  </si>
  <si>
    <t>PAGU BERUBAH
(GEROBAK)</t>
  </si>
  <si>
    <t>Kelompok . .</t>
  </si>
  <si>
    <t>Perampuan</t>
  </si>
  <si>
    <t>PERAMPUAN BARAT</t>
  </si>
  <si>
    <t>5 unit</t>
  </si>
  <si>
    <t>Permohonan Bantuan Sarana Usaha (Gerobak) UMKM</t>
  </si>
  <si>
    <t>JAGARAGA</t>
  </si>
  <si>
    <t>DASAN GERES</t>
  </si>
  <si>
    <t>Kuripan</t>
  </si>
  <si>
    <t>GEROBAK</t>
  </si>
  <si>
    <t>Gerobak UMKM</t>
  </si>
  <si>
    <t>Kelompok UMKM</t>
  </si>
  <si>
    <t xml:space="preserve">JEMBATAN GANTUNG </t>
  </si>
  <si>
    <t>TELUK SEPANG</t>
  </si>
  <si>
    <t>4 UNIT</t>
  </si>
  <si>
    <t>Lembar</t>
  </si>
  <si>
    <t>KELOMPOK</t>
  </si>
  <si>
    <t>JEMBATAN KEMBAR TIMUR</t>
  </si>
  <si>
    <t>ABROR</t>
  </si>
  <si>
    <t>5 UNIT</t>
  </si>
  <si>
    <t>JEMBATAN KEMBAR</t>
  </si>
  <si>
    <t>Kelompok</t>
  </si>
  <si>
    <t>LEMBAR SELATAN</t>
  </si>
  <si>
    <t>BATU SAMBAN</t>
  </si>
  <si>
    <t>PAGU BERUBAH</t>
  </si>
  <si>
    <t>Bantuan Sarana dan Prasarana Perdagangan (KONTAINER/BOXSHOP)</t>
  </si>
  <si>
    <t>SEGENTER</t>
  </si>
  <si>
    <t>15 UNIT</t>
  </si>
  <si>
    <t>operan perinkop</t>
  </si>
  <si>
    <t>kerandangan</t>
  </si>
  <si>
    <t>tambahan baru</t>
  </si>
  <si>
    <t>Bantuan Sarana Prasarana UMKM</t>
  </si>
  <si>
    <t>Dinas Perindustrian, Koperasi, Usaha Kecil dan Menengah, dan Tenaga Kerja</t>
  </si>
  <si>
    <t>di alihkan ke dinas perdagangan</t>
  </si>
  <si>
    <t>Bantuan sarana prasarana Usaha Mikro Kecil dan Menengah (UMKM)</t>
  </si>
  <si>
    <t>Perampuan Timur</t>
  </si>
  <si>
    <t>4 Paket</t>
  </si>
  <si>
    <t>Pindah ke Disdag (Rombong)</t>
  </si>
  <si>
    <t>Bantuan UMKM</t>
  </si>
  <si>
    <t>Kelompok UMKM yang ada pada Dusun Pusuk</t>
  </si>
  <si>
    <t xml:space="preserve">PUSUK LESTARI </t>
  </si>
  <si>
    <t>PUSUK</t>
  </si>
  <si>
    <t>Pindahan Diskopnaker</t>
  </si>
  <si>
    <t>Penimbung</t>
  </si>
  <si>
    <t>Terong Tawah</t>
  </si>
  <si>
    <t>Terong Tawah Timur</t>
  </si>
  <si>
    <t>USULAN BARU
(GEROBAK)</t>
  </si>
  <si>
    <t>Terong Tawah Barat</t>
  </si>
  <si>
    <t>Terong Tawah Presak</t>
  </si>
  <si>
    <t>Jerneng Mekar</t>
  </si>
  <si>
    <t>Jerneng Darmaji</t>
  </si>
  <si>
    <t>Jerneng Kalijaga</t>
  </si>
  <si>
    <t>Jerneng Induk</t>
  </si>
  <si>
    <t>Masyarakat Dusun Madek Belek II</t>
  </si>
  <si>
    <t>Cendi Manik</t>
  </si>
  <si>
    <t>Empol Timur</t>
  </si>
  <si>
    <t>Dinas Pekerjaan Umum, Penataan Ruang, Perumahan dan Kawasan Permukiman</t>
  </si>
  <si>
    <t>Usulan Baru  dialihkan ke dinas perdagangan  (Kontainer jualan)</t>
  </si>
  <si>
    <t>Pengadaan Gerobak bagi UKM Pantai Indok</t>
  </si>
  <si>
    <t>Taman Ayu</t>
  </si>
  <si>
    <t>Karang Genteng</t>
  </si>
  <si>
    <t>Gerung</t>
  </si>
  <si>
    <t>Usulan Baru dialihkan ke dinas perdagangan</t>
  </si>
  <si>
    <t>Pengadaan Terop UMKM</t>
  </si>
  <si>
    <t>Klp UMKM</t>
  </si>
  <si>
    <t>Eyat Mayang</t>
  </si>
  <si>
    <t>Eyat Mayang Selatan</t>
  </si>
  <si>
    <t>Pengadaan Gerobak</t>
  </si>
  <si>
    <t>Granada</t>
  </si>
  <si>
    <t>Jembatan Kembar</t>
  </si>
  <si>
    <t>Jembatan Kembar Timur</t>
  </si>
  <si>
    <t>Masyarakat Dusun Montong Pace</t>
  </si>
  <si>
    <t>Montong Pace</t>
  </si>
  <si>
    <t>Jatisela</t>
  </si>
  <si>
    <t>Bantuan Sarana dan Prasarana Perdagangan (gerobak dagang)</t>
  </si>
  <si>
    <t>Babussalam</t>
  </si>
  <si>
    <t>BEREMI BARAT</t>
  </si>
  <si>
    <t>Gerobak dagang</t>
  </si>
  <si>
    <t>BEREMI TIMUR</t>
  </si>
  <si>
    <t>LEMOKEK DAYE</t>
  </si>
  <si>
    <t>LEMOKEK LAUK</t>
  </si>
  <si>
    <t>BANGKET BAWAK</t>
  </si>
  <si>
    <t>BILEKEDIT UTARA</t>
  </si>
  <si>
    <t>BILAKEDIT SELATAN</t>
  </si>
  <si>
    <t>KARANG LANGKO</t>
  </si>
  <si>
    <t>PETURUNAN PUNTIK</t>
  </si>
  <si>
    <t>Pengadaan gerobak ibu2</t>
  </si>
  <si>
    <t>BABUSSALAM</t>
  </si>
  <si>
    <t>BILAKEDIT BARAT</t>
  </si>
  <si>
    <t>Salah OPD, tetapi belum masuk pada usulan di dinas perdagangan suruh desa konfirmasi ke Dinas Perdagangan</t>
  </si>
  <si>
    <t>Meningkatnya Kualitas Lingkungan Hidup</t>
  </si>
  <si>
    <t>Program Penyelenggaraan Lalu Lintas dan Angkutan Jalan (LLAJ)</t>
  </si>
  <si>
    <t>Pengadaan Penerangan Jalan</t>
  </si>
  <si>
    <t>Masyarakat Dusun  Batu penyu dan sekitarnya</t>
  </si>
  <si>
    <t>KEDONDONG ATAS</t>
  </si>
  <si>
    <t>50 unit</t>
  </si>
  <si>
    <t>Dinas Perhubungan</t>
  </si>
  <si>
    <t>12 unit</t>
  </si>
  <si>
    <t xml:space="preserve">Diakomodir melalui pengalihan anggaran </t>
  </si>
  <si>
    <t>penerang jalan lingkungan ( lampu jalan )</t>
  </si>
  <si>
    <t>Masyarakat Dusun Lembah sari  dan sekitarnya</t>
  </si>
  <si>
    <t>LEMBAH SARI</t>
  </si>
  <si>
    <t>5 titik</t>
  </si>
  <si>
    <t>Tambahan Anggaran dari Dusun yang berada di Desa Lembah sari</t>
  </si>
  <si>
    <t>Penerang Jalan Umum</t>
  </si>
  <si>
    <t>Masyarakat Dusun Gunungsari Indah</t>
  </si>
  <si>
    <t>GUNUNGSARI</t>
  </si>
  <si>
    <t>Gunungsari Indah</t>
  </si>
  <si>
    <t>ID Belum Ada</t>
  </si>
  <si>
    <t>3 unit</t>
  </si>
  <si>
    <t>Usulan Baru</t>
  </si>
  <si>
    <t xml:space="preserve">Kaca Vortex </t>
  </si>
  <si>
    <t>Masyarakat Dusun Belencong Bagek</t>
  </si>
  <si>
    <t>MIDANG</t>
  </si>
  <si>
    <t>Belencong Bagek</t>
  </si>
  <si>
    <t>1 Unit</t>
  </si>
  <si>
    <t>Ini masih hitungan fisik, belum termasuk jasa dll.</t>
  </si>
  <si>
    <t>Masyarakat Dusun Penanggak</t>
  </si>
  <si>
    <t>PENANGGAK (MIDANG)</t>
  </si>
  <si>
    <t>Pengadaan PJU</t>
  </si>
  <si>
    <t>Masyarakat  Dusun Johar Pelita</t>
  </si>
  <si>
    <t>JOHAR PELITA</t>
  </si>
  <si>
    <t>7 Unit</t>
  </si>
  <si>
    <t>Sesuai kesepakatan hari senin 2 Maret 2026</t>
  </si>
  <si>
    <t>Masyarakat Dusun Griya Praja Asri</t>
  </si>
  <si>
    <t>GRIYA PRAJA ASRI</t>
  </si>
  <si>
    <t>Pengadaan Lampu Jalan</t>
  </si>
  <si>
    <t>Masyarakat Dusun Batu Kemalik</t>
  </si>
  <si>
    <t>BATU KEMALIK</t>
  </si>
  <si>
    <t>11 unit</t>
  </si>
  <si>
    <t>Ini masih hitungan fisik belum termasuk jasa dll. Belum ada titik koordinat.</t>
  </si>
  <si>
    <t>Pengadaan dan Pemeliharaan Perlengkapan Jalan Penerangan Jalan Umum (PJU)</t>
  </si>
  <si>
    <t>Masyarakat</t>
  </si>
  <si>
    <t>Dasan Geria</t>
  </si>
  <si>
    <t>DASAN GERIA SELATAN</t>
  </si>
  <si>
    <t>8 titik</t>
  </si>
  <si>
    <t>Pengadaan dan Pemeliharaan perlengkapan jalan Penerangan Jalan Umum (PJU)</t>
  </si>
  <si>
    <t>Warga Dusun</t>
  </si>
  <si>
    <t>Langko</t>
  </si>
  <si>
    <t>Langko Timuk</t>
  </si>
  <si>
    <t xml:space="preserve">1 Unit </t>
  </si>
  <si>
    <t>Berdasarkan usulan Desa Langko yang terdiri dari beberapa dusun, akan digabung yaitu dusun sangiang, dusun langko lauk, dusun langko bat, dusun langko daye, dusun langko timuk, dan dusun muhajirin untuk pengadaan PJU. Volume masih hitungan secara fisik, belum termasuk jasa dll. Belum ada titik koordinat.</t>
  </si>
  <si>
    <t>Masyarakat Dusun Bagik Nunggal Tengah</t>
  </si>
  <si>
    <t>PETELUAN INDAH</t>
  </si>
  <si>
    <t>BAGIK NUNGGAL</t>
  </si>
  <si>
    <t>14 titik</t>
  </si>
  <si>
    <t xml:space="preserve">Pengadaan, Rehabilitasi dan pemeliharaan perlengkapan jalan Kabupaten Lombok Barat </t>
  </si>
  <si>
    <t>1 ls</t>
  </si>
  <si>
    <t>menyesuaikan</t>
  </si>
  <si>
    <t>Untuk desa Peteluan Indah yang terdapat pengusulan di 2 dusun yaitu dusun bagik nunggal tengah dan dusun bagik nunggal timur sesuai kesepakatan akan digabung pagunya untuk pemeliharaan PJU.</t>
  </si>
  <si>
    <t>Masyarakat Dusun Bagik Nunggal Timur</t>
  </si>
  <si>
    <t>BAGIK NUNGGAL TIMUR</t>
  </si>
  <si>
    <t>50m</t>
  </si>
  <si>
    <t>Pengadaan Dan Pemeliharaan Perlengkapan Jalan Penerangan Jalan Umum (Pju) (Pengadaan Tiang Listrik)</t>
  </si>
  <si>
    <t>DUMAN</t>
  </si>
  <si>
    <t>DUMAN UTARA</t>
  </si>
  <si>
    <t>1000 M</t>
  </si>
  <si>
    <t>6 unit</t>
  </si>
  <si>
    <t xml:space="preserve">Usulan yang terdapat di Desa duman dusun dasan bat dan dusun duman utara, sesuai kesepakatan akan digabung untuk pengadaan PJU sesuai standar harga dinas. </t>
  </si>
  <si>
    <t>Masyarakat Dusun Rumbuk</t>
  </si>
  <si>
    <t>BATU MEKAR</t>
  </si>
  <si>
    <t>Rumbuk</t>
  </si>
  <si>
    <t>50  Titik</t>
  </si>
  <si>
    <t>7 unit</t>
  </si>
  <si>
    <t>Usulan yang terdapat di Desa duman dusun dasan bat dan dusun duman utara, sesuai kesepakatan akan digabung untuk pengadaan PJU sesuai standar harga dinas.  Perhitungan baru fisiknya saja belum termasuk jasa dll.</t>
  </si>
  <si>
    <t>Masyarakat Dusun Endut</t>
  </si>
  <si>
    <t>Endut</t>
  </si>
  <si>
    <t>Masih Kurangnya Penerangan lampu jalan di setiap dusun yang ada di desa giri madia,</t>
  </si>
  <si>
    <t>warga Desa</t>
  </si>
  <si>
    <t xml:space="preserve">GIRI MADIA </t>
  </si>
  <si>
    <t>LEONG</t>
  </si>
  <si>
    <t>1 Set</t>
  </si>
  <si>
    <t>Ini masih hitungan fisik, belum termasuk jasa dll. Belum ada titik koordinat.</t>
  </si>
  <si>
    <t>Masyarakat Desa Batu Kuta</t>
  </si>
  <si>
    <t>BATU KUTA</t>
  </si>
  <si>
    <t>BATU KUTA LENTING</t>
  </si>
  <si>
    <t>200 M</t>
  </si>
  <si>
    <t>8 unit</t>
  </si>
  <si>
    <t>Lampu Penerang Jalan (PJU)</t>
  </si>
  <si>
    <t>Masyarakat Dusun Dasan Tereng Selatan</t>
  </si>
  <si>
    <t>DASAN TERENG</t>
  </si>
  <si>
    <t>DASAN TERENG SELATAN</t>
  </si>
  <si>
    <t>3 TITIK</t>
  </si>
  <si>
    <t>2 titk</t>
  </si>
  <si>
    <t>Pengadaan dan pemeliharaan PJU</t>
  </si>
  <si>
    <t>Masyarakat di Dusun Orong Sedalem</t>
  </si>
  <si>
    <t>Suranadi</t>
  </si>
  <si>
    <t>Orong Sedalem</t>
  </si>
  <si>
    <t>50 titik</t>
  </si>
  <si>
    <t>Penerangan Jalan Umum</t>
  </si>
  <si>
    <t>6307 Orang (Masyarakat)</t>
  </si>
  <si>
    <t>SESAOT</t>
  </si>
  <si>
    <t>SESAOT TIMUR</t>
  </si>
  <si>
    <t>45 titik</t>
  </si>
  <si>
    <t>2930917 + 2930927</t>
  </si>
  <si>
    <t>pengadaan penerangan jalan sejumlah 20 titik</t>
  </si>
  <si>
    <t>JAGARAGA INDAH</t>
  </si>
  <si>
    <t>Tinggar Karang Anyar</t>
  </si>
  <si>
    <t>Masih gelapnya jln Tgh Abd hafiz Alkholidi perlu pemasangan PJU 3 Titik</t>
  </si>
  <si>
    <t xml:space="preserve">KEDIRI SELATAN </t>
  </si>
  <si>
    <t>TERATE</t>
  </si>
  <si>
    <t>3 Unit</t>
  </si>
  <si>
    <t xml:space="preserve">Pemasangan PJU </t>
  </si>
  <si>
    <t>Pengguna Jalan</t>
  </si>
  <si>
    <t>SEDAYU TENGAH</t>
  </si>
  <si>
    <t>6 Unit</t>
  </si>
  <si>
    <t>BANGKET DALEM</t>
  </si>
  <si>
    <t>Pengadaan Lampu PJU</t>
  </si>
  <si>
    <t>Masyarakat Dusun</t>
  </si>
  <si>
    <t xml:space="preserve">BAGIK POLAK </t>
  </si>
  <si>
    <t>KARANG BUCU LAUK</t>
  </si>
  <si>
    <t>1 titik</t>
  </si>
  <si>
    <t>Ini baru hitungan fisiknya saja, belum termasuk hitungan jasa dan lainnya.</t>
  </si>
  <si>
    <t>KARANG BUCU BARAT</t>
  </si>
  <si>
    <t>KARANG BUCU DAYE</t>
  </si>
  <si>
    <t xml:space="preserve">REROT </t>
  </si>
  <si>
    <t>KARANG KEBON TIMUR</t>
  </si>
  <si>
    <t>KARANG KEBON BARAT</t>
  </si>
  <si>
    <t>ENJAK</t>
  </si>
  <si>
    <t>Pengadaan dan Pemeliharaan 
Perlengkapan Jalan Penerangan Jalan
Umum (PJU).</t>
  </si>
  <si>
    <t>JOGOT TIMUR</t>
  </si>
  <si>
    <t>Ini baru hitungan fisiknya saja, belum termasuk hitungan jasa dan lainnya. Belum ada titik koordinat.</t>
  </si>
  <si>
    <t>Pengadaan dan Pemeliharaan 
Perlengkapan Jalan Penerangan Jalan
Umum (PJU)</t>
  </si>
  <si>
    <t>Penerima Masyarakat Dusun</t>
  </si>
  <si>
    <t>BENGKEL</t>
  </si>
  <si>
    <t>BENGKEL TIMUR</t>
  </si>
  <si>
    <t>BENGKEL TIMUR MEKAR</t>
  </si>
  <si>
    <t>BENGKEL UTARA TIMUR</t>
  </si>
  <si>
    <t>BENGKEL UTARA</t>
  </si>
  <si>
    <t>BENGKEL UTARA BARAT</t>
  </si>
  <si>
    <t xml:space="preserve">Ini baru hitungan fisiknya saja, belum termasuk hitungan jasa dan lainnya. </t>
  </si>
  <si>
    <t>BENGKEL BARAT</t>
  </si>
  <si>
    <t>BENGKEL SELATAN</t>
  </si>
  <si>
    <t>BENGKEL SELATAN MEKAR</t>
  </si>
  <si>
    <t>DATAR</t>
  </si>
  <si>
    <t>Pengadaan dan Pemeliharaan perlengkapan jalan PJU</t>
  </si>
  <si>
    <t>12 Unit</t>
  </si>
  <si>
    <t>10 Titik</t>
  </si>
  <si>
    <t>Ini masih hitungan fisik, belum termasuk hitungan jasa dll. Kemudian Unit diganti menjadi Titik. Belum ada titik koordinat</t>
  </si>
  <si>
    <t>Pengadaan dan Pemeliharaan Perlengkapan Jalan PJU</t>
  </si>
  <si>
    <t xml:space="preserve">KURANJI DALANG </t>
  </si>
  <si>
    <t>Kuranji Dalang</t>
  </si>
  <si>
    <t>6 Lokasi</t>
  </si>
  <si>
    <t>2 titik</t>
  </si>
  <si>
    <t>Titik koordinat belum ada, ini masih hitungan fisik belum termasuk jasa dll. Belum ada titik Koordinat</t>
  </si>
  <si>
    <t>LABUAPI</t>
  </si>
  <si>
    <t>LABUAPI UTARA</t>
  </si>
  <si>
    <t>25 Unit</t>
  </si>
  <si>
    <t>7 titik</t>
  </si>
  <si>
    <t>Ini baru hitungan fisiknya, belum termasuk hitungan jasa dll. Jumlah unit diganti menjadi titik.</t>
  </si>
  <si>
    <t>PERAMPUAN</t>
  </si>
  <si>
    <t>10 titik</t>
  </si>
  <si>
    <t>4 titik</t>
  </si>
  <si>
    <t>TELAGAWARU</t>
  </si>
  <si>
    <t xml:space="preserve">PAOK KAMBUT </t>
  </si>
  <si>
    <t xml:space="preserve">BTN BUMI HARAPAN PERMAI (BHP) </t>
  </si>
  <si>
    <t>GUBUK IDE</t>
  </si>
  <si>
    <t>10 Lokasi</t>
  </si>
  <si>
    <t>Ini baru hitungan fisiknya, belum termasuk hitungan jasa dll. Jumlah lokasi diganti menjadi titik.</t>
  </si>
  <si>
    <t>Penerang jalan dari dusun bagu menuju Kebun sudak dan bay pass</t>
  </si>
  <si>
    <t xml:space="preserve">KEBON SUDAK </t>
  </si>
  <si>
    <t>3 titik</t>
  </si>
  <si>
    <t>Pengadaan APE PAUD</t>
  </si>
  <si>
    <t>TK Pertiwi Gerung</t>
  </si>
  <si>
    <t>KELURAHAN GERUNG SELATAN</t>
  </si>
  <si>
    <t>REYAN</t>
  </si>
  <si>
    <t>1 PAKET</t>
  </si>
  <si>
    <t>SALAH OPD</t>
  </si>
  <si>
    <t>TANJUNG GUNUNG</t>
  </si>
  <si>
    <t>tambahan anggaran dari Dusun Perigi, Dodokan,Reyan,Menang</t>
  </si>
  <si>
    <t>Pemasangan Guard Dril di Seputran Jembatan Gantung</t>
  </si>
  <si>
    <t>Kebon Ayu</t>
  </si>
  <si>
    <t>Kelebut</t>
  </si>
  <si>
    <t>20 M</t>
  </si>
  <si>
    <t>Untuk volume masih belum ada, kemudian SSH yang ada untuk per meternya 2,5 jt</t>
  </si>
  <si>
    <t>LAMPU PENERANG JALAN UMUM / PJU</t>
  </si>
  <si>
    <t>DESA LEMBAR</t>
  </si>
  <si>
    <t>LEMBAR</t>
  </si>
  <si>
    <t>LENDANG JAE</t>
  </si>
  <si>
    <t>15 TITIK</t>
  </si>
  <si>
    <t>Desa Lemsel</t>
  </si>
  <si>
    <t>PUYAHAN</t>
  </si>
  <si>
    <t>5 TITIK</t>
  </si>
  <si>
    <t>Desa Mareje</t>
  </si>
  <si>
    <t>Mareje</t>
  </si>
  <si>
    <t>Ganjar</t>
  </si>
  <si>
    <t>Desa Sekotim</t>
  </si>
  <si>
    <t>SEKOTONG TIMUR</t>
  </si>
  <si>
    <t>AIKMUAL</t>
  </si>
  <si>
    <t>25 UNIT</t>
  </si>
  <si>
    <t>PJUTS</t>
  </si>
  <si>
    <t>Dusun Sayong Pendem</t>
  </si>
  <si>
    <t xml:space="preserve">CENDI MANIK </t>
  </si>
  <si>
    <t>SAYONG PENDEM</t>
  </si>
  <si>
    <t>Dusun Bertong Barat</t>
  </si>
  <si>
    <t>BERTONG BARAT</t>
  </si>
  <si>
    <t>PJU</t>
  </si>
  <si>
    <t>DUSUN GEDANG SIANG</t>
  </si>
  <si>
    <t xml:space="preserve">GILI GEDE INDAH </t>
  </si>
  <si>
    <t>GEDENG SIANG</t>
  </si>
  <si>
    <t>Masyarakat Lendang Re</t>
  </si>
  <si>
    <t>LENDANG RE (SEKOTONG TENGAH)</t>
  </si>
  <si>
    <t>24 Unit</t>
  </si>
  <si>
    <t>DUSUN BUNUT KANTOR</t>
  </si>
  <si>
    <t>BUWUN MAS</t>
  </si>
  <si>
    <t>BUNUT KANTOR</t>
  </si>
  <si>
    <t>7 TITIK</t>
  </si>
  <si>
    <t>Usul Baru (PJUTS)</t>
  </si>
  <si>
    <t>DUSUN KOAL</t>
  </si>
  <si>
    <t>KOAL</t>
  </si>
  <si>
    <t>Usulan PU Tertolak</t>
  </si>
  <si>
    <t>PROGRAM PENYELENGGARAAN JALAN</t>
  </si>
  <si>
    <t>DRUAN KOAL</t>
  </si>
  <si>
    <t>7 Titik</t>
  </si>
  <si>
    <t>Pindahan PUPR</t>
  </si>
  <si>
    <t>Agrominapolitan</t>
  </si>
  <si>
    <t>Meningkatnya produktivitas pertanian (ekonomi hijau),  perikanan (ekonomi biru), serta ketahanan pangan</t>
  </si>
  <si>
    <t>PROGRAM PENINGKATAN DIVERSIFIKASI DAN KETAHANAN PANGAN MASYARAKAT</t>
  </si>
  <si>
    <t>Pelatihan  dan Pengembangan kebun pekarangan B2SA</t>
  </si>
  <si>
    <t>Masyarakat Dusun Belencong</t>
  </si>
  <si>
    <t>Belencong</t>
  </si>
  <si>
    <t>13 Unit</t>
  </si>
  <si>
    <t>Dinas Kelautan, Perikanan, dan Ketahanan Pangan</t>
  </si>
  <si>
    <t>1 kelompok</t>
  </si>
  <si>
    <t>sasaran penerima PKK Desa Midang
volume 1 kelompok</t>
  </si>
  <si>
    <t>Pemanfaatan Lahan Pekarangan Di Semua Dusun</t>
  </si>
  <si>
    <t>Masyarakat Desa Midang</t>
  </si>
  <si>
    <t>Midang</t>
  </si>
  <si>
    <t>8 dusun</t>
  </si>
  <si>
    <t>sasaran penerima 8 dusun
pemberian bibit, polybag, pupuk</t>
  </si>
  <si>
    <t>Masyarakat Dusun Gegutu Dayen Aiq</t>
  </si>
  <si>
    <t>KEKERI</t>
  </si>
  <si>
    <t>GEGUTU DAYEN AIQ</t>
  </si>
  <si>
    <t>1 Klp</t>
  </si>
  <si>
    <t>Alat Pengolahan Pangan</t>
  </si>
  <si>
    <t>1 klp</t>
  </si>
  <si>
    <t>alat pengolahan pangan lokal (ubi, kacang)</t>
  </si>
  <si>
    <t>1 Set alat Pengolah Sagu</t>
  </si>
  <si>
    <t>Masyarakat Dusun Ladungan</t>
  </si>
  <si>
    <t>Guntur macan</t>
  </si>
  <si>
    <t>LADUNGAN</t>
  </si>
  <si>
    <t>mesin saringan sagu</t>
  </si>
  <si>
    <t>1 Set alat pengolah Gula aren</t>
  </si>
  <si>
    <t>Masyarakat Dusun Poan Selatan</t>
  </si>
  <si>
    <t>POAN SELATAN</t>
  </si>
  <si>
    <t>1 set</t>
  </si>
  <si>
    <t>alat yang dibutuhkan sadep dan wajan</t>
  </si>
  <si>
    <t>1 set Alat Pengolah Gula Aren</t>
  </si>
  <si>
    <t>Masyarakat Dusun Poan Utara</t>
  </si>
  <si>
    <t>POAN UTARA</t>
  </si>
  <si>
    <t>Pelatihan Pangan Beragam, Bergizi, Seimbang dan Aman (B2SA) dan Pengembangan kebun pekarangan B2SA</t>
  </si>
  <si>
    <t>Belum Ada Sasaran Kegiatan</t>
  </si>
  <si>
    <t xml:space="preserve">BAYAN PENGSONG </t>
  </si>
  <si>
    <t>Desa Perampuan, Dusun Bayan Pengsong
untuk kedua jenis pelatihan
sasaran penerima PKK Desa Parampuan</t>
  </si>
  <si>
    <t>Program Pengolahan dan Pemasaran Hasil Perikanan</t>
  </si>
  <si>
    <t>Pengadaan Sarana dan Prasarana Produksi Garam Rakyat</t>
  </si>
  <si>
    <t>1 KELOMPOK</t>
  </si>
  <si>
    <t>3 kelompok</t>
  </si>
  <si>
    <t>Pasar Ikan</t>
  </si>
  <si>
    <t>SEPI</t>
  </si>
  <si>
    <t>tadinya pasar ikan diganti dengan Freezer, 
berupa freezer kapasitas 220 liter</t>
  </si>
  <si>
    <t>PROGRAM PENGELOLAAN PERIKANAN TANGKAP</t>
  </si>
  <si>
    <t>PERMINTAAN MESIN KETINTING</t>
  </si>
  <si>
    <t>KELOMPOK OMBAK SEGARE</t>
  </si>
  <si>
    <t>SEKOTONG BARAT</t>
  </si>
  <si>
    <t>JERENJENG</t>
  </si>
  <si>
    <t>mesin ketinting 5 unit</t>
  </si>
  <si>
    <t>Program Pengelolaan Perikanan Tangkap</t>
  </si>
  <si>
    <t>Alat Tangkap kelompok Nelayan</t>
  </si>
  <si>
    <t>KARANG TELAGE</t>
  </si>
  <si>
    <t>BATULAYAR</t>
  </si>
  <si>
    <t>5 klompok</t>
  </si>
  <si>
    <t>Meningkatnya Produktivitas Ekonomi Daerah</t>
  </si>
  <si>
    <t>PROGRAM PERENCANAAN DAN PEMBANGUNAN INDUSTRI</t>
  </si>
  <si>
    <t xml:space="preserve">Mesin </t>
  </si>
  <si>
    <t>AIQ GENIT</t>
  </si>
  <si>
    <t>Belum ada ID Usulan</t>
  </si>
  <si>
    <t>2 klompok</t>
  </si>
  <si>
    <t>Peralatan perebusan garam</t>
  </si>
  <si>
    <t>Klp Garam Rebus</t>
  </si>
  <si>
    <t>Lembar Selatan</t>
  </si>
  <si>
    <t>Puyahan</t>
  </si>
  <si>
    <t>Pindahan PUPR Tolak</t>
  </si>
  <si>
    <t>Pengadaan bibit dan pakan ikan</t>
  </si>
  <si>
    <t>Klp Perikanan</t>
  </si>
  <si>
    <t>Ledang</t>
  </si>
  <si>
    <t>Meningkatnya nilai tambah pariwisata dan ekonomi kreatif</t>
  </si>
  <si>
    <t>PROGRAM PENINGKATAN DAYA TARIK DESTINASI PARIWISATA</t>
  </si>
  <si>
    <t>Dinas Pariwisata, Ekonomi Kreatif, Pemuda, dan Olahraga</t>
  </si>
  <si>
    <t>Masyarakat Dusun Penimbung Timur</t>
  </si>
  <si>
    <t>PENIMBUNG TIMUR</t>
  </si>
  <si>
    <t>1 LS</t>
  </si>
  <si>
    <t>Program Pengembangan Kapasitas Daya Saing Keolahragaan</t>
  </si>
  <si>
    <t>Pembangunan Lavangan Volly</t>
  </si>
  <si>
    <t>Masyarakat Dusun Jati Ireng</t>
  </si>
  <si>
    <t>JATI IRENG</t>
  </si>
  <si>
    <t>100 m</t>
  </si>
  <si>
    <t>Status tanah belum jelas, akan di cek di proposal</t>
  </si>
  <si>
    <t>Masyarakat Dusun Johar Pelita</t>
  </si>
  <si>
    <t>Talud pinggir lapangan sepak bola</t>
  </si>
  <si>
    <t>Masyarakat Desa Ranjok</t>
  </si>
  <si>
    <t xml:space="preserve">RANJOK </t>
  </si>
  <si>
    <t>DASAN GERES (RANJOK)</t>
  </si>
  <si>
    <t>belum ada ID</t>
  </si>
  <si>
    <t>Peningkatan kapasitas</t>
  </si>
  <si>
    <t>Masyarakat Dusun Murpadang</t>
  </si>
  <si>
    <t>MURPADANG</t>
  </si>
  <si>
    <t>1 lembaga</t>
  </si>
  <si>
    <t xml:space="preserve">25 orang </t>
  </si>
  <si>
    <t>Pengadaan Sarana dan Prasarana  Destinasi Wisata</t>
  </si>
  <si>
    <t>1 Ls</t>
  </si>
  <si>
    <t>Pembangunan SDM Unggul dan Berdaya Saing</t>
  </si>
  <si>
    <t>Meningkatnya Kesempatan Kerja dan Peran Pemuda dalam Pembangunan</t>
  </si>
  <si>
    <t>Pengadaan Sarana olahraga</t>
  </si>
  <si>
    <t xml:space="preserve">GONTORAN </t>
  </si>
  <si>
    <t>gontoran daye</t>
  </si>
  <si>
    <t>28x11 m</t>
  </si>
  <si>
    <t>SANGIANG</t>
  </si>
  <si>
    <t xml:space="preserve">1 Lokasi </t>
  </si>
  <si>
    <t>PRIORITAS</t>
  </si>
  <si>
    <t>Pengadaan Sarana Prasarana Olahraga/ Lapangan Umum Desa Sigerongan</t>
  </si>
  <si>
    <t>Warga Desa Sigerongan</t>
  </si>
  <si>
    <t>Sigerongan</t>
  </si>
  <si>
    <t>Bisa diakomodir nama OPD salah</t>
  </si>
  <si>
    <t>PROGRAM PENGEMBANGAN SUMBER DAYA PARIWISATA DAN EKONOMI KREATIF</t>
  </si>
  <si>
    <t>Pelatihan pengelolaan destinasi pariwisata dan pendampingan</t>
  </si>
  <si>
    <t>Warga Golong</t>
  </si>
  <si>
    <t>Peninjoan</t>
  </si>
  <si>
    <t>30 orang</t>
  </si>
  <si>
    <t>Pelatihan pemandu wisata lokal dan pelayanan prima</t>
  </si>
  <si>
    <t>TIBU PILING</t>
  </si>
  <si>
    <t>25 orang</t>
  </si>
  <si>
    <t>Pengadaan sarana olahraga</t>
  </si>
  <si>
    <t xml:space="preserve">PAKUAN </t>
  </si>
  <si>
    <t>Tatar Daye</t>
  </si>
  <si>
    <t>BAJUR</t>
  </si>
  <si>
    <t>BAJUR INDUK</t>
  </si>
  <si>
    <t>BAJUR KALIJAGA</t>
  </si>
  <si>
    <t>BAJUR GIRIJATI</t>
  </si>
  <si>
    <t>TEMPIT</t>
  </si>
  <si>
    <t>POHDODOL</t>
  </si>
  <si>
    <t>MAVILLA RENGGANIS</t>
  </si>
  <si>
    <t>Tempat Ibadah di Lokasi Wisata</t>
  </si>
  <si>
    <t>KOLAM RENANG BINA INSAN DESA BENGKEL</t>
  </si>
  <si>
    <t>1 Lokasi</t>
  </si>
  <si>
    <t>Belum ada di SIPD</t>
  </si>
  <si>
    <t>Pembangunan Gedung serbaguna</t>
  </si>
  <si>
    <t>KARANG BONGKOT</t>
  </si>
  <si>
    <t>Nyamarai</t>
  </si>
  <si>
    <t>3 Paket</t>
  </si>
  <si>
    <t>KURANJI</t>
  </si>
  <si>
    <t xml:space="preserve">KARANG BANGKET </t>
  </si>
  <si>
    <t>225 Meter</t>
  </si>
  <si>
    <t>SENGKONGOK</t>
  </si>
  <si>
    <t>Pengadaan Sarana dan Prasarana Destinasi Wisata</t>
  </si>
  <si>
    <t>Kuranji Bangsal</t>
  </si>
  <si>
    <t>Permohonan Bantuan Pengadaan Sarana dan Prasarana Olahraga (SSB Jagaraga)</t>
  </si>
  <si>
    <t xml:space="preserve"> Sekolah Sepak Bola Jagaraga</t>
  </si>
  <si>
    <t>TEGAL (JAGARAGA)</t>
  </si>
  <si>
    <t>Pelatihan pengelolaan destinasi pariwisata dan pendampingan dalam rangka peningkatan pelayanan wisata</t>
  </si>
  <si>
    <t>Pokdarwis Gunung Sasak</t>
  </si>
  <si>
    <t>KURIPAN SELATAN</t>
  </si>
  <si>
    <t>TUNGGU LAWANG BARAT</t>
  </si>
  <si>
    <t xml:space="preserve">1 Paket </t>
  </si>
  <si>
    <t>Pengadaan Sarana dan Prasarana  Destinasi Wisata berupa Balai Kesenian/budaya</t>
  </si>
  <si>
    <t>Lembaga Adat Terune Jaya</t>
  </si>
  <si>
    <t>EMBUNG</t>
  </si>
  <si>
    <t>Pengadaan Sarana dan Prasarana  Destinasi Wisata berupa pembangunan bale rembuk wisata</t>
  </si>
  <si>
    <t>Pokdarwis Gunung sasak</t>
  </si>
  <si>
    <t>TUNGGU LAWANG</t>
  </si>
  <si>
    <t>Pengadaan Sarana dan Prasarana  Destinasi Wisata pembuatan tempat parkir</t>
  </si>
  <si>
    <t>DESA JAKEM TIM</t>
  </si>
  <si>
    <t>POKDARWIS</t>
  </si>
  <si>
    <t>TIBU LILIN</t>
  </si>
  <si>
    <t>2 UNIT</t>
  </si>
  <si>
    <t>PENATAAN SARANA DAN PRASARANA DESTINASI WISATA</t>
  </si>
  <si>
    <t>DUSUN ORONG BUKAL</t>
  </si>
  <si>
    <t>ORONG BUKAL</t>
  </si>
  <si>
    <t>PRASARANA DESTINASI WISATA BATU MAPAH</t>
  </si>
  <si>
    <t>DUSUN TAWUN 2</t>
  </si>
  <si>
    <t>TAWUN 2</t>
  </si>
  <si>
    <t>PROGRAM PENGELOLAAN PERSAMPAHAN</t>
  </si>
  <si>
    <t>Pengadaan Peralatan Sampah Seperti Tong sampah, Sapu, Gareng dan Arit Masing-masing 10 buah.</t>
  </si>
  <si>
    <t>Kelompok Peduli sampah pada Dusun Loco</t>
  </si>
  <si>
    <t>LOCO</t>
  </si>
  <si>
    <t>10 Buah</t>
  </si>
  <si>
    <t>Dinas Lingkungan Hidup</t>
  </si>
  <si>
    <t>PER TONG SAMPAH  3R</t>
  </si>
  <si>
    <t>Proposal</t>
  </si>
  <si>
    <t>Sarana dan Prasarana Pengelolaan Sampah (Mesin Pecacah Plastik)</t>
  </si>
  <si>
    <t>Kelompok Peduli Lingkungan Dusun Lembah sari  dan sekitarnya</t>
  </si>
  <si>
    <t xml:space="preserve">Penyediaan Peralatan Penanganan Pengelolaan Sampah </t>
  </si>
  <si>
    <t>Kelompok Masyarakat peduli sampah  pada Dusun Dawung</t>
  </si>
  <si>
    <t>SANDIK</t>
  </si>
  <si>
    <t>DAWUNG</t>
  </si>
  <si>
    <t>1  Paket</t>
  </si>
  <si>
    <t>1 unit (roda 3)</t>
  </si>
  <si>
    <t>Kendaraan Roda Tiga</t>
  </si>
  <si>
    <t>Bale Kuwu</t>
  </si>
  <si>
    <t>GUNUNG SARI</t>
  </si>
  <si>
    <t>Armada (roda 3)</t>
  </si>
  <si>
    <t>Masyarakat Dusun Midang</t>
  </si>
  <si>
    <t>proposal</t>
  </si>
  <si>
    <t xml:space="preserve">Kendaraan Roda 3 Untuk Pengangkut Sampah </t>
  </si>
  <si>
    <t>Masyarakat Dusun Ranjok Utara</t>
  </si>
  <si>
    <t>DOPANG</t>
  </si>
  <si>
    <t>RANJOK UTARA</t>
  </si>
  <si>
    <t>Kendaraan Roda 3 Untuk Pengangkut Sampah</t>
  </si>
  <si>
    <t>Masyarakat Dusun Dopang Selatan</t>
  </si>
  <si>
    <t>DOPANG SELATAN</t>
  </si>
  <si>
    <t>menunggu lengkapi proposal</t>
  </si>
  <si>
    <t>Masyarakat Dusun Dopang Utara</t>
  </si>
  <si>
    <t>DOPANG UTARA</t>
  </si>
  <si>
    <t>Masyarakat Dusun Dopang Tengah</t>
  </si>
  <si>
    <t>DOPANG TENGAH</t>
  </si>
  <si>
    <t>Masyarakat Dusun Penyangget Dopang</t>
  </si>
  <si>
    <t>PENYANGGET (DOPANG)</t>
  </si>
  <si>
    <t>MONTONG PACE</t>
  </si>
  <si>
    <t>Pengadaan Roda Tiga</t>
  </si>
  <si>
    <t>Masyarakat Dusun Ireng Daye</t>
  </si>
  <si>
    <t>IRENG DAYE</t>
  </si>
  <si>
    <t>Penggadan Kendaraan Roda 3</t>
  </si>
  <si>
    <t>Masyarakat Dusun Ireng Lauk</t>
  </si>
  <si>
    <t>IRENG LAUK</t>
  </si>
  <si>
    <t>Pengadaan sarana dan prasarana pengelolaan sampah (roda 3)</t>
  </si>
  <si>
    <t>Masyarakat Dusun Tanak Tepong</t>
  </si>
  <si>
    <t>TANAK TEPONG</t>
  </si>
  <si>
    <t>Proposal  dan kelompok</t>
  </si>
  <si>
    <t>Pengadaan Sarana Dan Prasarana Pengelolaan Sampah (Tempat Pembuangan Sampah Sementara)</t>
  </si>
  <si>
    <t>SERAYE DUMAN</t>
  </si>
  <si>
    <t>1 PKT</t>
  </si>
  <si>
    <t>Pengadaan sarana dan prasarana pengelolaan sampah  ( Kendaraan Roda 3 )</t>
  </si>
  <si>
    <t>Masyarakat Dusun Karang Temu</t>
  </si>
  <si>
    <t>Karang Temu</t>
  </si>
  <si>
    <t>3  Buah</t>
  </si>
  <si>
    <t>Pengadaan Sarana dan Prasarana Pengelolaan Sampah</t>
  </si>
  <si>
    <t>Gegutu Reban</t>
  </si>
  <si>
    <t>2 unit RODA  3 DAN PENCACAH</t>
  </si>
  <si>
    <t>proposal lengkapi</t>
  </si>
  <si>
    <t>PROGRAM PENGENDALIAN PENCEMARAN DAN/ATAU KERUSAKAN LINGKUNGAN HIDUP.</t>
  </si>
  <si>
    <t>Pembangunan Bak Perlindungan Mata Air</t>
  </si>
  <si>
    <t>GOLONG</t>
  </si>
  <si>
    <t>6x8 M2</t>
  </si>
  <si>
    <t>1 unit bak mata air</t>
  </si>
  <si>
    <t>Bak Pelindung Air</t>
  </si>
  <si>
    <t>571 Orang (Masyarakat)</t>
  </si>
  <si>
    <t>PENANGKE</t>
  </si>
  <si>
    <t>1 buah</t>
  </si>
  <si>
    <t>75 JT untuk 1 bak penampungan</t>
  </si>
  <si>
    <t>Kendaraan pengangkut sampah</t>
  </si>
  <si>
    <t>Masyarakat Penerima Manfaat</t>
  </si>
  <si>
    <t>Kami diDesa masih kurang alat pengangkut sampah dikarnakan Anggaran Desa kami tidak mencukupi untuk Pengadaan Sampah</t>
  </si>
  <si>
    <t>3  unit</t>
  </si>
  <si>
    <t xml:space="preserve">Masih perlu memerlukan armada roda tiga untuk pengangkutan sampah </t>
  </si>
  <si>
    <t>GELOGOR TIMUR</t>
  </si>
  <si>
    <t>Penambahan armada sampah untuk kebutuhan masyarakat</t>
  </si>
  <si>
    <t>GELOGOR TENGAH</t>
  </si>
  <si>
    <t>Kurang nya armada pengangkut sampah ( motor sampah)</t>
  </si>
  <si>
    <t>masih kurang nya armada sampah ( motor Sampah)</t>
  </si>
  <si>
    <t>GERSIK UTARA ASRI</t>
  </si>
  <si>
    <t>1 UNIT</t>
  </si>
  <si>
    <t>penambahan armada angkut sampah ( Motor Sampah )</t>
  </si>
  <si>
    <t>GELOGOR PUSAT</t>
  </si>
  <si>
    <t>pengadaan tong sampah per KK, sejumlah 170 buah</t>
  </si>
  <si>
    <t>Adeng Daye</t>
  </si>
  <si>
    <t>18 unit tong sampah</t>
  </si>
  <si>
    <t>ARMADA SAMPAH SUDAH TUA, DAN TIDAK MEMADAI DENGAN VOLUME SAMPAH.</t>
  </si>
  <si>
    <t>Ombe Desa</t>
  </si>
  <si>
    <t>proposal dan sesuaikan harga</t>
  </si>
  <si>
    <t>Pelatihan pengelolaan sampah</t>
  </si>
  <si>
    <t>Kelompok Masyarakat</t>
  </si>
  <si>
    <t>20 orang</t>
  </si>
  <si>
    <t>Bantuan Alat Pengangkut Sampah (Kendaraan Roda 3)</t>
  </si>
  <si>
    <t>Darahkan le DLH</t>
  </si>
  <si>
    <t>Pengadaan sarana dan prasarana pengelolaan sampah</t>
  </si>
  <si>
    <t>Tong Sampah 3 R</t>
  </si>
  <si>
    <t>Pelatihan Pengelolaan Sampah</t>
  </si>
  <si>
    <t>MAPAK REYONG</t>
  </si>
  <si>
    <t>roda 3</t>
  </si>
  <si>
    <t>Dinas lingkungan hidup</t>
  </si>
  <si>
    <t>mobil pick up</t>
  </si>
  <si>
    <t xml:space="preserve">Penyediaan peralatan penanganan pengelolaan sampah </t>
  </si>
  <si>
    <t xml:space="preserve">Bantuan Saranan Prasarana Pengelolaan Sampah </t>
  </si>
  <si>
    <t>Warga Dusun Pelulan</t>
  </si>
  <si>
    <t>KURIPAN UTARA</t>
  </si>
  <si>
    <t>PELULAN</t>
  </si>
  <si>
    <t>360 KK</t>
  </si>
  <si>
    <t xml:space="preserve">1 unit </t>
  </si>
  <si>
    <t>Roda 3</t>
  </si>
  <si>
    <t>Penyediaan peralatan Penanganan sampah</t>
  </si>
  <si>
    <t>Masyarakat Dusun (usulan oleh kadus)</t>
  </si>
  <si>
    <t>Mesanggok</t>
  </si>
  <si>
    <t>DASAN KETUJUR</t>
  </si>
  <si>
    <t>1 unit pick up</t>
  </si>
  <si>
    <t>PELEPOK</t>
  </si>
  <si>
    <t>pengadaan sarana dan prasarana roda tiga</t>
  </si>
  <si>
    <t>Kelompok ...</t>
  </si>
  <si>
    <t>PONDOK INDAH</t>
  </si>
  <si>
    <t>MOBIL PENGANGKUT SAMPAH</t>
  </si>
  <si>
    <t>Gapuk</t>
  </si>
  <si>
    <t>GAPUK</t>
  </si>
  <si>
    <t>isuzu traga</t>
  </si>
  <si>
    <t>PENYEDIAAN PERALATAN PENANGANAN PENGELOLAAN SAMPAH</t>
  </si>
  <si>
    <t>proposal masing2 lingkungan</t>
  </si>
  <si>
    <t>KELURAHAN DASAN GERES</t>
  </si>
  <si>
    <t>BAWAK GUNUNG</t>
  </si>
  <si>
    <t xml:space="preserve">1 unit pencacah </t>
  </si>
  <si>
    <t>mesin pencacah plastik</t>
  </si>
  <si>
    <t>CEMARE (KEL DASAN GERES)</t>
  </si>
  <si>
    <t>CEMARE TIMUR</t>
  </si>
  <si>
    <t>DASAN GERES BARAT</t>
  </si>
  <si>
    <t>DASAN GERES TIMUR</t>
  </si>
  <si>
    <t>DASAN GERES TENGAH</t>
  </si>
  <si>
    <t>DASAN GERES SELATAN</t>
  </si>
  <si>
    <t>BTN PERUMDA SELATAN</t>
  </si>
  <si>
    <t>MENANG TIMUR</t>
  </si>
  <si>
    <t>Penyediaan peralatan penanganan pengelolaan sampah (mobil sampah)</t>
  </si>
  <si>
    <t>Kelompok …....</t>
  </si>
  <si>
    <t>BELEKE</t>
  </si>
  <si>
    <t>MOBIL PICK UP</t>
  </si>
  <si>
    <t>biletepung</t>
  </si>
  <si>
    <t>Alat Daur Ulang Sampah</t>
  </si>
  <si>
    <t>SELAMPANG</t>
  </si>
  <si>
    <t>1 BH</t>
  </si>
  <si>
    <t>Usulan harga tidak sesuai dengan standar harga ( Mesin pencacah)</t>
  </si>
  <si>
    <t>Roda Tiga Pengangkut Sampah</t>
  </si>
  <si>
    <t>Desa Eyat Mayang</t>
  </si>
  <si>
    <t>EYAT MAYANG</t>
  </si>
  <si>
    <t>Propposal</t>
  </si>
  <si>
    <t>JELATENG BARAT</t>
  </si>
  <si>
    <t>EYAT MAYANG UTARA</t>
  </si>
  <si>
    <t>EYAT MAYANG SELATAN</t>
  </si>
  <si>
    <t>MOTOR RODA 3 PENGANGKUT SAMPAH</t>
  </si>
  <si>
    <t>DESA JAKEM</t>
  </si>
  <si>
    <t>GUNUNG GUNDIL</t>
  </si>
  <si>
    <t>Penyediaan peralatan penanganan pengelolaan sampah</t>
  </si>
  <si>
    <t>8x6 METER</t>
  </si>
  <si>
    <t>1 unit TPS sementara</t>
  </si>
  <si>
    <t>Siapkan Lokasi dan Proposal</t>
  </si>
  <si>
    <t>SERUMBUNG</t>
  </si>
  <si>
    <t>1 unit mesin press sampah</t>
  </si>
  <si>
    <t>usulan harga tidak sesuai dg standar harga ( pengadaan mesin pres sampah )</t>
  </si>
  <si>
    <t>LEMBAR BARAT</t>
  </si>
  <si>
    <t>PROGRAM PEMBERDAYAAN USAHA MENENGAH, USAHA KECIL, DAN USAHA MIKRO</t>
  </si>
  <si>
    <t>Pelatihan penguatan kelembagaan UMKM, kewirausahaan dan digital marketing</t>
  </si>
  <si>
    <t>pelatihan pemasaran</t>
  </si>
  <si>
    <t>Are Manis</t>
  </si>
  <si>
    <t>1 keg</t>
  </si>
  <si>
    <t>Pindahan OPD dan sudah input SIPD oleh didi</t>
  </si>
  <si>
    <t>Pelatihan</t>
  </si>
  <si>
    <t>Kelompok UMKM pada Dusun Pelempat</t>
  </si>
  <si>
    <t>MENINTING</t>
  </si>
  <si>
    <t>PELEMPAT</t>
  </si>
  <si>
    <t>Spiner</t>
  </si>
  <si>
    <t>Kelompok UMKM pada Dusun Montong Buwuh</t>
  </si>
  <si>
    <t>MONTONG BUWUH</t>
  </si>
  <si>
    <t>Kelompok UMKM pada Dusun  Kongok</t>
  </si>
  <si>
    <t>KONGOK</t>
  </si>
  <si>
    <t>Lembaga Keagamaan pada Dusun Tegal</t>
  </si>
  <si>
    <t>TEGAL</t>
  </si>
  <si>
    <t>Alat Pemotong Kerupuk</t>
  </si>
  <si>
    <t>1 Kelompok</t>
  </si>
  <si>
    <t>Bantuan Alat Pertukangan</t>
  </si>
  <si>
    <t>Masyarakat Dusun Nyangget Baru</t>
  </si>
  <si>
    <t>Pertukangan Kayu</t>
  </si>
  <si>
    <t xml:space="preserve">Bantuan Peralatan Pertukangan </t>
  </si>
  <si>
    <t xml:space="preserve">Bantuan Alat Pertukangan </t>
  </si>
  <si>
    <t>2 Kelompok</t>
  </si>
  <si>
    <t>OPD Sudah sesuai</t>
  </si>
  <si>
    <t>PROGRAM PENGEMBANGAN UMKM</t>
  </si>
  <si>
    <t>Gerobak Pindah ke Dinas Perdagangan</t>
  </si>
  <si>
    <t>Pengentasan Pengangguran</t>
  </si>
  <si>
    <t>Pengadaan Alat Tukang Kayu dan Perlengkapan Kerajinan Bambu</t>
  </si>
  <si>
    <t>Masyarakat Dusun Perempung</t>
  </si>
  <si>
    <t>Tamansari</t>
  </si>
  <si>
    <t>PEREMPUNG (TAMAN SARI)</t>
  </si>
  <si>
    <t>ID Belum Aada</t>
  </si>
  <si>
    <t>Alat Tukang Kayu dan Kerajinan Bambu</t>
  </si>
  <si>
    <t>3 Set alat Pengolah Gula Aren</t>
  </si>
  <si>
    <t>Masyarakat Dusun Pancor</t>
  </si>
  <si>
    <t>PANCOR</t>
  </si>
  <si>
    <t>3 Set</t>
  </si>
  <si>
    <t>PROGRAM PENEMPATAN TENAGA KERJA</t>
  </si>
  <si>
    <t>1 Set Alat Tata Boga</t>
  </si>
  <si>
    <t>Masyarakat Dusun Apit Aiq</t>
  </si>
  <si>
    <t>APIT AIQ (GUNTUR MACAN)</t>
  </si>
  <si>
    <t xml:space="preserve">2 Set alat Pertukangan </t>
  </si>
  <si>
    <t>Masyarakat Dusun Barat Kokok</t>
  </si>
  <si>
    <t>BARAT KOKOK</t>
  </si>
  <si>
    <t>2 Set</t>
  </si>
  <si>
    <t>Bantuan Peralatan Industri Kecil Menengah</t>
  </si>
  <si>
    <t>Perbengkelan ( Kompressor dll )</t>
  </si>
  <si>
    <t>Pindah ke Disdag</t>
  </si>
  <si>
    <t>Peralatan UMKM (Kacang Asin)</t>
  </si>
  <si>
    <t>Masyarakat Karang Sidemen</t>
  </si>
  <si>
    <t>KARANG SIDEMEN</t>
  </si>
  <si>
    <t>7 orang</t>
  </si>
  <si>
    <t>Mesin Obras</t>
  </si>
  <si>
    <t>1. Mohri Rahman, 2. Kuriah, 3. Ida</t>
  </si>
  <si>
    <t>KARANG SIDEMEN UTARA</t>
  </si>
  <si>
    <t>Sasak Art atas nama M. Murahadi Imron</t>
  </si>
  <si>
    <t>KARANG SIDEMEN SELATAN</t>
  </si>
  <si>
    <t>Bantuan Peralatan UMKM (Kripik)</t>
  </si>
  <si>
    <t>1. Inaq Mini 2. Sabirin</t>
  </si>
  <si>
    <t>Bantuan Tata Boga 45JT
Tata Rias 45JT
Mesin Jahit 30JT
Mesin Obras 30JT</t>
  </si>
  <si>
    <t>Nyurlembang</t>
  </si>
  <si>
    <t>NYUR LEMBANG DAYE</t>
  </si>
  <si>
    <t>4 klp</t>
  </si>
  <si>
    <t>Pengalihan Dinas Sosial, Pemberdayaan Perempuan, dan Perlindungan Anak</t>
  </si>
  <si>
    <t>Kami Banyak UMKM diDesa maka kami harapkan bantuan untuk menunjang kreativitas UMKM yang ada di Desa</t>
  </si>
  <si>
    <t>Alat Kue Kering</t>
  </si>
  <si>
    <t xml:space="preserve">Untuk kebutuhan masyarakat ( Alat-alat Banjar) </t>
  </si>
  <si>
    <t>GERSIK SELATAN</t>
  </si>
  <si>
    <t>10 PAKET</t>
  </si>
  <si>
    <t>Tata Boga (Alat Kue Basah)</t>
  </si>
  <si>
    <t>Kurangnya alat alat produksi pendukung pembuatan Gerabah seperti(Artco, Sekop,Cangkul, Alat Pikul)dll</t>
  </si>
  <si>
    <t>kurangnya keterampilan dalam pengelolaan makanan (pelatihan kewirausahaan)</t>
  </si>
  <si>
    <t>KARANG PANDE</t>
  </si>
  <si>
    <t>1</t>
  </si>
  <si>
    <t>Bantuan Peralatan Kelompok Usaha Kerupuk</t>
  </si>
  <si>
    <t>Kelompok Usaha</t>
  </si>
  <si>
    <t>Alat Kerupuk</t>
  </si>
  <si>
    <t>Bantuan untuk tenaga kerja Mandiri 
(Bantuan Peralatan Tatan Boga, Bantuan 
Peralatan Tata Rias, Mesin Jahit, dan
Mesin Obras).</t>
  </si>
  <si>
    <t>JERNENG</t>
  </si>
  <si>
    <t>Mesin Jahit</t>
  </si>
  <si>
    <t>JOGOT BARAT</t>
  </si>
  <si>
    <t>Bantuan sarana prasarana Usaha Mikro
Kecil dan Menengah (UMKM)</t>
  </si>
  <si>
    <t>Alat Kue Basah</t>
  </si>
  <si>
    <t>Bantuan untuk Tenaga Kerja Mandiri (Bantuan Peralatan Tata Boga, Bantuan Peralatan Tata Rias, Bantuan Peralatan Mesin Jahit, Bantuan Peralatan Mesin Obras)</t>
  </si>
  <si>
    <t xml:space="preserve">TEMPIT </t>
  </si>
  <si>
    <t>10 Unit</t>
  </si>
  <si>
    <t>Usulan Alat Pemindangan</t>
  </si>
  <si>
    <t>MAPAK BARAT</t>
  </si>
  <si>
    <t>Bantuan untuk Tenaga Kerja Mandiri (Peralatan Tata Boga, Tata Rias, Mesin Jahit, Mesin Obras)</t>
  </si>
  <si>
    <t>LABUAPI TIMUR</t>
  </si>
  <si>
    <t xml:space="preserve">Tata Boga </t>
  </si>
  <si>
    <t>Alat Catering</t>
  </si>
  <si>
    <t>Permohonan Pelatihan Bantuan Peralatan Produksi Pande Besi</t>
  </si>
  <si>
    <t>Kelompok Pande Besi</t>
  </si>
  <si>
    <t>Bantuan sarana pengolahan makanan  (alat masak dsb)</t>
  </si>
  <si>
    <t>Kelompok pedagang kaki lima Dusun Brambang</t>
  </si>
  <si>
    <t xml:space="preserve">KURIPAN TIMUR </t>
  </si>
  <si>
    <t>BRAMBANG</t>
  </si>
  <si>
    <t>12 Unit Lapak</t>
  </si>
  <si>
    <t>Alat Kuliner</t>
  </si>
  <si>
    <t>Bantuan Peralatan UMKM (Peralatan Tata Rias)</t>
  </si>
  <si>
    <t>Warga dusun motosio brobot</t>
  </si>
  <si>
    <t xml:space="preserve">GIRI SASAK </t>
  </si>
  <si>
    <t>MOTOSIO BROBOT</t>
  </si>
  <si>
    <t xml:space="preserve">5 Klp </t>
  </si>
  <si>
    <t xml:space="preserve">5 Kelompok </t>
  </si>
  <si>
    <t>Tata Rias</t>
  </si>
  <si>
    <t xml:space="preserve">Kelompok Usaha </t>
  </si>
  <si>
    <t>PERENDEKAN SELATAN</t>
  </si>
  <si>
    <t>2 klpk</t>
  </si>
  <si>
    <t>Pelatihan UMKM</t>
  </si>
  <si>
    <t>Bantuan Peralatan Pengolahan Kripik</t>
  </si>
  <si>
    <t>Kelompok Pembuat Kripik Dusun Pelulan</t>
  </si>
  <si>
    <t>20 Orang</t>
  </si>
  <si>
    <t>Alat Keripik</t>
  </si>
  <si>
    <t xml:space="preserve"> Bantuan peralatan Pengolahan es krim (freezer/tempat penyimpanan)</t>
  </si>
  <si>
    <t>Kelompok Pembuat Es Krim Dusun Prengge Luah</t>
  </si>
  <si>
    <t>PERENGGE LUAH</t>
  </si>
  <si>
    <t>1 Klp 11 Or</t>
  </si>
  <si>
    <t>tambahan anggaran dari drainase</t>
  </si>
  <si>
    <t>Frezer</t>
  </si>
  <si>
    <t>Bantuan sarana prasarana Usaha Mikro Kecil dan Menengah (UMKM) pengolahan ICE CREAM (freezer)</t>
  </si>
  <si>
    <t>Kelompok Usaha Pembuatan Es Krim Dusun Perengge Dalam</t>
  </si>
  <si>
    <t>PRENGGE DALAM</t>
  </si>
  <si>
    <t>Alat Es Krim</t>
  </si>
  <si>
    <t>Bantuan sarpras bagi UMKM berupa  Alat dan Bahan pembuatan Ingke plastik bagi Kelompok Sedin Telabah</t>
  </si>
  <si>
    <t>Kelompok Pembuat Ingke Plastik/anyaman tamas Sedin telabah</t>
  </si>
  <si>
    <t>PEMANGKET</t>
  </si>
  <si>
    <t>12 Orang</t>
  </si>
  <si>
    <t>1 klmpk</t>
  </si>
  <si>
    <t>Anyaman Ingke</t>
  </si>
  <si>
    <t>Bantuan Alat dan Bahan pembuatan Ingke Kelompok Maju Bersama</t>
  </si>
  <si>
    <t>Kelompok Pembuat Ingke Plastik/anyaman tamas Maju Bersama</t>
  </si>
  <si>
    <t>11 Orang</t>
  </si>
  <si>
    <t>Bantuan Alat dan Bahan pembuatan Ingke bagi Kelompok Kotak Bersinar</t>
  </si>
  <si>
    <t>Kelompok Pembuat Ingke Plastik/anyaman tamas Kotak Bersinar</t>
  </si>
  <si>
    <t>Bantuan Alat dan Bahan pembuatan Ingke bagi Kelompok Pemangket Berkembang</t>
  </si>
  <si>
    <t>Kelompok Pembuat Ingke Plastik/anyaman tamas Pemangkat Berkembang</t>
  </si>
  <si>
    <t>Kelompok Rakyat Maju Bersama</t>
  </si>
  <si>
    <t>Kelompok Pembuat Ingke Plastik/anyaman tamas Rakyat Maju Bersama</t>
  </si>
  <si>
    <t>Bantuan sarana prasarana Usaha Mikro Kecil dan Menengah (UMKM)berupa alat dan bahan pembuatan anyaman tamas</t>
  </si>
  <si>
    <t>Kelompok Pembuat anyaman tamas cipta karya</t>
  </si>
  <si>
    <t>ITING LANGGAM</t>
  </si>
  <si>
    <t>Kelompok Cipta Karya</t>
  </si>
  <si>
    <t>Bantuan sarana prasarana Usaha Mikro Kecil dan Menengah (UMKM)berupa alat pembuatan es krim dan freezer</t>
  </si>
  <si>
    <t>Warga Dusun Iting Langgem</t>
  </si>
  <si>
    <t>Freezer</t>
  </si>
  <si>
    <t>Bantuan untuk Tenaga Kerja Mandiri (Bantuan Peralatan Peralatan Mesin Jahit dan Mesin Obras)</t>
  </si>
  <si>
    <t>Kelompok Tukang Jahit Dusun Grepek</t>
  </si>
  <si>
    <t>GEREPEK</t>
  </si>
  <si>
    <t>1 Klp  15 Or</t>
  </si>
  <si>
    <t xml:space="preserve">Bantuan untuk Tenaga Kerja Mandiri (Bantuan Peralatan Tukang Bangunan) </t>
  </si>
  <si>
    <t>Kelompok Tukang Bangunan Dusun Grepek</t>
  </si>
  <si>
    <t xml:space="preserve">Bantuan untuk Tenaga Kerja Mandiri (Bantuan Peralatan Sablon) </t>
  </si>
  <si>
    <t>Kelompok Tukang Sablon Dusun Grepek</t>
  </si>
  <si>
    <t>1 Klp 20 Or</t>
  </si>
  <si>
    <t xml:space="preserve">Bantuan untuk Tenaga Kerja Mandiri (Bantuan Peralatan Tukang LAS) </t>
  </si>
  <si>
    <t>Kelompok Tukang Las Dusun Grepek</t>
  </si>
  <si>
    <t>Bantuan sarana prasarana Usaha Mikro Kecil dan Menengah (UMKM) Alat Gulung Tali Rafia</t>
  </si>
  <si>
    <t>Kelompok usaha tali rapi Dusun Kuripan 1</t>
  </si>
  <si>
    <t>KURIPAN</t>
  </si>
  <si>
    <t>KURIPAN 1</t>
  </si>
  <si>
    <t>PELATIHAN UMKM</t>
  </si>
  <si>
    <t>Kelompok .......</t>
  </si>
  <si>
    <t>PENGADAAN GEROBAK BAGI IBU-IBU</t>
  </si>
  <si>
    <t>salah OPD</t>
  </si>
  <si>
    <t>Pelatihan roasting kopi</t>
  </si>
  <si>
    <t>Pelatihan Kopi</t>
  </si>
  <si>
    <t xml:space="preserve">TAMAN AYU </t>
  </si>
  <si>
    <t>Gunung Malang</t>
  </si>
  <si>
    <t>Pengalihan dari dinas Parrekrafpora</t>
  </si>
  <si>
    <t>Pegadaan alat roasting kopi</t>
  </si>
  <si>
    <t>Alat Roasting Kopi</t>
  </si>
  <si>
    <t>pengadaan alat usaha krupuk</t>
  </si>
  <si>
    <t>Alat Usaha Kerupuk</t>
  </si>
  <si>
    <t>Bantuan untuk Tenaga Kerja Mandiri</t>
  </si>
  <si>
    <t>Pengalihan dari dinas perdagangan</t>
  </si>
  <si>
    <t>Catering</t>
  </si>
  <si>
    <t>11 PAKET</t>
  </si>
  <si>
    <t xml:space="preserve">MAREJE TIMUR </t>
  </si>
  <si>
    <t>LENDANG DAMAI TIMUR</t>
  </si>
  <si>
    <t>Alat Bengkel</t>
  </si>
  <si>
    <t>Rabat Jalan</t>
  </si>
  <si>
    <t>DUSUN BANGE</t>
  </si>
  <si>
    <t>BANGE</t>
  </si>
  <si>
    <t>Usul Baru</t>
  </si>
  <si>
    <t>Rabat Jalan bukan Tupoksi DPKUKMTK</t>
  </si>
  <si>
    <t>DUSUN KOMBANG</t>
  </si>
  <si>
    <t>KOMBANG</t>
  </si>
  <si>
    <t>PERMINTAAN PERALATAN KERAJINA PERAK</t>
  </si>
  <si>
    <t>KELOMPOK JERENJENG SILVER</t>
  </si>
  <si>
    <t>Peralatan Kerajinan Ketak</t>
  </si>
  <si>
    <t>Peralatan Usaha Kerajinan Kulit Kerang</t>
  </si>
  <si>
    <t>BATU PUTIH</t>
  </si>
  <si>
    <t>Mekar sari</t>
  </si>
  <si>
    <t>Kerajinan Kerang Kulit</t>
  </si>
  <si>
    <t>Dibutuhkan Alat Penunjang UMKM Berupa Mesin Parut, Alat Adonan Kue, Blender, Mixer, Sendok,Wajan,Garpu,Nampan dll.</t>
  </si>
  <si>
    <t>Klp UKM</t>
  </si>
  <si>
    <t>kediri</t>
  </si>
  <si>
    <t>Dibutuhkan Alat Penunjang UMKM Berupa Mesin Parut, Alat Adonan Kue, Blender, Mixer, Sendok,Wajan,Garpu,Nampan, Oven dan pemanggang dll.</t>
  </si>
  <si>
    <t>Jagaraga Indah</t>
  </si>
  <si>
    <t>Pembuatan keripik buah</t>
  </si>
  <si>
    <t>Masyarakat Dusun Kekeri Timur</t>
  </si>
  <si>
    <t>KEKERI TIMUR</t>
  </si>
  <si>
    <t xml:space="preserve">1 kelompok </t>
  </si>
  <si>
    <t>pengadaan perlengkapan alat bengkel sepeda motor</t>
  </si>
  <si>
    <t>Masyarakat Dusun Montong Sager</t>
  </si>
  <si>
    <t>MONTONG SAGER</t>
  </si>
  <si>
    <t>Gunung Gundil</t>
  </si>
  <si>
    <t>Peralatan pengolahan kue kering dan basah</t>
  </si>
  <si>
    <t>Sepakat</t>
  </si>
  <si>
    <t>PROGRAM PENYEDIAAN DAN PENGEMBANGAN SARANA PERTANIAN</t>
  </si>
  <si>
    <t>Pengadaan Bibit Buah Buahan</t>
  </si>
  <si>
    <t>Kelompok Petani yang ada pada Dusun kedondong Bawak</t>
  </si>
  <si>
    <t>KEDONDONG BAWAK</t>
  </si>
  <si>
    <t>Dinas Pertanian</t>
  </si>
  <si>
    <r>
      <rPr>
        <b/>
        <sz val="11"/>
        <color theme="1"/>
        <rFont val="Calibri"/>
        <family val="2"/>
        <scheme val="minor"/>
      </rPr>
      <t xml:space="preserve">      1222 Batang</t>
    </r>
    <r>
      <rPr>
        <sz val="11"/>
        <color theme="1"/>
        <rFont val="Calibri"/>
        <family val="2"/>
        <scheme val="minor"/>
      </rPr>
      <t xml:space="preserve">                                            mangga 200                                             Durian  452                                         Kelengkeng 200                                Rambutan 370</t>
    </r>
  </si>
  <si>
    <t>Peningkatan Sarana Prasarana Jalan Dusun Bunut Boyot(Lapen)</t>
  </si>
  <si>
    <t>Masyarakat Dusun Bunut Boyot dan sekitarnya</t>
  </si>
  <si>
    <t xml:space="preserve">BENGKAUNG </t>
  </si>
  <si>
    <t>BUNUT BOYOT</t>
  </si>
  <si>
    <t>1000 Meter</t>
  </si>
  <si>
    <t>Diarahkan Ke PUPR karena usulannya Sarpras jalan Dusun Rp 154.937.240</t>
  </si>
  <si>
    <t xml:space="preserve">pembangunan kandang sapi ( Penembokan/Pagar) </t>
  </si>
  <si>
    <t>Kelompok Ternak Dusun Kayangan</t>
  </si>
  <si>
    <t>ARE MANIS</t>
  </si>
  <si>
    <t>Ls</t>
  </si>
  <si>
    <t>43 m</t>
  </si>
  <si>
    <t>Penembokan Kandang sapi</t>
  </si>
  <si>
    <t>Pembangunan / Rehabilitasi Jalan Usaha Tani Type C</t>
  </si>
  <si>
    <t>Masyarakat Dusun Aiq Are dan sekitarnya</t>
  </si>
  <si>
    <t>AIQ ARE</t>
  </si>
  <si>
    <t>346,2 m2</t>
  </si>
  <si>
    <t>27m2</t>
  </si>
  <si>
    <t>Pembangunan / Rehabilitasi Jalan Usaha Tani Type H</t>
  </si>
  <si>
    <t>Pengadaan Bibit Buah-buahan</t>
  </si>
  <si>
    <t xml:space="preserve">Kelompok Petani/ Masyarakat Dusun Apitaiq </t>
  </si>
  <si>
    <t>APIT AIQ (BATULAYAR)</t>
  </si>
  <si>
    <t>600 Bibit</t>
  </si>
  <si>
    <t xml:space="preserve">      </t>
  </si>
  <si>
    <r>
      <rPr>
        <b/>
        <sz val="11"/>
        <color theme="1"/>
        <rFont val="Calibri"/>
        <family val="2"/>
        <scheme val="minor"/>
      </rPr>
      <t xml:space="preserve">      545  Batan</t>
    </r>
    <r>
      <rPr>
        <sz val="11"/>
        <color theme="1"/>
        <rFont val="Calibri"/>
        <family val="2"/>
        <scheme val="minor"/>
      </rPr>
      <t>g                                  Manggis 95                                             Durian  200                                         Kelengkeng 100                                 Alpukat 150</t>
    </r>
  </si>
  <si>
    <t>Penyesuaian anggaran menjadi 50 Jt, kesepakatan desa dan sepengetahuan kecamatan</t>
  </si>
  <si>
    <t xml:space="preserve">Pelatihan Dan Bantuan Alat Budi Daya Lebah Trigona </t>
  </si>
  <si>
    <t>Masyarakat Dusun Suka Maju</t>
  </si>
  <si>
    <t>Suka Maju</t>
  </si>
  <si>
    <t>770 Batang Pohon</t>
  </si>
  <si>
    <t xml:space="preserve">Bantuan Alat Budi Daya Lebah Trigona </t>
  </si>
  <si>
    <t>Alat Pertanian Dan Benih Tanaman Pangan</t>
  </si>
  <si>
    <t>1300 Kg</t>
  </si>
  <si>
    <t>Pengadaan Benih Tanaman Pangan (Padi)</t>
  </si>
  <si>
    <t>Bantuan Alat mesin pertanian / Handsprayer</t>
  </si>
  <si>
    <t>Pembangunan Jalan Usaha Tani</t>
  </si>
  <si>
    <t>Masyarakat Dusun Bile Tepung</t>
  </si>
  <si>
    <t>SESELA</t>
  </si>
  <si>
    <t>BILA TEPUNG</t>
  </si>
  <si>
    <t>300 M2</t>
  </si>
  <si>
    <t>54 m2</t>
  </si>
  <si>
    <t>Pengadaan Bibit Ayam Joper dan Pakan</t>
  </si>
  <si>
    <t>Masyarakat Dusun Sesela Ledang</t>
  </si>
  <si>
    <t>SESELA LENDANG</t>
  </si>
  <si>
    <t>1000 Ekor</t>
  </si>
  <si>
    <t>DOC Joper 20 Box                                           Pakan Ayam Potong 6000 Kg</t>
  </si>
  <si>
    <t>Rabat Jalan Usaha Tani</t>
  </si>
  <si>
    <t>Masyarakat Dusun Batu Butir</t>
  </si>
  <si>
    <t>KEKAIT</t>
  </si>
  <si>
    <t>BATU BUTIR</t>
  </si>
  <si>
    <t>320 m</t>
  </si>
  <si>
    <t>55 m2</t>
  </si>
  <si>
    <t>pasangan batu dan Rabat beton</t>
  </si>
  <si>
    <t>Masyarakat Dusun Kekeri</t>
  </si>
  <si>
    <t>50 m</t>
  </si>
  <si>
    <t>Bantuan Alat mesin pertanian / pompa air</t>
  </si>
  <si>
    <t>Masyarakat Dusun Mambalan</t>
  </si>
  <si>
    <t>MAMBALAN</t>
  </si>
  <si>
    <t>180 M3</t>
  </si>
  <si>
    <t>80 m2</t>
  </si>
  <si>
    <t>Bantuan Kelompok Ternak Sapi  ( Sapi )</t>
  </si>
  <si>
    <t>6 Ekor</t>
  </si>
  <si>
    <t>Bantuan Ternak Sapi ( Jantan )</t>
  </si>
  <si>
    <t>PAVING BLOCK</t>
  </si>
  <si>
    <t>Masyarakat Dusun Penimbung Gubuk Baru</t>
  </si>
  <si>
    <t>PENIMBUNG GUBUK BARU</t>
  </si>
  <si>
    <t>170 METER</t>
  </si>
  <si>
    <t>AYAM PETELUR</t>
  </si>
  <si>
    <t>Masyarakat Desa Penimbung</t>
  </si>
  <si>
    <t>2000 EKOR</t>
  </si>
  <si>
    <t xml:space="preserve">Ayam Ras Siap Telur ( Layer ) 900 ekor,                                                                   Dedak Halus ( Bekatul ) 1000 Kg,  Jagung Giling 1005 Kg,                            Pakan Konsentrat 1200 Kg  </t>
  </si>
  <si>
    <t>Bantuan Bibit Ayam petelur dan Pakan Ternak</t>
  </si>
  <si>
    <t>2 Set alat Pertanian</t>
  </si>
  <si>
    <t>Masyarakat Dusun Guntur Macan</t>
  </si>
  <si>
    <t>GUNTUR MACAN</t>
  </si>
  <si>
    <t>Perontok Padi OB 1000 1 Unit, Handspryaer 1 Unit</t>
  </si>
  <si>
    <t>Bantuan Alat Pertanian         ( Handsprayer dan perontok Padi )</t>
  </si>
  <si>
    <t xml:space="preserve">Bebek </t>
  </si>
  <si>
    <t>Guntur Macan</t>
  </si>
  <si>
    <t>Ekor</t>
  </si>
  <si>
    <t xml:space="preserve">Itik Petelur  550 ekor,                                 Dedak Halus ( Bekatul ) 1037 Kg,, Jagung Giling 760 Kg,                                  Pakan Konsentrat 760 Kg  </t>
  </si>
  <si>
    <t>Bantuan Bebek petelur dan Pakan Ternak</t>
  </si>
  <si>
    <t>Pengadaan Bbit Puyuh, Kandang, Pakan Dll</t>
  </si>
  <si>
    <t>Masyarakat Dusun Dasan Geres</t>
  </si>
  <si>
    <t>1500 EKOR</t>
  </si>
  <si>
    <t xml:space="preserve">Indukan Puyuh Siap Bertelur  2200 ekor,                                                                       Dedak Halus ( Bekatul ) 707 Kg,,              Jagung Giling 1350 Kg,                                Pakan Konsentrat 1000 Kg  </t>
  </si>
  <si>
    <t>Menjadi Pengadaan bibit puyuh dan pakan                                                               ( Bantuan Bibit Puyuh dan Pakan )</t>
  </si>
  <si>
    <t>Pengadaan Kandang Puyuh</t>
  </si>
  <si>
    <t>20 m2</t>
  </si>
  <si>
    <t>Pecahan dari Pengadaan Bbit Puyuh, Kandang, Pakan Dll                                       ( Bantuan kandang Puyuh )</t>
  </si>
  <si>
    <t>Masyarakat Dusun Ranjok Baru</t>
  </si>
  <si>
    <t>Ranjok Baru</t>
  </si>
  <si>
    <t xml:space="preserve">Indukan Puyuh Siap Bertelur  2200 ekor,                                                                    Dedak Halus ( Bekatul ) 707 Kg,,                Jagung Giling 1350 Kg,                                Pakan Konsentrat 1000 Kg  </t>
  </si>
  <si>
    <t>Masyarakat Dusun Ranjok Selatan</t>
  </si>
  <si>
    <t>Ranjok Selatan</t>
  </si>
  <si>
    <t xml:space="preserve">Indukan Puyuh Siap Bertelur  2200 ekor,                                                                    Dedak Halus ( Bekatul ) 707 Kg,,            Jagung Giling 1350 Kg,                            Pakan Konsentrat 1000 Kg  </t>
  </si>
  <si>
    <t>Masyarakat Dusun Jagapati</t>
  </si>
  <si>
    <t>Jagapati</t>
  </si>
  <si>
    <t xml:space="preserve">Indukan Puyuh Siap Bertelur  2200 ekor,                                                                    Dedak Halus ( Bekatul ) 707 Kg,,               Jagung Giling 1350 Kg,                                Pakan Konsentrat 1000 Kg  </t>
  </si>
  <si>
    <t>Talud dengan Gorong-Gorong</t>
  </si>
  <si>
    <t>Masyarakat Dusun Jeringo Limbungan</t>
  </si>
  <si>
    <t>JERINGO</t>
  </si>
  <si>
    <t>JERINGO LIMBUNGAN</t>
  </si>
  <si>
    <t>50 M</t>
  </si>
  <si>
    <t>90 m2</t>
  </si>
  <si>
    <t>Kondisi Jalan usaha tani yang ada di dua dusun yaitu dusun awang madia menuju dusun montong lisung masih berupa tanah sehingga tidak dapat di lalaui kendarann saat musim hujan dan menghambat pengangkutan hasil panen.</t>
  </si>
  <si>
    <t>kelompok Tani Sekarsasri</t>
  </si>
  <si>
    <t>Awang Madia</t>
  </si>
  <si>
    <t>talud:132 M3</t>
  </si>
  <si>
    <t>51 m2</t>
  </si>
  <si>
    <t>Kelompok Tani Montong Tangar</t>
  </si>
  <si>
    <t>Montong Tangar</t>
  </si>
  <si>
    <t>250 M²</t>
  </si>
  <si>
    <t>53 m2</t>
  </si>
  <si>
    <t xml:space="preserve">Masyarakat Desa Giri Madia membutuhkan bibit tanaman seperi mangsi, alpukat dan durian karena masih bayak lahan perkebunan  yang kosong </t>
  </si>
  <si>
    <t>Anggota kelompok tani</t>
  </si>
  <si>
    <t>Tempos Madani</t>
  </si>
  <si>
    <t>500 Bibit</t>
  </si>
  <si>
    <r>
      <t xml:space="preserve">      </t>
    </r>
    <r>
      <rPr>
        <b/>
        <sz val="11"/>
        <color theme="1"/>
        <rFont val="Calibri"/>
        <family val="2"/>
        <scheme val="minor"/>
      </rPr>
      <t>805 Batang</t>
    </r>
    <r>
      <rPr>
        <sz val="11"/>
        <color theme="1"/>
        <rFont val="Calibri"/>
        <family val="2"/>
        <scheme val="minor"/>
      </rPr>
      <t xml:space="preserve">                                      Manggis 245                                            Durian  300                                                          Alpukat 260</t>
    </r>
  </si>
  <si>
    <t>Pembangunan/Rehabilitasi Jalan Usaha Tani</t>
  </si>
  <si>
    <t>Kelompok Tani Sandongan II</t>
  </si>
  <si>
    <t>SARIBAYA</t>
  </si>
  <si>
    <t>Sandongan Timur</t>
  </si>
  <si>
    <t>350 M²</t>
  </si>
  <si>
    <t>107 m2</t>
  </si>
  <si>
    <t>Pengadaan Bibit dan Pakan Ternak</t>
  </si>
  <si>
    <t xml:space="preserve">Warga Sandongan </t>
  </si>
  <si>
    <t>SANDONGAN</t>
  </si>
  <si>
    <t xml:space="preserve">Ayam Ras Siap Telur ( Layer ) 525 ekor,                                                     Dedak Halus ( Bekatul ) 300 Kg,             Jagung Giling 653 Kg,                                               Pakan Konsentrat 500 Kg  </t>
  </si>
  <si>
    <t>Warga Repok Keri</t>
  </si>
  <si>
    <t>REPOK KEKERI</t>
  </si>
  <si>
    <t>Warga Nirbaye</t>
  </si>
  <si>
    <t>NIRBAYA</t>
  </si>
  <si>
    <t>Bantuan Sarana Pertanian berupa Alat Mesin Pertanian</t>
  </si>
  <si>
    <t>Kelompok Tani</t>
  </si>
  <si>
    <t>Hand Traktor 1 Unit                                                       Pompa Air 3 Unit</t>
  </si>
  <si>
    <t>Bantuan Alat mesin pertanian / Hand Traktor dan Pompa Air</t>
  </si>
  <si>
    <t>Pembangunan/Rehabilitasi Jalan Usaha Tani Type C</t>
  </si>
  <si>
    <t>150x2,5 m</t>
  </si>
  <si>
    <t>Kelompok Ternak</t>
  </si>
  <si>
    <t>DASAN GERIA UTARA</t>
  </si>
  <si>
    <t xml:space="preserve">Ayam Ras Siap Telur ( Layer ) 757 ekor,                                                     Dedak Halus ( Bekatul ) 450 Kg,             Jagung Giling 987 Kg,                                               Pakan Konsentrat 750 Kg  </t>
  </si>
  <si>
    <t>Masyarakat Dusun Menjeli Permai</t>
  </si>
  <si>
    <t>MENJELI PERMAI</t>
  </si>
  <si>
    <t>500m</t>
  </si>
  <si>
    <t>Kelompok Tani "Mekar Sari II"</t>
  </si>
  <si>
    <t>BAGIK NUNGGAL BARAT</t>
  </si>
  <si>
    <t>100m</t>
  </si>
  <si>
    <t>27 m2</t>
  </si>
  <si>
    <t>Pengadaan Benih Tanaman Pangan</t>
  </si>
  <si>
    <t>1350 Kg</t>
  </si>
  <si>
    <t>Bantuan Pengadaan Benih Tanaman Pangan (Padi)</t>
  </si>
  <si>
    <t>Pembangunan / Rehabilitasi Jalan Usaha Tani Type C,/ Rabat Jalan dan Plat Gorong-Gorong</t>
  </si>
  <si>
    <t>1  PAKET</t>
  </si>
  <si>
    <t>86 m2</t>
  </si>
  <si>
    <t>BUG-BUG SELATAN TIMUR</t>
  </si>
  <si>
    <t>102 m2</t>
  </si>
  <si>
    <t>JALAN USAHA TANI</t>
  </si>
  <si>
    <t xml:space="preserve">KELOMPOK TANI </t>
  </si>
  <si>
    <t>GEGERUNG</t>
  </si>
  <si>
    <t>JELATENG TIMUR (GEGERUNG)</t>
  </si>
  <si>
    <t>500 M</t>
  </si>
  <si>
    <t>72 m2</t>
  </si>
  <si>
    <t>Rehabilitasi dan pemeliharaan jaringan irigasi usaha tani,</t>
  </si>
  <si>
    <t>WARGA DUSUN JELATENG TENGAH</t>
  </si>
  <si>
    <t>JELATENG TENGAH</t>
  </si>
  <si>
    <t>119 m2</t>
  </si>
  <si>
    <t>Pembangunan, Rehabilitasi dan pemeliharaan Jaringan Irigasi Tersier Type C</t>
  </si>
  <si>
    <t>PEMASANGAN DRAINASE DAN PLAT SALURAN IRIGASI</t>
  </si>
  <si>
    <t>Masyarakat Petani Dusun Darmasaba</t>
  </si>
  <si>
    <t>KERU</t>
  </si>
  <si>
    <t>DARMASABA</t>
  </si>
  <si>
    <t>120 M</t>
  </si>
  <si>
    <t>130 m2</t>
  </si>
  <si>
    <t>Pengadaan Bibit Tanaman Perkebunan</t>
  </si>
  <si>
    <t>KWT Bukti Bakti</t>
  </si>
  <si>
    <t>BATU KUTA PAROA</t>
  </si>
  <si>
    <r>
      <rPr>
        <b/>
        <sz val="11"/>
        <color theme="1"/>
        <rFont val="Calibri"/>
        <family val="2"/>
        <scheme val="minor"/>
      </rPr>
      <t xml:space="preserve">      490 Batang</t>
    </r>
    <r>
      <rPr>
        <sz val="11"/>
        <color theme="1"/>
        <rFont val="Calibri"/>
        <family val="2"/>
        <scheme val="minor"/>
      </rPr>
      <t xml:space="preserve">                                        Manggis 150                                           Durian  200                                           Rambutan 100                                     Alpukat 40</t>
    </r>
  </si>
  <si>
    <t>Pembangunan Kandang Ternak</t>
  </si>
  <si>
    <t>Kelompok Taruna Tani Wire Singe</t>
  </si>
  <si>
    <t>BATU KUTA UTARA</t>
  </si>
  <si>
    <t>1 Bh</t>
  </si>
  <si>
    <t>50 m2</t>
  </si>
  <si>
    <t>pembangunan kandang Ayam petelur                                                             (Lahan masih belum jelas ( Masih Diusahakan lahan pemda))</t>
  </si>
  <si>
    <t>Pembangunan, Rehabilitasi dan Pemeliharaan Pintu Air</t>
  </si>
  <si>
    <t>100 m2</t>
  </si>
  <si>
    <t>BATU KUTA SELATAN</t>
  </si>
  <si>
    <t>400 M</t>
  </si>
  <si>
    <t>Diatas 200 Juta</t>
  </si>
  <si>
    <t>500 meter</t>
  </si>
  <si>
    <t>Saluran Irigasi Type C</t>
  </si>
  <si>
    <t>Masyarakat Karang Taliwang</t>
  </si>
  <si>
    <t>KARANG TALIWANG</t>
  </si>
  <si>
    <t>200 M2</t>
  </si>
  <si>
    <t>82 m2</t>
  </si>
  <si>
    <t>Drainase</t>
  </si>
  <si>
    <t>45 m2</t>
  </si>
  <si>
    <t>Masyarakat Dusun Dasan Tereng Pengenjek</t>
  </si>
  <si>
    <t>DASAN TERENG PENGENJEK</t>
  </si>
  <si>
    <t>56 M2</t>
  </si>
  <si>
    <t>45  m2</t>
  </si>
  <si>
    <t>Roda Tiga</t>
  </si>
  <si>
    <t>Bantuan Alat mesin pertanian / Roda tiga</t>
  </si>
  <si>
    <t>MERCE BARAT</t>
  </si>
  <si>
    <t>100 x3x0,12</t>
  </si>
  <si>
    <t>Rabat Jalan Usaha Tani Menuju Salut</t>
  </si>
  <si>
    <t>MERCE TIMUR</t>
  </si>
  <si>
    <t>200 Meter</t>
  </si>
  <si>
    <t>67 m2</t>
  </si>
  <si>
    <t>Rabat Jalan Usaha Tani Menuju Merce</t>
  </si>
  <si>
    <t>SALUT</t>
  </si>
  <si>
    <t>Masyarakat Dusun Sembung Daye</t>
  </si>
  <si>
    <t>SEMBUNG</t>
  </si>
  <si>
    <t>SEMBUNG DAYE</t>
  </si>
  <si>
    <t xml:space="preserve">DOD Bebek Pedaging) 700 ekor,                                                     Dedak Halus ( Bekatul )1000 Kg,             Jagung Giling 1141 Kg,                                               Pakan Konsentrat 1200 Kg  </t>
  </si>
  <si>
    <t>Bibit Bebek pedaging dan Pakan</t>
  </si>
  <si>
    <t>KEBON NYIUH</t>
  </si>
  <si>
    <t>Bantuan Alat mesin pertanian / Hand Traktor</t>
  </si>
  <si>
    <t>Pengadaan bibit dan paakan ternak</t>
  </si>
  <si>
    <t>Masyarakat di Dusun Kalimanting</t>
  </si>
  <si>
    <t>Kalimanting</t>
  </si>
  <si>
    <t>300M</t>
  </si>
  <si>
    <t>Dibatalkan dari desa,</t>
  </si>
  <si>
    <t xml:space="preserve">Kebutuhan talud pertanian </t>
  </si>
  <si>
    <t>500 m2</t>
  </si>
  <si>
    <t>91 m2</t>
  </si>
  <si>
    <t>Pembangunan jalan kabupaten/pengerasan jalan usaha tani</t>
  </si>
  <si>
    <t>1200 m2</t>
  </si>
  <si>
    <t>155 m2</t>
  </si>
  <si>
    <t>Diatas 200 Jua</t>
  </si>
  <si>
    <t>Rehabilitasi Drainase</t>
  </si>
  <si>
    <t>KRAMA JAYA</t>
  </si>
  <si>
    <t>MEJETI TENGAK</t>
  </si>
  <si>
    <t>100 M</t>
  </si>
  <si>
    <t>75 m2</t>
  </si>
  <si>
    <t>MEJETI OTAK DESA</t>
  </si>
  <si>
    <t>Talud dan rabat jalan usaha tani</t>
  </si>
  <si>
    <t>Petani di Dusun Batu Kantar</t>
  </si>
  <si>
    <t xml:space="preserve">NARMADA </t>
  </si>
  <si>
    <t xml:space="preserve"> BATU KANTAR</t>
  </si>
  <si>
    <t>250 m</t>
  </si>
  <si>
    <t>107 m</t>
  </si>
  <si>
    <t>Saluran Irigasi</t>
  </si>
  <si>
    <t>Petani</t>
  </si>
  <si>
    <t xml:space="preserve">MEKAR SARI </t>
  </si>
  <si>
    <t>Pemangket Nyangget</t>
  </si>
  <si>
    <t>300 M</t>
  </si>
  <si>
    <t>180 m2</t>
  </si>
  <si>
    <t>Pembangunan Saluran Irigasi Tersier</t>
  </si>
  <si>
    <t>SEDAU</t>
  </si>
  <si>
    <t>SEDAU EAT BINTANG</t>
  </si>
  <si>
    <t>182 m2</t>
  </si>
  <si>
    <t>Saluran Irigasi pertanian</t>
  </si>
  <si>
    <t>Kelompok Tani Dusun setempat</t>
  </si>
  <si>
    <t>Timur Raya</t>
  </si>
  <si>
    <t>170M x 1 M x 2</t>
  </si>
  <si>
    <t>64 m</t>
  </si>
  <si>
    <t>Kurangnya peralatan Traktor 1 unit  ( pompa air)</t>
  </si>
  <si>
    <t>Bantuan Alat mesin pertanian / Pompa Air</t>
  </si>
  <si>
    <t>Pengadaan bibit pakan ternak</t>
  </si>
  <si>
    <t>Kelompok Tani Dusun Setempat</t>
  </si>
  <si>
    <t>Muhajirin (BANYUMULEK)</t>
  </si>
  <si>
    <t>DOC Joper 18 Box                             Pakan Ayam Potong 2403 Kg</t>
  </si>
  <si>
    <t>Pengadaan bibit ayam joper dan pakan ternak</t>
  </si>
  <si>
    <t>PENGODONGAN INDAH</t>
  </si>
  <si>
    <t>DOC Joper 36 Box                                            Pakan Ayam Potong 4805 Kg</t>
  </si>
  <si>
    <t>KURANGNYA KETERSEDIAAN PRASARANA PETANI BUNGA (pengadaan bibit tanaman bunga)</t>
  </si>
  <si>
    <t xml:space="preserve">KERANGKENG </t>
  </si>
  <si>
    <t>2</t>
  </si>
  <si>
    <r>
      <rPr>
        <b/>
        <sz val="11"/>
        <color theme="1"/>
        <rFont val="Calibri"/>
        <family val="2"/>
        <scheme val="minor"/>
      </rPr>
      <t xml:space="preserve">          456 Batang</t>
    </r>
    <r>
      <rPr>
        <sz val="11"/>
        <color theme="1"/>
        <rFont val="Calibri"/>
        <family val="2"/>
        <scheme val="minor"/>
      </rPr>
      <t xml:space="preserve">                                         Manggis 150                                          Durian  200                                                            Alpukat 106</t>
    </r>
  </si>
  <si>
    <t xml:space="preserve">Kurangnya ketersediaan benih bersetifikat tanaman pangan berbentuk bibit
</t>
  </si>
  <si>
    <t>KERANGKENG TIMUR</t>
  </si>
  <si>
    <r>
      <rPr>
        <b/>
        <sz val="11"/>
        <color theme="1"/>
        <rFont val="Calibri"/>
        <family val="2"/>
        <scheme val="minor"/>
      </rPr>
      <t xml:space="preserve">          590 Batang</t>
    </r>
    <r>
      <rPr>
        <sz val="11"/>
        <color theme="1"/>
        <rFont val="Calibri"/>
        <family val="2"/>
        <scheme val="minor"/>
      </rPr>
      <t xml:space="preserve">                                  Manggis 150                                          Durian  2350                                                            Alpukat 106                                           Rambutan 100</t>
    </r>
  </si>
  <si>
    <t>Kurangnya bibit pertanian untuk kelompok petani bunga Seperti(Semangka durian kelengkeng mangga rambutan dan lain lain)</t>
  </si>
  <si>
    <r>
      <rPr>
        <b/>
        <sz val="11"/>
        <color theme="1"/>
        <rFont val="Calibri"/>
        <family val="2"/>
        <scheme val="minor"/>
      </rPr>
      <t xml:space="preserve">        210 Batang                                                 </t>
    </r>
    <r>
      <rPr>
        <sz val="11"/>
        <color theme="1"/>
        <rFont val="Calibri"/>
        <family val="2"/>
        <scheme val="minor"/>
      </rPr>
      <t xml:space="preserve"> Manggis 75                                                    Durian  75                                                            Alpukat 60</t>
    </r>
  </si>
  <si>
    <t>RUMAK</t>
  </si>
  <si>
    <t>Rumak Timur Utara</t>
  </si>
  <si>
    <t>165 M</t>
  </si>
  <si>
    <t>43 m2</t>
  </si>
  <si>
    <t xml:space="preserve">Rabat Jalan </t>
  </si>
  <si>
    <t>Rumak Barat Selatan</t>
  </si>
  <si>
    <t>260x3,5 M</t>
  </si>
  <si>
    <t>48 m2</t>
  </si>
  <si>
    <t>kurang tersedianya prasarana pertanian (Traktor 1 dan pompa air 4)</t>
  </si>
  <si>
    <t>Dasan Tebu</t>
  </si>
  <si>
    <t>2x100</t>
  </si>
  <si>
    <t>Hand Traktor 1 Unit                                   Pompa Air 4 Unit</t>
  </si>
  <si>
    <t>terjadi pendangkalan di irigasi dan talud rusak.</t>
  </si>
  <si>
    <t>Ombe Rerot Timur</t>
  </si>
  <si>
    <t>50x1,5x30</t>
  </si>
  <si>
    <t>Belum ada pintu air.</t>
  </si>
  <si>
    <t>3xo,8x0,4</t>
  </si>
  <si>
    <t>TIDAK LAYAK  PAKAI /RUSAK BERAT KANDANG TERNAK KAMBING</t>
  </si>
  <si>
    <t>Kelompok Ternak di Dusun setempat</t>
  </si>
  <si>
    <t>MONTONG ARE</t>
  </si>
  <si>
    <t>MONTONG ARE SARU</t>
  </si>
  <si>
    <t xml:space="preserve">pembangunan kandang ternak Kambing                       </t>
  </si>
  <si>
    <t>107m2</t>
  </si>
  <si>
    <t>Pembangunan/Rehabilitasi Jalan Usaha
Tani Type C</t>
  </si>
  <si>
    <t>PROGRAM PENYULUHAN PERTANIAN</t>
  </si>
  <si>
    <t>Pelatihan penerapan Teknologi
Inovasi Baru</t>
  </si>
  <si>
    <t>5 Paket</t>
  </si>
  <si>
    <t>DOC Joper10 Box                                           Pakan Ayam Potong 939 Kg</t>
  </si>
  <si>
    <t>Pengadaan Bibit Ayam dan Pakan Ternak (Joper)</t>
  </si>
  <si>
    <t>Anggarannya di alihkan ke ID 2818621</t>
  </si>
  <si>
    <t>Semua anggarannya dialihkan ke id 2818621</t>
  </si>
  <si>
    <t>Pembangunan Irigasi Tanah Dangkal (Sumur pertanian)</t>
  </si>
  <si>
    <t>5 Juta dialihkan ke Id 2818621</t>
  </si>
  <si>
    <t>Pembangunan, Rehabilitasi dan Pemeliharaan DAM Parit</t>
  </si>
  <si>
    <t>64 m2</t>
  </si>
  <si>
    <t>MAPAK DASAN</t>
  </si>
  <si>
    <t>DOC Joper 20 Box                                           Pakan Ayam Potong 2253 Kg</t>
  </si>
  <si>
    <t>Bantuan Pengadaan bibit ayam joper dan pakan ternak</t>
  </si>
  <si>
    <t>1 Kegiatan</t>
  </si>
  <si>
    <r>
      <rPr>
        <b/>
        <sz val="11"/>
        <color theme="1"/>
        <rFont val="Calibri"/>
        <family val="2"/>
        <scheme val="minor"/>
      </rPr>
      <t xml:space="preserve">                420  Batang</t>
    </r>
    <r>
      <rPr>
        <sz val="11"/>
        <color theme="1"/>
        <rFont val="Calibri"/>
        <family val="2"/>
        <scheme val="minor"/>
      </rPr>
      <t xml:space="preserve">                                 Jambu kristal 250                                         Durian  70                                                           Alpukat 100</t>
    </r>
  </si>
  <si>
    <t>3 Lokasi</t>
  </si>
  <si>
    <t>KAPITAN</t>
  </si>
  <si>
    <t>60m2</t>
  </si>
  <si>
    <t>Bantuan Hand Traktor</t>
  </si>
  <si>
    <t>Bantuan Alat mesin pertanian / Hand Traktorr</t>
  </si>
  <si>
    <t>Bantuan Roda Tiga</t>
  </si>
  <si>
    <t xml:space="preserve">Permohonan Bantuan Pengadaan Mesin Traktor Roda 2 </t>
  </si>
  <si>
    <t>Kelompok Tani dusun Adeng</t>
  </si>
  <si>
    <t>ADENG</t>
  </si>
  <si>
    <t>Bantuan Alat mesin pertanian /   Hand Traktor</t>
  </si>
  <si>
    <t>Kelompok tani</t>
  </si>
  <si>
    <t>BUNTAGE</t>
  </si>
  <si>
    <t>29 m2</t>
  </si>
  <si>
    <t>dapet penambahan jadi 55 juta</t>
  </si>
  <si>
    <t>Kelompok Peternak Dusun Pelulan</t>
  </si>
  <si>
    <t xml:space="preserve">14 Orang </t>
  </si>
  <si>
    <t>4 Ekor</t>
  </si>
  <si>
    <t>Bantuan Pengadaan Bibit sapi betina (  ≥ 102 cm )</t>
  </si>
  <si>
    <t>Bantuan Sarana Pertanian berupa Hand traktor</t>
  </si>
  <si>
    <t>Kelompok Petani Perengge Luah</t>
  </si>
  <si>
    <t>Pengadaan Bibit sapi dan Pakan Ternak</t>
  </si>
  <si>
    <t>Kelompok Peternakan Dusun Pedek Anyar</t>
  </si>
  <si>
    <t>PEDEK ANYAR</t>
  </si>
  <si>
    <t>1 KLP</t>
  </si>
  <si>
    <t>7 ekor</t>
  </si>
  <si>
    <t>Bantuan Pengadaan Bibit sapi betina ( ≥ 105 cm)</t>
  </si>
  <si>
    <t>Kelompok Peternakan Dusun Pesongoran</t>
  </si>
  <si>
    <t>PESONGORAN</t>
  </si>
  <si>
    <t>22 ORG</t>
  </si>
  <si>
    <t>Rehabilitasi Jalan Usaha Tani</t>
  </si>
  <si>
    <t>Kelompok Tani Berkat Patuh</t>
  </si>
  <si>
    <t>MESANGGOK</t>
  </si>
  <si>
    <t>Dasan Ketujur Timur</t>
  </si>
  <si>
    <t>1000 m</t>
  </si>
  <si>
    <t>Perbaikan irigasi tersier</t>
  </si>
  <si>
    <t>KELURAHAN GERUNG UTARA</t>
  </si>
  <si>
    <t>Bagu</t>
  </si>
  <si>
    <t>350 Meter</t>
  </si>
  <si>
    <t>Kelompok Tani Patuh Angen</t>
  </si>
  <si>
    <t>MENANG</t>
  </si>
  <si>
    <t>900 M</t>
  </si>
  <si>
    <t>Saluran Irigasi tersier</t>
  </si>
  <si>
    <t>MESULIK</t>
  </si>
  <si>
    <t>65 m2</t>
  </si>
  <si>
    <t>Rehabilitasi Jalan Usaha Tani Type C</t>
  </si>
  <si>
    <t>Kelompok Tani Dasan Tapen, Kelompok Tani Carik Kauh Selatan, Kelompok Tani Carik Kauh Utara, Kelompok Tani Patut Patuh Pacu</t>
  </si>
  <si>
    <t>DASAN TAPEN</t>
  </si>
  <si>
    <t>CARIQ KAUH</t>
  </si>
  <si>
    <t>2500 M</t>
  </si>
  <si>
    <t>2791339, 2931795</t>
  </si>
  <si>
    <t>Belum jelas Utusan masih diskusi dengan desa (kepastian OPD dan strategi desa)</t>
  </si>
  <si>
    <t>Kelompok Tani Pade Maju</t>
  </si>
  <si>
    <t>SUKA MAKMUR</t>
  </si>
  <si>
    <t>Ketejer</t>
  </si>
  <si>
    <t>500 Mete</t>
  </si>
  <si>
    <t>Kelompok Tani Egok 1 Timur</t>
  </si>
  <si>
    <t xml:space="preserve">EGOK </t>
  </si>
  <si>
    <t>300 Meter</t>
  </si>
  <si>
    <t>Jalan Usaha Tani</t>
  </si>
  <si>
    <t>Kelompok Tani Baru ngase</t>
  </si>
  <si>
    <t>BONGOR MUHAJJIRIN</t>
  </si>
  <si>
    <t>Kandang Ternak</t>
  </si>
  <si>
    <t>Kelompok Ternak Bumbung Besi</t>
  </si>
  <si>
    <t>Peseng</t>
  </si>
  <si>
    <t>40 m2</t>
  </si>
  <si>
    <t>Pembangunan kandang sapi</t>
  </si>
  <si>
    <t>Urugan JUT</t>
  </si>
  <si>
    <t>Kelompok Tani Fajar Baru I</t>
  </si>
  <si>
    <t>17 m2</t>
  </si>
  <si>
    <t>Desa Jantung</t>
  </si>
  <si>
    <t>GUBUK BALI</t>
  </si>
  <si>
    <t>920 M</t>
  </si>
  <si>
    <t>KETIREK</t>
  </si>
  <si>
    <t>KARANG PENUA</t>
  </si>
  <si>
    <t>UJUNG ASRI</t>
  </si>
  <si>
    <t>Bibit Ternak Sapi</t>
  </si>
  <si>
    <t>6 EKOR</t>
  </si>
  <si>
    <t>2 ekor</t>
  </si>
  <si>
    <t>Bantuan Pengadaan Calon Induk Sapi  (110 cm)</t>
  </si>
  <si>
    <t>BERORO</t>
  </si>
  <si>
    <t>50 METER</t>
  </si>
  <si>
    <t>Pembangunan Jaringan Irigasi Tersier Type C</t>
  </si>
  <si>
    <t>100 METER</t>
  </si>
  <si>
    <t>LABUAN TERENG</t>
  </si>
  <si>
    <t>SONGKANG</t>
  </si>
  <si>
    <t>150 M</t>
  </si>
  <si>
    <t>93 m2</t>
  </si>
  <si>
    <t>Drainase Jalan Usaha Tani</t>
  </si>
  <si>
    <t>BAKONG DASAN LAUK</t>
  </si>
  <si>
    <t>LAWANG KUTA</t>
  </si>
  <si>
    <t>40 KG</t>
  </si>
  <si>
    <t>169 kg</t>
  </si>
  <si>
    <t>335 POHON</t>
  </si>
  <si>
    <t>Durian 45 batang</t>
  </si>
  <si>
    <t>5 box</t>
  </si>
  <si>
    <t xml:space="preserve">Pengadaan Bibit Ayam Joper </t>
  </si>
  <si>
    <t>SEPAKAT</t>
  </si>
  <si>
    <t>20 PAKET</t>
  </si>
  <si>
    <t>5m2</t>
  </si>
  <si>
    <t xml:space="preserve">Ayam Ras Siap Telur ( Layer ) 135 ekor,                                                     Dedak Halus ( Bekatul ) 200 Kg,             Jagung Giling 249 Kg,                                               Pakan Konsentrat 250 Kg  </t>
  </si>
  <si>
    <t>Pengadaan Bibit Ayam petelur dan Pakan Ternak</t>
  </si>
  <si>
    <t>Batu Samban</t>
  </si>
  <si>
    <t>120 KG</t>
  </si>
  <si>
    <t>480 kg</t>
  </si>
  <si>
    <t>Bantuan Pengadaan Benih Tanaman Pangan ( Padi )</t>
  </si>
  <si>
    <t>Pengadaan Obat-Obatan Kesehatan Hewan</t>
  </si>
  <si>
    <t>Pesanggaran</t>
  </si>
  <si>
    <t>200 paket</t>
  </si>
  <si>
    <t xml:space="preserve">Pengadaan Bibit Buah-buahan </t>
  </si>
  <si>
    <t>1000 POHON</t>
  </si>
  <si>
    <t xml:space="preserve">         189 Batang                                                   Alpukat 29   mangga 30                                                               jambu Kristal 30  kelengkeng 30                                                     Durian 30,   nangka 40</t>
  </si>
  <si>
    <t>MAREJE</t>
  </si>
  <si>
    <t>Nonen</t>
  </si>
  <si>
    <t>46 m2</t>
  </si>
  <si>
    <t>Pembangunan Embung Pertanian</t>
  </si>
  <si>
    <t>Bangket Lauk</t>
  </si>
  <si>
    <t>Sudah disesuaikan dengan Satndar harga</t>
  </si>
  <si>
    <t>Pelan</t>
  </si>
  <si>
    <t>KAMBENG UTARA</t>
  </si>
  <si>
    <t>Dusun Sayong Segerning</t>
  </si>
  <si>
    <t>SAYONG SEGERINING</t>
  </si>
  <si>
    <t>Pembangunan / Rehabilitasi Jalan Usaha Tani Type H                                    ( Peralihan PU )</t>
  </si>
  <si>
    <t>Dusun Sayong Serambang</t>
  </si>
  <si>
    <t>Pembangunan / Rehabilitasi Jalan Usaha Tani Type H                                        ( Peralihan PU ) ( Usulan baru )</t>
  </si>
  <si>
    <t>Bengkel Timur</t>
  </si>
  <si>
    <t>Bengkel</t>
  </si>
  <si>
    <t>40 m²</t>
  </si>
  <si>
    <t>Pembangunan / Rehabilitasi Jalan Usaha Tani Type H                                         ( Usulan baru ) ( Sudah ada diusulan sebelumnya)</t>
  </si>
  <si>
    <t>Datar</t>
  </si>
  <si>
    <t>27 m²</t>
  </si>
  <si>
    <t>Pembangunan / Rehabilitasi Jalan Usaha Tani Type H                                         ( Usulan baru )</t>
  </si>
  <si>
    <t>Rungkang</t>
  </si>
  <si>
    <t>80 m²</t>
  </si>
  <si>
    <t>Tangkeban</t>
  </si>
  <si>
    <t>54 m²</t>
  </si>
  <si>
    <t>Bagenda</t>
  </si>
  <si>
    <t>Karang Sembung</t>
  </si>
  <si>
    <t>Merembu Tengah</t>
  </si>
  <si>
    <t>Merembu Barat</t>
  </si>
  <si>
    <t>pembangunan saluran irigasi pertanian</t>
  </si>
  <si>
    <t>Masyarakat Dusun Dasan Utama</t>
  </si>
  <si>
    <t>Sesela</t>
  </si>
  <si>
    <t>Dasan Utama</t>
  </si>
  <si>
    <t>150 m</t>
  </si>
  <si>
    <t>Pembangunan, Rehabilitasi dan pemeliharaan Jaringan Irigasi Tersier Type C ( Pindahan PUPR )</t>
  </si>
  <si>
    <t>pasangan baru</t>
  </si>
  <si>
    <t>Kekeri</t>
  </si>
  <si>
    <t>kekeri Timur</t>
  </si>
  <si>
    <t>59 m2</t>
  </si>
  <si>
    <t>Pembangunan, Rehabilitasi dan pemeliharaan Jaringan Irigasi Tersier Type C ( usulan baru )</t>
  </si>
  <si>
    <t>Alat pertanian (Traktor, alat mesin rampek padi tradisional)</t>
  </si>
  <si>
    <t>Klp Tani</t>
  </si>
  <si>
    <t>Hand Traktor  1 Unit                                   Mesin perontok Padi  3 Unit</t>
  </si>
  <si>
    <t>Bantuan Alat mesin pertanian / Hand Traktor dan Mesin perontok Padi tanpa rod</t>
  </si>
  <si>
    <t>Tambahan 1 April, PUPR Tolak</t>
  </si>
  <si>
    <t>Alat pertanian (Mesin pompa/Mesin diesel)</t>
  </si>
  <si>
    <t>Jelateng Barat</t>
  </si>
  <si>
    <t>2 Pengadaan Bibit dan Pakan Ayam</t>
  </si>
  <si>
    <t>Sayong Batu Pelalang</t>
  </si>
  <si>
    <t>DOC Joper  25  Box                                              Pakan Ayam Potong  3235  Kg</t>
  </si>
  <si>
    <t xml:space="preserve">1.Pembangunan Kandang Ayam   </t>
  </si>
  <si>
    <t>22,5 m2</t>
  </si>
  <si>
    <t xml:space="preserve">Pembangunan kandang ayam </t>
  </si>
  <si>
    <t>Pembangunan /rehabilitasi jalan usaha tani Type C</t>
  </si>
  <si>
    <t>Masyarakat Dusun Madak Belek II</t>
  </si>
  <si>
    <t>Madak Belek II</t>
  </si>
  <si>
    <t xml:space="preserve">menyesuaikan </t>
  </si>
  <si>
    <t>Masyarakat Dusun Empol Utara</t>
  </si>
  <si>
    <t>Empol Utara</t>
  </si>
  <si>
    <t>Jalan usaha tani</t>
  </si>
  <si>
    <t>Klp tani</t>
  </si>
  <si>
    <t>Karang Kates</t>
  </si>
  <si>
    <t>Menyesuaikan</t>
  </si>
  <si>
    <t>89 m2</t>
  </si>
  <si>
    <t>PROGRAM PENINGKATAN PRASARANA, SARANA DAN UTILITAS UMUM (PSU)</t>
  </si>
  <si>
    <t>Rabat Jalan Lingkar Tani</t>
  </si>
  <si>
    <t>Masyarakat Dusun Senteluk Lauq dan Masyarakat Desa Senteluk secara umumnya</t>
  </si>
  <si>
    <t>SENTELUK LAUQ</t>
  </si>
  <si>
    <t>2250 m</t>
  </si>
  <si>
    <t>Pindah Ke pertanian "jalan usaha tani"</t>
  </si>
  <si>
    <t>PROGRAM PENGELOLAAN SUMBER DAYA AIR (SDA)</t>
  </si>
  <si>
    <t>Pembangunan Saluran Irigasi Pertanian</t>
  </si>
  <si>
    <t>DASAN UTAMA</t>
  </si>
  <si>
    <t>150 Meter</t>
  </si>
  <si>
    <t>Pindah ke Pertanian</t>
  </si>
  <si>
    <t>Kebutuhan talud pertanian RT 04</t>
  </si>
  <si>
    <t>Pindah Pertanian</t>
  </si>
  <si>
    <t xml:space="preserve">talut irigasi tersier 180 m </t>
  </si>
  <si>
    <t>100 x 2</t>
  </si>
  <si>
    <t>pindah ke Pertanian</t>
  </si>
  <si>
    <t>MEREMBU</t>
  </si>
  <si>
    <t>RUNGKANG</t>
  </si>
  <si>
    <t>117 m</t>
  </si>
  <si>
    <t>TANGKEBAN</t>
  </si>
  <si>
    <t>78 m</t>
  </si>
  <si>
    <t>Pindah ke pertanian</t>
  </si>
  <si>
    <t>BAGENDA</t>
  </si>
  <si>
    <t>KARANG SEMBUNG</t>
  </si>
  <si>
    <t>MEREMBU TENGAH</t>
  </si>
  <si>
    <t>MEREMBU BARAT</t>
  </si>
  <si>
    <t>Saluran Irigasi Rt 02</t>
  </si>
  <si>
    <t>200 m</t>
  </si>
  <si>
    <t>Pindah kedinas pertanian</t>
  </si>
  <si>
    <t>RABAT JALAN</t>
  </si>
  <si>
    <t>BANYU URIP</t>
  </si>
  <si>
    <t>RINCUNG SELATAN</t>
  </si>
  <si>
    <t>250 Meter</t>
  </si>
  <si>
    <t>Dusun Sayong Baru</t>
  </si>
  <si>
    <t>SAYONG SERAMBAN</t>
  </si>
  <si>
    <t xml:space="preserve">Talud </t>
  </si>
  <si>
    <t>Masyarakat Dusun Duduk Atas dan sekitarnya</t>
  </si>
  <si>
    <t>BATULAYAR BARAT</t>
  </si>
  <si>
    <t>DUDUK ATAS</t>
  </si>
  <si>
    <t>50m x 3,5m</t>
  </si>
  <si>
    <t>PRIORITAS I</t>
  </si>
  <si>
    <t xml:space="preserve">Penanggulangan Banjir </t>
  </si>
  <si>
    <t>Masyarakat Dusun Melase dan Desa Batulayar Barat secara Umumnya</t>
  </si>
  <si>
    <t>MELASE</t>
  </si>
  <si>
    <t>1000m x  2m</t>
  </si>
  <si>
    <t>Talud kali</t>
  </si>
  <si>
    <t>Masyarakat Dusun Batulayar Utara dan sekitarnya</t>
  </si>
  <si>
    <t>BATULAYAR UTARA</t>
  </si>
  <si>
    <t>20m x 2,5m</t>
  </si>
  <si>
    <t>Pindah ke SDA</t>
  </si>
  <si>
    <t>Vaping Blok</t>
  </si>
  <si>
    <t>Masyarakat Dusun Batulayar dan sekitarnya</t>
  </si>
  <si>
    <t xml:space="preserve">BATULAYAR </t>
  </si>
  <si>
    <t>170x 3,6 . K200</t>
  </si>
  <si>
    <t xml:space="preserve">70x2. k.200 </t>
  </si>
  <si>
    <t>PROGRAM PENGELOLAAN DAN PENGEMBANGAN SISTEM DRAINASE</t>
  </si>
  <si>
    <t>Pembangunan Drainase</t>
  </si>
  <si>
    <t>Masyarakat Dusun Batu Bolong Duduk dan Masyarakat Desa batulayar Barat secara Umumnya</t>
  </si>
  <si>
    <t>BATU BOLONG DUDUK</t>
  </si>
  <si>
    <t>1000m x 1,5m.</t>
  </si>
  <si>
    <t>Masyarakat Dusun Batu Bolong Griya  dan Masyarakat Desa batulayar Barat secara Umumnya</t>
  </si>
  <si>
    <t>BATU BOLONG GRIYA</t>
  </si>
  <si>
    <t>700m x 1,5m</t>
  </si>
  <si>
    <t>Pembangunan Tanggul Penahan Air Sungai</t>
  </si>
  <si>
    <t>Masyarakat Dusun  Batu penyu dan Masyarakat Desa Pusuk Letari  secara umumnya</t>
  </si>
  <si>
    <t>BATU PENYU</t>
  </si>
  <si>
    <t>Pembangunan Jembatan</t>
  </si>
  <si>
    <t>Masyarakat Dusun  Kedondong Bawak dan Masyarakat Desa Pusuk Letari  secara umumnya</t>
  </si>
  <si>
    <t>0,86 m</t>
  </si>
  <si>
    <t>Dusun Kedondong Bawah Desa Pusuk Lestari</t>
  </si>
  <si>
    <t>Rabat Jalan Lingkungan Dusun Bunian (Gang Menuju Masjid Bunian)</t>
  </si>
  <si>
    <t>Masyarakat Dusun Bunean dan sekitarnya</t>
  </si>
  <si>
    <t>BUNEAN</t>
  </si>
  <si>
    <t>65 meter</t>
  </si>
  <si>
    <t>Peningkatan Sarana Prasarana Jalan Dusun Seraye(Rabat dan Talud jalan menuju Gresek)</t>
  </si>
  <si>
    <t>Masyarakat Dusun Seraye dan sekitarnya</t>
  </si>
  <si>
    <t>SERAYE</t>
  </si>
  <si>
    <t>500 Meter</t>
  </si>
  <si>
    <t>Rabat dan Talud Jalan Dusun Bengkaung Tengak</t>
  </si>
  <si>
    <t>Masyarakat Dusun Bengkaung Tengak dan sekitarnya</t>
  </si>
  <si>
    <t>BENGKAUNG TENGAK</t>
  </si>
  <si>
    <t>Pembangunan Plat Beton/ Jembatan dan Rabat Jalan Dusun Bengkaung Daye</t>
  </si>
  <si>
    <t>Masyarakat Dusun Bengkaung  Daye dan Masyarakat Desa bengkaung secara Umumnya</t>
  </si>
  <si>
    <t>BENGKAUNG DAYE</t>
  </si>
  <si>
    <t>100 Meter</t>
  </si>
  <si>
    <t>Jembatan Bengkaung II, Ruas Sandik - Bengkaung</t>
  </si>
  <si>
    <t>Rabat Jalan Dusun Pelolat (lingkungan RT Batu Penyu)</t>
  </si>
  <si>
    <t>Masyarakat Dusun Pelolat dan sekitarnya</t>
  </si>
  <si>
    <t>PELOLAT</t>
  </si>
  <si>
    <t xml:space="preserve">Pembuatan Drenase Dusun Mangsit, Desa Senggigi, Kec.Batulayar </t>
  </si>
  <si>
    <t>Masyarakat Dusun Mangsit dan Masyarakat Desa Senggigi secara umumnya</t>
  </si>
  <si>
    <t>MANGSIT</t>
  </si>
  <si>
    <t>425 M</t>
  </si>
  <si>
    <t>Normalisasi Saluran Induk Dusun Aik Genit Tembus Pantai</t>
  </si>
  <si>
    <t>Masyarakat Dusun Aiq genit dan Masyarakat Desa Senteluk secara umumnya</t>
  </si>
  <si>
    <t>Rabat Jalan Lingkungan</t>
  </si>
  <si>
    <t>240 m2</t>
  </si>
  <si>
    <t>Rabat jalan lingkungan ( jln kubur Moncek, gerbang moncek, gang H.Subki)</t>
  </si>
  <si>
    <t>SENTELUK DAYE</t>
  </si>
  <si>
    <t>662 m2</t>
  </si>
  <si>
    <t>pembangunan Jalan paping block RT 1 dan 2</t>
  </si>
  <si>
    <t>Masyarakat Dusun tibu Ambung</t>
  </si>
  <si>
    <t>TIBU AMBUNG</t>
  </si>
  <si>
    <t>perbaikan dan penataan rabat jalan beton</t>
  </si>
  <si>
    <t>pembangunan talud dan Drainase penjaga tebing permukiman</t>
  </si>
  <si>
    <t>Masyarakat Dusun Eat Gereneng dan sekitarnya</t>
  </si>
  <si>
    <t>EAT GERENENG</t>
  </si>
  <si>
    <t>pembangunan dan pemeliharaaan paping block</t>
  </si>
  <si>
    <t>Masyarakat Dusun Sidemen Daye  dan sekitarnya</t>
  </si>
  <si>
    <t>SIDEMEN DAYE</t>
  </si>
  <si>
    <t xml:space="preserve">Pembangunan Rabat Jalan dan Pemeliharaan </t>
  </si>
  <si>
    <t xml:space="preserve">pembangunan rabat </t>
  </si>
  <si>
    <t>Masyarakat Dusun Lendang Re dan sekitarnya</t>
  </si>
  <si>
    <t>LENDANG RE</t>
  </si>
  <si>
    <t xml:space="preserve">Pembangunan talud dan Drainase </t>
  </si>
  <si>
    <t>Masyarakat Dusun Lendang Re dan Masyarakat Desa lembah Sari pada Umumnya</t>
  </si>
  <si>
    <t xml:space="preserve">pembangunan dan Pemeliharaan paping block </t>
  </si>
  <si>
    <t>Masyarakat Dusun Sidemen Lauq dan sekitarnya</t>
  </si>
  <si>
    <t>SIDEMEN LAUQ</t>
  </si>
  <si>
    <t>PROGRAM KAWASAN PERMUKIMAN</t>
  </si>
  <si>
    <t>RTLH</t>
  </si>
  <si>
    <t>Rumah Warga Miskin Dusun Tato Timur dan sekitarnya</t>
  </si>
  <si>
    <t>TATO TIMUR</t>
  </si>
  <si>
    <t xml:space="preserve">perbaikan jalan Gang dusun ( Batu sikat ) </t>
  </si>
  <si>
    <t>Masyarakat Dusun Medas dan skitarnya</t>
  </si>
  <si>
    <t>MEDAS</t>
  </si>
  <si>
    <t>250M2</t>
  </si>
  <si>
    <t>Jalan Gang Dusun/batu sikat</t>
  </si>
  <si>
    <t>Masyarakat Dusun Kayangan dan  sekitarnya</t>
  </si>
  <si>
    <t>KAYANGAN</t>
  </si>
  <si>
    <t>400 m2</t>
  </si>
  <si>
    <t>Peningkatan Jalan Gang dusun ( Batu sikat )</t>
  </si>
  <si>
    <t>Masyarakat Dusun Perempung dan sekitarnya</t>
  </si>
  <si>
    <t>PEREMPUNG (SANDIK)</t>
  </si>
  <si>
    <t>577m2</t>
  </si>
  <si>
    <t>Jalan Gang Dusun/Paping Blok</t>
  </si>
  <si>
    <t>Masyarakat Dusun Puncang Sari Timur/Lauq</t>
  </si>
  <si>
    <t>PUNCANG SARI TIMUR / LAUQ</t>
  </si>
  <si>
    <t>450 m2</t>
  </si>
  <si>
    <t>Perbaikan Jalan Gang dusun ( Paving Blok )</t>
  </si>
  <si>
    <t>Masyarakat Dusun Puncang Daye dan sekitarnya</t>
  </si>
  <si>
    <t>PUNCANG DAYE</t>
  </si>
  <si>
    <t>833,4 m2</t>
  </si>
  <si>
    <t>rehabilitasi Drainase</t>
  </si>
  <si>
    <t>Masyarakat Dusun Puncang Sari Barat dan Masyarakat  Sandik Umumnya</t>
  </si>
  <si>
    <t>PUNCANG SARI BARAT</t>
  </si>
  <si>
    <t>293,4 m2</t>
  </si>
  <si>
    <t>Rabat jalan Lingkungan ( Batu sikat )</t>
  </si>
  <si>
    <t>Masyarakat Dusun Puncang Lendang dan sekitarnya</t>
  </si>
  <si>
    <t>PUNCANG LENDANG</t>
  </si>
  <si>
    <t>Masyarakat Dusun Sandik Bawaq dan sekitarnya</t>
  </si>
  <si>
    <t>SANDIK BAWAQ</t>
  </si>
  <si>
    <t xml:space="preserve">Rabat Jalan Dusun </t>
  </si>
  <si>
    <t>Masyarakat Dusun Tato Barat dan sekitarnya</t>
  </si>
  <si>
    <t>TATO BARAT</t>
  </si>
  <si>
    <t xml:space="preserve">RTLH </t>
  </si>
  <si>
    <t>Rumah Warga Miskin Dusun sandik Atas</t>
  </si>
  <si>
    <t>SANDIK ATAS</t>
  </si>
  <si>
    <t>Pemasangan Paving Gg. Ahmad</t>
  </si>
  <si>
    <t>Masyarakat Dusun Pelempat dan sekitarnya</t>
  </si>
  <si>
    <t>65,70</t>
  </si>
  <si>
    <t xml:space="preserve">Rabat Jln da drainase SMKN s/d Rt. 06 </t>
  </si>
  <si>
    <t>Masyarakat Dusun Montong Buwuh dan sekitarnya</t>
  </si>
  <si>
    <t>Pindah ke PKP</t>
  </si>
  <si>
    <t>Rabat Gg. Abdurrahman</t>
  </si>
  <si>
    <t>Masyarakat Dusun Kongok dan sekitarnya</t>
  </si>
  <si>
    <t>Pemasangan Paving Blok Gg. Muhsan</t>
  </si>
  <si>
    <t>Masyarakat Dusun Tegal dan sekitarnya</t>
  </si>
  <si>
    <t xml:space="preserve">Pemasangan Paving Blok Gg. Wasiah </t>
  </si>
  <si>
    <t>Masyarakat Dusun Peresak n sekitarnya</t>
  </si>
  <si>
    <t>PERESAK</t>
  </si>
  <si>
    <t>52,77</t>
  </si>
  <si>
    <t>Pembangunan Talud Pinggir Jalan</t>
  </si>
  <si>
    <t>Masyarakat Dusun Penanggak Timur dan sekitarnya</t>
  </si>
  <si>
    <t>PENANGGAK TIMUR</t>
  </si>
  <si>
    <t>Masyarakat Dusun Paok Lombok dan sekitarnya</t>
  </si>
  <si>
    <t>PAOK LOMBOK</t>
  </si>
  <si>
    <t>Masyarakat Dusun Penanggak dan sekitarnya</t>
  </si>
  <si>
    <t>PENANGGAK</t>
  </si>
  <si>
    <t>Pembangunan Drainase dan Peninggian Jembatan</t>
  </si>
  <si>
    <t>Masyarakat Dusun Tanah Embet Timur dan Masyarakat Desa batulayar secara umumnya</t>
  </si>
  <si>
    <t>TANAH EMBET TIMUR</t>
  </si>
  <si>
    <t>Rehabilitasi Jembatan</t>
  </si>
  <si>
    <t xml:space="preserve">Masyarakat Dusun Tanah Embet Barat dan Masyarakat Desa batulayar secara Umumnya </t>
  </si>
  <si>
    <t>TANAH EMBET BARAT</t>
  </si>
  <si>
    <t>4x 5m</t>
  </si>
  <si>
    <t>3,4 m2</t>
  </si>
  <si>
    <t>Jembatan Tanak Embet I dan II diruas Melase - Tanah Embet</t>
  </si>
  <si>
    <t>Masyarakat Dusun Medas Desa Barat</t>
  </si>
  <si>
    <t>Medas Desa Barat</t>
  </si>
  <si>
    <t>225 m2</t>
  </si>
  <si>
    <t>Batu Sikat</t>
  </si>
  <si>
    <t>Masyarakat Dusun Kapek Atas</t>
  </si>
  <si>
    <t>Kapek Atas</t>
  </si>
  <si>
    <t>Panjang = 130 Lebar = 2</t>
  </si>
  <si>
    <t>Batu Sikat dan Talud Jalan Lingkungan</t>
  </si>
  <si>
    <t>Masyarakat Dusun Medas Desa</t>
  </si>
  <si>
    <t>Medas Desa</t>
  </si>
  <si>
    <t>Batu Sikat P = 25 L= 1,5,   Talud P=23 T=1</t>
  </si>
  <si>
    <t>Talud</t>
  </si>
  <si>
    <t>Masyarakat Dusun Bale Kuwu</t>
  </si>
  <si>
    <t>150 m2</t>
  </si>
  <si>
    <t>PANJANG 85 M ;TINGGI 1 M</t>
  </si>
  <si>
    <t>Paving Block</t>
  </si>
  <si>
    <t>Masyarakat Dusun Lendang Bajur</t>
  </si>
  <si>
    <t>Lendang Bajur</t>
  </si>
  <si>
    <t>Panjang = 120 Lebar = 2</t>
  </si>
  <si>
    <t>Masyarakat Dusun Pakel</t>
  </si>
  <si>
    <t>Pakel</t>
  </si>
  <si>
    <t>pindah SDA</t>
  </si>
  <si>
    <t>Masyarakat Dusun Kapek Bawak</t>
  </si>
  <si>
    <t>Kapek Bawak</t>
  </si>
  <si>
    <t>350 m2</t>
  </si>
  <si>
    <t>Pindah SDA</t>
  </si>
  <si>
    <t>Pemasangan Batu Sikat Gang</t>
  </si>
  <si>
    <t>225 M2</t>
  </si>
  <si>
    <t>Normalisasi Saluran Pemukiman</t>
  </si>
  <si>
    <t>Masyarakat Dusun Bumi Selaparang Asri</t>
  </si>
  <si>
    <t>Bumi Selaparang Asri</t>
  </si>
  <si>
    <t xml:space="preserve">Talud Jalan Tpa/Posyandu Bsa </t>
  </si>
  <si>
    <t>20 M3</t>
  </si>
  <si>
    <t>TALUD/DINDING PENAHAN (TINGGI 5 M)</t>
  </si>
  <si>
    <t>Pavink Blok Gang Dusun</t>
  </si>
  <si>
    <t>Masyarakat Dusun Gegutu Telage</t>
  </si>
  <si>
    <t>Gegutu Telage</t>
  </si>
  <si>
    <t>Perbaikan Rabat Gang Dan Drainase</t>
  </si>
  <si>
    <t>Penanggak</t>
  </si>
  <si>
    <t>75 M</t>
  </si>
  <si>
    <t>LEBAR JALAN 2.5 M</t>
  </si>
  <si>
    <t>Revitalisasi Saluran Drainase</t>
  </si>
  <si>
    <t>Masyarakat Dusun Kebun Indah</t>
  </si>
  <si>
    <t>INDAH</t>
  </si>
  <si>
    <t>Pindah ke Bina Marga</t>
  </si>
  <si>
    <t>Pembangunan Paving Block Jalan Dusun</t>
  </si>
  <si>
    <t>Masyarakat Dusun Kebun Bawak</t>
  </si>
  <si>
    <t>KEBUN BAWAK</t>
  </si>
  <si>
    <t>Masyarakat Dusun Muhajirin</t>
  </si>
  <si>
    <t>MUHAJIRIN (SESELA)</t>
  </si>
  <si>
    <t>Masyarakat Dusun Barat Kubur</t>
  </si>
  <si>
    <t>BARAT KUBUR</t>
  </si>
  <si>
    <t>Masyarakat Dusun Cengok</t>
  </si>
  <si>
    <t>CENGOK</t>
  </si>
  <si>
    <t>Masyarakat Dusun Sesela Desa</t>
  </si>
  <si>
    <t>SESELA DESA</t>
  </si>
  <si>
    <t>Masyarakat Dusun Kebun Lauk</t>
  </si>
  <si>
    <t>KEBUN LAUK</t>
  </si>
  <si>
    <t>642 m</t>
  </si>
  <si>
    <t>Pemasangan Paving Block dan Gorong-Gorong</t>
  </si>
  <si>
    <t>Masyarakat Dusun Wadon Lauk</t>
  </si>
  <si>
    <t>WADON LAUQ</t>
  </si>
  <si>
    <t>PERUBAHAN PANJANG MENJADI : (PAVING =&gt; P=120; L=1,5)  (GORONG-GORONG BUIS BETON=&gt; P=120)</t>
  </si>
  <si>
    <t>Pemasangan Paving Block</t>
  </si>
  <si>
    <t>Masyarakat Dusun Kekait Nyangget</t>
  </si>
  <si>
    <t>KEKAIT NYANGGET</t>
  </si>
  <si>
    <t>70 m</t>
  </si>
  <si>
    <t>PERUBAHAN VOLUME MENJADI 200 M3</t>
  </si>
  <si>
    <t>Masyarakat Dusun Kekait Daye</t>
  </si>
  <si>
    <t>KEKAIT DAYE</t>
  </si>
  <si>
    <t>Masyarakat Dusun Kekait Thaibah</t>
  </si>
  <si>
    <t>KEKAIT THAIBAH</t>
  </si>
  <si>
    <t>DRAINASE JALAN KABUPATEN PERUBAHAN VOLUME (P=80 M; L= 0,5; T=1)</t>
  </si>
  <si>
    <t>Pembangunan Gorong-Gorong</t>
  </si>
  <si>
    <t>Masyarakat Dusun Kekait Puncang</t>
  </si>
  <si>
    <t>KEKAIT PUNCANG</t>
  </si>
  <si>
    <t>PERUBAHAN PANJANG MENJADI : (PAVING =&gt; P=80; L=1,5)  (GORONG-GORONG BUIS BETON=&gt; P=80)</t>
  </si>
  <si>
    <t>Masyarakat Dusun Wadon</t>
  </si>
  <si>
    <t>WADON</t>
  </si>
  <si>
    <t>108 m</t>
  </si>
  <si>
    <t>DIUBAH MENJADI PENEMBOKAN TPQ</t>
  </si>
  <si>
    <t>Talud Penahan Tanah</t>
  </si>
  <si>
    <t>Masyarakat Dusun Kekait II</t>
  </si>
  <si>
    <t>KEKAIT II</t>
  </si>
  <si>
    <t>UBAH MENJADI TALUD PINGGIR DUSUN (P=150; L=0,7; T=2)</t>
  </si>
  <si>
    <t>Masyarakat Dusun Kekait I</t>
  </si>
  <si>
    <t>KEKAIT I</t>
  </si>
  <si>
    <t>Rabat beton, paving block</t>
  </si>
  <si>
    <t>Masyarakat Dusun Mambalan Dayan Rurung</t>
  </si>
  <si>
    <t>MAMBALAN DAYAN RURUNG)</t>
  </si>
  <si>
    <t>1500 M2</t>
  </si>
  <si>
    <t>Masyarakat Dusun Lilir Barat</t>
  </si>
  <si>
    <t>LILIR BARAT</t>
  </si>
  <si>
    <t>(P=265)  (L=1,5) Usulan Baru</t>
  </si>
  <si>
    <t>Masyarakat Dusun Buwuh</t>
  </si>
  <si>
    <t>BUWUH</t>
  </si>
  <si>
    <t>1000 M2</t>
  </si>
  <si>
    <t>Masyarakat Dusun Batu Riti</t>
  </si>
  <si>
    <t>BATU RITI</t>
  </si>
  <si>
    <t>(P=92)  (T=1.8)  Usulan Baru</t>
  </si>
  <si>
    <t>PROGRAM PENGELOLAAN DAN PENGEMBANGAN SISTEM PENYEDIAAN AIR MINUM</t>
  </si>
  <si>
    <t>Jaringan Air Bersih SPAM ( Mesin Air dan Instalasi Perpipaan Ke Rumah )</t>
  </si>
  <si>
    <t>500 METER</t>
  </si>
  <si>
    <t xml:space="preserve">Rabat Jalan RT 02, RT 03, RT 05 </t>
  </si>
  <si>
    <t>Batu Sikat Gang husnul</t>
  </si>
  <si>
    <t>Pengerasan Jalan Lingkungan ( Gang ) Hendri dan Abdul Muhid</t>
  </si>
  <si>
    <t>2 Lokasi</t>
  </si>
  <si>
    <t>RABAT</t>
  </si>
  <si>
    <t>TALUD</t>
  </si>
  <si>
    <t>Masyarakat Dusun Penimbung Karang Tembe</t>
  </si>
  <si>
    <t>PENIMBUNG KARANG TEMBE</t>
  </si>
  <si>
    <t>63 KUBIK</t>
  </si>
  <si>
    <t>Masyarakat Dusun Penimbung Muhajirin</t>
  </si>
  <si>
    <t>PENIMBUNG MUHAJIRIN</t>
  </si>
  <si>
    <t>87 METER</t>
  </si>
  <si>
    <t xml:space="preserve">TALUD SALURAN </t>
  </si>
  <si>
    <t>55 METER</t>
  </si>
  <si>
    <t>TALUD PEMBENTUKAN JALAN GANG DUSUN</t>
  </si>
  <si>
    <t>200 METER</t>
  </si>
  <si>
    <t>25 KUBIK</t>
  </si>
  <si>
    <t>Batu sikat</t>
  </si>
  <si>
    <t>P=200M,  L=1,3 M</t>
  </si>
  <si>
    <t>TALUD LINGKUNGAN</t>
  </si>
  <si>
    <t>Masyarakat Dusun Penimbung Utara</t>
  </si>
  <si>
    <t>PENIMBUNG UTARA</t>
  </si>
  <si>
    <t>85 METER</t>
  </si>
  <si>
    <t>Masyarakat Dusun Penimbung Selatan</t>
  </si>
  <si>
    <t>PENIMBUNG SELATAN</t>
  </si>
  <si>
    <t>130 METER</t>
  </si>
  <si>
    <t>Rabat Beton</t>
  </si>
  <si>
    <t>Masyarakat Dusun Medas Bawak Bagek</t>
  </si>
  <si>
    <t>MEDAS BAWAK BAGEK</t>
  </si>
  <si>
    <t>Paving Jalan dan Drainase</t>
  </si>
  <si>
    <t xml:space="preserve">PANJANG DRAINASE SAMA DGN PAVING </t>
  </si>
  <si>
    <t>Masyarakat Dusun Medas Munawarah</t>
  </si>
  <si>
    <t>MEDAS MUNAWARAH</t>
  </si>
  <si>
    <t>Pindah PKP</t>
  </si>
  <si>
    <t>Paving Jalan</t>
  </si>
  <si>
    <t>Masyarakat Dusun Medas Pintu Air</t>
  </si>
  <si>
    <t>MEDAS PINTU AIR</t>
  </si>
  <si>
    <t>Rabat dan Talud</t>
  </si>
  <si>
    <t>Masyarakat Dusun Medas Baru</t>
  </si>
  <si>
    <t>MEDAS BARU</t>
  </si>
  <si>
    <t xml:space="preserve">UBAH JADI TALUD DAN RABAT </t>
  </si>
  <si>
    <t>Masyarakat Dusun Limbungan Selatan</t>
  </si>
  <si>
    <t>LIMBUNGAN SELATAN</t>
  </si>
  <si>
    <t>Paving Gang dan Drainase</t>
  </si>
  <si>
    <t>Masyarakat Dusun Dasan Bara</t>
  </si>
  <si>
    <t>DASAN BARA</t>
  </si>
  <si>
    <t>Drainase dan Paving Gang</t>
  </si>
  <si>
    <t>Masyarakat Dusun Rendang Bajur</t>
  </si>
  <si>
    <t>RENDANG BAJUR</t>
  </si>
  <si>
    <t>TALUD Penahan Tanah</t>
  </si>
  <si>
    <t>Masyarakat Dusun Limbungan Utara</t>
  </si>
  <si>
    <t>LIMBUNGAN UTARA</t>
  </si>
  <si>
    <t>MEDAS BARAT KOKOK</t>
  </si>
  <si>
    <t>Talud dan Rabat Jalan</t>
  </si>
  <si>
    <t>Masyarakat Dusun Medas Bentaur</t>
  </si>
  <si>
    <t>MEDAS BENTAUR</t>
  </si>
  <si>
    <t>Masyarakat Dusun Medas Bedugul</t>
  </si>
  <si>
    <t>MEDAS BEDUGUL</t>
  </si>
  <si>
    <t>Paving gang</t>
  </si>
  <si>
    <t>Masyarakat Dusun Gunungsari</t>
  </si>
  <si>
    <t>Pekerjaan  Paving Blok</t>
  </si>
  <si>
    <t>Perbaikan Jalan Setapak/Paving Blok</t>
  </si>
  <si>
    <t>300 m</t>
  </si>
  <si>
    <t>Pekerjaan Paving Blok</t>
  </si>
  <si>
    <t>400 m</t>
  </si>
  <si>
    <t>Pemasangan Paving Blok</t>
  </si>
  <si>
    <t>Rabat Jalan Dusun</t>
  </si>
  <si>
    <t>450M2</t>
  </si>
  <si>
    <t>Pembangunan rabat Jalan</t>
  </si>
  <si>
    <t>APIT AIQ</t>
  </si>
  <si>
    <t>650M2</t>
  </si>
  <si>
    <t>Rabat Jalan 900M2</t>
  </si>
  <si>
    <t>900 M2</t>
  </si>
  <si>
    <t>UBAH VOLUME</t>
  </si>
  <si>
    <t>150M2</t>
  </si>
  <si>
    <t>400M2</t>
  </si>
  <si>
    <t>Pelebaran Jalan Utama</t>
  </si>
  <si>
    <t>27 Meter</t>
  </si>
  <si>
    <t>25 meter</t>
  </si>
  <si>
    <t>Pemb. Jalan Beton</t>
  </si>
  <si>
    <t>Masyarakat Dusun Gertok</t>
  </si>
  <si>
    <t>Mekarsari</t>
  </si>
  <si>
    <t>GERTOK</t>
  </si>
  <si>
    <t>175 X 3 x 0,15 Mᴵ</t>
  </si>
  <si>
    <t>Masyarakat Dusun Lilir I</t>
  </si>
  <si>
    <t>LILIR I</t>
  </si>
  <si>
    <t>175 x 1,5 x 0,125 Mᴵ</t>
  </si>
  <si>
    <t>Masyarakat Dusun Lingkok Waru</t>
  </si>
  <si>
    <t>LINGKOK WARU</t>
  </si>
  <si>
    <t>225 x 2,5 x 0,15 Mᴵ</t>
  </si>
  <si>
    <t>Masyarakat Dusun Malaka</t>
  </si>
  <si>
    <t>MALAKA</t>
  </si>
  <si>
    <t>175 x 1,5x0,15 Mᴵ</t>
  </si>
  <si>
    <t>Masyarakat Dusun Erat Mate</t>
  </si>
  <si>
    <t>ERAT MATE</t>
  </si>
  <si>
    <t>350 x 3 x 0,15 Mᴵ</t>
  </si>
  <si>
    <t>Masyarakat Dusun Ranjok Barat</t>
  </si>
  <si>
    <t>RANJOK BARAT</t>
  </si>
  <si>
    <t>350 X 3 x 0,15 Mᴵ</t>
  </si>
  <si>
    <t>Masyarakat Dusun Ranjok Timur</t>
  </si>
  <si>
    <t>RANJOK TIMUR</t>
  </si>
  <si>
    <t xml:space="preserve">Plat Saluran Bawah Sd 1 Ranjok </t>
  </si>
  <si>
    <t>lebar 50 cm</t>
  </si>
  <si>
    <t>Sudah terinput di rekapan PUPR</t>
  </si>
  <si>
    <t>Paving Blok Rt 3 Depan Rumah Sagir</t>
  </si>
  <si>
    <t>212 METER</t>
  </si>
  <si>
    <t>JALAN BETON/RABAT</t>
  </si>
  <si>
    <t>GELANGSAR</t>
  </si>
  <si>
    <t>Titi Kordinat -8.516576, 116.137091</t>
  </si>
  <si>
    <t>Masyarakat Dusun Gelangsar Timur</t>
  </si>
  <si>
    <t>GELANGSAR TIMUR</t>
  </si>
  <si>
    <t>404 M</t>
  </si>
  <si>
    <t>Masyarakat Dusun Geripak</t>
  </si>
  <si>
    <t>GERIPAK</t>
  </si>
  <si>
    <t>344 M</t>
  </si>
  <si>
    <t>Masyarakat Dusun Songoran</t>
  </si>
  <si>
    <t>SONGORAN</t>
  </si>
  <si>
    <t>pindah PKP</t>
  </si>
  <si>
    <t>Masyarakat Dusun Gelangsar</t>
  </si>
  <si>
    <t>284 M</t>
  </si>
  <si>
    <t>Masyarakat Dusun Lilir Utara</t>
  </si>
  <si>
    <t>LILIR UTARA</t>
  </si>
  <si>
    <t>270 M</t>
  </si>
  <si>
    <t>Talud Pemukiman Dusun</t>
  </si>
  <si>
    <t>Masyarakat Dusun Jeringo Timur</t>
  </si>
  <si>
    <t>JERINGO TIMUR</t>
  </si>
  <si>
    <t>75 M³</t>
  </si>
  <si>
    <r>
      <t>300 m</t>
    </r>
    <r>
      <rPr>
        <sz val="11"/>
        <color theme="1"/>
        <rFont val="Calibri"/>
        <family val="2"/>
      </rPr>
      <t>²</t>
    </r>
  </si>
  <si>
    <t>822 M²</t>
  </si>
  <si>
    <t>Masyarakat Dusun Jeringo Barat</t>
  </si>
  <si>
    <t>JERINGO BARAT</t>
  </si>
  <si>
    <t>622 M²</t>
  </si>
  <si>
    <t>Paving Block dengan Gorong-Gorong</t>
  </si>
  <si>
    <t>Masyarakat Dusun Jeringo Lauk</t>
  </si>
  <si>
    <t>JERINGO LAUQ</t>
  </si>
  <si>
    <t>85 M²</t>
  </si>
  <si>
    <t>75 M²</t>
  </si>
  <si>
    <t>Paving dengan Got kecil disamping</t>
  </si>
  <si>
    <t>Paving  Block atau Rabat</t>
  </si>
  <si>
    <t>Masyarakat Dusun Jeringo Daya</t>
  </si>
  <si>
    <t>JERINGO DAYE</t>
  </si>
  <si>
    <t>80 M²</t>
  </si>
  <si>
    <t>219 m²</t>
  </si>
  <si>
    <t>Rehab Drainase</t>
  </si>
  <si>
    <t>30 M³</t>
  </si>
  <si>
    <t>plat beton 28 m; drainase  13 m</t>
  </si>
  <si>
    <t xml:space="preserve">Pembangunan Drainase </t>
  </si>
  <si>
    <t>Masyarakat Dusun Paok Lombok</t>
  </si>
  <si>
    <t>PAOK LOMBOK (BUKIT TINGGI)</t>
  </si>
  <si>
    <t>Pindah Bina Marga</t>
  </si>
  <si>
    <t>Talud dan Rabat Jalan Gang Permukiman</t>
  </si>
  <si>
    <t>160 meter</t>
  </si>
  <si>
    <t>TALUD : L (130 M ) T( 1.8 M) ; RABAT : 130 M X 1.5 M</t>
  </si>
  <si>
    <t>600 meter</t>
  </si>
  <si>
    <t>Pindah ke BM</t>
  </si>
  <si>
    <t>jalan gang yang ada di dusun leong Rt 2 menuju pemakaman perlu di buatkan melihat akses menuju pemakaman tersbut jalan satu satunya menunuju pemakaman tersebut.</t>
  </si>
  <si>
    <t xml:space="preserve">Warga Dusun Leong </t>
  </si>
  <si>
    <t>Talud: 261 M3</t>
  </si>
  <si>
    <t>Drainase yang ada di tengah tengah permukiman masyrakat yang ada di Dusun Leong Rt 1 rusak Parah perlu perbaikan.</t>
  </si>
  <si>
    <t>50 M 3</t>
  </si>
  <si>
    <t>KEBON BARU (GIRI MADIA)</t>
  </si>
  <si>
    <t>Rabat 200 M3</t>
  </si>
  <si>
    <t>Perbaikan Prasarana, Sarana, dan Utilitas Umum di Perumahan untuk Menunjang Fungsi Hunian (Peningkatan Jalan Gang Dusun / Lingkungan / Rabat Jalan Lingkungan, rehabilitasi drainase lingkungan, dll)(Jalan Batu sikat di Gang Dusun)</t>
  </si>
  <si>
    <t>Karang Bayan</t>
  </si>
  <si>
    <t>BEREMBENG TIMUR</t>
  </si>
  <si>
    <t>1000 m2</t>
  </si>
  <si>
    <t>Pembangunan drainase lingkungan Jalan Desa</t>
  </si>
  <si>
    <t>Peresak Barat</t>
  </si>
  <si>
    <t>50 M³</t>
  </si>
  <si>
    <t>Perbaikan Prasarana, Sarana, dan Utilitas Umum di Perumahan untuk Menunjang Fungsi Hunian (Peningkatan Jalan Gang Dusun / Lingkungan / Rabat Jalan Lingkungan, rehabilitasi drainase lingkungan, dll) (Paving Blok)</t>
  </si>
  <si>
    <t>Karang Bayan Barat</t>
  </si>
  <si>
    <t>1500 m2</t>
  </si>
  <si>
    <t>Peresak Timur</t>
  </si>
  <si>
    <t>Perbaikan Prasarana, Sarana, dan Utilitas Umum di Perumahan untuk Menunjang Fungsi Hunian (Peningkatan Jalan Gang Dusun / Lingkungan / Rabat Jalan Lingkungan, rehabilitasi drainase lingkungan, dll)</t>
  </si>
  <si>
    <t>Karang Bayan Timur</t>
  </si>
  <si>
    <t>450 m3</t>
  </si>
  <si>
    <t>Talud Bronjong Sungai</t>
  </si>
  <si>
    <t>Repok Kenawe</t>
  </si>
  <si>
    <t>100 M³</t>
  </si>
  <si>
    <t>21,47M³</t>
  </si>
  <si>
    <t>Talud Sungai</t>
  </si>
  <si>
    <t>135 M³</t>
  </si>
  <si>
    <t>163,82 M³</t>
  </si>
  <si>
    <t>Pembangunan Drainase Dusun Pengonong</t>
  </si>
  <si>
    <t>Pengonong</t>
  </si>
  <si>
    <t>37 M</t>
  </si>
  <si>
    <t>Rabat Jalan Gang Lingkungan</t>
  </si>
  <si>
    <t>Orong Dalem</t>
  </si>
  <si>
    <t xml:space="preserve">Talud dan Rabat Jalan Lingkungan </t>
  </si>
  <si>
    <t>Batu kumbung Daye</t>
  </si>
  <si>
    <t>500 M³</t>
  </si>
  <si>
    <t>Rabat gang dan talud di lingkungan dusun pondok buak</t>
  </si>
  <si>
    <t>Pondok Buak</t>
  </si>
  <si>
    <t>150 M³</t>
  </si>
  <si>
    <t>Talud Bronjong Sungai Dusun Tragtag</t>
  </si>
  <si>
    <t>Tragtag</t>
  </si>
  <si>
    <t>27 M³</t>
  </si>
  <si>
    <t>Pembangunan Talud drainase lingkungan</t>
  </si>
  <si>
    <t>Manggong</t>
  </si>
  <si>
    <t>80 M</t>
  </si>
  <si>
    <t>Rabat dan Talud jalan lingkungan Dusun Sidekarya</t>
  </si>
  <si>
    <t>Sidekarya</t>
  </si>
  <si>
    <t>300 M³</t>
  </si>
  <si>
    <t>8 Unit</t>
  </si>
  <si>
    <t>Jalan Gang Menuju Pemakaman Umum yang ada di Dusun Montong Galur perlu di bangun mengigat jalan gang tersbut satu satunya menuju pemakaman tersebut.</t>
  </si>
  <si>
    <t>Montong Galur</t>
  </si>
  <si>
    <t>30 M3</t>
  </si>
  <si>
    <t>Perbaikan jalan beton yang ada di Dusun Montong Galur rt 2 sangat perlu karena akses masyarakat satu  satunya</t>
  </si>
  <si>
    <t>200 M3</t>
  </si>
  <si>
    <t xml:space="preserve">Peningakatan jalan beton dusun Montong Lisung Rt 2 </t>
  </si>
  <si>
    <t>Montong Lisung</t>
  </si>
  <si>
    <t>Talud:75 M3</t>
  </si>
  <si>
    <t>Masih Kurangnya jaringan perpipaan dan Jaringan SR yang ada di desa giri madia.</t>
  </si>
  <si>
    <t>Leong Jaya</t>
  </si>
  <si>
    <t>Pengembangan SPAM</t>
  </si>
  <si>
    <t xml:space="preserve">Pembangunan Peningkatan jalan beton gang Dusun Tempos madani    Rt 2 perlu di bangun mengigat akses  jalan tersebut sangat perlu </t>
  </si>
  <si>
    <t>101 M3</t>
  </si>
  <si>
    <t>101 m2</t>
  </si>
  <si>
    <t>Warga dusun
 gegelang daye</t>
  </si>
  <si>
    <t xml:space="preserve">GEGELANG </t>
  </si>
  <si>
    <t>GEGELANG DAYE</t>
  </si>
  <si>
    <t>250 X 2M2</t>
  </si>
  <si>
    <t xml:space="preserve">Pembangunan Talud Sungai Kewenangan Kabupaten
</t>
  </si>
  <si>
    <t>GEGELANG LAUQ</t>
  </si>
  <si>
    <t>120 m2</t>
  </si>
  <si>
    <t>88 M2</t>
  </si>
  <si>
    <t>GEGELANG PERSIMPANGAN</t>
  </si>
  <si>
    <t>100 x 3m2</t>
  </si>
  <si>
    <t>Perbaikan Prasarana, Sarana, dan Utilitas Umum di Perumahan untuk Menunjang Fungsi Hunian (BATU SikatT)</t>
  </si>
  <si>
    <t>GEGELANG MAJAPAHIT</t>
  </si>
  <si>
    <t>6000 x 2 m2</t>
  </si>
  <si>
    <t>600 m2</t>
  </si>
  <si>
    <t>GEGELANG DASAN</t>
  </si>
  <si>
    <t>Perbaikan Prasarana, Sarana, dan Utilitas Umum di Perumahan untuk Menunjang Fungsi Hunian (Peningkatan Jalan Gang Dusun / Lingkungan / Rabat Jalan Lingkungan, rehabilitasi drainase lingkungan, dll)(BATU SIKAT)</t>
  </si>
  <si>
    <t>400 x 2 m2</t>
  </si>
  <si>
    <t>200 m2</t>
  </si>
  <si>
    <t>GEGELANG BANTEK</t>
  </si>
  <si>
    <t>600 x 2 m2</t>
  </si>
  <si>
    <t>Pembangunan Baru SPAM Jaringan Perpipaan</t>
  </si>
  <si>
    <t>BANTEK</t>
  </si>
  <si>
    <t>Gontoran lauk</t>
  </si>
  <si>
    <t>pembangunan batu sikat untuk memperindah kawasan perumahan warga</t>
  </si>
  <si>
    <t>masyarakat</t>
  </si>
  <si>
    <t>GONTORAN DALEM</t>
  </si>
  <si>
    <t>gontoran timur</t>
  </si>
  <si>
    <t>UPDATE GONTORAN LAUK</t>
  </si>
  <si>
    <t>UPDATE GONTORAN DALEM</t>
  </si>
  <si>
    <t>keroya</t>
  </si>
  <si>
    <t>Perbaikan Rumah Tidak Layak Huni</t>
  </si>
  <si>
    <t>Warga Sandongan Timur</t>
  </si>
  <si>
    <t>Pembangunan Baru</t>
  </si>
  <si>
    <t>Sandongan</t>
  </si>
  <si>
    <t>pembangunan baru</t>
  </si>
  <si>
    <t>pembanguinan baru</t>
  </si>
  <si>
    <t>Warga Sandongan Peresak</t>
  </si>
  <si>
    <t>PERESAK (SARIBAYA)</t>
  </si>
  <si>
    <t>PEMASANGAN PAVING BLOCK</t>
  </si>
  <si>
    <t>WARGA DUSUN KETAPANG</t>
  </si>
  <si>
    <t>KETAPANG</t>
  </si>
  <si>
    <t>WARGA DUSUN JELATENG BARAT</t>
  </si>
  <si>
    <t>JELATENG BARAT (GEGERUNG)</t>
  </si>
  <si>
    <t>WARGA DUSUN ORONG SELATAN</t>
  </si>
  <si>
    <t>ORONG SELATAN</t>
  </si>
  <si>
    <t>WARGA DUSUN ORONG UTARA</t>
  </si>
  <si>
    <t>ORONG UTARA</t>
  </si>
  <si>
    <t>WARGA DUSUN ORONG PUNCAK</t>
  </si>
  <si>
    <t>ORONG PUNCAK</t>
  </si>
  <si>
    <t>Penguatan Bahu (Rabat) Jalan Kabupaten</t>
  </si>
  <si>
    <t>Murpeji</t>
  </si>
  <si>
    <t>500x5 m</t>
  </si>
  <si>
    <t>1,32 km</t>
  </si>
  <si>
    <t>Dasan Geria - Ketapang Orong</t>
  </si>
  <si>
    <t>LANGKO LAUK</t>
  </si>
  <si>
    <t>Rabat Panjang =  80  M 
          Lebar	=  2  M 
Talut 	Panjang = 84 M
          Tinggi	=  70  Cm</t>
  </si>
  <si>
    <t>RABAT = 80X2; TALUD 0.7 M</t>
  </si>
  <si>
    <t>Perbaikan Prasarana, Sarana, dan Utilitas Umum di Perumahan untuk Menunjang Fungsi Hunian (paping blok)</t>
  </si>
  <si>
    <t>LANGKO BAT</t>
  </si>
  <si>
    <t xml:space="preserve">     Panjang	=  190  M, 
     Lebar	=  2  m 
     </t>
  </si>
  <si>
    <t>380 m2</t>
  </si>
  <si>
    <t>Prioritas</t>
  </si>
  <si>
    <t>MUHAJIRIN (LANGKO)</t>
  </si>
  <si>
    <t xml:space="preserve">Rabat 	Panjang =  250 M 
     	Lebar=  2,5 M 
Talut 	Panjang= 250 M
          Tinggi	=  10 Cm
   </t>
  </si>
  <si>
    <t>250 m2</t>
  </si>
  <si>
    <t>Longserang Barat Selatan</t>
  </si>
  <si>
    <t>Panjang = 300 M
Lebar = 2 M</t>
  </si>
  <si>
    <t>LANGKO TIMUK</t>
  </si>
  <si>
    <t>Panjang = 100 M
Lebar = 50 cm</t>
  </si>
  <si>
    <t>MEKAR INDAH</t>
  </si>
  <si>
    <t>Rabat : Panjang = 200 M
Lebar = 2,5 M</t>
  </si>
  <si>
    <t>Pemeliharaan Berkala dan rutin Jalan Kabupaten</t>
  </si>
  <si>
    <t xml:space="preserve">Longserang Barat Puncak </t>
  </si>
  <si>
    <t>Aspal Hotmix :
Panjang = 3 Km 
Lebar = 3 M</t>
  </si>
  <si>
    <t>0,59 km</t>
  </si>
  <si>
    <t>Longseran Selatan - Longseran Utara</t>
  </si>
  <si>
    <t>Perbaikan Prasarana, Sarana, dan Utilitas Umum di Perumahan untuk Menunjang Fungsi Hunian</t>
  </si>
  <si>
    <t>(P)150m x (L) 3m</t>
  </si>
  <si>
    <t>PAVING</t>
  </si>
  <si>
    <t>Masyarakat Dusun Menjeli Indah</t>
  </si>
  <si>
    <t>MENJELI</t>
  </si>
  <si>
    <t>(P)500m x (L) 3m</t>
  </si>
  <si>
    <t>(P)50m x (L)3m</t>
  </si>
  <si>
    <t>PK</t>
  </si>
  <si>
    <t>Peningkatan SPAM Jaringan Perpipaan</t>
  </si>
  <si>
    <t>Masyarakat Dusun Bagik Nunggal Barat</t>
  </si>
  <si>
    <t>200m</t>
  </si>
  <si>
    <t>Peningkatan Jalan Lingkungan/ Rabat Beton Gang Dusun Embungpas Barat Mulai RT.05 s.d RT.12 dan tembus ke Jalan Usaha Tani menuju Dusun Sigerongan</t>
  </si>
  <si>
    <t>EMBUNG PAS BARAT</t>
  </si>
  <si>
    <t>1000 M³</t>
  </si>
  <si>
    <t>700 m2</t>
  </si>
  <si>
    <t>Peningkatan Jalan Usaha Tani Dusun Embungpas Timur menuju  Dusun Berembeng Barat</t>
  </si>
  <si>
    <t>EMBUNG PAS TIMUR</t>
  </si>
  <si>
    <t>750 M</t>
  </si>
  <si>
    <t>Peningkatan Jalan Lingkungan/ Rabat Beton Gang Dusun Berembeng Barat</t>
  </si>
  <si>
    <t>BEREMBUNG BARAT</t>
  </si>
  <si>
    <t>1700 M</t>
  </si>
  <si>
    <t>750 m2</t>
  </si>
  <si>
    <t>Pemasangan Pagar Pengaman Kali Jangkuk di Dusun Repok Pancor</t>
  </si>
  <si>
    <t>Repok Pancor</t>
  </si>
  <si>
    <t>Peningkatan Jalan Lingkungan Gang Utama Dusun Jati Mekar</t>
  </si>
  <si>
    <t>JATI MEKAR</t>
  </si>
  <si>
    <t>Penataan/Peremajaan Kawasan Permukiman Kumuh (Rabat dan Talud )</t>
  </si>
  <si>
    <t>DUMAN DARUSSALAM</t>
  </si>
  <si>
    <t>250 M</t>
  </si>
  <si>
    <t>Perbaikan Prasarana, Sarana, dan Utilitas Umum di Perumahan untuk Menunjang Fungsi Hunian (Peningkatan Jalan Gang Dusun / Lingkungan / Rabat Jalan Lingkungan, rehabilitasi drainase lingkungan, dll) (PEMBANGUNAN GEDUNG SERBA GUNA)</t>
  </si>
  <si>
    <t>DUMAN PROYEK PERMAI</t>
  </si>
  <si>
    <t>15 m2</t>
  </si>
  <si>
    <t>Talud penahan Sungai ( tinggi 5 meter )</t>
  </si>
  <si>
    <t>Perbaikan Rumah Tidak Layak Huni (Rumah Kumuh)</t>
  </si>
  <si>
    <t>DUMAN BAT</t>
  </si>
  <si>
    <t>20 UNIT</t>
  </si>
  <si>
    <t>Pembangunan Talud Sungai Kewenangan Kabupaten (Talut Bronjong Sungai Sanggo)</t>
  </si>
  <si>
    <t>DUMAN SELATAN</t>
  </si>
  <si>
    <t>25 m</t>
  </si>
  <si>
    <t>Pembangunan Jalan  ( Rabat Gang Dusun )</t>
  </si>
  <si>
    <t>DUMAN DASAN</t>
  </si>
  <si>
    <t>Pembangunan Baru Spam Jaringan Perpipaan (Perpipaan Air Bersih Kpspam)</t>
  </si>
  <si>
    <t>KEBON DUMAN</t>
  </si>
  <si>
    <t>9000 M</t>
  </si>
  <si>
    <t>Penataan/Peremajaan Kawasan Permukiman Kumuh ( Pembuatan Gorong Gorong Limbah Rumah Tangga)</t>
  </si>
  <si>
    <t>DUMAN DESA</t>
  </si>
  <si>
    <t>60 M</t>
  </si>
  <si>
    <t>60 m</t>
  </si>
  <si>
    <t>Pembangunan Drainase (Pembangunan Drainasi Jalan Kabupaten Di Rt 05 Duman Indah)</t>
  </si>
  <si>
    <t>DUMAN INDAH</t>
  </si>
  <si>
    <t>Kekeri - Terep</t>
  </si>
  <si>
    <t>Perbaikan Prasarana, Sarana, dan Utilitas Umum di Perumahan untuk Menunjang Fungsi Hunian (Peningkatan Jalan Gang Dusun / Lingkungan / Rabat Jalan Lingkungan, rehabilitasi drainase lingkungan, dll) (Rabat Rt 01 Dusun Duman Indah Menuju Dusun Duman Desa)</t>
  </si>
  <si>
    <t>89 M</t>
  </si>
  <si>
    <t>Perbaikan Prasarana, Sarana, dan Utilitas Umum di Perumahan untuk Menunjang Fungsi Hunian (Rabat Jalan Lingkungan)</t>
  </si>
  <si>
    <t>Masyarakat  Dusun Montang</t>
  </si>
  <si>
    <t>Montang</t>
  </si>
  <si>
    <t>200  M</t>
  </si>
  <si>
    <t>Perbaikan Prasarana, Sarana, dan Utilitas Umum di Perumahan untuk Menunjang Fungsi Hunian (Peningkatan Jalan Dusun Rabat Jalan Lingkungan)</t>
  </si>
  <si>
    <t>Masyarakat  Dusun Nyurbaye Gawah</t>
  </si>
  <si>
    <t>Nyurbaye Gawah</t>
  </si>
  <si>
    <t>Perbaikan Prasarana, Sarana, dan Utilitas Umum di Perumahan untuk Menunjang Fungsi Hunian (Peningkatan Jalan Dusun Rabat jalan Lingkungan)</t>
  </si>
  <si>
    <t>Masyarakat Dusun Batu rimba</t>
  </si>
  <si>
    <t>Batu Rimba</t>
  </si>
  <si>
    <t>375 M</t>
  </si>
  <si>
    <t>Perbaikan Prasarana, Sarana, dan Utilitas Umum di Perumahan untuk Menunjang Fungsi Hunian (Peningkatan Jalan Dusun Jalan Lingkungan)</t>
  </si>
  <si>
    <t>Masyarakat Dusun Punikan Selatan</t>
  </si>
  <si>
    <t>PUNIKAN SELATAN</t>
  </si>
  <si>
    <t>Perbaikan Prasarana, Sarana, dan Utilitas Umum di Perumahan untuk Menunjang Fungsi Hunian (Peningkatan Jalan Dusun Rabat Jalan)</t>
  </si>
  <si>
    <t>Masyarakat Dusun Punikan Utara</t>
  </si>
  <si>
    <t>PUNIKAN UTARA</t>
  </si>
  <si>
    <t>Pembangunan Jembatan Kabupaten</t>
  </si>
  <si>
    <t>BUG-BUG UTARA</t>
  </si>
  <si>
    <t>12 m</t>
  </si>
  <si>
    <t>Jembatan depan kantor desa bug bug sebelah timur</t>
  </si>
  <si>
    <t>TEREP</t>
  </si>
  <si>
    <t>P= 120 M X 2.5 M</t>
  </si>
  <si>
    <t>60 m2</t>
  </si>
  <si>
    <t>Masyarakat Dusun Gubuk Baru</t>
  </si>
  <si>
    <t>GUBUK BARU (BATU MEKAR)</t>
  </si>
  <si>
    <t>USULAN BARU</t>
  </si>
  <si>
    <t>Masyarakat Dusun Pemangkalan</t>
  </si>
  <si>
    <t>PEMANGKALAN</t>
  </si>
  <si>
    <t>PEMASANGAN PAVING BLOCK K-300</t>
  </si>
  <si>
    <t>Masyarakat Dusun Keru</t>
  </si>
  <si>
    <t>600 M2</t>
  </si>
  <si>
    <t>BERUBAH VOLUME= 465</t>
  </si>
  <si>
    <t>RABAT DAN TALUD JALAN</t>
  </si>
  <si>
    <t>Masyarakat Dusun Saba Lendang</t>
  </si>
  <si>
    <t>SABE LENDANG</t>
  </si>
  <si>
    <t>441 M2</t>
  </si>
  <si>
    <t>Masyarakat Dusun Repok Atas</t>
  </si>
  <si>
    <t>REPO' ATAS</t>
  </si>
  <si>
    <t>416 M2</t>
  </si>
  <si>
    <t>Masyarakat Dusun Darmasaba Dasan</t>
  </si>
  <si>
    <t>DARMASABA DASAN</t>
  </si>
  <si>
    <t>116 M</t>
  </si>
  <si>
    <t>Masyarakat Dusun Darmasaba Dasan Satu</t>
  </si>
  <si>
    <t>650 M2</t>
  </si>
  <si>
    <t>BERUBAH VOLUME= 470</t>
  </si>
  <si>
    <t>Masyarakat Dusun Gondang</t>
  </si>
  <si>
    <t>GONDANG</t>
  </si>
  <si>
    <t>560 M2</t>
  </si>
  <si>
    <t>BERUBAH VOLUME= 460</t>
  </si>
  <si>
    <t>Pemasangan Pavingblock</t>
  </si>
  <si>
    <t>LEMBUAK</t>
  </si>
  <si>
    <t>GONDAWARI</t>
  </si>
  <si>
    <t>GONDAWARI BARAT</t>
  </si>
  <si>
    <t>LEMBUAK TIMUR</t>
  </si>
  <si>
    <t>LEMBUAK TENGAH</t>
  </si>
  <si>
    <t>LEMBUAK BARAT</t>
  </si>
  <si>
    <t>LEMBUAK KEBON</t>
  </si>
  <si>
    <t>LEMBUAK MEKAR INDAH</t>
  </si>
  <si>
    <t>TELAGA NGEMBENG DASAN</t>
  </si>
  <si>
    <t>1.17 KM</t>
  </si>
  <si>
    <t>Ruas Jalan Kabupaten Narmada - Bengkel</t>
  </si>
  <si>
    <t>Masyarakat Lekong Dendek Pemate</t>
  </si>
  <si>
    <t>LEKONG DENDEK TIMUR (PEMATE)</t>
  </si>
  <si>
    <t>Masyarakat Lekong Dendek Tengah</t>
  </si>
  <si>
    <t>LEKONG DENDEK TENGAH</t>
  </si>
  <si>
    <t>Masyarakat Lekong Dendek</t>
  </si>
  <si>
    <t>LEKONG DENDEK</t>
  </si>
  <si>
    <t>Masyarakat Karang Sidemen Utara</t>
  </si>
  <si>
    <t>150 M2</t>
  </si>
  <si>
    <t>Masyarakat Karang Sidemen Selatan</t>
  </si>
  <si>
    <t>225 M</t>
  </si>
  <si>
    <t>Masyarakat Dusun Dasan Tereng</t>
  </si>
  <si>
    <t>30 M</t>
  </si>
  <si>
    <t>Peningkatan Gang Dusun (Batu Sikat)</t>
  </si>
  <si>
    <t>Masyarakat Dusun BTR Babakan</t>
  </si>
  <si>
    <t>BADRAIN</t>
  </si>
  <si>
    <t>BATU RIMPANG BABAKAN</t>
  </si>
  <si>
    <t>323 m2</t>
  </si>
  <si>
    <t>Peningkatan Jalan / Gang Dusun (Batu Sikat)</t>
  </si>
  <si>
    <t>Masyarakat Dusun Batu Rimpang Timur</t>
  </si>
  <si>
    <t>BATU RIMPANG TIMUR</t>
  </si>
  <si>
    <t>372 m2</t>
  </si>
  <si>
    <t>Peningkatan Jalan / Rabat Gang Dusun</t>
  </si>
  <si>
    <t>5 m3</t>
  </si>
  <si>
    <t>Rabat Jalan (BTR Barat - Lendang Re)</t>
  </si>
  <si>
    <t>Masyarakat Batu Rimpang Barat</t>
  </si>
  <si>
    <t>BATU RIMPANG BARAT</t>
  </si>
  <si>
    <t>71,40 m3</t>
  </si>
  <si>
    <t>Masyarakat Dusun Batu Rimpang Selatan</t>
  </si>
  <si>
    <t>BATU RIMPANG SELATAN</t>
  </si>
  <si>
    <t>Kurangi Volume</t>
  </si>
  <si>
    <t>Masyarakat Dusun Medugul</t>
  </si>
  <si>
    <t>BEDUGUL</t>
  </si>
  <si>
    <t>Pembangunan Talud Saluran Irigasi</t>
  </si>
  <si>
    <t>85 m2</t>
  </si>
  <si>
    <t>Masyarakat Dusun Medain Barat</t>
  </si>
  <si>
    <t>MEDAIN BARAT</t>
  </si>
  <si>
    <t>290 m2</t>
  </si>
  <si>
    <t>Peningkatan Jalan / Gang Dusun (Rabat Gang)</t>
  </si>
  <si>
    <t>Masyarakat Dusun Medain Timur</t>
  </si>
  <si>
    <t>MEDAIN TIMUR</t>
  </si>
  <si>
    <t>18 m3</t>
  </si>
  <si>
    <t>MONTONG LAUK</t>
  </si>
  <si>
    <t>300 x 2 m</t>
  </si>
  <si>
    <t>Sumur Bor</t>
  </si>
  <si>
    <t>MONTONG DAYE</t>
  </si>
  <si>
    <t>SUMUR BOR</t>
  </si>
  <si>
    <t>Pasangan Batu Sikat Kawasan Lingkungan</t>
  </si>
  <si>
    <t>AIK AMPAT</t>
  </si>
  <si>
    <t>800 M2</t>
  </si>
  <si>
    <t>Rabat Jalan dan Gang</t>
  </si>
  <si>
    <t>Masyarakat dan Petani Dusun Sembung Timur</t>
  </si>
  <si>
    <t>SEMBUNG TIMUR</t>
  </si>
  <si>
    <t>400 M²</t>
  </si>
  <si>
    <t>Rabat Gang</t>
  </si>
  <si>
    <t>Masyarakat Dusun Lendang Re</t>
  </si>
  <si>
    <t>LENDANG RE (SEMBUNG)</t>
  </si>
  <si>
    <t>600 M²</t>
  </si>
  <si>
    <t>Kurangi volume</t>
  </si>
  <si>
    <t>Masyarakat Dusun Jejelok</t>
  </si>
  <si>
    <t>JEJELOK</t>
  </si>
  <si>
    <t>Masyarakat Dusun Memontong</t>
  </si>
  <si>
    <t>MEMONTONG</t>
  </si>
  <si>
    <t>Pemasangan Batu Sikat</t>
  </si>
  <si>
    <t>Masyarakat Dusun Sembung Tengah</t>
  </si>
  <si>
    <t>SEMBUNG TENGAH</t>
  </si>
  <si>
    <t>450 M²</t>
  </si>
  <si>
    <t>Masyarakat Dusun Dasan Kebon</t>
  </si>
  <si>
    <t>DASAN KEBON</t>
  </si>
  <si>
    <t>100 M²</t>
  </si>
  <si>
    <t>paving</t>
  </si>
  <si>
    <t>Masyarakat Dusun Sembung Lauk</t>
  </si>
  <si>
    <t>SEMBUNG LAUK</t>
  </si>
  <si>
    <t>batu sikat</t>
  </si>
  <si>
    <t>Masyarakat Dusun Sembung Barat</t>
  </si>
  <si>
    <t>SEMBUNG BARAT</t>
  </si>
  <si>
    <t>KARANG ANYAR (SEMBUNG)</t>
  </si>
  <si>
    <t>216 M3</t>
  </si>
  <si>
    <t>rabat</t>
  </si>
  <si>
    <t xml:space="preserve">BUWUN SEJATI </t>
  </si>
  <si>
    <t>NGIS</t>
  </si>
  <si>
    <t>BATU ASAK</t>
  </si>
  <si>
    <t>Pembangunan / Pelebaran Jembatan Kabupaten</t>
  </si>
  <si>
    <t>PEMBUWUN</t>
  </si>
  <si>
    <t>Umum</t>
  </si>
  <si>
    <t>Rabat Gang/batu sikat Dusun Kebun Nyiuh</t>
  </si>
  <si>
    <t>Masyarakat di Dusun Eyat Kandel Rt 01.</t>
  </si>
  <si>
    <t>EAT KENDEL</t>
  </si>
  <si>
    <t>170M</t>
  </si>
  <si>
    <t>Masyarakat di Dusun Suranadi Barat</t>
  </si>
  <si>
    <t>Suranadi Barat</t>
  </si>
  <si>
    <t>400M</t>
  </si>
  <si>
    <t>Pengembangan SPAM dan Jaringan Perpipaan</t>
  </si>
  <si>
    <t>Masyarakat di Dusun Suranadi Utara</t>
  </si>
  <si>
    <t>Suranadi Utara</t>
  </si>
  <si>
    <t>Masyarakat di Dusun Ranget</t>
  </si>
  <si>
    <t>RANGET</t>
  </si>
  <si>
    <t>Masyarakat di Dusun Pemunut Rt 01</t>
  </si>
  <si>
    <t>PEMUNUT</t>
  </si>
  <si>
    <t>270M</t>
  </si>
  <si>
    <t>Masyarakat di Dusun Suranadi Selatan</t>
  </si>
  <si>
    <t>SURANADI SELATAN</t>
  </si>
  <si>
    <t>Masyarakat di Dusun Kuang Mayung</t>
  </si>
  <si>
    <t>KUANG MAYUNG</t>
  </si>
  <si>
    <t>700M</t>
  </si>
  <si>
    <t>Pesantek</t>
  </si>
  <si>
    <t>15 M</t>
  </si>
  <si>
    <t>Perbaikan RTLH khusus dalam kawasan kumuh</t>
  </si>
  <si>
    <t>3 paket</t>
  </si>
  <si>
    <t>Pembangunan Bronjong</t>
  </si>
  <si>
    <t xml:space="preserve">JURANG MALANG </t>
  </si>
  <si>
    <t>25 M</t>
  </si>
  <si>
    <t>Dialihkan ke Bina Marga</t>
  </si>
  <si>
    <t>Pembangunan Draenase</t>
  </si>
  <si>
    <t>Jurang Mekar</t>
  </si>
  <si>
    <t>100 M2</t>
  </si>
  <si>
    <t>4 Unit</t>
  </si>
  <si>
    <t>Kumbi</t>
  </si>
  <si>
    <t>Pemasangan Batu Sikat Gang RT 8</t>
  </si>
  <si>
    <t>371 Orang (Masyarakat)</t>
  </si>
  <si>
    <t>GONTORAN</t>
  </si>
  <si>
    <t>Pemasangan Batu Sikat RT 4</t>
  </si>
  <si>
    <t>119 Orang (Masyarakat)</t>
  </si>
  <si>
    <t>Pemasangan Talud RT 1</t>
  </si>
  <si>
    <t>105 KK (Masyarakat)</t>
  </si>
  <si>
    <t>Perbaikan Drainase</t>
  </si>
  <si>
    <t>2093 Orang (Masyarakat)</t>
  </si>
  <si>
    <t>SESAOT LAUK</t>
  </si>
  <si>
    <t>58 m</t>
  </si>
  <si>
    <t>Perpipaan</t>
  </si>
  <si>
    <t>1109 Orang (Masyarakat)</t>
  </si>
  <si>
    <t>1250 m</t>
  </si>
  <si>
    <t xml:space="preserve"> Pengembangan SPAM </t>
  </si>
  <si>
    <t>Rabat Gang RT 1</t>
  </si>
  <si>
    <t>292 Orang (Masyarakat)</t>
  </si>
  <si>
    <t>SAMBIK BARU</t>
  </si>
  <si>
    <t>270 m</t>
  </si>
  <si>
    <t>Rabat Gang RT 6</t>
  </si>
  <si>
    <t>182 Orang (Masyarakat)</t>
  </si>
  <si>
    <t>Rabat Gang RT 3</t>
  </si>
  <si>
    <t>341 Orang (Masyarakat)</t>
  </si>
  <si>
    <t>REPOK TEMAS</t>
  </si>
  <si>
    <t>121 M</t>
  </si>
  <si>
    <t>Rabat Gang RT 4</t>
  </si>
  <si>
    <t>251 Orang (Masyarakat)</t>
  </si>
  <si>
    <t>305 M</t>
  </si>
  <si>
    <t>Rabat Gang RT 5</t>
  </si>
  <si>
    <t>190 Orang (Masyarakat)</t>
  </si>
  <si>
    <t>56 m</t>
  </si>
  <si>
    <t>211 Orang (Masyarakat)</t>
  </si>
  <si>
    <t>201 M</t>
  </si>
  <si>
    <t>2 KK miskin</t>
  </si>
  <si>
    <t>2 Org</t>
  </si>
  <si>
    <t>Dialihkan PKP</t>
  </si>
  <si>
    <t>Perbaikan Prasarana, Sarana, dan Utilitas Umum (Rabat/Drainase/Talud)</t>
  </si>
  <si>
    <t>570 KK</t>
  </si>
  <si>
    <t>2 orang</t>
  </si>
  <si>
    <t>TELAGE NGEMBENG</t>
  </si>
  <si>
    <t>Penambahan Volume</t>
  </si>
  <si>
    <t>150 kk</t>
  </si>
  <si>
    <t>Ruas Jalan Kabupaten Telaga Ngembeng - Nyiurlembang Barat</t>
  </si>
  <si>
    <t>2  org</t>
  </si>
  <si>
    <t>Tatar</t>
  </si>
  <si>
    <t>2 KK Miskin</t>
  </si>
  <si>
    <t>MASYARAKAT</t>
  </si>
  <si>
    <t>KERAMAT LAUK</t>
  </si>
  <si>
    <t>699 M</t>
  </si>
  <si>
    <t>KERAMAT DAYE</t>
  </si>
  <si>
    <t>981 M</t>
  </si>
  <si>
    <t>RABAT JALAN DAN TALUD</t>
  </si>
  <si>
    <t>MEJETI LAUK</t>
  </si>
  <si>
    <t>800 M</t>
  </si>
  <si>
    <t>MEJETI DAYE</t>
  </si>
  <si>
    <t>JERANGOAN</t>
  </si>
  <si>
    <t>210 M</t>
  </si>
  <si>
    <t>JERANGOAN LAUK</t>
  </si>
  <si>
    <t>JERANGOAN DAYE</t>
  </si>
  <si>
    <t>RABAT JALAN. PANJANG JALAN BERUBAH</t>
  </si>
  <si>
    <t>JERANGOAN BARET</t>
  </si>
  <si>
    <t>514 m</t>
  </si>
  <si>
    <t>Pembangunan Jalan Kabupaten</t>
  </si>
  <si>
    <t>Memperlancar transportasi masyarakat Desa Peresak</t>
  </si>
  <si>
    <t>Peresak</t>
  </si>
  <si>
    <t>Tebao Eat</t>
  </si>
  <si>
    <t>4 x 1.100 M</t>
  </si>
  <si>
    <t>Ruas Jalan Kabupaten Tanak Tepong - Tebao</t>
  </si>
  <si>
    <t>Rabat Jalan lingkungan/Desa</t>
  </si>
  <si>
    <t>Masyarakat di Dusun Temas</t>
  </si>
  <si>
    <t xml:space="preserve"> TEMAS</t>
  </si>
  <si>
    <t>Talud dan rabat / pemasangan batu sikat gang / jalan dusun / desa</t>
  </si>
  <si>
    <t>Masyarakat di Dusun Muhajirin Utara</t>
  </si>
  <si>
    <t xml:space="preserve"> MUHAJIRIN UTARA</t>
  </si>
  <si>
    <t>220 M</t>
  </si>
  <si>
    <t>Pemasangan Batu Sikat gang / jalan dusun / desa</t>
  </si>
  <si>
    <t>Masyarakat di Dusun Muhajirin Selatan</t>
  </si>
  <si>
    <t xml:space="preserve"> MUHAJIRIN SELATAN</t>
  </si>
  <si>
    <t>Rabat jalan dusun / desa</t>
  </si>
  <si>
    <t>Masyarakat di Dusun Gandari</t>
  </si>
  <si>
    <t xml:space="preserve"> GANDAWARI</t>
  </si>
  <si>
    <t>Talud Penahan Tanah dan Saluran Drainase</t>
  </si>
  <si>
    <t>Masyarakat Dusun Setempat</t>
  </si>
  <si>
    <t>Kebon Beleq</t>
  </si>
  <si>
    <t>Aspal Lapen Jalan Menuju Memontong Desa Sembung</t>
  </si>
  <si>
    <t>Masyarakat Mekarsari dan diluar Mekarsari dan Petani</t>
  </si>
  <si>
    <t>Pemangket Karang Luah</t>
  </si>
  <si>
    <t>450 M</t>
  </si>
  <si>
    <t>90 M</t>
  </si>
  <si>
    <t>PEMANGKET (MEKARSARI)</t>
  </si>
  <si>
    <t>280 M</t>
  </si>
  <si>
    <t>Rabad Jalan</t>
  </si>
  <si>
    <t>Masyarakat Dusun Repok Tatar</t>
  </si>
  <si>
    <t>LEBAH SEMPAGE</t>
  </si>
  <si>
    <t>REPOK TATAR</t>
  </si>
  <si>
    <t>Rabad Jalan + batu sikat</t>
  </si>
  <si>
    <t>Masyarakat Dusun Tatar Tengah</t>
  </si>
  <si>
    <t>TATAR TENGAH</t>
  </si>
  <si>
    <t>Rabad gang</t>
  </si>
  <si>
    <t>Masyarakat Dusun Lebah Munte</t>
  </si>
  <si>
    <t>LEBAH MUNTE</t>
  </si>
  <si>
    <t>150m</t>
  </si>
  <si>
    <t>Masyarakat Dusun Lebah Sempage Utara</t>
  </si>
  <si>
    <t>LEBAH SEMPAGE UTARA</t>
  </si>
  <si>
    <t>Pembangunan Tanggul Sungai</t>
  </si>
  <si>
    <t>Masyarakat Dusun Lebah Sempage Selatan</t>
  </si>
  <si>
    <t>LEBAH SEMPAGE SELATAN</t>
  </si>
  <si>
    <t>150m³</t>
  </si>
  <si>
    <t>Masyarakat Dusun Lebah Munte Barat</t>
  </si>
  <si>
    <t>LEBAH MUNTE BARAT</t>
  </si>
  <si>
    <t>190m</t>
  </si>
  <si>
    <t>Masyarakat Dusun Repok Kantar</t>
  </si>
  <si>
    <t>REPOK KANTAR</t>
  </si>
  <si>
    <t>Masyarakat Dusun Pesorongsan Jukung Selatan</t>
  </si>
  <si>
    <t>PESORONGAN JUKUNG SELATAN</t>
  </si>
  <si>
    <t>300m</t>
  </si>
  <si>
    <t>Masyarakat Dusun Pesorongsan Jukung Utara</t>
  </si>
  <si>
    <t>PESORONGAN JUKONG</t>
  </si>
  <si>
    <t>Pemeliharaan berkala dan rutin jalan Kabupaten</t>
  </si>
  <si>
    <t>PAOK GADING</t>
  </si>
  <si>
    <t>60x40 M</t>
  </si>
  <si>
    <t>DIGANTI USULANNYA</t>
  </si>
  <si>
    <t>SELEN AIQ</t>
  </si>
  <si>
    <t>2,5X250 M</t>
  </si>
  <si>
    <t>SEDAU GONDANG</t>
  </si>
  <si>
    <t>3X300 M</t>
  </si>
  <si>
    <t>SEDAU DESE</t>
  </si>
  <si>
    <t>LEBAH SUREN (SEDAU)</t>
  </si>
  <si>
    <t>PEMASANGAN RABAT JALAN DUSUN (PAVING BLOK / BATU SIKAT )</t>
  </si>
  <si>
    <t>Masyarakat Petani Dusun Tanak Beak Daye</t>
  </si>
  <si>
    <t>TANAK BEAK DAYE</t>
  </si>
  <si>
    <t>PAVING BLOK</t>
  </si>
  <si>
    <t>Masyarakat Dusun Tanak Beak Barat</t>
  </si>
  <si>
    <t>TANAK BEAK BARAT</t>
  </si>
  <si>
    <t xml:space="preserve"> BATU SIKAT</t>
  </si>
  <si>
    <t>Masyarakat Dusun Tanak Beak Otak Dese</t>
  </si>
  <si>
    <t>TANAK BEAK OTAK DESA</t>
  </si>
  <si>
    <t>RABAT BETON</t>
  </si>
  <si>
    <t>Masyarakat Dusun Tanak Beak Timur</t>
  </si>
  <si>
    <t>TANAK BEAK TIMUR</t>
  </si>
  <si>
    <t>BATU SIKAT</t>
  </si>
  <si>
    <t>Masyarakat Dusun Tanak Beak Dasan</t>
  </si>
  <si>
    <t>TANAK BEAK DASAN</t>
  </si>
  <si>
    <t>360 M2</t>
  </si>
  <si>
    <t>240 M2</t>
  </si>
  <si>
    <t>TERENG ANJANG</t>
  </si>
  <si>
    <t>250 M2</t>
  </si>
  <si>
    <t>Masih Banyaknya Rumah Warga yang tdak Layak Huni</t>
  </si>
  <si>
    <t>Huzaimah dan Halimah</t>
  </si>
  <si>
    <t>LELEDE (Lelede dese)</t>
  </si>
  <si>
    <t>Sarini, Ramil</t>
  </si>
  <si>
    <t>Lelede Dasan</t>
  </si>
  <si>
    <t>rabat Jalan</t>
  </si>
  <si>
    <t>Lelede Kebon Daye</t>
  </si>
  <si>
    <t>100x3</t>
  </si>
  <si>
    <t>Masih Banyakanya Jalan Lingkungan yang ada di Dusun Yang Belum di perbaiki di karenakan  Anggaran Desa saat ini tidak mencukupi ! (Rabat Jalan)</t>
  </si>
  <si>
    <t>Lelede Selaparang</t>
  </si>
  <si>
    <t>Lelede Sukadana</t>
  </si>
  <si>
    <t>100x2,5</t>
  </si>
  <si>
    <t>Rabat Jalan Batu sikat</t>
  </si>
  <si>
    <t xml:space="preserve">Masyarakat Dusun setempat </t>
  </si>
  <si>
    <t>KEDIRI</t>
  </si>
  <si>
    <t>Karang Kuripan Timur</t>
  </si>
  <si>
    <t>200x2,5 M</t>
  </si>
  <si>
    <t>Karang Kuripan Barat</t>
  </si>
  <si>
    <t>75x3 M dan 200x1,2 M</t>
  </si>
  <si>
    <t>Karang Kuripan Baru</t>
  </si>
  <si>
    <t>175x2,2 M dan 140x1,5 M</t>
  </si>
  <si>
    <t>Karang Bedil Timur</t>
  </si>
  <si>
    <t>150x2 dan 150x1,2 M</t>
  </si>
  <si>
    <t>Karang Bedil Selatan</t>
  </si>
  <si>
    <t>250x2,5 M</t>
  </si>
  <si>
    <t>Karang Bedil Utara</t>
  </si>
  <si>
    <t>200x1,2 M</t>
  </si>
  <si>
    <t>Pelowok Timur</t>
  </si>
  <si>
    <t>250x2,2 M</t>
  </si>
  <si>
    <t>Pelowok Selatan</t>
  </si>
  <si>
    <t>200x3 M</t>
  </si>
  <si>
    <t>Pelowok Barat</t>
  </si>
  <si>
    <t>200x2,3 M</t>
  </si>
  <si>
    <t>Memperburuk kualitas hidup masyarakat miskin dan menciptakan kawasan kumuh Perbaikan RLTH)</t>
  </si>
  <si>
    <t>Nurbaeti, suhaidi, sariah, nurhayati, adnan, salahudin.</t>
  </si>
  <si>
    <t>SEMUA DUSUN</t>
  </si>
  <si>
    <t>9 unit</t>
  </si>
  <si>
    <t>Perbaikan saluran/drainase</t>
  </si>
  <si>
    <t>GELOGOR UTARA</t>
  </si>
  <si>
    <t>Perbaikan jalan gang dusun gelogor timur</t>
  </si>
  <si>
    <t>200x3 m</t>
  </si>
  <si>
    <t>perbaikan jalan gang yang belum di paving ( Paving Blok)</t>
  </si>
  <si>
    <t>GERSIK UTARA</t>
  </si>
  <si>
    <t>100x2 M dan 200x2,5 dan 150x2,5</t>
  </si>
  <si>
    <t>Perbaikan Gang Nusa Permai ( Pavin Block)</t>
  </si>
  <si>
    <t>100x3 M</t>
  </si>
  <si>
    <t>Penalutan pinggir jalan Kabupaten</t>
  </si>
  <si>
    <t>Karang Midang</t>
  </si>
  <si>
    <t>125x2 M</t>
  </si>
  <si>
    <t>Kurang lancarnya saluran air yang tidak berfungsi (perbaikan saluran air)</t>
  </si>
  <si>
    <t>JAGARAGA BARAT</t>
  </si>
  <si>
    <t>Terjadinya genangan  air di musim hujan disebabkan drinase ditutup</t>
  </si>
  <si>
    <t>Jagaraga Timur</t>
  </si>
  <si>
    <t>100Mx0,70M</t>
  </si>
  <si>
    <t>jalannya sudah rusak untukn akses jalan masyarakat dengan volume panjang 350 m lebar 5 m (Perbaikan Jalan)</t>
  </si>
  <si>
    <t>Batu Tumpeng 2</t>
  </si>
  <si>
    <t>350x5</t>
  </si>
  <si>
    <t>Rabat Jalan.pajang 400 M Lebar 5 m</t>
  </si>
  <si>
    <t>Batu Tumpeng</t>
  </si>
  <si>
    <t>400x5</t>
  </si>
  <si>
    <t>Rabat Jalan dan perbaikan gorong-gorong</t>
  </si>
  <si>
    <t>Karang Lamper</t>
  </si>
  <si>
    <t>88 M X 2,5 M</t>
  </si>
  <si>
    <t>3x7</t>
  </si>
  <si>
    <t>masuk program prioritas desa kedua usulan tersebut..sehingga di mohon untuk di ACC/ AKOMODIR</t>
  </si>
  <si>
    <t>2,5x80</t>
  </si>
  <si>
    <t>MEKARSARI (banyumulek)</t>
  </si>
  <si>
    <t>2x200</t>
  </si>
  <si>
    <t>Jadi 1 Pekerjaan</t>
  </si>
  <si>
    <t>Gubuk baru (BANYUMULEK)</t>
  </si>
  <si>
    <t>70x2,5 Meter</t>
  </si>
  <si>
    <t>BANYUMULEK TIMUR</t>
  </si>
  <si>
    <t>1,5x150</t>
  </si>
  <si>
    <t>tidak adanya aliran pembuangan (pembuatan saluran)</t>
  </si>
  <si>
    <t>2,1x150</t>
  </si>
  <si>
    <t>Pembangunan Talud Sungai</t>
  </si>
  <si>
    <t>250x0,5 M</t>
  </si>
  <si>
    <t>Rumak Barat Utara</t>
  </si>
  <si>
    <t>215 M</t>
  </si>
  <si>
    <t>Pindag SDA</t>
  </si>
  <si>
    <t>Pembuatan Draenase</t>
  </si>
  <si>
    <t>Rumak Timur Selatan</t>
  </si>
  <si>
    <t>35 M</t>
  </si>
  <si>
    <t>65x3,5 M</t>
  </si>
  <si>
    <t>Usulan dari pertanian</t>
  </si>
  <si>
    <t>Rabat jalan dan drainase</t>
  </si>
  <si>
    <t>Masyakat Dusun Setempat</t>
  </si>
  <si>
    <t>DASAN BARU</t>
  </si>
  <si>
    <t>BEBAE DALAM</t>
  </si>
  <si>
    <t>KEBON ORONG</t>
  </si>
  <si>
    <t>200x100</t>
  </si>
  <si>
    <t>Pemasangan Paving &amp; Pemasangan Piva untuk Gorong2</t>
  </si>
  <si>
    <t>MEMUNGGU KEBON</t>
  </si>
  <si>
    <t>3x100 m</t>
  </si>
  <si>
    <t>Pemasangan paving dan talud</t>
  </si>
  <si>
    <t>DASAN BARU (Kec. Kediri)</t>
  </si>
  <si>
    <t>80x3,5</t>
  </si>
  <si>
    <t>Rabat di 3 titik ( gang H. ahmad, Baseron,roni )</t>
  </si>
  <si>
    <t>KEBON LELEDE</t>
  </si>
  <si>
    <t>2,5x70</t>
  </si>
  <si>
    <t>Rabat Jalan di jejanti</t>
  </si>
  <si>
    <t>BANGLE</t>
  </si>
  <si>
    <t>3,5x60</t>
  </si>
  <si>
    <t>Pemasangan Paving Blok  RT. 06 RT.03. Rt. 04. Rt. 05 Rt.02</t>
  </si>
  <si>
    <t>100x1,5 M</t>
  </si>
  <si>
    <t>Penataan Sepadan Sungai</t>
  </si>
  <si>
    <t>SEDAYU TIMUR</t>
  </si>
  <si>
    <t>80x1,5 M</t>
  </si>
  <si>
    <t>Pemavingan/ Batu Sikat</t>
  </si>
  <si>
    <t>80x5M</t>
  </si>
  <si>
    <t>400m</t>
  </si>
  <si>
    <t>SEDAYU SELATAN</t>
  </si>
  <si>
    <t>100 x1 M</t>
  </si>
  <si>
    <t>perbaikan drainase dan buis</t>
  </si>
  <si>
    <t>SEDAYU UTARA</t>
  </si>
  <si>
    <t>Kurangnya sarana Pemukiman Terkait rabat Jalan di pemukiman warga.</t>
  </si>
  <si>
    <t>3x70</t>
  </si>
  <si>
    <t>Jalan rusak, Akses warga terkendala dan terbatas</t>
  </si>
  <si>
    <t>70x2,5</t>
  </si>
  <si>
    <t>terkendala lahan atau bahu jalan longsor, Dibutuhkan talud penahan tanah di sepanjang depan masjid Sabilul Muttaqin Dusun Ombe rerot barat.</t>
  </si>
  <si>
    <t>OMBE REROT</t>
  </si>
  <si>
    <t>25x1,5x0,30</t>
  </si>
  <si>
    <t>perbaikan jalan beton (rigit pavement)memliki tantangan tekni yang lebh tinggi karna bersifat matreilanya yng lebih baku</t>
  </si>
  <si>
    <t>3x150</t>
  </si>
  <si>
    <t>Masyarakat di Dusun setempat</t>
  </si>
  <si>
    <t>MONTONG ARE TENGAH</t>
  </si>
  <si>
    <t>4x5</t>
  </si>
  <si>
    <t>6 m</t>
  </si>
  <si>
    <t>NYIUR GADING</t>
  </si>
  <si>
    <t>100x40</t>
  </si>
  <si>
    <t>MONTONG ARE TIMUR</t>
  </si>
  <si>
    <t>150x60</t>
  </si>
  <si>
    <t>Peningkatan Jalan Gang Dusun Inaq Kalsum</t>
  </si>
  <si>
    <t>30 Meter</t>
  </si>
  <si>
    <t>Peningkatan Jalan Gang Dusun Timur Masjid</t>
  </si>
  <si>
    <t>60 Meter</t>
  </si>
  <si>
    <t>Peningkatan Jalan Gang Dusun Utara Masjid</t>
  </si>
  <si>
    <t>50 Meter</t>
  </si>
  <si>
    <t>Peningkatan Jalan Gang Dusun Selatan Masjid</t>
  </si>
  <si>
    <t>Paving Blok Gang Belakang SD 1</t>
  </si>
  <si>
    <t>65 Meter</t>
  </si>
  <si>
    <t>Paving Blok Gang Suherman</t>
  </si>
  <si>
    <t>Perbaikan Prasarana, Sarana dan Fasilitas
Umum di Perumahan untuk menunjang 
Fungsi Hunian (Peningkatan Jalan Gang
Dusun/Lingkungan/Rabat jalan Ling-
kungan,Rehabilitasi Drainase Lingkungan,
dll)</t>
  </si>
  <si>
    <t>JOGOT TENGAH</t>
  </si>
  <si>
    <t>Program Pembangunan Baru (PB-RLH)
Bantuan Ruman Baru yan Layak Huni 
kondisinya rusak berat.</t>
  </si>
  <si>
    <t>5 paket</t>
  </si>
  <si>
    <t>Pembangunan Talud Sungai Kewenangan Kabupaten</t>
  </si>
  <si>
    <t>Rabat Beton Jalan Dusun/Lingkungan</t>
  </si>
  <si>
    <t>Tebing Sungai (Talud) Yang Perlu Penataan</t>
  </si>
  <si>
    <t>3 m</t>
  </si>
  <si>
    <t>Pembangunan Jembatan dijalan Non Status</t>
  </si>
  <si>
    <t>Pembangunan Bronjong Sungai Kewenangan Kabupaten</t>
  </si>
  <si>
    <t>48 m</t>
  </si>
  <si>
    <t>Perbaikan Saluran Irigasi Primer dan Sekunder Kewenangan Kabupaten</t>
  </si>
  <si>
    <t>Perampuan Desa</t>
  </si>
  <si>
    <t>Kuranji</t>
  </si>
  <si>
    <t>KELONGKONG</t>
  </si>
  <si>
    <t>PADANG REAK</t>
  </si>
  <si>
    <t>PEGILEN</t>
  </si>
  <si>
    <t>38 m</t>
  </si>
  <si>
    <t>36 m</t>
  </si>
  <si>
    <t>5 Lokasi</t>
  </si>
  <si>
    <t>Kepala Keluarga</t>
  </si>
  <si>
    <t>MEREMBU BARAT MEKAR</t>
  </si>
  <si>
    <t>MEREMBU TIMUR</t>
  </si>
  <si>
    <t>Perbaikan Prasarana, Sarana dan Utilitas Umum di Perumahan utnuk Menunjang Fungsi Hunian (Peningkatan jalan Gang Dusun/Lingkungan/Rabat Jalan lingkungan, rehabilitasi Drainase lingkungan, dll)</t>
  </si>
  <si>
    <t>100 meter</t>
  </si>
  <si>
    <t>KEREPET</t>
  </si>
  <si>
    <t>200 meter</t>
  </si>
  <si>
    <t>Perbaikan Prasarana, Sarana dan Utilitas Umum di Perumahan untuk Menunjang Fungsi Hunian (Peningkatan jalan Gang Dusun/Lingkungan/Rabat Jalan lingkungan, rehabilitasi Drainase lingkungan, dll)</t>
  </si>
  <si>
    <t>KARANG BAYAN</t>
  </si>
  <si>
    <t>150 meter</t>
  </si>
  <si>
    <t>Perbaikan Jembatan penghubung Antar Dusun</t>
  </si>
  <si>
    <t>Rabat Jalan dan Batu Sikat Rt. 03 dan 04 Paokkambut</t>
  </si>
  <si>
    <t>Rabat Jalan Dusun Telagawaru</t>
  </si>
  <si>
    <t>Rabat Jalan RT.02 dan 05</t>
  </si>
  <si>
    <t>Kepala Keluarga...</t>
  </si>
  <si>
    <t xml:space="preserve">MUHAJIRIN </t>
  </si>
  <si>
    <t>TERONG TAWAH PERESAK</t>
  </si>
  <si>
    <t xml:space="preserve">JERNENG </t>
  </si>
  <si>
    <t>70 M2</t>
  </si>
  <si>
    <t xml:space="preserve">BAGU </t>
  </si>
  <si>
    <t>Pembangunan Bronjong Saluran Kewenangan Kabupaten</t>
  </si>
  <si>
    <t>70 Lokasi</t>
  </si>
  <si>
    <t>11 m</t>
  </si>
  <si>
    <t>JERNENG KALIJAGA</t>
  </si>
  <si>
    <t>Usulan Program Pembangunan Paving Blok dan Normalisasi Saluran Drainase Pinggir Jalan Kabupaten</t>
  </si>
  <si>
    <t>Warga sekitar dusun lamper</t>
  </si>
  <si>
    <t>LAMPER</t>
  </si>
  <si>
    <t>Paving Blok (250 m2) Saluran (100 meter)</t>
  </si>
  <si>
    <t>Paving Block K300 tebal 8cm</t>
  </si>
  <si>
    <t>Permohonan Pembangunan Paving Blok Jalan Lingkungan (Samping SMPN 4 Kuripan)</t>
  </si>
  <si>
    <t xml:space="preserve">Akses  anak sekolah </t>
  </si>
  <si>
    <t>1050 m2</t>
  </si>
  <si>
    <t>Permohonan Pembangunan Rabat Jalan dan Gorong-Gorong RT 03 Dusun Beremi</t>
  </si>
  <si>
    <t>Warga dusun Beremi</t>
  </si>
  <si>
    <t>BREMI</t>
  </si>
  <si>
    <t>85 meter</t>
  </si>
  <si>
    <t>Rabat Beton K-175 dan Talud</t>
  </si>
  <si>
    <t>Permohonan Pembangunan Rabat Gang dan Plat Beton Di Atas Saluran</t>
  </si>
  <si>
    <t>Akses warga Karang Bucu</t>
  </si>
  <si>
    <t>KARANG BUCU</t>
  </si>
  <si>
    <t>Rabat (10m3), Plat Beton(45 meter)</t>
  </si>
  <si>
    <t xml:space="preserve">Pembangunan Drainase Lingkungan RT. 1 </t>
  </si>
  <si>
    <t>Warga dusun Rarangan RT 01</t>
  </si>
  <si>
    <t>RARANGAN</t>
  </si>
  <si>
    <t>Pembangunan Saluran Drainase</t>
  </si>
  <si>
    <t>Pembangunan Drainase Lingkungan RT. 2</t>
  </si>
  <si>
    <t>Warga dusun Rarangan RT 02</t>
  </si>
  <si>
    <t>Rumah Tidak Layak Huni</t>
  </si>
  <si>
    <t>Warga dusun Rarangan</t>
  </si>
  <si>
    <t>Drainase Lingkungan RT. 03</t>
  </si>
  <si>
    <t>Warga RT. 03 Dusun Batu Banteng</t>
  </si>
  <si>
    <t>BATU BANTENG</t>
  </si>
  <si>
    <t xml:space="preserve">Peningkatan jalan gang dusun (Paving Blok) </t>
  </si>
  <si>
    <t>Warga Dusun Batu Banteng</t>
  </si>
  <si>
    <t>250 meter</t>
  </si>
  <si>
    <t xml:space="preserve">Pemasangan Paving Blok K300 Tebal 8 cm </t>
  </si>
  <si>
    <t>Warga Dusun Brambang</t>
  </si>
  <si>
    <t>Drainase Lingkungan RT. 01</t>
  </si>
  <si>
    <t>Warga RT 01 Dusun Blunsuk</t>
  </si>
  <si>
    <t>BLUNGSUK</t>
  </si>
  <si>
    <t xml:space="preserve">Vaving Blok Gang </t>
  </si>
  <si>
    <t>Warga Dusun Blunsuk</t>
  </si>
  <si>
    <t>JALAN BETON &amp; DRAENASE</t>
  </si>
  <si>
    <t>TALUD RABAT JALAN LINGKUNGAN</t>
  </si>
  <si>
    <t>Warga dusun Tanak Putik</t>
  </si>
  <si>
    <t>TANAK PUTEK</t>
  </si>
  <si>
    <t>DRAENASE LINGKUNGAN</t>
  </si>
  <si>
    <t>Warga dusun Buntage</t>
  </si>
  <si>
    <t>105 m</t>
  </si>
  <si>
    <t>Pembangunan Saluran Drainase Tinggi 1 m</t>
  </si>
  <si>
    <t xml:space="preserve"> RTLH ( RUMAH TIDAK LAYAK HUNI )</t>
  </si>
  <si>
    <t>Warga dusun lendang sedi</t>
  </si>
  <si>
    <t>LENDANG SEDI</t>
  </si>
  <si>
    <t>3</t>
  </si>
  <si>
    <t>Peningkatan Jalan lingkungan/batu sikat</t>
  </si>
  <si>
    <t xml:space="preserve">Pemasangan Batu Sikat </t>
  </si>
  <si>
    <t>Pembangunan DRAENASE LINGKUNGAN</t>
  </si>
  <si>
    <t>Warga dusun Perendekan sel</t>
  </si>
  <si>
    <t>DRAINASE LINGKUNGAN</t>
  </si>
  <si>
    <t>Warga dusun Perendekan Utara</t>
  </si>
  <si>
    <t>PERENDEKAN UTARA</t>
  </si>
  <si>
    <t>Warga dusun kumbung timur</t>
  </si>
  <si>
    <t>KUMBUNG TIMUR</t>
  </si>
  <si>
    <t>65 M2</t>
  </si>
  <si>
    <t>Peningkatan jalan lingkungan (paving block)</t>
  </si>
  <si>
    <t>Warga Dusun Kumbung Tengah</t>
  </si>
  <si>
    <t>KUMBUNG TENGAH</t>
  </si>
  <si>
    <t>PEMASANGAN BATU SIKAT GANG DUSUN</t>
  </si>
  <si>
    <t>Warga Dusun Kumbung Barat</t>
  </si>
  <si>
    <t>KUMBUNG BARAT</t>
  </si>
  <si>
    <t>252 M2</t>
  </si>
  <si>
    <t>Rabat jalan lingkungan (paving block)</t>
  </si>
  <si>
    <t>Warga Dusun Lendang Sembe</t>
  </si>
  <si>
    <t>LENDANG SEMBE</t>
  </si>
  <si>
    <t>165 m2</t>
  </si>
  <si>
    <t>Rehabilitasi Drainase lingkungan</t>
  </si>
  <si>
    <t>Warga Dusun Lendang Bile</t>
  </si>
  <si>
    <t>LENDANG BILE</t>
  </si>
  <si>
    <t>35 m</t>
  </si>
  <si>
    <t>Perbaikan Prasarana, Sarana, dan Utilitas Umum di Perumahan untuk Menunjang Fungsi Hunian berupa Rabat dan talud Jalan Lingkungan, rehabilitasi drainase lingkungan, dll</t>
  </si>
  <si>
    <t>Warga Dusun Tunggu lawang timur</t>
  </si>
  <si>
    <t>TUNGGU LAWANG TIMUR</t>
  </si>
  <si>
    <t>150 m1</t>
  </si>
  <si>
    <t>Paving Block K300 dan Talud, tebal 8 cm</t>
  </si>
  <si>
    <t>Perbaikan Prasarana, Sarana, dan Utilitas Umum di Perumahan untuk Menunjang Fungsi Hunian berupa Rabat dan talud Jalan Lingkungan, rehabilitasi drainase lingkungan, dll)</t>
  </si>
  <si>
    <t>Warga Dusun Prajurit</t>
  </si>
  <si>
    <t>PRAJURIT</t>
  </si>
  <si>
    <t>Belum memiliki akses jalan/gang desa yang memadai sehingga di perlukan pembangunan rabat jalan di wilayah tersebut</t>
  </si>
  <si>
    <t>Warga Pelabu Barat</t>
  </si>
  <si>
    <t>PELABU BARAT</t>
  </si>
  <si>
    <t>Paving Block K200 dan Talud, tebal 8 cm</t>
  </si>
  <si>
    <t>Bahu Jalan Desa Menuju Permukiman Warga Mengalami Penyempitan Akibat Longsor pada bahu jalan Desa yang mengakibatkan penyempitan akses jalan warga</t>
  </si>
  <si>
    <t xml:space="preserve">Warga Pelabu </t>
  </si>
  <si>
    <t>PELABU</t>
  </si>
  <si>
    <t>Talud dengan tinggi hampir 2 meter kiri kanan</t>
  </si>
  <si>
    <t>Perbaikan Prasarana, Sarana, dan Utilitas Umum di Perumahan untuk Menunjang Fungsi Hunian berupa paving block jalan lingkungan RT.01</t>
  </si>
  <si>
    <t>Warga dusun Aik jambe</t>
  </si>
  <si>
    <t>AIK JAMBE</t>
  </si>
  <si>
    <t>Paving Block K200</t>
  </si>
  <si>
    <t>Perbaikan Prasarana, Sarana, dan Utilitas Umum di Perumahan untuk Menunjang Fungsi Hunian berupa paving block jalan lingkungan RT. 03</t>
  </si>
  <si>
    <t>Pengadaan Sarana dan Prasarana  Destinasi Wisata berupa perbaikan drainase ke tempat wisata</t>
  </si>
  <si>
    <t>Warga dusun tunggu lawang</t>
  </si>
  <si>
    <t>Drainase Lingkungan Tinggi 1 meter</t>
  </si>
  <si>
    <t xml:space="preserve">Pembangunan Drainase Lingkungan </t>
  </si>
  <si>
    <t>Warga Dusun Sedayu</t>
  </si>
  <si>
    <t>SEDAYU</t>
  </si>
  <si>
    <t xml:space="preserve">150 Meter </t>
  </si>
  <si>
    <t>Peningkatan Jalan Lingkungan</t>
  </si>
  <si>
    <t>Warga Dusun Karang Makam</t>
  </si>
  <si>
    <t>KR. MAKAM</t>
  </si>
  <si>
    <t xml:space="preserve">Pemasangan Paving Blok K200 Tebal 8 cm </t>
  </si>
  <si>
    <t>Warga Lingkungan Dusun Tongkek</t>
  </si>
  <si>
    <t>TONGKEK</t>
  </si>
  <si>
    <t>Paving Block K300</t>
  </si>
  <si>
    <t>Warga Dusun Iting</t>
  </si>
  <si>
    <t>ITING</t>
  </si>
  <si>
    <t>Paving Block K200 tebal 8cm</t>
  </si>
  <si>
    <t>Warga Dusun Dua Pelet</t>
  </si>
  <si>
    <t>DUE PELET</t>
  </si>
  <si>
    <t>Rehap Jembatan Monto-Babussalam</t>
  </si>
  <si>
    <t>Akses anak sekolah dan warga Dusun monto</t>
  </si>
  <si>
    <t>MONTO</t>
  </si>
  <si>
    <t>Perbaikan prasarana, sarana (rabat Gang)</t>
  </si>
  <si>
    <t>Kadus</t>
  </si>
  <si>
    <t>KEBON JURANG</t>
  </si>
  <si>
    <t>Desa</t>
  </si>
  <si>
    <t>Rehabilitasi Saluran Drainase</t>
  </si>
  <si>
    <t>Tempos</t>
  </si>
  <si>
    <t>KAYU PUTIH (TEMPOS)</t>
  </si>
  <si>
    <t>500 X 0.3 M</t>
  </si>
  <si>
    <t>Perbaikan Sarana dan Prasarana (Rabat Jalan Lingkungan)</t>
  </si>
  <si>
    <t>sda</t>
  </si>
  <si>
    <t>Batu Goleng</t>
  </si>
  <si>
    <t>250x2 M</t>
  </si>
  <si>
    <t>PEMBANGUNAN TALUD SUNGAI</t>
  </si>
  <si>
    <t>Tempos Daye</t>
  </si>
  <si>
    <t>100X5 M</t>
  </si>
  <si>
    <t>Karang Barat</t>
  </si>
  <si>
    <t>250 X 2 M</t>
  </si>
  <si>
    <t>Tempos Kelebut</t>
  </si>
  <si>
    <t>Perbaikan Sarana dan Prasarana (drainase lingkungan)</t>
  </si>
  <si>
    <t>Alas Malang</t>
  </si>
  <si>
    <t>TELOTOK</t>
  </si>
  <si>
    <t>Perbaikan Sarana dan Prasarana (Rabat Jalan Lingkungan &amp; Plat Beton)</t>
  </si>
  <si>
    <t>LUWUK I</t>
  </si>
  <si>
    <t>250X2 M</t>
  </si>
  <si>
    <t>Luwuk II</t>
  </si>
  <si>
    <t>Ajok Jaya</t>
  </si>
  <si>
    <t>Peningkatan Jalan Kabupaten</t>
  </si>
  <si>
    <t>warga desa giri tembesi</t>
  </si>
  <si>
    <t>Giri Tembesi</t>
  </si>
  <si>
    <t>GUMESA UTARA, PENDEM BARU, GUMESE TENGAH, GUMESE SELATAN</t>
  </si>
  <si>
    <t>2 KM</t>
  </si>
  <si>
    <t>0,37 km</t>
  </si>
  <si>
    <t>Berore - Gumese</t>
  </si>
  <si>
    <t>warga lingkungan</t>
  </si>
  <si>
    <t>Babakan</t>
  </si>
  <si>
    <t>666 Meter</t>
  </si>
  <si>
    <t>Montong Sari</t>
  </si>
  <si>
    <t>333 Meter</t>
  </si>
  <si>
    <t>Pohdana</t>
  </si>
  <si>
    <t>483 Meter</t>
  </si>
  <si>
    <t>Batu Anyar</t>
  </si>
  <si>
    <t>warga dusun</t>
  </si>
  <si>
    <t>RINCUNG</t>
  </si>
  <si>
    <t>KESUME</t>
  </si>
  <si>
    <t>PEREMPUNG</t>
  </si>
  <si>
    <t>KEMUNING</t>
  </si>
  <si>
    <t>PANCORAN</t>
  </si>
  <si>
    <t>PESANGGERAHAN</t>
  </si>
  <si>
    <t>BANTIR</t>
  </si>
  <si>
    <t>KONDAK</t>
  </si>
  <si>
    <t>BENTENU</t>
  </si>
  <si>
    <t>SAMBIRATIK</t>
  </si>
  <si>
    <t>PERIGI</t>
  </si>
  <si>
    <t>Perbaikan Saluran Irigasi Primer dan Sekunder</t>
  </si>
  <si>
    <t>DODOKAN</t>
  </si>
  <si>
    <t>pembangunan drainase lingkungan</t>
  </si>
  <si>
    <t>Rabat Jalan Lingkungan,</t>
  </si>
  <si>
    <t>Perbaikan Saluran Irigasi Sekunder</t>
  </si>
  <si>
    <t>700 M</t>
  </si>
  <si>
    <t>Pentalutan Saluran Drainase</t>
  </si>
  <si>
    <t>Proa</t>
  </si>
  <si>
    <t>Ruas Jalan Gapuk - Kebun Ayu</t>
  </si>
  <si>
    <t>Rabat Jalan Lingkungan Bjr Soara</t>
  </si>
  <si>
    <t>Penarukan Daye</t>
  </si>
  <si>
    <t>80 Meter</t>
  </si>
  <si>
    <t>Karang Kesume</t>
  </si>
  <si>
    <t>Pembukaan Jalan Baru</t>
  </si>
  <si>
    <t>Gubuk Raden</t>
  </si>
  <si>
    <t>Gorong Gorong RT 006</t>
  </si>
  <si>
    <t>Penarukan Lauq</t>
  </si>
  <si>
    <t>35 Meter</t>
  </si>
  <si>
    <t>RABAT GANG</t>
  </si>
  <si>
    <t>SSH belum ada</t>
  </si>
  <si>
    <t>PLAT TUTUP saluran drainase dan rabat</t>
  </si>
  <si>
    <t>KARANG PENUJAK</t>
  </si>
  <si>
    <t>RABAT BAHU JALAN</t>
  </si>
  <si>
    <t>BT.MULIK KR.BAYAN</t>
  </si>
  <si>
    <t>pindah bidang bina marga</t>
  </si>
  <si>
    <t>drainase</t>
  </si>
  <si>
    <t>BT.MULIK KARANG TENGAH</t>
  </si>
  <si>
    <t>BATU MULIA</t>
  </si>
  <si>
    <t>Rehabilitasi drainase lingkungan</t>
  </si>
  <si>
    <t>warga masyarakat</t>
  </si>
  <si>
    <t>Suka Makmur</t>
  </si>
  <si>
    <t>Mengkok</t>
  </si>
  <si>
    <t>ubah saluran d...</t>
  </si>
  <si>
    <t>Rabat Jalan Lingkungan dan drainase lingkungan</t>
  </si>
  <si>
    <t>Egok Selatan</t>
  </si>
  <si>
    <t>263 Meter</t>
  </si>
  <si>
    <t>Egok Tengah</t>
  </si>
  <si>
    <t>saluran drainas...</t>
  </si>
  <si>
    <t>215 Meter</t>
  </si>
  <si>
    <t>Rabat Jalan Gang Dusun dan drainase lingkungan</t>
  </si>
  <si>
    <t>Makmur</t>
  </si>
  <si>
    <t>210 Meter</t>
  </si>
  <si>
    <t>Kedatuk</t>
  </si>
  <si>
    <t>Pembangunan Jembatan dusun</t>
  </si>
  <si>
    <t>Kebon Kongok</t>
  </si>
  <si>
    <t>5 Meter</t>
  </si>
  <si>
    <t>Kebon Kongok Timur</t>
  </si>
  <si>
    <t>Bongor</t>
  </si>
  <si>
    <t>RLTH</t>
  </si>
  <si>
    <t>Klarifikasi</t>
  </si>
  <si>
    <t>BONGOR MEKARSARI</t>
  </si>
  <si>
    <t>Taman</t>
  </si>
  <si>
    <t>Drainase Pertanian</t>
  </si>
  <si>
    <t>Kelompok Tani Melet Tao</t>
  </si>
  <si>
    <t>Jeranjang</t>
  </si>
  <si>
    <t>RABAT JALAN LINGKUNGAN, REHABILITASI DRAINASE LINGKUNGAN</t>
  </si>
  <si>
    <t>PERBAIKAN DRANASE DAN NOEMALISASI SALURAN</t>
  </si>
  <si>
    <t>Paving Blok Jalan Lingkungan</t>
  </si>
  <si>
    <t>MENDAGI</t>
  </si>
  <si>
    <t>950 M2</t>
  </si>
  <si>
    <t>762,5 m2</t>
  </si>
  <si>
    <t>Batu Sikat Jalan Lingkungan</t>
  </si>
  <si>
    <t>BARABOKONG</t>
  </si>
  <si>
    <t>750 M2</t>
  </si>
  <si>
    <t>631,25 m2</t>
  </si>
  <si>
    <t>Pembangunan Jembatan Kecil (Rt 04)</t>
  </si>
  <si>
    <t>4X3</t>
  </si>
  <si>
    <t>Penggantian dekker, Lemokek - Bangket Bawak</t>
  </si>
  <si>
    <t>Pembangunan Jembatan Kecil (Rt 01)</t>
  </si>
  <si>
    <t>1 x 4 m</t>
  </si>
  <si>
    <t>pindah Bina Marga</t>
  </si>
  <si>
    <t>Rabat dan Buis Rt 03</t>
  </si>
  <si>
    <t>72 x 3 m</t>
  </si>
  <si>
    <t>Rabat dan Buis Rt 01</t>
  </si>
  <si>
    <t>67 x 3 m</t>
  </si>
  <si>
    <t>33 x 3,5 m</t>
  </si>
  <si>
    <t>26 x 1,5 m</t>
  </si>
  <si>
    <t>15 x 2,5 m</t>
  </si>
  <si>
    <t>Pembangunan Jembatan Kecil (Rt 05)</t>
  </si>
  <si>
    <t>3 x 4 m</t>
  </si>
  <si>
    <t>75 x 2,5 m</t>
  </si>
  <si>
    <t>Rabat dan Buis Rt 02</t>
  </si>
  <si>
    <t>25 x 2,5 m</t>
  </si>
  <si>
    <t>74 x 2 m</t>
  </si>
  <si>
    <t>Rabat Rt 01</t>
  </si>
  <si>
    <t>110 x 2,5 m</t>
  </si>
  <si>
    <t>Rabat dan Buis Rt 04</t>
  </si>
  <si>
    <t>109 x 2,5 m</t>
  </si>
  <si>
    <t>LINTAK BUWUR</t>
  </si>
  <si>
    <t>400 m x 3,5 m</t>
  </si>
  <si>
    <t>94 X 3,5 M</t>
  </si>
  <si>
    <t>103 x 2,5</t>
  </si>
  <si>
    <t>52 x 3 m</t>
  </si>
  <si>
    <t>Pembangunan Talut Penahan Tanah</t>
  </si>
  <si>
    <t>Karang Paok</t>
  </si>
  <si>
    <t>125 Meter</t>
  </si>
  <si>
    <t>pindah ke SDA</t>
  </si>
  <si>
    <t>Perbaikan Jalan Lingkungan</t>
  </si>
  <si>
    <t>SEGARE KATON</t>
  </si>
  <si>
    <t>NYIUR LEMBANG</t>
  </si>
  <si>
    <t>Volume menyesuaikan</t>
  </si>
  <si>
    <t>GUBUK BELEKE</t>
  </si>
  <si>
    <t>GEREBEGAN</t>
  </si>
  <si>
    <t>Pelebaran Jembatan Jalan kabupaten</t>
  </si>
  <si>
    <t>JELATENG BARU</t>
  </si>
  <si>
    <t>3 X 6 M</t>
  </si>
  <si>
    <t>Pentaludan TPQ</t>
  </si>
  <si>
    <t>HUBAL KHAIR</t>
  </si>
  <si>
    <t>70 M</t>
  </si>
  <si>
    <t>Pelebaran Jalan TPQ</t>
  </si>
  <si>
    <t>Pentaludan</t>
  </si>
  <si>
    <t>LENDANG KUNYIT</t>
  </si>
  <si>
    <t>PENYELENG</t>
  </si>
  <si>
    <t>212 M</t>
  </si>
  <si>
    <t>Peninggian jembatan/Plat Bok</t>
  </si>
  <si>
    <t>3 x 4 M</t>
  </si>
  <si>
    <t>pindah ke BINMARGA</t>
  </si>
  <si>
    <t>BATU RIMPANG (BATU RIMPANG SELATAN)</t>
  </si>
  <si>
    <t>P=380M KIRI+KANAN L=40CM</t>
  </si>
  <si>
    <t>DIPINDAH KE SDA</t>
  </si>
  <si>
    <t>BATU RIMPANG UTARA</t>
  </si>
  <si>
    <t>P=160M L=40CM</t>
  </si>
  <si>
    <t>RABAT JALAN RT 01</t>
  </si>
  <si>
    <t>P=80M L=2,5M</t>
  </si>
  <si>
    <t>RABAT JALAN RT 03</t>
  </si>
  <si>
    <t>P=80M L=3M</t>
  </si>
  <si>
    <t>PENTALUTAN JALAN PURE RT 03</t>
  </si>
  <si>
    <t>KARANG ANYAR</t>
  </si>
  <si>
    <t>P=300M T=1M</t>
  </si>
  <si>
    <t>Pindah PKP (PINDAH SDA VERSI PKP)</t>
  </si>
  <si>
    <t>DRAINASE</t>
  </si>
  <si>
    <t>GRANADA</t>
  </si>
  <si>
    <t>P=200M</t>
  </si>
  <si>
    <t>PINDAH KE SDA KARENA BUKAN DRAINASE LINGKUNGAN</t>
  </si>
  <si>
    <t>P=200M L=2,5M</t>
  </si>
  <si>
    <t>RABAT JALAN RT 04</t>
  </si>
  <si>
    <t>P=150M L=2,5M</t>
  </si>
  <si>
    <t>DASAN TAPEN (Jakem Timur)</t>
  </si>
  <si>
    <t>150 METER</t>
  </si>
  <si>
    <t>PINDAH KE SDA BUKAN DRAINASILINGKUNGAN</t>
  </si>
  <si>
    <t>DASAN BELO</t>
  </si>
  <si>
    <t>300 METER</t>
  </si>
  <si>
    <t>Pindah SDA Karena Bukan Drainase Lingkungan</t>
  </si>
  <si>
    <t>Desa LB. Tereng</t>
  </si>
  <si>
    <t>KEBON TALO</t>
  </si>
  <si>
    <t>TIBU</t>
  </si>
  <si>
    <t>PELEPOK (LABUAN TERENG)</t>
  </si>
  <si>
    <t>Rabat Jalan lebar 2 m (Volume disesuaikan)</t>
  </si>
  <si>
    <t>TELUK WARU</t>
  </si>
  <si>
    <t>Rabat Jalan lebar 2,5 m</t>
  </si>
  <si>
    <t>TELUK WARU SELATAN</t>
  </si>
  <si>
    <t>200 x 2,5 m</t>
  </si>
  <si>
    <t>LENDANG ANDUS BARAT</t>
  </si>
  <si>
    <t>Rabat Jalan lebar 2,5 m (Volume disesuaikan)</t>
  </si>
  <si>
    <t>TIBU LILIN (LABUAN TERENG)</t>
  </si>
  <si>
    <t>SAMBIK REMPEK</t>
  </si>
  <si>
    <t>EMBUNG KOLAH</t>
  </si>
  <si>
    <t>PANCOR MAS</t>
  </si>
  <si>
    <t>tinggi 1,2 m</t>
  </si>
  <si>
    <t>Galian Saluran</t>
  </si>
  <si>
    <t>KEBON BONGOR</t>
  </si>
  <si>
    <t>BUNCIT</t>
  </si>
  <si>
    <t>RABAT JALAN GANG UTAMA</t>
  </si>
  <si>
    <t>BAKONG DASAN DAYA</t>
  </si>
  <si>
    <t>PETAK</t>
  </si>
  <si>
    <t>Guli</t>
  </si>
  <si>
    <t>Montong Jago</t>
  </si>
  <si>
    <t>Batu Petak</t>
  </si>
  <si>
    <t>Nyompal</t>
  </si>
  <si>
    <t>Kondong</t>
  </si>
  <si>
    <t>Asak Siwak</t>
  </si>
  <si>
    <t>Desa Mareje Timur</t>
  </si>
  <si>
    <t>PELAH LAUK</t>
  </si>
  <si>
    <t>150 m x 2,5 m</t>
  </si>
  <si>
    <t>150 m x 2 m</t>
  </si>
  <si>
    <t>LENDANG DAMAI BARAT</t>
  </si>
  <si>
    <t>LENDANG GARUDA</t>
  </si>
  <si>
    <t>TENDAUN</t>
  </si>
  <si>
    <t>PELAH</t>
  </si>
  <si>
    <t>BATU BAGUS</t>
  </si>
  <si>
    <t>BATU MAS BARAT</t>
  </si>
  <si>
    <t>BUN SEKOTONG</t>
  </si>
  <si>
    <t>150m x 2,5 m</t>
  </si>
  <si>
    <t>BATU BAGUS BARAT</t>
  </si>
  <si>
    <t>50 x 3 m</t>
  </si>
  <si>
    <t>BATU MAS</t>
  </si>
  <si>
    <t>200 m Tinggi 2 m</t>
  </si>
  <si>
    <t>JELATENG TIMUR</t>
  </si>
  <si>
    <t>3 X 200 METER</t>
  </si>
  <si>
    <t>Rabat ( volume disesuaikan)</t>
  </si>
  <si>
    <t>JELATENG SEDENGGANG</t>
  </si>
  <si>
    <t>3 X 0,12 X 200 METER</t>
  </si>
  <si>
    <t>TELAGE LINDUNG</t>
  </si>
  <si>
    <t>0,30 X 100 X 500 METER</t>
  </si>
  <si>
    <t>Talud Jalan ( volume disesuaikan)</t>
  </si>
  <si>
    <t>JELATENG SEDENGGANG MULIA</t>
  </si>
  <si>
    <t>3 X 0,12 X 100 METER</t>
  </si>
  <si>
    <t>KAMBENG BARAT</t>
  </si>
  <si>
    <t>100 X 0,30 X 500 METER</t>
  </si>
  <si>
    <t>Talud Tinggi 5 M ( tinggi disesuaikan dengan usulan)</t>
  </si>
  <si>
    <t>MENOMANG</t>
  </si>
  <si>
    <t>Rabat Jalan ( volume menyesuaikan)</t>
  </si>
  <si>
    <t>AIKMUAL UTARA</t>
  </si>
  <si>
    <t>BUNBELENG SELATAN</t>
  </si>
  <si>
    <t>BUNBELENG</t>
  </si>
  <si>
    <t>3 X 0,12 X 200</t>
  </si>
  <si>
    <t>Meningkatnya Pemerataan Akses dan Mutu Pendidikan</t>
  </si>
  <si>
    <t>DUSUN TANGIN-ANGIN</t>
  </si>
  <si>
    <t>TANGIN-ANGIN</t>
  </si>
  <si>
    <t>Dusun Selegong</t>
  </si>
  <si>
    <t>SELEGONG</t>
  </si>
  <si>
    <t>Dusun Berambang Barat</t>
  </si>
  <si>
    <t>BERAMBANG BARAT</t>
  </si>
  <si>
    <t>Dusun Labuan Poh Timur</t>
  </si>
  <si>
    <t>LABUAN POH TIMUR</t>
  </si>
  <si>
    <t>Dusun Labuan Poh</t>
  </si>
  <si>
    <t>LABUAN POH</t>
  </si>
  <si>
    <t>Dusun Tibu Baru</t>
  </si>
  <si>
    <t>TIBU BARU</t>
  </si>
  <si>
    <t>Dusun Berambang</t>
  </si>
  <si>
    <t>BERAMBANG</t>
  </si>
  <si>
    <t>Dusun Ketapang</t>
  </si>
  <si>
    <t>KETAPANG (BATU PUTIH)</t>
  </si>
  <si>
    <t>Dusun Siung</t>
  </si>
  <si>
    <t>SIUNG</t>
  </si>
  <si>
    <t>DUSUN PANGGANG</t>
  </si>
  <si>
    <t>PANGGANG</t>
  </si>
  <si>
    <t>DUSUN MAHUNI</t>
  </si>
  <si>
    <t>MAHUNI</t>
  </si>
  <si>
    <t>DUSUN KEKALIK</t>
  </si>
  <si>
    <t>KEKALIK</t>
  </si>
  <si>
    <t>DUSUN MAKAM KEDARO</t>
  </si>
  <si>
    <t>MAKAM KEDARO</t>
  </si>
  <si>
    <t xml:space="preserve">Jalan Masih Jalan Tanah dan Berlubang </t>
  </si>
  <si>
    <t>DUSUN TELISE</t>
  </si>
  <si>
    <t>TELISE</t>
  </si>
  <si>
    <t>DUSUN KEBENG</t>
  </si>
  <si>
    <t>KEBENG</t>
  </si>
  <si>
    <t>DUSUN JERANGKANG</t>
  </si>
  <si>
    <t>JERANGKANG</t>
  </si>
  <si>
    <t>Alihkan PKP</t>
  </si>
  <si>
    <t>DUSUN KEMANUK</t>
  </si>
  <si>
    <t>KEMANUK</t>
  </si>
  <si>
    <t>Pembangunan Jalan</t>
  </si>
  <si>
    <t>DRUAN PANGSING</t>
  </si>
  <si>
    <t>PANGSING</t>
  </si>
  <si>
    <t>DUSUN BENGKANG</t>
  </si>
  <si>
    <t>BENGKANG</t>
  </si>
  <si>
    <t>Perbaikan Saluran Air</t>
  </si>
  <si>
    <t>DUSUN PENGANTAP</t>
  </si>
  <si>
    <t>PENGANTAP</t>
  </si>
  <si>
    <t>DUSUN SELODONG</t>
  </si>
  <si>
    <t>SELODONG</t>
  </si>
  <si>
    <t>DUSUN BELONGAS</t>
  </si>
  <si>
    <t>BELONGAS</t>
  </si>
  <si>
    <t>Perbaikan Saluran Irigasi</t>
  </si>
  <si>
    <t>DUSUN LEMER</t>
  </si>
  <si>
    <t>LEMER</t>
  </si>
  <si>
    <t>SAYONG BARU</t>
  </si>
  <si>
    <t>Dusun Empol</t>
  </si>
  <si>
    <t>EMPOL</t>
  </si>
  <si>
    <t>Pengerasan Jalan</t>
  </si>
  <si>
    <t>Dusun Sayong Lingkok Joet</t>
  </si>
  <si>
    <t>SAYONG LINGKUQ JOET</t>
  </si>
  <si>
    <t>Dusun Sayong Songkang</t>
  </si>
  <si>
    <t>SAYONG SONGKANG</t>
  </si>
  <si>
    <t>Dusun Sayong Apit Aik</t>
  </si>
  <si>
    <t>SAYONG APIT AIQ</t>
  </si>
  <si>
    <t xml:space="preserve">Dusun Bertong </t>
  </si>
  <si>
    <t>BERTONG</t>
  </si>
  <si>
    <t xml:space="preserve">usulan baru </t>
  </si>
  <si>
    <t>Dusun Madak Belek</t>
  </si>
  <si>
    <t>MADAK BELEK</t>
  </si>
  <si>
    <t>Pengerasa Jalan</t>
  </si>
  <si>
    <t>Dusun Batu Bangke</t>
  </si>
  <si>
    <t>SAYONG BATU BANGKE</t>
  </si>
  <si>
    <t>DUSUN MAJAPAHIT</t>
  </si>
  <si>
    <t>MAJAPAHIT</t>
  </si>
  <si>
    <t>Dusun tersebut belum ada usulan dan usul baru</t>
  </si>
  <si>
    <t>PERBAIKAN RUMAH TIDAK LAYAK HUNI</t>
  </si>
  <si>
    <t>DUSUN BATU SAKTI</t>
  </si>
  <si>
    <t>BATU SAKTI</t>
  </si>
  <si>
    <t xml:space="preserve">DUSUN LD. GUAR SELATAN </t>
  </si>
  <si>
    <t>LD.GUAR SELATAN</t>
  </si>
  <si>
    <t>PENGERASAN JALAN</t>
  </si>
  <si>
    <t>DUSUN MERTAK MAS</t>
  </si>
  <si>
    <t>MERTAK MAS</t>
  </si>
  <si>
    <t>DUSUN MENDAWE SELATAN</t>
  </si>
  <si>
    <t>MENDAWE SELATAN</t>
  </si>
  <si>
    <t>DUSUN LD. GUAR BARAT</t>
  </si>
  <si>
    <t>LD.GUAR BARAT</t>
  </si>
  <si>
    <t>DUSUN BATU GEDE</t>
  </si>
  <si>
    <t>BATU GEDE</t>
  </si>
  <si>
    <t>DUSUN MENJUT</t>
  </si>
  <si>
    <t>MENJUT</t>
  </si>
  <si>
    <t>DUSUN LENDANG GUAR TIMUR</t>
  </si>
  <si>
    <t>LENDANG GUAR TIMUR</t>
  </si>
  <si>
    <t>Dusun Bawak Bagek</t>
  </si>
  <si>
    <t>PELANGAN</t>
  </si>
  <si>
    <t>BAWAQ BAGEK</t>
  </si>
  <si>
    <t>Dusun Gunung Embit</t>
  </si>
  <si>
    <t>GUNUNG EMBID</t>
  </si>
  <si>
    <t>Dusun Pelangan Dalem</t>
  </si>
  <si>
    <t>PELANGAN DALEM</t>
  </si>
  <si>
    <t>Dusun Pelangan Timur Dua</t>
  </si>
  <si>
    <t>PELANGAN TIMUR DUA</t>
  </si>
  <si>
    <t xml:space="preserve">RABAT JALAN </t>
  </si>
  <si>
    <t>Dusun Pelangan Barat Dua RT4</t>
  </si>
  <si>
    <t>PELANGAN BARET DUA</t>
  </si>
  <si>
    <t>Dusun Gebang Tebel</t>
  </si>
  <si>
    <t>GEBANG TEBEL</t>
  </si>
  <si>
    <t>Dusun Tirta Sari</t>
  </si>
  <si>
    <t>TIRTASARI</t>
  </si>
  <si>
    <t>Dusun Nusa Damai</t>
  </si>
  <si>
    <t>NUSA DAMAI</t>
  </si>
  <si>
    <t>Dusun Selindungan</t>
  </si>
  <si>
    <t>SELINDUNGAN</t>
  </si>
  <si>
    <t>Dusun Paluh Tangi</t>
  </si>
  <si>
    <t>PALUH TANGI</t>
  </si>
  <si>
    <t xml:space="preserve">Dusun Pengendan </t>
  </si>
  <si>
    <t>PENGENDAN</t>
  </si>
  <si>
    <t>Dusun Pelangan Tengah</t>
  </si>
  <si>
    <t>PELANGAN TENGAH</t>
  </si>
  <si>
    <t>Pelangan Barat RT 1</t>
  </si>
  <si>
    <t>PELANGAN BARAT</t>
  </si>
  <si>
    <t>Dusun Mecanggah</t>
  </si>
  <si>
    <t>DASAN BARU (PELANGAN)</t>
  </si>
  <si>
    <t>Dusun Pelangan Timur</t>
  </si>
  <si>
    <t>PELANGAN TIMUR</t>
  </si>
  <si>
    <t>TANAK GENTER</t>
  </si>
  <si>
    <t>PEMBANGUNAN TALUT</t>
  </si>
  <si>
    <t>AIQ SEMIN</t>
  </si>
  <si>
    <t>DUSUN KEMBUL</t>
  </si>
  <si>
    <t>KEMBUL</t>
  </si>
  <si>
    <t>DUSUN BATU KUMBU</t>
  </si>
  <si>
    <t>BATU KUMBU</t>
  </si>
  <si>
    <t>DUSUN LABUAN PETUNG</t>
  </si>
  <si>
    <t>LABUAN PETUNG</t>
  </si>
  <si>
    <t>350 M</t>
  </si>
  <si>
    <t>DUSUN PENGAWISAN</t>
  </si>
  <si>
    <t>PENGAWISAN</t>
  </si>
  <si>
    <t>PEMBANGUNAN DRAENASE</t>
  </si>
  <si>
    <t>DUSUN GAWAH PUDAK</t>
  </si>
  <si>
    <t>GAWAH PUDAK</t>
  </si>
  <si>
    <t>DUSUN TEMBOWONG</t>
  </si>
  <si>
    <t>TEMBOWONG</t>
  </si>
  <si>
    <t>DUSUN MEDANG</t>
  </si>
  <si>
    <t>MEDANG</t>
  </si>
  <si>
    <t>DUSUN GILI GENTING</t>
  </si>
  <si>
    <t>GILI GENTIMG</t>
  </si>
  <si>
    <t>DUSUN BATU LEONG</t>
  </si>
  <si>
    <t>BATU LEONG</t>
  </si>
  <si>
    <t>DUSUN BATU KIJUK</t>
  </si>
  <si>
    <t>BATU KIJUK</t>
  </si>
  <si>
    <t>PEMBUATAN BRONJONG SUNGAI</t>
  </si>
  <si>
    <t>DUSUN PANDANAN</t>
  </si>
  <si>
    <t>PANDANAN</t>
  </si>
  <si>
    <t>SERERO TIMUR</t>
  </si>
  <si>
    <t>Rabat Jalan Gang Dusun</t>
  </si>
  <si>
    <t>TELOR JAGO</t>
  </si>
  <si>
    <t>Usulan Baru karena dusun belum ada usulan</t>
  </si>
  <si>
    <t>TANJUNG BATU</t>
  </si>
  <si>
    <t>KARANG LEBAH</t>
  </si>
  <si>
    <t>HARAPAN BARU</t>
  </si>
  <si>
    <t>AIK TANGI</t>
  </si>
  <si>
    <t>GUNUNG KOSONG</t>
  </si>
  <si>
    <t>Perbaikan RTLH</t>
  </si>
  <si>
    <t>SURADADI</t>
  </si>
  <si>
    <t>2 Usulan dan ini usulan prioritas</t>
  </si>
  <si>
    <t>MONTONG GALEH</t>
  </si>
  <si>
    <t>MULA JATI</t>
  </si>
  <si>
    <t>Dusun Mekar Sari</t>
  </si>
  <si>
    <t>MEKARSARI (SEKOTONG TENGAH)</t>
  </si>
  <si>
    <t>LONG-LONGAN</t>
  </si>
  <si>
    <t>LEBAH SUREN</t>
  </si>
  <si>
    <t>LOANG BATU</t>
  </si>
  <si>
    <t>300  M</t>
  </si>
  <si>
    <t>SERERO</t>
  </si>
  <si>
    <t>TELAGE LEBUR KEBON</t>
  </si>
  <si>
    <t>LOANG BALOK</t>
  </si>
  <si>
    <t>TELAGE LEBUR DESA</t>
  </si>
  <si>
    <t>GUNUNG ANYAR</t>
  </si>
  <si>
    <t>SEKOTONG II</t>
  </si>
  <si>
    <t>Masyarakat yang masih memiliki rumah tidak layak huni</t>
  </si>
  <si>
    <t>SEKOTONG I</t>
  </si>
  <si>
    <t>DUSUN EYAT PACE</t>
  </si>
  <si>
    <t>TAMAN BARU</t>
  </si>
  <si>
    <t>EYAT PACE</t>
  </si>
  <si>
    <t>DUSUN PEMEGATAN</t>
  </si>
  <si>
    <t>PEMEGATAN</t>
  </si>
  <si>
    <t>DUSUN TIMBAL</t>
  </si>
  <si>
    <t>TIMBAL</t>
  </si>
  <si>
    <t>DUSUN REPOK GAPUK</t>
  </si>
  <si>
    <t>REPOK GAPUK</t>
  </si>
  <si>
    <t>PEMBUATAN DRAENASE</t>
  </si>
  <si>
    <t>DUSUN BATU PUTIH</t>
  </si>
  <si>
    <t>DUSUN ORONG SANDAT</t>
  </si>
  <si>
    <t>ORONG SANDAT</t>
  </si>
  <si>
    <t>DUSUN TAMAN SEJATI</t>
  </si>
  <si>
    <t>TAMAN SEJATI</t>
  </si>
  <si>
    <t>DUSUN KELEP TENGAH</t>
  </si>
  <si>
    <t>KELEP TENGAH</t>
  </si>
  <si>
    <t>DUSUN KELEP BARAT</t>
  </si>
  <si>
    <t>KELEP BARAT</t>
  </si>
  <si>
    <t>DUSUN GELUMPANG</t>
  </si>
  <si>
    <t>GELUMPANG</t>
  </si>
  <si>
    <t>Diarahkan Ke PUPR karena usulannya Sarpras jalan Dusun (pindahan PUPR)</t>
  </si>
  <si>
    <t>Usul Baru, Pindahan Disperinkopnaker</t>
  </si>
  <si>
    <t>Perbaikan/rehab drainase</t>
  </si>
  <si>
    <t>warga masyarakat/kaling</t>
  </si>
  <si>
    <t>175 Meter</t>
  </si>
  <si>
    <t>semula ditolak,disetujui Bina Marga karena rehab bukan bangun baru</t>
  </si>
  <si>
    <t>Peninggian Jembatan Jalan Kabupaten</t>
  </si>
  <si>
    <t>Usulan baru, Tertolak PUPR</t>
  </si>
  <si>
    <t>AIK AMPAT (KEL. DASAN GERES)</t>
  </si>
  <si>
    <t>Semula Ditolak karena jalan desa, diusulkan dengan lokasi berbeda di dusun yg sama (OK)</t>
  </si>
  <si>
    <t xml:space="preserve">Rabat jalan gang </t>
  </si>
  <si>
    <t>Masy Dusun Bebae Luar</t>
  </si>
  <si>
    <t>BEBAE LUAR</t>
  </si>
  <si>
    <t>Klp Masyarakat</t>
  </si>
  <si>
    <t>Sedau</t>
  </si>
  <si>
    <t>Lebah Suren Selatan</t>
  </si>
  <si>
    <t>Rabat jalan gang</t>
  </si>
  <si>
    <t>Masy Dusun Kambeng Timur</t>
  </si>
  <si>
    <t>Sekotong Timur</t>
  </si>
  <si>
    <t>Kambeng Timur</t>
  </si>
  <si>
    <t>100 m x 2,5 m</t>
  </si>
  <si>
    <t xml:space="preserve">Rabat jalan dusun </t>
  </si>
  <si>
    <t>Masyarakat dusun</t>
  </si>
  <si>
    <t>NUSASARI</t>
  </si>
  <si>
    <t>Rabat jalan dusun</t>
  </si>
  <si>
    <t>SAP BARU</t>
  </si>
  <si>
    <t>BERAMI</t>
  </si>
  <si>
    <t>EYAT BAU</t>
  </si>
  <si>
    <t>SAUH</t>
  </si>
  <si>
    <t>Perbaikan Rumah tidak layak huni</t>
  </si>
  <si>
    <t>Masyarakat Dusun Sayong Daye</t>
  </si>
  <si>
    <t>Sayong Daye</t>
  </si>
  <si>
    <t xml:space="preserve">Rabat jalan gang dusun </t>
  </si>
  <si>
    <t>Pemule</t>
  </si>
  <si>
    <t>PERMULE BARU</t>
  </si>
  <si>
    <t>TIBU SAMUT</t>
  </si>
  <si>
    <t>PEWARINGAN</t>
  </si>
  <si>
    <t>TANAQ ABANG</t>
  </si>
  <si>
    <t>KAYU PUTIH</t>
  </si>
  <si>
    <t xml:space="preserve">Masyarakat Dusun Rajimas </t>
  </si>
  <si>
    <t>Sekotong Barat</t>
  </si>
  <si>
    <t>Rajimas</t>
  </si>
  <si>
    <t>PANDANAN BERSEMI</t>
  </si>
  <si>
    <t xml:space="preserve">RABAT GANG DUSUN </t>
  </si>
  <si>
    <t>DUSUN LABUAN CENIK</t>
  </si>
  <si>
    <t>LABUAN CENIK</t>
  </si>
  <si>
    <t>5 Km</t>
  </si>
  <si>
    <t>Pindahan Dispar</t>
  </si>
  <si>
    <t xml:space="preserve">2,5 Km </t>
  </si>
  <si>
    <t xml:space="preserve">DUSUN TANJUNGAN </t>
  </si>
  <si>
    <t xml:space="preserve">TANJUNGAN </t>
  </si>
  <si>
    <t>DUSUN GILI GEDE</t>
  </si>
  <si>
    <t>GILI GEDE</t>
  </si>
  <si>
    <t>PROGRAM PENGELOLAAN PENDIDIKAN</t>
  </si>
  <si>
    <t>Lembaga Pendidikan/Paud yang ada pada Dusun kedondong Atas</t>
  </si>
  <si>
    <t>Dinas Pendidikan dan Kebudayaan</t>
  </si>
  <si>
    <t>Lembaga Pendidikan pada Dusun tibu Ambung</t>
  </si>
  <si>
    <t>PROGRAM PENGEMBANGAN KEBUDAYAAN</t>
  </si>
  <si>
    <t>Pengadaan Alat Gendang Beleq</t>
  </si>
  <si>
    <t>Masyarakat Dusun Lendang Utama</t>
  </si>
  <si>
    <t>UTAMA</t>
  </si>
  <si>
    <t xml:space="preserve">Ruang kelas </t>
  </si>
  <si>
    <t>1 ruang</t>
  </si>
  <si>
    <t>Pagar SD</t>
  </si>
  <si>
    <t>70 meter</t>
  </si>
  <si>
    <t>Alat Permainan Edukatif</t>
  </si>
  <si>
    <t>Masyarakat Dusun Tunjang Polak</t>
  </si>
  <si>
    <t>TUNJANG POLAK</t>
  </si>
  <si>
    <t>Masih Kurangnya Alat Permainan ( APE PAUD ) yang ada di Paud Widya Darma Dusun Awang Madia</t>
  </si>
  <si>
    <t>Murid Paud Widya Darma</t>
  </si>
  <si>
    <t>Penembokan Halaman PAUD</t>
  </si>
  <si>
    <t>Anak Murid PAUD</t>
  </si>
  <si>
    <t>150x1 m</t>
  </si>
  <si>
    <t>Harmoni Sosial</t>
  </si>
  <si>
    <t>Meningkatnya Kerukunan Umat Beragama dan Pemajuan Kebudayaan</t>
  </si>
  <si>
    <t>Pengadaan Peralatan Kesenian Bagi Lembaga Adat/kelompok Kesenian yang telah terdaftar/telah berbadan hukum (sesuai ketentuan berlaku)</t>
  </si>
  <si>
    <t>Langko Daye</t>
  </si>
  <si>
    <t>1 Set Lengkap</t>
  </si>
  <si>
    <t>1unit</t>
  </si>
  <si>
    <t>GUBUK BARU (LANGKO)</t>
  </si>
  <si>
    <t>0o</t>
  </si>
  <si>
    <t>Longserang Barat Utara</t>
  </si>
  <si>
    <t xml:space="preserve">Pengadaan APE PAUD mekar wangi, Dusun Kali Ranget Seperti Ayunan, Perosotan, Kuda Kudaan
</t>
  </si>
  <si>
    <t>Anak Usia Dini Dusun Kali Ranget</t>
  </si>
  <si>
    <t>KALI RANGET</t>
  </si>
  <si>
    <t xml:space="preserve">Rehabilitasi Ruang Kelas SDN 5 BATU MEKAR
</t>
  </si>
  <si>
    <t>Peserta Didik SDN 5 Batu Mekar</t>
  </si>
  <si>
    <t>PERABA</t>
  </si>
  <si>
    <t>1 Ruangan</t>
  </si>
  <si>
    <t xml:space="preserve">Pengadaan Mebel PAUD
</t>
  </si>
  <si>
    <t xml:space="preserve">Pengadaan Mebel SMP/MTS
</t>
  </si>
  <si>
    <t>Siswa MTs</t>
  </si>
  <si>
    <t>Pembangunan RKB PAUD Melati</t>
  </si>
  <si>
    <t>61 siswa, 5 Guru, 750 KK</t>
  </si>
  <si>
    <t>NYUR LEMBANG BARAT</t>
  </si>
  <si>
    <t>6 x 12 m2</t>
  </si>
  <si>
    <t>Penembokan Halaman SD 1</t>
  </si>
  <si>
    <t>191 Siswa, 11 Guru, 750 KK</t>
  </si>
  <si>
    <t>Pembangunan Toilet SDN 1 Mekarsari</t>
  </si>
  <si>
    <t>Murid SD, Guru</t>
  </si>
  <si>
    <t>Tempit</t>
  </si>
  <si>
    <t>2 Ruang</t>
  </si>
  <si>
    <t>Pengadaan 2 Buah Ayunan dan 1 Buah Perosotan</t>
  </si>
  <si>
    <t>Penembokan Halaman SD</t>
  </si>
  <si>
    <t xml:space="preserve">Pembangunan Toilet SD
</t>
  </si>
  <si>
    <t>Pembangunan RKB PAUD</t>
  </si>
  <si>
    <t>Nama PAUD...</t>
  </si>
  <si>
    <t>Permohonan Pembangunan Gedung PAUD Pratama Widyalaya Dharma Shanty</t>
  </si>
  <si>
    <t>Warga sekitar Tambang eleh</t>
  </si>
  <si>
    <t>TAMBANG ELEH</t>
  </si>
  <si>
    <t>REHAB PAUD SALSABILA BUNTAGE</t>
  </si>
  <si>
    <t>Paud Salsabila</t>
  </si>
  <si>
    <t>PAUD Bani Akbar</t>
  </si>
  <si>
    <t>KURIPAN 2</t>
  </si>
  <si>
    <t>APE Luar Paud Ar-Rahmah</t>
  </si>
  <si>
    <t>Paud Ar-Rahmah</t>
  </si>
  <si>
    <t>POHDANA</t>
  </si>
  <si>
    <t>Peralatan kesenian</t>
  </si>
  <si>
    <t>Pembangunan RKB PAUD (sesuai ketentuan berlaku)</t>
  </si>
  <si>
    <t>LEMBAGA</t>
  </si>
  <si>
    <t>Ukuran ruang kelas 4X6</t>
  </si>
  <si>
    <t>TIBU LINGKUNG</t>
  </si>
  <si>
    <t>Pemberian Biaya Operasional Pendidikan Kesetaraan Paket A, B dan C</t>
  </si>
  <si>
    <t>Jenis bantuan akan dirinci scr spesifik di proposal</t>
  </si>
  <si>
    <t>Lembaga/Yayasan</t>
  </si>
  <si>
    <t>100 PAKET</t>
  </si>
  <si>
    <t>Pembangunan RKB SD dan Toilet SD Islam Darul Ulum</t>
  </si>
  <si>
    <t>Yayasan/Lembaga</t>
  </si>
  <si>
    <t>APIT AIK</t>
  </si>
  <si>
    <t>Toilet</t>
  </si>
  <si>
    <t>6 x 4 m</t>
  </si>
  <si>
    <t>RKB</t>
  </si>
  <si>
    <t>REHAP SANGGAR SENI</t>
  </si>
  <si>
    <t>KELOMPOK SANGGAR SENI DARMA ANGKASA</t>
  </si>
  <si>
    <t>MEKAR SARI (SEKOTONG BARAT)</t>
  </si>
  <si>
    <t xml:space="preserve">PEMBANGUNAN RKB </t>
  </si>
  <si>
    <t>DUSUN GUNUNG KETAPANG</t>
  </si>
  <si>
    <t>GUNUNG KETAPANG</t>
  </si>
  <si>
    <t>ALAT DAN PERLENGKAPAN</t>
  </si>
  <si>
    <t>DUSUN TAWUN</t>
  </si>
  <si>
    <t>TAWUN</t>
  </si>
  <si>
    <t>APE TK. Pertiwi Gerung</t>
  </si>
  <si>
    <t>TK. Pertiwi Gerung</t>
  </si>
  <si>
    <t>Tambahan baru hasil musrenbnag, sebelumnya belum ada dan belum ada ID</t>
  </si>
  <si>
    <t>Meningkatnya Derajat Kesehatan Masyarakat</t>
  </si>
  <si>
    <t>PROGRAM PEMENUHAN UPAYA KESEHATAN PERORANGAN DAN UPAYA KESEHATAN MASYARAKAT</t>
  </si>
  <si>
    <t>Stunting</t>
  </si>
  <si>
    <t>Dinas Kesehatan, Pengendalian Penduduk dan Keluarga Berencana</t>
  </si>
  <si>
    <t>PEMBERIAN PMT IBU HAMIL KEK</t>
  </si>
  <si>
    <t>38 orang</t>
  </si>
  <si>
    <t>60 orang</t>
  </si>
  <si>
    <t>Pembangunan Puskesmas Pembantu dalam rangka meningkatkan Akses Pelayanan Kesehatan di tingkat Desa terutama dalam pelayanan ILP (Integrasi Layanan Primer)</t>
  </si>
  <si>
    <t>perbaikan</t>
  </si>
  <si>
    <t>Ketahanan Sosial</t>
  </si>
  <si>
    <t>Terwujudnya Perlindungan Sosial Yang Adaptif</t>
  </si>
  <si>
    <t>PROGRAM REHABILITASI SOSIAL</t>
  </si>
  <si>
    <t>Kursi Roda</t>
  </si>
  <si>
    <t>Penyandang Disabilitas di Dusun Perempung</t>
  </si>
  <si>
    <t>Dinas Sosial, Pemberdayaan Perempuan, dan Perlindungan Anak</t>
  </si>
  <si>
    <t>8 Paket</t>
  </si>
  <si>
    <t xml:space="preserve">Standar SSH : Harga Kursi Roda Rp. 2.910.000 </t>
  </si>
  <si>
    <t>Penyediaan alat bantu dari Daerah
(Contohnya : Kursi Roda Anak, Kursi Roda
Lansia, Kursi Roda Standar,Kursi Roda 3 in 1
Alat bantu Dengar, Tongkat Netra, Tongkat
Netra. Tongkat Ketiak, Tongkat Lansia, Tongkat Kaki 3 dan 4</t>
  </si>
  <si>
    <t>6 Paket</t>
  </si>
  <si>
    <t>9 Paket</t>
  </si>
  <si>
    <t xml:space="preserve">Standar SSH : Harga Kursi Roda 3 in 1 SSH Rp. 5.129.000 </t>
  </si>
  <si>
    <t>Penyediaan alat bantu dari daerah (Kursi roda, tongkat, dll)</t>
  </si>
  <si>
    <t>Tongkat Ketiak (Disabilitas)</t>
  </si>
  <si>
    <t>Standar SSH : Harga Tongkat Kaki Tiga Rp. 421.000</t>
  </si>
  <si>
    <t>alat Dengar (Disabilitas)</t>
  </si>
  <si>
    <t>Standar SSH : Harga Alat Dengar Tanpa Baterai Rp. 2.700.000</t>
  </si>
  <si>
    <t>Tongkat Kakitiga (Disabilitas)</t>
  </si>
  <si>
    <t>Kursi Roda (Disabilitas)</t>
  </si>
  <si>
    <t>Transformasi Tata Kelola</t>
  </si>
  <si>
    <t>Terwujudnya Masyarakat yang Harmonis dan Toleran</t>
  </si>
  <si>
    <t>PROGRAM PENINGKATAN KETENTERAMAN DAN KETERTIBAN UMUM</t>
  </si>
  <si>
    <t>pembangunan pos kamling</t>
  </si>
  <si>
    <t>Masyarakat Dusun tibu Ambung dan sekitarnya</t>
  </si>
  <si>
    <t>Satuan Polisi Pamong Praja</t>
  </si>
  <si>
    <t>pembangunan poskamling</t>
  </si>
  <si>
    <t xml:space="preserve">Pembangunan Poskamling  </t>
  </si>
  <si>
    <t>Masyarakat Dusun Sandik Indah dan skitarnya</t>
  </si>
  <si>
    <t>SANDIK INDAH</t>
  </si>
  <si>
    <t>Pengadaan HT dan Center</t>
  </si>
  <si>
    <t>Pengadaan HT dan Center dan Pos jaga</t>
  </si>
  <si>
    <t xml:space="preserve">Pengadaan sarana dan prasarana trantibum yaitu pos keamanan lingkungan berupa berugak sekepat dan sekenem/ Pembangunan Pos Ronda
</t>
  </si>
  <si>
    <t xml:space="preserve">Pengadaan sarana dan prasarana trantibum yaitu pos keamanan lingkungan berupa berugak sekepat dan sekenem
</t>
  </si>
  <si>
    <t>Bimtek peningkatan kapasitas satlinmas</t>
  </si>
  <si>
    <t>Linmas Desa Golong</t>
  </si>
  <si>
    <t>Bangket Punik</t>
  </si>
  <si>
    <t>10 Org</t>
  </si>
  <si>
    <t>10 Orang</t>
  </si>
  <si>
    <t xml:space="preserve">tidak ada pos keamanan yang ada di dusun karang midang </t>
  </si>
  <si>
    <t>pengadaan pos ronda berupa sekepat di rt 01,02 dan 03 sejumlah 4 titik</t>
  </si>
  <si>
    <t>pengadaan pos ronda 3 titik untuk tiap rt berupa sekepat atau sekenem</t>
  </si>
  <si>
    <t>Pengadaan seragam dan atribut lapangan untuk satlinmas</t>
  </si>
  <si>
    <t>7 Stel</t>
  </si>
  <si>
    <t>Permohonan Bantuan Pengadaan Pos Keamanan Lingkungan (Berugak Sekepat)</t>
  </si>
  <si>
    <t>2 buah</t>
  </si>
  <si>
    <t>Warga dusun Tegal</t>
  </si>
  <si>
    <t>Warga dusun Dasan Geres</t>
  </si>
  <si>
    <t>Warga Karang Bucu</t>
  </si>
  <si>
    <t>Warga Dusun Adeng</t>
  </si>
  <si>
    <t xml:space="preserve">Bantuan Saranana Prasrana patrolinKmatibmas </t>
  </si>
  <si>
    <t xml:space="preserve">Pengadaan sarana dan prasarana trantibum yaitu pos keamanan lingkungan berupa berugak  sekenem
</t>
  </si>
  <si>
    <t>Warga Dusun Tongkek</t>
  </si>
  <si>
    <t>Warga Dusun Kuripan 2</t>
  </si>
  <si>
    <t>Warga Kuripan 1</t>
  </si>
  <si>
    <t xml:space="preserve">Pengadaan sarana dan prasarana trantibum yaitu pos keamanan lingkungan berupa berugak sekenem
</t>
  </si>
  <si>
    <t>Warga Dusun Karang Rumak</t>
  </si>
  <si>
    <t>KARANG RUMAK</t>
  </si>
  <si>
    <t>Warga Dusun Monto</t>
  </si>
  <si>
    <t>POS KAMLING</t>
  </si>
  <si>
    <t>1 BUAH</t>
  </si>
  <si>
    <t>Pengadaan sarana dan prasarana trantibum</t>
  </si>
  <si>
    <t>Pengadaan sarana dan prasarana trantibum yaitu pos keamanan lingkungan berupa berugak sekepat dan sekenem</t>
  </si>
  <si>
    <t>Sejahtera dari Desa</t>
  </si>
  <si>
    <t>PROGRAM PEMBERDAYAAN LEMBAGA KEMASYARAKATAN, LEMBAGA ADAT DAN MASYARAKAT HUKUM ADAT</t>
  </si>
  <si>
    <t>Usulan Desa ( Pelatihan Digitalisasi Desa Dan Pengadaan Kamera</t>
  </si>
  <si>
    <t>Dinas Pemberdayaan Masyarakat dan Desa</t>
  </si>
  <si>
    <t>30 Orang</t>
  </si>
  <si>
    <t>Penguatan Kapasitas Kelembagaan bagi Pengurus TP PKK Desa</t>
  </si>
  <si>
    <t>TP PKK</t>
  </si>
  <si>
    <t>35 Orang</t>
  </si>
  <si>
    <t>Terwujudnya penyelenggaraan Pemerintahan yang Melayani dan Berintegritas</t>
  </si>
  <si>
    <t>PROGRAM PEMERINTAHAN DAN KESEJAHTERAAN RAKYAT</t>
  </si>
  <si>
    <t>Bantuan Sarana dan Prasarana Bidang Keagamaan (Rumah Ibadah)</t>
  </si>
  <si>
    <t>Masyarakat Desa Gunungsari</t>
  </si>
  <si>
    <t>Sekretariat Daerah</t>
  </si>
  <si>
    <t xml:space="preserve">Terob, Kursi Dan Genset Phbi Masjid Assyifa'Ul Iman </t>
  </si>
  <si>
    <t>Ranjang Dan Alat Pemandian Jenazah</t>
  </si>
  <si>
    <t>Sumur Bor Dan Genset Masjid Baitul Izzah</t>
  </si>
  <si>
    <t xml:space="preserve">Terob  3 Unit 3X4 , Kursi, Dan Panggung Utk Kegiatan Remaja Masjid </t>
  </si>
  <si>
    <t>Perlengkapan /Peralatan Jenazah</t>
  </si>
  <si>
    <t xml:space="preserve">Masyarakat Dusun Gegutu Lendang </t>
  </si>
  <si>
    <t xml:space="preserve">Gegutu Lendang </t>
  </si>
  <si>
    <t>Peralatan Pemandian Jenazah</t>
  </si>
  <si>
    <t>Perbaikan Fasilitas Tempat Ibadah Ponpes (Musholla)</t>
  </si>
  <si>
    <t>PERUBAHAN PAGU ANGGARAN</t>
  </si>
  <si>
    <t xml:space="preserve">Bantuan Alat Pemandian Jenazah </t>
  </si>
  <si>
    <t>Pengadaan Terop dan Kursi Dusun</t>
  </si>
  <si>
    <t>Rumah ibadah / masjid</t>
  </si>
  <si>
    <t>Bantuan Operasional Yayasan</t>
  </si>
  <si>
    <t>1 Lembaga</t>
  </si>
  <si>
    <t>Operasional Yayasan</t>
  </si>
  <si>
    <t>Rehabilitasi Tempat Ibadah</t>
  </si>
  <si>
    <t>Pembangunan MCU</t>
  </si>
  <si>
    <t>Pemberian Hibah Uang Untuk Fasilitas Keagamaan (Masjid)</t>
  </si>
  <si>
    <t>1231 Orang (Masyarakat)</t>
  </si>
  <si>
    <t>1 Kali</t>
  </si>
  <si>
    <t>rehap masjid dengan kisaran dana Rp. 30.000.000,00 di rt 01</t>
  </si>
  <si>
    <t>kurangnya perhatian alat alat ajar di ponpes maupun kelompok kelompok pengajian</t>
  </si>
  <si>
    <t>BANYUMULEK BARAT</t>
  </si>
  <si>
    <t>Kurangngya fasilitas di TPQ Sedesa Ombe Baru, baik Dari Prasarana Dan Sarana.</t>
  </si>
  <si>
    <t>Pengadaan Sarpras Kegiatan Agama</t>
  </si>
  <si>
    <t>Pindahan dari Dinsos</t>
  </si>
  <si>
    <t>Disarankan Usul  ke Setda</t>
  </si>
  <si>
    <t>Pemberian hibah uang untuk fasilitas keagamaan</t>
  </si>
  <si>
    <t>Lengkapi Nama Yayasan..</t>
  </si>
  <si>
    <t>26 OB</t>
  </si>
  <si>
    <t>Labuapi Timur</t>
  </si>
  <si>
    <t>Pindahan dari Dinas Perindustrian, Koperasi, Usaha Kecil dan Menengah, dan Tenaga Kerja (alat pemandian jenazah untuk masjid )</t>
  </si>
  <si>
    <t>Belum adanya insentif guru ngaji, marbot masjid dan marbot mushola.</t>
  </si>
  <si>
    <t>Guru Ngaji di dusun sedayu</t>
  </si>
  <si>
    <t>7 Orang x 12 Bulan x 100.000,-</t>
  </si>
  <si>
    <t>Guru Ngaji di Dusun Karang Makan</t>
  </si>
  <si>
    <t>Guru Ngaji di Dusun Tongkek</t>
  </si>
  <si>
    <t>Guru Ngaji Dusun Kuripan  2</t>
  </si>
  <si>
    <t>Warga Dusun Kuripan 1</t>
  </si>
  <si>
    <t>Guru Ngaji di Dusun Iting</t>
  </si>
  <si>
    <t>Guru Ngaji di Dusun Dua Pelet</t>
  </si>
  <si>
    <t>Guru Ngaji di Dusun Kr. Rumak</t>
  </si>
  <si>
    <t>Guru Ngaji Dusun Monto</t>
  </si>
  <si>
    <t>Pemberian Hibah Uang untuk rumah ibadah</t>
  </si>
  <si>
    <t>Mushalla al-Ijtihad</t>
  </si>
  <si>
    <t>Hibah Uang</t>
  </si>
  <si>
    <t>Lembaga</t>
  </si>
  <si>
    <t xml:space="preserve">Pemberian hibah uang untuk fasilitas keagamaan (yayasan/ponpes/rumah ibadah/organisasi/Guru Ngaji)
</t>
  </si>
  <si>
    <t>SOUNDSYSTEM TEMPAT IBADAH + KELENGKAPAN</t>
  </si>
  <si>
    <t>Bantuan Hibah uang ke tempat ibadah</t>
  </si>
  <si>
    <t>Remaja Masjid Baiturrahman</t>
  </si>
  <si>
    <t>Ranjok</t>
  </si>
  <si>
    <t>Dasan Geres</t>
  </si>
  <si>
    <t>Hibah uang untuk tempat ibadah</t>
  </si>
  <si>
    <t>Pure Dalem "Wane Pralina"</t>
  </si>
  <si>
    <t>KARANG MEJETI</t>
  </si>
  <si>
    <t>PROGRAM PEMBINAAN DAN PENGEMBANGAN KETAHANAN EKONOMI, SOSIAL, DAN BUDAYA</t>
  </si>
  <si>
    <t>Sosialisasi pencegahan, Pemberantasan, 
Penyalahgunaan dan Peredaran Gelap Narkoba (P4GN), Pembentukan dan Deklarasi DesAntik (Desa Anti Narkoba)</t>
  </si>
  <si>
    <t>Badan Kesatuan Bangsa dan Politik</t>
  </si>
  <si>
    <t>Sosialisasi Pencegahan, Pemberantasan, Penyalahgunaan dan Peredaran Gelap Narkoba (P4GN) Pembentukan dan Deklarasi DesAntik (Desa Anti Narkoba)</t>
  </si>
  <si>
    <t>80 orang</t>
  </si>
  <si>
    <t>REKAP PER OPD_KECAMATAN USULAN DESA TAHUN 2027 (FORUM PERANGKAT DAERAH)</t>
  </si>
  <si>
    <t>OPD TUJUAN</t>
  </si>
  <si>
    <t>JUMLAH</t>
  </si>
  <si>
    <t>PAGU TOTAL OPD</t>
  </si>
  <si>
    <t>PROGRAM PENUNJANG</t>
  </si>
  <si>
    <t>PAGU CORE BISNIS</t>
  </si>
  <si>
    <t>SELISIH PAGU COR BISNIS DGN USULAN DESA</t>
  </si>
  <si>
    <t>Dinas Kearsipan dan Perpustakaan</t>
  </si>
  <si>
    <t>PEMETAAN HASIL FORUM PERANGKAT DAERAH TERHADAP PRIORITAS DAERAH TAHUN 2027</t>
  </si>
  <si>
    <t>URAIAN PRIORITAS</t>
  </si>
  <si>
    <t>PAGU (Rp)</t>
  </si>
  <si>
    <t>PERSENTASE</t>
  </si>
  <si>
    <t>PKAB 1</t>
  </si>
  <si>
    <t>PKAB 2</t>
  </si>
  <si>
    <t>PKAB 3</t>
  </si>
  <si>
    <t>PKAB 4</t>
  </si>
  <si>
    <t>PKAB 5</t>
  </si>
  <si>
    <t>PKAB 6</t>
  </si>
  <si>
    <t>PKAB 7</t>
  </si>
  <si>
    <t>PKAB 8</t>
  </si>
  <si>
    <t>PKAB 9</t>
  </si>
  <si>
    <t>CEK</t>
  </si>
  <si>
    <t>PERBANDINGAN JUMLAH USULAN DESA PER PROGRAM DENGAN PAGU PROGRAM RANWAL RENJA OPD TAHUN 2027</t>
  </si>
  <si>
    <t>PERANGKAT DAERAH</t>
  </si>
  <si>
    <t>PAGU USULAN DESA (Rp)</t>
  </si>
  <si>
    <t>PAGU TERSEDIA DI OPD (Rp)</t>
  </si>
  <si>
    <t>SELISIH</t>
  </si>
  <si>
    <t>Sosial dan Kelembagaan (Kapasitas Pemdes, Karang taruna, Perlindungan Sosial Komunitas)</t>
  </si>
  <si>
    <t>PROGRAM Pengelolaan Perikanan Tangkap</t>
  </si>
  <si>
    <t>Penguatan Ekonomi Desa (BUMDes, Alat Produksi UMKM, Desa Wisata, Dukungan Pertanian/Perikanan)</t>
  </si>
  <si>
    <t>PROGRAM Pengelolaan Perikanan Budidaya</t>
  </si>
  <si>
    <t>PROGRAM Pengolahan dan Pemasaran Hasil Perikanan</t>
  </si>
  <si>
    <t>Peningkatan Kualitas SDM (Intervensi Stunting, Posyandu, Beasiswa, Pelatihan Keterampilan Kerja)</t>
  </si>
  <si>
    <t>PROGRAM Pengembangan kapasitas daya saing kepemudaan</t>
  </si>
  <si>
    <t>Infrastruktur Dasar (Jalan lingkungan, Irigasi kecil, Air Bersih, Sanitasi/Rutilahu)</t>
  </si>
  <si>
    <t>PROGRAM Pemberdayaan Sosial</t>
  </si>
  <si>
    <t>PROGRAM PENGEMBANGAN SISTEM DAN PENGELOLAAN PERSAMPAHAN REGIONAL</t>
  </si>
  <si>
    <t>SUB TOTAL</t>
  </si>
  <si>
    <t>REKAP SEMENTARA PAGU PER PILAR SDD (DARI HASIL MUSRENBANGKAB) 2027</t>
  </si>
  <si>
    <t>URAIAN</t>
  </si>
  <si>
    <t>Blueprint Alokasi Indikatif</t>
  </si>
  <si>
    <t>30 - 40 %</t>
  </si>
  <si>
    <t>20 - 25 %</t>
  </si>
  <si>
    <t>10 - 15 %</t>
  </si>
  <si>
    <t>Rekap Tanggal 3 April 2026</t>
  </si>
  <si>
    <t>PILAR</t>
  </si>
  <si>
    <t>Pengolahan dan Pemasaran Hasil Perikanan</t>
  </si>
  <si>
    <t>Pengelolaan Perikanan Budidaya</t>
  </si>
  <si>
    <t xml:space="preserve">KAWASAN PERMUKIMAN </t>
  </si>
  <si>
    <t>PENINGKATAN PRASARANA, SARANA DAN UTILITAS UMUM (PSU)</t>
  </si>
  <si>
    <t>TOTAL</t>
  </si>
  <si>
    <t>Catatan PU yang mendukung stunting :</t>
  </si>
  <si>
    <t>- Air Bersih</t>
  </si>
  <si>
    <t>Perpipaan Air Bersih</t>
  </si>
  <si>
    <t>Infrastruktur Dasar (Jalan lingkungan, Irigasi kecil, talud, dll)</t>
  </si>
  <si>
    <t>MENDUKUNG PILAR</t>
  </si>
  <si>
    <t>SUB KEGIATAN</t>
  </si>
  <si>
    <t>PEKERJAAN</t>
  </si>
  <si>
    <t>PAGU ANGGARAN</t>
  </si>
  <si>
    <t>Pengadaan Mebel Sekolah</t>
  </si>
  <si>
    <t>Pengadaan Mebel Lab komputer SMPN 3 Gerung</t>
  </si>
  <si>
    <t>Pembangunan Sarana, Prasarana dan Utilitas PAUD</t>
  </si>
  <si>
    <t>Penataan Halaman dan Penembokan TKN 5 Gerung</t>
  </si>
  <si>
    <t>Dinas Kesehatan</t>
  </si>
  <si>
    <t>Pengelolaan Jaminan Kesehatan Masyarakat</t>
  </si>
  <si>
    <t>Belanja Iuran Jaminan Kesehatan bagi Peserta PBPU dan BP Kelas 3</t>
  </si>
  <si>
    <t>Belanja Bantuan Iuran Jaminan Kesehatan bagi Peserta PBPU dan BP Kelas 3</t>
  </si>
  <si>
    <t>Pembangunan RTLH</t>
  </si>
  <si>
    <t>Pemeliharaan Rutin Jalan</t>
  </si>
  <si>
    <t>Dinas Pekerjaan Umum, Penataan Ruang, Perumahan dan Kawasan Permukiman (Provinsi)</t>
  </si>
  <si>
    <t>Penyediaan Prasarana, Sarana, dan Utilitas Umum di Permukiman</t>
  </si>
  <si>
    <t>Pengadaan PPSU</t>
  </si>
  <si>
    <t>Monitoring dan Evaluasi Pengembangan Sumber Daya Pariwisata dan Ekonomi Kreatif</t>
  </si>
  <si>
    <t>Pendampingan  Wisata (Pembinaan Monitoring  Wisata)</t>
  </si>
  <si>
    <t>KESEPAKATAN VOLUME DAN PAGU FINAL</t>
  </si>
  <si>
    <t xml:space="preserve"> PAGU </t>
  </si>
  <si>
    <t>TAMAN AYU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</si>
</sst>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_(* \(#,##0\);_(* &quot;-&quot;_);_(@_)"/>
    <numFmt numFmtId="165" formatCode="_(* #,##0.00_);_(* \(#,##0.00\);_(* &quot;-&quot;??_);_(@_)"/>
    <numFmt numFmtId="166" formatCode="_(* #,##0_);_(* \(#,##0\);_(* &quot;-&quot;??_);_(@_)"/>
    <numFmt numFmtId="167" formatCode="_-* #,##0_-;\-* #,##0_-;_-* &quot;-&quot;??_-;_-@_-"/>
    <numFmt numFmtId="168" formatCode="#,##0.00\ &quot;km&quot;"/>
    <numFmt numFmtId="169" formatCode="_-* #,##0.0_-;\-* #,##0.0_-;_-* &quot;-&quot;??_-;_-@_-"/>
    <numFmt numFmtId="170" formatCode="&quot;Rp&quot;#,##0.00"/>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0"/>
      <color theme="1"/>
      <name val="Calibri"/>
      <family val="2"/>
      <scheme val="minor"/>
    </font>
    <font>
      <sz val="9"/>
      <color theme="1"/>
      <name val="Calibri"/>
      <family val="2"/>
      <scheme val="minor"/>
    </font>
    <font>
      <sz val="9"/>
      <name val="Calibri"/>
      <family val="2"/>
      <scheme val="minor"/>
    </font>
    <font>
      <sz val="8"/>
      <color theme="1"/>
      <name val="Times New Roman"/>
      <family val="1"/>
    </font>
    <font>
      <sz val="12"/>
      <color theme="1"/>
      <name val="Times New Roman"/>
      <family val="1"/>
    </font>
    <font>
      <b/>
      <sz val="9"/>
      <color indexed="81"/>
      <name val="Tahoma"/>
      <family val="2"/>
    </font>
    <font>
      <sz val="11"/>
      <name val="Calibri"/>
      <family val="2"/>
      <scheme val="minor"/>
    </font>
    <font>
      <b/>
      <sz val="10"/>
      <name val="Calibri"/>
      <family val="2"/>
      <scheme val="minor"/>
    </font>
    <font>
      <sz val="10"/>
      <name val="Calibri"/>
      <family val="2"/>
      <scheme val="minor"/>
    </font>
    <font>
      <sz val="11"/>
      <color indexed="8"/>
      <name val="Calibri"/>
      <family val="2"/>
      <scheme val="minor"/>
    </font>
    <font>
      <sz val="10"/>
      <color theme="1"/>
      <name val="Calibri"/>
      <family val="2"/>
      <scheme val="minor"/>
    </font>
    <font>
      <sz val="12"/>
      <name val="Times New Roman"/>
      <family val="1"/>
    </font>
    <font>
      <sz val="12"/>
      <color theme="1"/>
      <name val="Bookman Old Style"/>
      <family val="1"/>
    </font>
    <font>
      <sz val="11"/>
      <color rgb="FF000000"/>
      <name val="Calibri"/>
      <family val="2"/>
      <charset val="204"/>
    </font>
    <font>
      <b/>
      <i/>
      <sz val="11"/>
      <color theme="1"/>
      <name val="Calibri"/>
      <family val="2"/>
      <scheme val="minor"/>
    </font>
    <font>
      <sz val="12"/>
      <color theme="1"/>
      <name val="Calibri"/>
      <family val="2"/>
      <scheme val="minor"/>
    </font>
    <font>
      <u/>
      <sz val="11"/>
      <color theme="1"/>
      <name val="Calibri"/>
      <family val="2"/>
      <scheme val="minor"/>
    </font>
    <font>
      <sz val="11"/>
      <name val="Calibri"/>
      <family val="2"/>
    </font>
    <font>
      <sz val="11"/>
      <color rgb="FF000000"/>
      <name val="Calibri"/>
      <family val="2"/>
    </font>
    <font>
      <sz val="11"/>
      <color theme="1"/>
      <name val="Bookman Old Style"/>
      <family val="1"/>
    </font>
    <font>
      <b/>
      <sz val="20"/>
      <color theme="1"/>
      <name val="Calibri"/>
      <family val="2"/>
      <scheme val="minor"/>
    </font>
    <font>
      <sz val="20"/>
      <color theme="1"/>
      <name val="Calibri"/>
      <family val="2"/>
      <scheme val="minor"/>
    </font>
    <font>
      <sz val="9"/>
      <color indexed="8"/>
      <name val="Bookman Old Style"/>
      <family val="1"/>
    </font>
    <font>
      <sz val="10"/>
      <color rgb="FF000000"/>
      <name val="Bookman Old Style"/>
      <family val="1"/>
    </font>
    <font>
      <sz val="11"/>
      <color rgb="FF000000"/>
      <name val="Calibri"/>
      <family val="2"/>
      <scheme val="minor"/>
    </font>
    <font>
      <sz val="12"/>
      <color theme="1"/>
      <name val="Arial"/>
      <family val="2"/>
    </font>
    <font>
      <b/>
      <sz val="8"/>
      <color rgb="FFFFFFFF"/>
      <name val="Bookman Old Style"/>
      <family val="1"/>
    </font>
    <font>
      <sz val="8"/>
      <color theme="1"/>
      <name val="Bookman Old Style"/>
      <family val="1"/>
    </font>
    <font>
      <sz val="8"/>
      <color rgb="FF000000"/>
      <name val="Bookman Old Style"/>
      <family val="1"/>
    </font>
    <font>
      <b/>
      <sz val="8"/>
      <color rgb="FF000000"/>
      <name val="Bookman Old Style"/>
      <family val="1"/>
    </font>
  </fonts>
  <fills count="19">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C000"/>
        <bgColor indexed="64"/>
      </patternFill>
    </fill>
    <fill>
      <patternFill patternType="solid">
        <fgColor rgb="FFBFBFBF"/>
        <bgColor indexed="64"/>
      </patternFill>
    </fill>
    <fill>
      <patternFill patternType="solid">
        <fgColor rgb="FFDDEBF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s>
  <cellStyleXfs count="17">
    <xf numFmtId="0" fontId="0" fillId="0" borderId="0"/>
    <xf numFmtId="165"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0" fontId="1" fillId="0" borderId="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0" fontId="21" fillId="0" borderId="0">
      <alignment vertical="center"/>
    </xf>
    <xf numFmtId="165" fontId="22" fillId="0" borderId="0">
      <protection locked="0"/>
    </xf>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429">
    <xf numFmtId="0" fontId="0" fillId="0" borderId="0" xfId="0"/>
    <xf numFmtId="0" fontId="4" fillId="2" borderId="1" xfId="0" quotePrefix="1" applyFont="1" applyFill="1" applyBorder="1" applyAlignment="1">
      <alignment horizontal="center" vertical="center" wrapText="1"/>
    </xf>
    <xf numFmtId="0" fontId="2" fillId="3" borderId="1" xfId="0" applyFont="1" applyFill="1" applyBorder="1" applyAlignment="1">
      <alignment horizontal="center" vertical="center" wrapText="1"/>
    </xf>
    <xf numFmtId="166" fontId="4" fillId="3" borderId="1" xfId="1" quotePrefix="1" applyNumberFormat="1" applyFont="1" applyFill="1" applyBorder="1" applyAlignment="1">
      <alignment horizontal="center" vertical="center" wrapText="1"/>
    </xf>
    <xf numFmtId="0" fontId="4" fillId="4" borderId="1" xfId="0" quotePrefix="1" applyFont="1" applyFill="1" applyBorder="1" applyAlignment="1">
      <alignment horizontal="center" vertical="center" wrapText="1"/>
    </xf>
    <xf numFmtId="166" fontId="4" fillId="4" borderId="1" xfId="1" quotePrefix="1"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0" fontId="0" fillId="0" borderId="1" xfId="0" applyBorder="1" applyAlignment="1">
      <alignment horizontal="left" vertical="center" wrapText="1"/>
    </xf>
    <xf numFmtId="166" fontId="0" fillId="3" borderId="1" xfId="1" applyNumberFormat="1" applyFont="1" applyFill="1" applyBorder="1" applyAlignment="1">
      <alignment vertical="center" wrapText="1"/>
    </xf>
    <xf numFmtId="43" fontId="0" fillId="0" borderId="1" xfId="0" applyNumberFormat="1" applyBorder="1" applyAlignment="1">
      <alignment vertical="center" wrapText="1"/>
    </xf>
    <xf numFmtId="164" fontId="0" fillId="0" borderId="1" xfId="3" applyNumberFormat="1" applyFont="1" applyFill="1" applyBorder="1" applyAlignment="1">
      <alignment horizontal="right" vertical="center" wrapText="1"/>
    </xf>
    <xf numFmtId="166" fontId="0" fillId="3" borderId="1" xfId="1" applyNumberFormat="1" applyFont="1" applyFill="1" applyBorder="1" applyAlignment="1">
      <alignment horizontal="right" vertical="center" wrapText="1"/>
    </xf>
    <xf numFmtId="166" fontId="0" fillId="0" borderId="1" xfId="1" applyNumberFormat="1" applyFont="1" applyFill="1" applyBorder="1" applyAlignment="1">
      <alignment vertical="center" wrapText="1"/>
    </xf>
    <xf numFmtId="164" fontId="0" fillId="0" borderId="1" xfId="2" applyFont="1" applyFill="1" applyBorder="1" applyAlignment="1">
      <alignment horizontal="right" vertical="center" wrapText="1"/>
    </xf>
    <xf numFmtId="0" fontId="0" fillId="0" borderId="1" xfId="0" applyBorder="1" applyAlignment="1">
      <alignment horizontal="center" vertical="center"/>
    </xf>
    <xf numFmtId="166" fontId="0" fillId="3" borderId="1" xfId="1" applyNumberFormat="1" applyFont="1" applyFill="1" applyBorder="1" applyAlignment="1">
      <alignment horizontal="right" vertical="center"/>
    </xf>
    <xf numFmtId="167" fontId="0" fillId="0" borderId="1" xfId="3" applyNumberFormat="1" applyFont="1" applyFill="1"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xf>
    <xf numFmtId="167" fontId="0" fillId="0" borderId="2" xfId="3" applyNumberFormat="1" applyFont="1" applyFill="1" applyBorder="1" applyAlignment="1">
      <alignment horizontal="right" vertical="center"/>
    </xf>
    <xf numFmtId="166" fontId="0" fillId="3" borderId="2" xfId="1" applyNumberFormat="1" applyFont="1" applyFill="1" applyBorder="1" applyAlignment="1">
      <alignment horizontal="right" vertical="center"/>
    </xf>
    <xf numFmtId="0" fontId="0" fillId="0" borderId="2" xfId="0" applyBorder="1" applyAlignment="1">
      <alignment horizontal="lef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1" xfId="0" applyFill="1" applyBorder="1"/>
    <xf numFmtId="0" fontId="0" fillId="5" borderId="1" xfId="0" applyFill="1" applyBorder="1" applyAlignment="1">
      <alignment horizontal="left" vertical="center" wrapText="1"/>
    </xf>
    <xf numFmtId="166" fontId="0" fillId="5" borderId="1" xfId="1" applyNumberFormat="1" applyFont="1" applyFill="1" applyBorder="1" applyAlignment="1">
      <alignment horizontal="right" vertical="center"/>
    </xf>
    <xf numFmtId="0" fontId="0" fillId="5" borderId="1" xfId="0" applyFill="1" applyBorder="1" applyAlignment="1">
      <alignment horizontal="left" vertical="center"/>
    </xf>
    <xf numFmtId="0" fontId="5" fillId="0" borderId="4" xfId="0" applyFont="1" applyBorder="1" applyAlignment="1">
      <alignment horizontal="center" vertical="center" wrapText="1"/>
    </xf>
    <xf numFmtId="166" fontId="5" fillId="0" borderId="4" xfId="1" applyNumberFormat="1" applyFont="1" applyFill="1" applyBorder="1" applyAlignment="1">
      <alignment horizontal="center" vertical="center" wrapText="1"/>
    </xf>
    <xf numFmtId="0" fontId="5" fillId="0" borderId="4" xfId="1" applyNumberFormat="1" applyFont="1" applyFill="1" applyBorder="1" applyAlignment="1">
      <alignment horizontal="center" vertical="center" wrapText="1"/>
    </xf>
    <xf numFmtId="0" fontId="5" fillId="0" borderId="4" xfId="0" quotePrefix="1" applyFont="1" applyBorder="1" applyAlignment="1">
      <alignment horizontal="center" vertical="center" wrapText="1"/>
    </xf>
    <xf numFmtId="0" fontId="6" fillId="0" borderId="4" xfId="0" applyFont="1" applyBorder="1" applyAlignment="1">
      <alignment horizontal="center" vertical="center" wrapText="1"/>
    </xf>
    <xf numFmtId="0" fontId="5" fillId="6" borderId="4" xfId="0" quotePrefix="1" applyFont="1" applyFill="1" applyBorder="1" applyAlignment="1">
      <alignment horizontal="center" vertical="center" wrapText="1"/>
    </xf>
    <xf numFmtId="166" fontId="5" fillId="6" borderId="4" xfId="1" quotePrefix="1" applyNumberFormat="1" applyFont="1" applyFill="1" applyBorder="1" applyAlignment="1">
      <alignment horizontal="center" vertical="center" wrapText="1"/>
    </xf>
    <xf numFmtId="0" fontId="5" fillId="6" borderId="4" xfId="1" applyNumberFormat="1" applyFont="1" applyFill="1" applyBorder="1" applyAlignment="1">
      <alignment horizontal="center" vertical="center" wrapText="1"/>
    </xf>
    <xf numFmtId="166" fontId="5" fillId="6" borderId="4" xfId="1" applyNumberFormat="1" applyFont="1" applyFill="1" applyBorder="1" applyAlignment="1">
      <alignment horizontal="center" vertical="center" wrapText="1"/>
    </xf>
    <xf numFmtId="0" fontId="5" fillId="6" borderId="4" xfId="0" applyFont="1" applyFill="1" applyBorder="1" applyAlignment="1">
      <alignment horizontal="center" vertical="center" wrapText="1"/>
    </xf>
    <xf numFmtId="166" fontId="5" fillId="0" borderId="4" xfId="1" quotePrefix="1" applyNumberFormat="1" applyFont="1" applyFill="1" applyBorder="1" applyAlignment="1">
      <alignment horizontal="center" vertical="center" wrapText="1"/>
    </xf>
    <xf numFmtId="41" fontId="5" fillId="6" borderId="4" xfId="0" applyNumberFormat="1" applyFont="1" applyFill="1" applyBorder="1" applyAlignment="1">
      <alignment horizontal="center" vertical="center" wrapText="1"/>
    </xf>
    <xf numFmtId="41" fontId="5" fillId="0" borderId="4" xfId="0" applyNumberFormat="1" applyFont="1" applyBorder="1" applyAlignment="1">
      <alignment horizontal="center" vertical="center" wrapText="1"/>
    </xf>
    <xf numFmtId="166" fontId="5" fillId="0" borderId="4" xfId="1" applyNumberFormat="1" applyFont="1" applyBorder="1" applyAlignment="1">
      <alignment horizontal="center" vertical="center" wrapText="1"/>
    </xf>
    <xf numFmtId="41" fontId="5" fillId="0" borderId="4" xfId="4" applyFont="1" applyFill="1" applyBorder="1" applyAlignment="1">
      <alignment horizontal="center" vertical="center" wrapText="1"/>
    </xf>
    <xf numFmtId="0" fontId="5" fillId="7" borderId="4" xfId="0" applyFont="1" applyFill="1" applyBorder="1" applyAlignment="1">
      <alignment horizontal="center" vertical="center" wrapText="1"/>
    </xf>
    <xf numFmtId="166" fontId="5" fillId="7" borderId="4" xfId="1" applyNumberFormat="1" applyFont="1" applyFill="1" applyBorder="1" applyAlignment="1">
      <alignment horizontal="center" vertical="center" wrapText="1"/>
    </xf>
    <xf numFmtId="0" fontId="5" fillId="7" borderId="4" xfId="1"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166" fontId="5" fillId="5" borderId="4" xfId="1" applyNumberFormat="1" applyFont="1" applyFill="1" applyBorder="1" applyAlignment="1">
      <alignment horizontal="center" vertical="center" wrapText="1"/>
    </xf>
    <xf numFmtId="0" fontId="5" fillId="5" borderId="4" xfId="0" applyFont="1" applyFill="1" applyBorder="1" applyAlignment="1">
      <alignment horizontal="center" vertical="center"/>
    </xf>
    <xf numFmtId="166" fontId="5" fillId="5" borderId="4" xfId="1" applyNumberFormat="1" applyFont="1" applyFill="1" applyBorder="1" applyAlignment="1">
      <alignment horizontal="center" vertical="center"/>
    </xf>
    <xf numFmtId="0" fontId="5" fillId="8" borderId="4" xfId="0" applyFont="1" applyFill="1" applyBorder="1" applyAlignment="1">
      <alignment horizontal="center" vertical="center" wrapText="1"/>
    </xf>
    <xf numFmtId="0" fontId="5" fillId="8" borderId="4" xfId="0" applyFont="1" applyFill="1" applyBorder="1" applyAlignment="1">
      <alignment vertical="center" wrapText="1"/>
    </xf>
    <xf numFmtId="166" fontId="5" fillId="8" borderId="4" xfId="1" applyNumberFormat="1" applyFont="1" applyFill="1" applyBorder="1" applyAlignment="1">
      <alignment horizontal="center" vertical="center" wrapText="1"/>
    </xf>
    <xf numFmtId="0" fontId="5" fillId="8" borderId="4" xfId="1" applyNumberFormat="1"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8" borderId="5" xfId="0" applyFont="1" applyFill="1" applyBorder="1" applyAlignment="1">
      <alignment vertical="center" wrapText="1"/>
    </xf>
    <xf numFmtId="166" fontId="5" fillId="8" borderId="5" xfId="1" applyNumberFormat="1" applyFont="1" applyFill="1" applyBorder="1" applyAlignment="1">
      <alignment horizontal="center" vertical="center" wrapText="1"/>
    </xf>
    <xf numFmtId="165" fontId="5" fillId="8" borderId="5" xfId="0" applyNumberFormat="1"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4" xfId="0" applyFont="1" applyFill="1" applyBorder="1" applyAlignment="1">
      <alignment horizontal="center" vertical="center"/>
    </xf>
    <xf numFmtId="166" fontId="5" fillId="9" borderId="4" xfId="1" applyNumberFormat="1" applyFont="1" applyFill="1" applyBorder="1" applyAlignment="1">
      <alignment horizontal="center" vertical="center"/>
    </xf>
    <xf numFmtId="0" fontId="0" fillId="0" borderId="0" xfId="0" applyAlignment="1">
      <alignment horizontal="center" vertical="center"/>
    </xf>
    <xf numFmtId="0" fontId="5"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166" fontId="5" fillId="4" borderId="4" xfId="1" applyNumberFormat="1" applyFont="1" applyFill="1" applyBorder="1" applyAlignment="1">
      <alignment horizontal="center" vertical="center"/>
    </xf>
    <xf numFmtId="0" fontId="5" fillId="4" borderId="4" xfId="0" applyFont="1" applyFill="1" applyBorder="1" applyAlignment="1">
      <alignment vertical="top" wrapText="1"/>
    </xf>
    <xf numFmtId="165" fontId="5" fillId="4" borderId="4" xfId="1" applyFont="1" applyFill="1" applyBorder="1" applyAlignment="1">
      <alignment vertical="top"/>
    </xf>
    <xf numFmtId="0" fontId="5" fillId="4" borderId="4" xfId="0" applyFont="1" applyFill="1" applyBorder="1" applyAlignment="1">
      <alignment vertical="top"/>
    </xf>
    <xf numFmtId="0" fontId="5" fillId="4" borderId="4" xfId="0" applyFont="1" applyFill="1" applyBorder="1" applyAlignment="1">
      <alignment vertical="center" wrapText="1"/>
    </xf>
    <xf numFmtId="0" fontId="5" fillId="4" borderId="4" xfId="0" applyFont="1" applyFill="1" applyBorder="1" applyAlignment="1">
      <alignment vertical="center"/>
    </xf>
    <xf numFmtId="0" fontId="5" fillId="4" borderId="4" xfId="0" applyFont="1" applyFill="1" applyBorder="1" applyAlignment="1">
      <alignment horizontal="left" vertical="center"/>
    </xf>
    <xf numFmtId="165" fontId="5" fillId="4" borderId="4" xfId="0" applyNumberFormat="1" applyFont="1" applyFill="1" applyBorder="1" applyAlignment="1">
      <alignment horizontal="center" vertical="center"/>
    </xf>
    <xf numFmtId="166" fontId="0" fillId="0" borderId="1" xfId="1" applyNumberFormat="1" applyFont="1" applyBorder="1" applyAlignment="1">
      <alignment horizontal="center" vertical="center"/>
    </xf>
    <xf numFmtId="166" fontId="0" fillId="0" borderId="1" xfId="5" applyNumberFormat="1" applyFont="1" applyFill="1" applyBorder="1" applyAlignment="1">
      <alignment vertical="center" wrapText="1"/>
    </xf>
    <xf numFmtId="0" fontId="0" fillId="10" borderId="1" xfId="0" applyFill="1" applyBorder="1" applyAlignment="1">
      <alignment horizontal="center" vertical="center"/>
    </xf>
    <xf numFmtId="0" fontId="0" fillId="10" borderId="1" xfId="0" applyFill="1" applyBorder="1" applyAlignment="1">
      <alignment horizontal="left" vertical="center" wrapText="1"/>
    </xf>
    <xf numFmtId="0" fontId="7" fillId="10" borderId="1" xfId="0" applyFont="1" applyFill="1" applyBorder="1" applyAlignment="1">
      <alignment horizontal="center" vertical="center" wrapText="1"/>
    </xf>
    <xf numFmtId="166" fontId="0" fillId="10" borderId="1" xfId="1" applyNumberFormat="1" applyFont="1" applyFill="1" applyBorder="1" applyAlignment="1">
      <alignment horizontal="center" vertical="center"/>
    </xf>
    <xf numFmtId="0" fontId="8" fillId="10" borderId="1" xfId="0" applyFont="1" applyFill="1" applyBorder="1" applyAlignment="1">
      <alignment horizontal="center" vertical="center" wrapText="1"/>
    </xf>
    <xf numFmtId="165" fontId="0" fillId="0" borderId="1" xfId="1"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164" fontId="10" fillId="0" borderId="1" xfId="2" applyFont="1" applyFill="1" applyBorder="1" applyAlignment="1">
      <alignment vertical="center" wrapText="1"/>
    </xf>
    <xf numFmtId="0" fontId="10" fillId="0" borderId="1" xfId="0" applyFont="1" applyBorder="1" applyAlignment="1">
      <alignment horizontal="left" vertical="center" wrapText="1"/>
    </xf>
    <xf numFmtId="165" fontId="10" fillId="0" borderId="1" xfId="1" applyFont="1" applyFill="1" applyBorder="1" applyAlignment="1">
      <alignment vertical="center" wrapText="1"/>
    </xf>
    <xf numFmtId="0" fontId="11" fillId="0" borderId="1" xfId="0" quotePrefix="1" applyFont="1" applyBorder="1" applyAlignment="1">
      <alignment horizontal="center" vertical="center" wrapText="1"/>
    </xf>
    <xf numFmtId="0" fontId="11" fillId="0" borderId="1" xfId="0" quotePrefix="1" applyFont="1" applyBorder="1" applyAlignment="1">
      <alignment vertical="center" wrapText="1"/>
    </xf>
    <xf numFmtId="165" fontId="11" fillId="0" borderId="1" xfId="1" quotePrefix="1" applyFont="1" applyFill="1" applyBorder="1" applyAlignment="1">
      <alignment horizontal="right" vertical="center" wrapText="1"/>
    </xf>
    <xf numFmtId="0" fontId="11" fillId="0" borderId="1" xfId="0" quotePrefix="1" applyFont="1" applyBorder="1" applyAlignment="1">
      <alignment horizontal="left" vertical="center" wrapText="1"/>
    </xf>
    <xf numFmtId="166" fontId="10" fillId="0" borderId="1" xfId="1" applyNumberFormat="1" applyFont="1" applyFill="1" applyBorder="1" applyAlignment="1">
      <alignment horizontal="right" vertical="center" wrapText="1"/>
    </xf>
    <xf numFmtId="165" fontId="10" fillId="0" borderId="1" xfId="1" applyFont="1" applyFill="1" applyBorder="1" applyAlignment="1">
      <alignment horizontal="right" vertical="center" wrapText="1"/>
    </xf>
    <xf numFmtId="165" fontId="10" fillId="5" borderId="1" xfId="1" applyFont="1" applyFill="1" applyBorder="1" applyAlignment="1">
      <alignment horizontal="right" vertical="center" wrapText="1"/>
    </xf>
    <xf numFmtId="0" fontId="11" fillId="10" borderId="1" xfId="0" quotePrefix="1" applyFont="1" applyFill="1" applyBorder="1" applyAlignment="1">
      <alignment horizontal="center" vertical="center" wrapText="1"/>
    </xf>
    <xf numFmtId="0" fontId="11" fillId="10" borderId="1" xfId="0" quotePrefix="1" applyFont="1" applyFill="1" applyBorder="1" applyAlignment="1">
      <alignment vertical="center" wrapText="1"/>
    </xf>
    <xf numFmtId="0" fontId="10" fillId="10" borderId="1" xfId="0" applyFont="1" applyFill="1" applyBorder="1" applyAlignment="1">
      <alignment vertical="center" wrapText="1"/>
    </xf>
    <xf numFmtId="165" fontId="11" fillId="10" borderId="1" xfId="1" quotePrefix="1" applyFont="1" applyFill="1" applyBorder="1" applyAlignment="1">
      <alignment horizontal="right" vertical="center" wrapText="1"/>
    </xf>
    <xf numFmtId="166" fontId="10" fillId="10" borderId="1" xfId="1" applyNumberFormat="1" applyFont="1" applyFill="1" applyBorder="1" applyAlignment="1">
      <alignment horizontal="right" vertical="center" wrapText="1"/>
    </xf>
    <xf numFmtId="0" fontId="10" fillId="10" borderId="1" xfId="0" applyFont="1" applyFill="1" applyBorder="1" applyAlignment="1">
      <alignment horizontal="left" vertical="center" wrapText="1"/>
    </xf>
    <xf numFmtId="165" fontId="10" fillId="0" borderId="1" xfId="1" applyFont="1" applyBorder="1" applyAlignment="1">
      <alignment vertical="center" wrapText="1"/>
    </xf>
    <xf numFmtId="0" fontId="12" fillId="0" borderId="1" xfId="0" applyFont="1" applyBorder="1" applyAlignment="1">
      <alignment horizontal="center" vertical="center" wrapText="1"/>
    </xf>
    <xf numFmtId="0" fontId="10" fillId="0" borderId="1" xfId="0" applyFont="1" applyBorder="1"/>
    <xf numFmtId="166" fontId="10" fillId="0" borderId="1" xfId="1" applyNumberFormat="1" applyFont="1" applyFill="1" applyBorder="1" applyAlignment="1">
      <alignment vertical="center" wrapText="1"/>
    </xf>
    <xf numFmtId="0" fontId="10" fillId="5" borderId="1" xfId="0" applyFont="1" applyFill="1" applyBorder="1" applyAlignment="1">
      <alignment vertical="center" wrapText="1"/>
    </xf>
    <xf numFmtId="0" fontId="10" fillId="10" borderId="1" xfId="0" applyFont="1" applyFill="1" applyBorder="1" applyAlignment="1">
      <alignment horizontal="center" vertical="center" wrapText="1"/>
    </xf>
    <xf numFmtId="165" fontId="10" fillId="10" borderId="1" xfId="1" applyFont="1" applyFill="1" applyBorder="1" applyAlignment="1">
      <alignment vertical="center" wrapText="1"/>
    </xf>
    <xf numFmtId="166" fontId="10" fillId="10" borderId="1" xfId="1" applyNumberFormat="1" applyFont="1" applyFill="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vertical="center"/>
    </xf>
    <xf numFmtId="0" fontId="10" fillId="5" borderId="1" xfId="0" applyFont="1" applyFill="1" applyBorder="1" applyAlignment="1">
      <alignment horizontal="center"/>
    </xf>
    <xf numFmtId="0" fontId="10" fillId="5" borderId="1" xfId="0" applyFont="1" applyFill="1" applyBorder="1"/>
    <xf numFmtId="0" fontId="10" fillId="5" borderId="1" xfId="0" applyFont="1" applyFill="1" applyBorder="1" applyAlignment="1">
      <alignment vertical="top" wrapText="1"/>
    </xf>
    <xf numFmtId="0" fontId="10" fillId="5" borderId="1" xfId="0" applyFont="1" applyFill="1" applyBorder="1" applyAlignment="1">
      <alignment horizontal="center" vertical="center" wrapText="1"/>
    </xf>
    <xf numFmtId="167" fontId="10" fillId="5" borderId="1" xfId="3" applyNumberFormat="1" applyFont="1" applyFill="1" applyBorder="1" applyAlignment="1">
      <alignment vertical="center" wrapText="1"/>
    </xf>
    <xf numFmtId="164" fontId="10" fillId="5" borderId="1" xfId="2" applyFont="1" applyFill="1" applyBorder="1" applyAlignment="1">
      <alignment horizontal="right" vertical="center" wrapText="1"/>
    </xf>
    <xf numFmtId="168" fontId="10" fillId="5" borderId="1" xfId="3" applyNumberFormat="1" applyFont="1" applyFill="1" applyBorder="1" applyAlignment="1">
      <alignment horizontal="center" vertical="center" wrapText="1"/>
    </xf>
    <xf numFmtId="166" fontId="10" fillId="5" borderId="1" xfId="1" applyNumberFormat="1" applyFont="1" applyFill="1" applyBorder="1" applyAlignment="1">
      <alignment horizontal="right" vertical="center" wrapText="1"/>
    </xf>
    <xf numFmtId="0" fontId="10" fillId="5" borderId="1" xfId="0" applyFont="1" applyFill="1" applyBorder="1" applyAlignment="1">
      <alignment horizontal="left" vertical="center"/>
    </xf>
    <xf numFmtId="3" fontId="13" fillId="0" borderId="1" xfId="6" applyNumberFormat="1" applyFont="1" applyBorder="1" applyAlignment="1">
      <alignment vertical="center" wrapText="1"/>
    </xf>
    <xf numFmtId="164" fontId="0" fillId="0" borderId="1" xfId="2" applyFont="1" applyFill="1" applyBorder="1" applyAlignment="1">
      <alignment vertical="center" wrapText="1"/>
    </xf>
    <xf numFmtId="0" fontId="8" fillId="5" borderId="1" xfId="0" applyFont="1" applyFill="1" applyBorder="1" applyAlignment="1">
      <alignment vertical="center" wrapText="1"/>
    </xf>
    <xf numFmtId="166" fontId="1" fillId="0" borderId="1" xfId="1" applyNumberFormat="1" applyFill="1" applyBorder="1" applyAlignment="1">
      <alignment horizontal="right" vertical="center"/>
    </xf>
    <xf numFmtId="0" fontId="0" fillId="5" borderId="1" xfId="0" applyFill="1" applyBorder="1" applyAlignment="1">
      <alignment horizontal="center"/>
    </xf>
    <xf numFmtId="0" fontId="0" fillId="5" borderId="1" xfId="0" applyFill="1" applyBorder="1" applyAlignment="1">
      <alignment horizontal="center" vertical="center" wrapText="1"/>
    </xf>
    <xf numFmtId="166" fontId="0" fillId="5" borderId="1" xfId="1" applyNumberFormat="1" applyFont="1" applyFill="1" applyBorder="1" applyAlignment="1">
      <alignment vertical="center" wrapText="1"/>
    </xf>
    <xf numFmtId="0" fontId="8" fillId="5" borderId="1" xfId="0" applyFont="1" applyFill="1" applyBorder="1" applyAlignment="1">
      <alignment horizontal="center" vertical="center" wrapText="1"/>
    </xf>
    <xf numFmtId="166" fontId="8" fillId="5" borderId="1" xfId="1" applyNumberFormat="1" applyFont="1" applyFill="1" applyBorder="1" applyAlignment="1">
      <alignment horizontal="center" vertical="center" wrapText="1"/>
    </xf>
    <xf numFmtId="0" fontId="14" fillId="5" borderId="1" xfId="0" quotePrefix="1" applyFont="1" applyFill="1" applyBorder="1" applyAlignment="1">
      <alignment horizontal="center" vertical="center" wrapText="1"/>
    </xf>
    <xf numFmtId="0" fontId="0" fillId="5" borderId="1" xfId="0" applyFill="1" applyBorder="1" applyAlignment="1">
      <alignment vertical="center"/>
    </xf>
    <xf numFmtId="166" fontId="14" fillId="5" borderId="1" xfId="1" quotePrefix="1" applyNumberFormat="1" applyFont="1" applyFill="1" applyBorder="1" applyAlignment="1">
      <alignment horizontal="center" vertical="center" wrapText="1"/>
    </xf>
    <xf numFmtId="0" fontId="4" fillId="0" borderId="1" xfId="0" quotePrefix="1" applyFont="1" applyBorder="1" applyAlignment="1">
      <alignment horizontal="left" vertical="center" wrapText="1"/>
    </xf>
    <xf numFmtId="167" fontId="10" fillId="0" borderId="1" xfId="1" applyNumberFormat="1" applyFont="1" applyFill="1" applyBorder="1" applyAlignment="1">
      <alignment vertical="center" wrapText="1"/>
    </xf>
    <xf numFmtId="0" fontId="4" fillId="0" borderId="1" xfId="0" quotePrefix="1" applyFont="1" applyBorder="1" applyAlignment="1">
      <alignment horizontal="center" vertical="center" wrapText="1"/>
    </xf>
    <xf numFmtId="0" fontId="4" fillId="0" borderId="1" xfId="0" quotePrefix="1" applyFont="1" applyBorder="1" applyAlignment="1">
      <alignment vertical="center" wrapText="1"/>
    </xf>
    <xf numFmtId="0" fontId="4" fillId="0" borderId="1" xfId="2" quotePrefix="1" applyNumberFormat="1" applyFont="1" applyFill="1" applyBorder="1" applyAlignment="1">
      <alignment horizontal="right" vertical="center" wrapText="1"/>
    </xf>
    <xf numFmtId="166" fontId="0" fillId="0" borderId="1" xfId="1" applyNumberFormat="1" applyFont="1" applyFill="1" applyBorder="1" applyAlignment="1">
      <alignment horizontal="right" vertical="center"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166" fontId="0" fillId="3" borderId="1" xfId="1"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vertical="center" wrapText="1"/>
    </xf>
    <xf numFmtId="0" fontId="4" fillId="3" borderId="1" xfId="0" quotePrefix="1" applyFont="1" applyFill="1" applyBorder="1" applyAlignment="1">
      <alignment horizontal="center" vertical="center" wrapText="1"/>
    </xf>
    <xf numFmtId="0" fontId="4" fillId="3" borderId="1" xfId="0" quotePrefix="1" applyFont="1" applyFill="1" applyBorder="1" applyAlignment="1">
      <alignment vertical="center" wrapText="1"/>
    </xf>
    <xf numFmtId="166" fontId="4" fillId="3" borderId="1" xfId="1" quotePrefix="1" applyNumberFormat="1" applyFont="1" applyFill="1" applyBorder="1" applyAlignment="1">
      <alignment horizontal="right" vertical="center" wrapText="1"/>
    </xf>
    <xf numFmtId="166" fontId="0" fillId="3" borderId="1" xfId="1" applyNumberFormat="1" applyFont="1" applyFill="1" applyBorder="1" applyAlignment="1">
      <alignment vertical="center"/>
    </xf>
    <xf numFmtId="0" fontId="14"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166" fontId="14" fillId="3" borderId="1" xfId="1" applyNumberFormat="1" applyFont="1" applyFill="1" applyBorder="1" applyAlignment="1">
      <alignment horizontal="left" vertical="center" wrapText="1"/>
    </xf>
    <xf numFmtId="166" fontId="14" fillId="3" borderId="1" xfId="1" applyNumberFormat="1" applyFont="1" applyFill="1" applyBorder="1" applyAlignment="1">
      <alignment horizontal="center" vertical="center" wrapText="1"/>
    </xf>
    <xf numFmtId="166" fontId="0" fillId="3" borderId="1" xfId="0" applyNumberFormat="1" applyFill="1" applyBorder="1" applyAlignment="1">
      <alignment horizontal="left" vertical="center" wrapText="1"/>
    </xf>
    <xf numFmtId="165" fontId="0" fillId="3" borderId="1" xfId="1" applyFont="1" applyFill="1" applyBorder="1" applyAlignment="1">
      <alignment horizontal="center" vertical="center" wrapText="1"/>
    </xf>
    <xf numFmtId="0" fontId="0" fillId="3" borderId="1" xfId="0" applyFill="1" applyBorder="1" applyAlignment="1">
      <alignment horizontal="center" vertical="center" wrapText="1"/>
    </xf>
    <xf numFmtId="166" fontId="0" fillId="3" borderId="1" xfId="1"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166" fontId="8" fillId="0" borderId="1" xfId="1" applyNumberFormat="1" applyFont="1" applyBorder="1" applyAlignment="1">
      <alignment horizontal="center" vertical="center" wrapText="1"/>
    </xf>
    <xf numFmtId="166" fontId="8" fillId="0" borderId="1" xfId="1" applyNumberFormat="1" applyFont="1" applyFill="1" applyBorder="1" applyAlignment="1">
      <alignment horizontal="center" vertical="center" wrapText="1"/>
    </xf>
    <xf numFmtId="0" fontId="8" fillId="0" borderId="1" xfId="0" quotePrefix="1" applyFont="1" applyBorder="1" applyAlignment="1">
      <alignment vertical="center" wrapText="1"/>
    </xf>
    <xf numFmtId="0" fontId="15" fillId="0" borderId="1" xfId="0" applyFont="1" applyBorder="1" applyAlignment="1">
      <alignment horizontal="center" vertical="center" wrapText="1"/>
    </xf>
    <xf numFmtId="0" fontId="8" fillId="10" borderId="1" xfId="0" quotePrefix="1" applyFont="1" applyFill="1" applyBorder="1" applyAlignment="1">
      <alignment vertical="center" wrapText="1"/>
    </xf>
    <xf numFmtId="0" fontId="8" fillId="10" borderId="1" xfId="0" applyFont="1" applyFill="1" applyBorder="1" applyAlignment="1">
      <alignment vertical="center" wrapText="1"/>
    </xf>
    <xf numFmtId="166" fontId="8" fillId="10" borderId="1" xfId="1"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quotePrefix="1" applyFont="1" applyFill="1" applyBorder="1" applyAlignment="1">
      <alignment vertical="center" wrapText="1"/>
    </xf>
    <xf numFmtId="167" fontId="8" fillId="7" borderId="1" xfId="3" applyNumberFormat="1" applyFont="1" applyFill="1" applyBorder="1" applyAlignment="1">
      <alignment vertical="center" wrapText="1"/>
    </xf>
    <xf numFmtId="166" fontId="8" fillId="7" borderId="1" xfId="1" applyNumberFormat="1" applyFont="1" applyFill="1" applyBorder="1" applyAlignment="1">
      <alignment horizontal="center" vertical="center" wrapText="1"/>
    </xf>
    <xf numFmtId="166" fontId="8" fillId="0" borderId="1" xfId="0" applyNumberFormat="1" applyFont="1" applyBorder="1" applyAlignment="1">
      <alignment horizontal="center" vertical="center" wrapText="1"/>
    </xf>
    <xf numFmtId="0" fontId="8" fillId="0" borderId="1" xfId="0" applyFont="1" applyBorder="1" applyAlignment="1">
      <alignment horizontal="center"/>
    </xf>
    <xf numFmtId="0" fontId="8" fillId="7" borderId="1" xfId="0" quotePrefix="1" applyFont="1" applyFill="1" applyBorder="1" applyAlignment="1">
      <alignment horizontal="center" vertical="center" wrapText="1"/>
    </xf>
    <xf numFmtId="166" fontId="8" fillId="7" borderId="1" xfId="1" quotePrefix="1" applyNumberFormat="1" applyFont="1" applyFill="1" applyBorder="1" applyAlignment="1">
      <alignment horizontal="center" vertical="center" wrapText="1"/>
    </xf>
    <xf numFmtId="0" fontId="8" fillId="7" borderId="1" xfId="0" applyFont="1" applyFill="1" applyBorder="1" applyAlignment="1">
      <alignment horizontal="center"/>
    </xf>
    <xf numFmtId="41" fontId="8" fillId="0" borderId="1" xfId="4" applyFont="1" applyFill="1" applyBorder="1" applyAlignment="1">
      <alignment horizontal="center" vertical="center" wrapText="1"/>
    </xf>
    <xf numFmtId="166" fontId="15" fillId="0" borderId="1" xfId="1" applyNumberFormat="1"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41" fontId="8" fillId="7" borderId="1" xfId="4" applyFont="1" applyFill="1" applyBorder="1" applyAlignment="1">
      <alignment horizontal="center" vertical="center" wrapText="1"/>
    </xf>
    <xf numFmtId="166" fontId="8" fillId="10" borderId="1" xfId="1" applyNumberFormat="1" applyFont="1" applyFill="1" applyBorder="1" applyAlignment="1">
      <alignment horizontal="center" vertical="center"/>
    </xf>
    <xf numFmtId="0" fontId="8" fillId="10" borderId="1" xfId="0" applyFont="1" applyFill="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166" fontId="8" fillId="0" borderId="1" xfId="1" applyNumberFormat="1" applyFont="1" applyFill="1" applyBorder="1" applyAlignment="1">
      <alignment horizontal="center" vertical="center"/>
    </xf>
    <xf numFmtId="41" fontId="8" fillId="0" borderId="1" xfId="4"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vertical="center"/>
    </xf>
    <xf numFmtId="41" fontId="0" fillId="3" borderId="1" xfId="7" applyFont="1" applyFill="1" applyBorder="1" applyAlignment="1">
      <alignment horizontal="right" vertical="center" wrapText="1"/>
    </xf>
    <xf numFmtId="41" fontId="0" fillId="3" borderId="1" xfId="8" applyFont="1" applyFill="1" applyBorder="1" applyAlignment="1">
      <alignment horizontal="right" vertical="center" wrapText="1"/>
    </xf>
    <xf numFmtId="0" fontId="0" fillId="3" borderId="1" xfId="0" applyFill="1" applyBorder="1" applyAlignment="1">
      <alignment vertical="center"/>
    </xf>
    <xf numFmtId="166" fontId="0" fillId="3" borderId="1" xfId="9" applyNumberFormat="1" applyFont="1" applyFill="1" applyBorder="1" applyAlignment="1">
      <alignment vertical="center" wrapText="1"/>
    </xf>
    <xf numFmtId="166" fontId="0" fillId="3" borderId="1" xfId="10" applyNumberFormat="1" applyFont="1" applyFill="1" applyBorder="1" applyAlignment="1">
      <alignment vertical="center" wrapText="1"/>
    </xf>
    <xf numFmtId="166" fontId="0" fillId="0" borderId="1" xfId="1" applyNumberFormat="1" applyFont="1" applyBorder="1" applyAlignment="1">
      <alignment vertical="center" wrapText="1"/>
    </xf>
    <xf numFmtId="166" fontId="0" fillId="7" borderId="1" xfId="1" applyNumberFormat="1" applyFont="1" applyFill="1" applyBorder="1" applyAlignment="1">
      <alignment horizontal="left" vertical="center" wrapText="1"/>
    </xf>
    <xf numFmtId="166" fontId="0" fillId="3" borderId="1" xfId="1" applyNumberFormat="1" applyFont="1" applyFill="1" applyBorder="1" applyAlignment="1">
      <alignment horizontal="left"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166" fontId="0" fillId="10" borderId="1" xfId="1" applyNumberFormat="1" applyFont="1" applyFill="1" applyBorder="1" applyAlignment="1">
      <alignment vertical="center" wrapText="1"/>
    </xf>
    <xf numFmtId="166" fontId="0" fillId="10" borderId="1" xfId="1" applyNumberFormat="1" applyFont="1" applyFill="1" applyBorder="1" applyAlignment="1">
      <alignment horizontal="center" vertical="center" wrapText="1"/>
    </xf>
    <xf numFmtId="166" fontId="0" fillId="0" borderId="1" xfId="1" applyNumberFormat="1" applyFont="1" applyFill="1" applyBorder="1" applyAlignment="1">
      <alignment horizontal="center" vertical="center" wrapText="1"/>
    </xf>
    <xf numFmtId="0" fontId="0" fillId="0" borderId="1" xfId="0" applyBorder="1" applyAlignment="1">
      <alignment vertical="top" wrapText="1"/>
    </xf>
    <xf numFmtId="0" fontId="16" fillId="0" borderId="0" xfId="0" applyFont="1" applyAlignment="1">
      <alignment wrapText="1"/>
    </xf>
    <xf numFmtId="166" fontId="0" fillId="0" borderId="1" xfId="1" applyNumberFormat="1" applyFont="1" applyFill="1" applyBorder="1" applyAlignment="1">
      <alignment horizontal="left" vertical="center" wrapText="1"/>
    </xf>
    <xf numFmtId="0" fontId="10" fillId="0" borderId="1" xfId="11" applyFont="1" applyBorder="1" applyAlignment="1">
      <alignment vertical="center" wrapText="1"/>
    </xf>
    <xf numFmtId="166" fontId="0" fillId="0" borderId="2" xfId="1" applyNumberFormat="1" applyFont="1" applyFill="1" applyBorder="1" applyAlignment="1">
      <alignment vertical="center" wrapText="1"/>
    </xf>
    <xf numFmtId="0" fontId="0" fillId="7" borderId="2" xfId="0" applyFill="1" applyBorder="1" applyAlignment="1">
      <alignment vertical="center" wrapText="1"/>
    </xf>
    <xf numFmtId="0" fontId="0" fillId="7" borderId="1" xfId="0" applyFill="1" applyBorder="1" applyAlignment="1">
      <alignment horizontal="center" vertical="center" wrapText="1"/>
    </xf>
    <xf numFmtId="166" fontId="0" fillId="7" borderId="1" xfId="1" applyNumberFormat="1" applyFont="1" applyFill="1" applyBorder="1" applyAlignment="1">
      <alignment vertical="center" wrapText="1"/>
    </xf>
    <xf numFmtId="0" fontId="10" fillId="0" borderId="1" xfId="11" applyFont="1" applyBorder="1" applyAlignment="1">
      <alignment horizontal="left" vertical="center" wrapText="1"/>
    </xf>
    <xf numFmtId="0" fontId="0" fillId="7" borderId="1" xfId="0" applyFill="1" applyBorder="1" applyAlignment="1">
      <alignment vertical="top" wrapText="1"/>
    </xf>
    <xf numFmtId="0" fontId="16" fillId="7" borderId="0" xfId="0" applyFont="1" applyFill="1" applyAlignment="1">
      <alignment vertical="top" wrapText="1"/>
    </xf>
    <xf numFmtId="0" fontId="0" fillId="7" borderId="1" xfId="0" applyFill="1" applyBorder="1" applyAlignment="1">
      <alignment vertical="center" wrapText="1"/>
    </xf>
    <xf numFmtId="0" fontId="16" fillId="7" borderId="0" xfId="0" applyFont="1" applyFill="1" applyAlignment="1">
      <alignment vertical="center" wrapText="1"/>
    </xf>
    <xf numFmtId="43" fontId="0" fillId="7" borderId="1" xfId="0" applyNumberFormat="1" applyFill="1" applyBorder="1" applyAlignment="1">
      <alignment horizontal="center" vertical="center" wrapText="1"/>
    </xf>
    <xf numFmtId="0" fontId="0" fillId="0" borderId="1" xfId="0" quotePrefix="1" applyBorder="1" applyAlignment="1">
      <alignment vertical="center" wrapText="1"/>
    </xf>
    <xf numFmtId="0" fontId="2" fillId="0" borderId="1" xfId="0" quotePrefix="1" applyFont="1" applyBorder="1" applyAlignment="1">
      <alignment horizontal="left" vertical="center" wrapText="1"/>
    </xf>
    <xf numFmtId="0" fontId="2" fillId="0" borderId="1" xfId="0" quotePrefix="1" applyFont="1" applyBorder="1" applyAlignment="1">
      <alignment horizontal="center" vertical="center" wrapText="1"/>
    </xf>
    <xf numFmtId="166" fontId="2" fillId="0" borderId="1" xfId="1" quotePrefix="1" applyNumberFormat="1" applyFont="1" applyFill="1" applyBorder="1" applyAlignment="1">
      <alignment horizontal="right" vertical="center" wrapText="1"/>
    </xf>
    <xf numFmtId="0" fontId="16" fillId="0" borderId="0" xfId="0" applyFont="1" applyAlignment="1">
      <alignment vertical="top" wrapText="1"/>
    </xf>
    <xf numFmtId="166" fontId="0" fillId="5" borderId="1" xfId="1" applyNumberFormat="1" applyFont="1" applyFill="1" applyBorder="1" applyAlignment="1">
      <alignment horizontal="right" vertical="center" wrapText="1"/>
    </xf>
    <xf numFmtId="0" fontId="0" fillId="7" borderId="1" xfId="0" applyFill="1" applyBorder="1" applyAlignment="1">
      <alignment horizontal="left" vertical="center" wrapText="1"/>
    </xf>
    <xf numFmtId="166" fontId="0" fillId="7" borderId="1" xfId="1" applyNumberFormat="1" applyFont="1" applyFill="1" applyBorder="1" applyAlignment="1">
      <alignment horizontal="right" vertical="center" wrapText="1"/>
    </xf>
    <xf numFmtId="0" fontId="0" fillId="12" borderId="0" xfId="0" applyFill="1" applyAlignment="1">
      <alignment vertical="center"/>
    </xf>
    <xf numFmtId="0" fontId="0" fillId="0" borderId="1" xfId="0" quotePrefix="1" applyBorder="1" applyAlignment="1">
      <alignment horizontal="left" vertical="center" wrapText="1"/>
    </xf>
    <xf numFmtId="0" fontId="18" fillId="0" borderId="1" xfId="0" quotePrefix="1" applyFont="1" applyBorder="1" applyAlignment="1">
      <alignment horizontal="left" vertical="center" wrapText="1"/>
    </xf>
    <xf numFmtId="0" fontId="0" fillId="0" borderId="1" xfId="0" quotePrefix="1" applyBorder="1" applyAlignment="1">
      <alignment horizontal="center" vertical="center" wrapText="1"/>
    </xf>
    <xf numFmtId="166" fontId="0" fillId="10" borderId="1" xfId="1" applyNumberFormat="1" applyFont="1" applyFill="1" applyBorder="1" applyAlignment="1">
      <alignment horizontal="right" vertical="center" wrapText="1"/>
    </xf>
    <xf numFmtId="0" fontId="16" fillId="0" borderId="0" xfId="0" applyFont="1" applyAlignment="1">
      <alignment vertical="center" wrapText="1"/>
    </xf>
    <xf numFmtId="0" fontId="0" fillId="7" borderId="1" xfId="0" applyFill="1" applyBorder="1" applyAlignment="1">
      <alignment horizontal="left" vertical="top" wrapText="1"/>
    </xf>
    <xf numFmtId="0" fontId="0" fillId="0" borderId="0" xfId="0" applyAlignment="1">
      <alignment horizontal="left" vertical="top" wrapText="1"/>
    </xf>
    <xf numFmtId="0" fontId="0" fillId="7" borderId="0" xfId="0" applyFill="1" applyAlignment="1">
      <alignment horizontal="left" vertical="top" wrapText="1"/>
    </xf>
    <xf numFmtId="166" fontId="0" fillId="7" borderId="1" xfId="1" applyNumberFormat="1" applyFont="1" applyFill="1" applyBorder="1" applyAlignment="1">
      <alignment horizontal="center" vertical="center" wrapText="1"/>
    </xf>
    <xf numFmtId="0" fontId="0" fillId="3" borderId="1" xfId="0" applyFill="1" applyBorder="1" applyAlignment="1">
      <alignment vertical="top" wrapText="1"/>
    </xf>
    <xf numFmtId="0" fontId="16" fillId="5" borderId="0" xfId="0" applyFont="1" applyFill="1" applyAlignment="1">
      <alignment vertical="top" wrapText="1"/>
    </xf>
    <xf numFmtId="0" fontId="16" fillId="7" borderId="0" xfId="0" applyFont="1" applyFill="1" applyAlignment="1">
      <alignment vertical="top"/>
    </xf>
    <xf numFmtId="166" fontId="0" fillId="5" borderId="1" xfId="1" applyNumberFormat="1" applyFont="1" applyFill="1" applyBorder="1" applyAlignment="1">
      <alignment horizontal="center" vertical="center" wrapText="1"/>
    </xf>
    <xf numFmtId="0" fontId="1" fillId="7" borderId="1" xfId="1" applyNumberFormat="1" applyFont="1" applyFill="1" applyBorder="1" applyAlignment="1">
      <alignment horizontal="center" vertical="top" wrapText="1"/>
    </xf>
    <xf numFmtId="166" fontId="1" fillId="7" borderId="1" xfId="1" applyNumberFormat="1" applyFont="1" applyFill="1" applyBorder="1" applyAlignment="1">
      <alignment vertical="center" wrapText="1"/>
    </xf>
    <xf numFmtId="166" fontId="0" fillId="0" borderId="1" xfId="1" applyNumberFormat="1" applyFont="1" applyFill="1" applyBorder="1" applyAlignment="1">
      <alignment horizontal="right" vertical="center"/>
    </xf>
    <xf numFmtId="0" fontId="0" fillId="5" borderId="1" xfId="0" applyFill="1" applyBorder="1" applyAlignment="1">
      <alignment vertical="top" wrapText="1"/>
    </xf>
    <xf numFmtId="0" fontId="16" fillId="0" borderId="1" xfId="0" applyFont="1" applyBorder="1" applyAlignment="1">
      <alignment horizontal="center" vertical="center"/>
    </xf>
    <xf numFmtId="0" fontId="0" fillId="13" borderId="1" xfId="0" applyFill="1" applyBorder="1" applyAlignment="1">
      <alignment horizontal="center" vertical="center" wrapText="1"/>
    </xf>
    <xf numFmtId="0" fontId="0" fillId="13" borderId="1" xfId="0" applyFill="1" applyBorder="1" applyAlignment="1">
      <alignment vertical="center" wrapText="1"/>
    </xf>
    <xf numFmtId="0" fontId="0" fillId="13" borderId="1" xfId="0" applyFill="1" applyBorder="1" applyAlignment="1">
      <alignment horizontal="left" vertical="center" wrapText="1"/>
    </xf>
    <xf numFmtId="0" fontId="0" fillId="13" borderId="1" xfId="0" applyFill="1" applyBorder="1" applyAlignment="1">
      <alignment vertical="center"/>
    </xf>
    <xf numFmtId="166" fontId="0" fillId="13" borderId="1" xfId="1" applyNumberFormat="1" applyFont="1" applyFill="1" applyBorder="1" applyAlignment="1">
      <alignment vertical="center" wrapText="1"/>
    </xf>
    <xf numFmtId="0" fontId="19" fillId="13" borderId="1" xfId="0" applyFont="1" applyFill="1" applyBorder="1" applyAlignment="1">
      <alignment horizontal="center" vertical="center" wrapText="1"/>
    </xf>
    <xf numFmtId="0" fontId="19" fillId="13" borderId="1" xfId="0" applyFont="1" applyFill="1" applyBorder="1" applyAlignment="1">
      <alignment vertical="center" wrapText="1"/>
    </xf>
    <xf numFmtId="0" fontId="0" fillId="13" borderId="0" xfId="0" applyFill="1" applyAlignment="1">
      <alignment horizontal="center" vertical="top" wrapText="1"/>
    </xf>
    <xf numFmtId="0" fontId="0" fillId="13" borderId="1" xfId="0" applyFill="1" applyBorder="1"/>
    <xf numFmtId="0" fontId="0" fillId="13" borderId="1" xfId="0" applyFill="1" applyBorder="1" applyAlignment="1">
      <alignment horizontal="center" vertical="center"/>
    </xf>
    <xf numFmtId="164" fontId="0" fillId="13" borderId="1" xfId="2" applyFont="1" applyFill="1" applyBorder="1" applyAlignment="1">
      <alignment horizontal="right" vertical="center" wrapText="1"/>
    </xf>
    <xf numFmtId="166" fontId="19" fillId="13" borderId="1" xfId="1" applyNumberFormat="1" applyFont="1" applyFill="1" applyBorder="1" applyAlignment="1">
      <alignment horizontal="right" vertical="center"/>
    </xf>
    <xf numFmtId="0" fontId="0" fillId="13" borderId="1" xfId="0" applyFill="1" applyBorder="1" applyAlignment="1">
      <alignment horizontal="left" vertical="top" wrapText="1"/>
    </xf>
    <xf numFmtId="166" fontId="0" fillId="13" borderId="1" xfId="1" applyNumberFormat="1" applyFont="1" applyFill="1" applyBorder="1" applyAlignment="1">
      <alignment horizontal="right" vertical="center" wrapText="1"/>
    </xf>
    <xf numFmtId="0" fontId="19" fillId="13" borderId="1" xfId="0" applyFont="1" applyFill="1" applyBorder="1" applyAlignment="1">
      <alignment horizontal="center" vertical="center"/>
    </xf>
    <xf numFmtId="166" fontId="0" fillId="13" borderId="0" xfId="1" applyNumberFormat="1" applyFont="1" applyFill="1" applyAlignment="1">
      <alignment vertical="center"/>
    </xf>
    <xf numFmtId="0" fontId="0" fillId="13" borderId="1" xfId="0" applyFill="1" applyBorder="1" applyAlignment="1">
      <alignment vertical="top" wrapText="1"/>
    </xf>
    <xf numFmtId="0" fontId="1" fillId="13" borderId="1" xfId="0" applyFont="1" applyFill="1" applyBorder="1" applyAlignment="1">
      <alignment horizontal="center" vertical="center" wrapText="1"/>
    </xf>
    <xf numFmtId="166" fontId="1" fillId="13" borderId="1" xfId="1" applyNumberFormat="1" applyFont="1" applyFill="1" applyBorder="1" applyAlignment="1">
      <alignment horizontal="right" vertical="center" wrapText="1"/>
    </xf>
    <xf numFmtId="0" fontId="0" fillId="5" borderId="1" xfId="0" quotePrefix="1" applyFill="1" applyBorder="1" applyAlignment="1">
      <alignment vertical="center" wrapText="1"/>
    </xf>
    <xf numFmtId="164" fontId="0" fillId="5" borderId="1" xfId="2" applyFont="1" applyFill="1" applyBorder="1" applyAlignment="1">
      <alignment vertical="center" wrapText="1"/>
    </xf>
    <xf numFmtId="164" fontId="0" fillId="5" borderId="1" xfId="2" applyFont="1" applyFill="1" applyBorder="1" applyAlignment="1">
      <alignment horizontal="right" vertical="center" wrapText="1"/>
    </xf>
    <xf numFmtId="0" fontId="14" fillId="5" borderId="1" xfId="0" applyFont="1" applyFill="1" applyBorder="1" applyAlignment="1">
      <alignment horizontal="center" vertical="center" wrapText="1"/>
    </xf>
    <xf numFmtId="41" fontId="0" fillId="5" borderId="1" xfId="4" applyFont="1" applyFill="1" applyBorder="1" applyAlignment="1">
      <alignment horizontal="right" vertical="center" wrapText="1"/>
    </xf>
    <xf numFmtId="167" fontId="0" fillId="5" borderId="1" xfId="3" applyNumberFormat="1" applyFont="1" applyFill="1" applyBorder="1" applyAlignment="1">
      <alignment vertical="center" wrapText="1"/>
    </xf>
    <xf numFmtId="164" fontId="0" fillId="3" borderId="1" xfId="2" applyFont="1" applyFill="1" applyBorder="1" applyAlignment="1">
      <alignment horizontal="right" vertical="center" wrapText="1"/>
    </xf>
    <xf numFmtId="164" fontId="0" fillId="3" borderId="1" xfId="2" applyFont="1" applyFill="1" applyBorder="1" applyAlignment="1">
      <alignment vertical="center" wrapText="1"/>
    </xf>
    <xf numFmtId="166" fontId="0" fillId="3" borderId="1" xfId="0" applyNumberFormat="1" applyFill="1" applyBorder="1" applyAlignment="1">
      <alignment vertical="center" wrapText="1"/>
    </xf>
    <xf numFmtId="1" fontId="0" fillId="3" borderId="1" xfId="0" applyNumberFormat="1" applyFill="1" applyBorder="1" applyAlignment="1">
      <alignment vertical="center" wrapText="1"/>
    </xf>
    <xf numFmtId="43" fontId="0" fillId="3" borderId="1" xfId="0" applyNumberFormat="1" applyFill="1" applyBorder="1" applyAlignment="1">
      <alignment vertical="center" wrapText="1"/>
    </xf>
    <xf numFmtId="167" fontId="0" fillId="3" borderId="1" xfId="0" applyNumberFormat="1" applyFill="1" applyBorder="1" applyAlignment="1">
      <alignment vertical="center" wrapText="1"/>
    </xf>
    <xf numFmtId="1" fontId="10" fillId="3" borderId="1" xfId="0" applyNumberFormat="1" applyFont="1" applyFill="1" applyBorder="1" applyAlignment="1">
      <alignment vertical="center" wrapText="1"/>
    </xf>
    <xf numFmtId="41" fontId="0" fillId="3" borderId="1" xfId="4" applyFont="1" applyFill="1" applyBorder="1" applyAlignment="1">
      <alignment vertical="center" wrapText="1"/>
    </xf>
    <xf numFmtId="0" fontId="0" fillId="3" borderId="1" xfId="0" quotePrefix="1" applyFill="1" applyBorder="1" applyAlignment="1">
      <alignment vertical="center" wrapText="1"/>
    </xf>
    <xf numFmtId="165" fontId="0" fillId="3" borderId="1" xfId="1" applyFont="1" applyFill="1" applyBorder="1" applyAlignment="1">
      <alignment vertical="center" wrapText="1"/>
    </xf>
    <xf numFmtId="167" fontId="0" fillId="3" borderId="1" xfId="3" applyNumberFormat="1" applyFont="1" applyFill="1" applyBorder="1" applyAlignment="1">
      <alignment vertical="center" wrapText="1"/>
    </xf>
    <xf numFmtId="2" fontId="0" fillId="3" borderId="1" xfId="0" applyNumberFormat="1" applyFill="1" applyBorder="1" applyAlignment="1">
      <alignment vertical="center" wrapText="1"/>
    </xf>
    <xf numFmtId="164" fontId="10" fillId="3" borderId="1" xfId="2" applyFont="1" applyFill="1" applyBorder="1" applyAlignment="1">
      <alignment vertical="center" wrapText="1"/>
    </xf>
    <xf numFmtId="166" fontId="10" fillId="3" borderId="1" xfId="1" applyNumberFormat="1" applyFont="1" applyFill="1" applyBorder="1" applyAlignment="1">
      <alignment vertical="center" wrapText="1"/>
    </xf>
    <xf numFmtId="167" fontId="10" fillId="3" borderId="1" xfId="3" applyNumberFormat="1" applyFont="1" applyFill="1" applyBorder="1" applyAlignment="1">
      <alignment vertical="center" wrapText="1"/>
    </xf>
    <xf numFmtId="167" fontId="10" fillId="3" borderId="1" xfId="1" applyNumberFormat="1" applyFont="1" applyFill="1" applyBorder="1" applyAlignment="1">
      <alignment vertical="center" wrapText="1"/>
    </xf>
    <xf numFmtId="0" fontId="4" fillId="3" borderId="1" xfId="2" quotePrefix="1" applyNumberFormat="1" applyFont="1" applyFill="1" applyBorder="1" applyAlignment="1">
      <alignment horizontal="right" vertical="center" wrapText="1"/>
    </xf>
    <xf numFmtId="164" fontId="0" fillId="3" borderId="1" xfId="0" applyNumberFormat="1" applyFill="1" applyBorder="1" applyAlignment="1">
      <alignment vertical="center" wrapText="1"/>
    </xf>
    <xf numFmtId="0" fontId="2" fillId="3" borderId="1" xfId="0" applyFont="1" applyFill="1" applyBorder="1" applyAlignment="1">
      <alignment vertical="center" wrapText="1"/>
    </xf>
    <xf numFmtId="164" fontId="2" fillId="3" borderId="1" xfId="2" applyFont="1" applyFill="1" applyBorder="1" applyAlignment="1">
      <alignment horizontal="right" vertical="center" wrapText="1"/>
    </xf>
    <xf numFmtId="166" fontId="2" fillId="3" borderId="1" xfId="1" applyNumberFormat="1" applyFont="1" applyFill="1" applyBorder="1" applyAlignment="1">
      <alignment horizontal="right" vertical="center" wrapText="1"/>
    </xf>
    <xf numFmtId="164" fontId="2" fillId="3" borderId="1" xfId="2" applyFont="1" applyFill="1" applyBorder="1" applyAlignment="1">
      <alignment horizontal="left" vertical="center" wrapText="1"/>
    </xf>
    <xf numFmtId="43" fontId="0" fillId="3" borderId="1" xfId="3" applyFont="1" applyFill="1" applyBorder="1" applyAlignment="1">
      <alignment horizontal="center" vertical="center" wrapText="1"/>
    </xf>
    <xf numFmtId="165" fontId="0" fillId="3" borderId="1" xfId="0" applyNumberFormat="1" applyFill="1" applyBorder="1" applyAlignment="1">
      <alignment horizontal="center" vertical="center" wrapText="1"/>
    </xf>
    <xf numFmtId="169" fontId="0" fillId="3" borderId="1" xfId="3"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164" fontId="1" fillId="3" borderId="1" xfId="2" applyFont="1" applyFill="1" applyBorder="1" applyAlignment="1">
      <alignment horizontal="right" vertical="center" wrapText="1"/>
    </xf>
    <xf numFmtId="166" fontId="1" fillId="3" borderId="1" xfId="1"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165" fontId="0" fillId="3" borderId="1" xfId="0" applyNumberFormat="1" applyFill="1" applyBorder="1" applyAlignment="1">
      <alignment vertical="center" wrapText="1"/>
    </xf>
    <xf numFmtId="164" fontId="0" fillId="3" borderId="1" xfId="3" applyNumberFormat="1" applyFont="1" applyFill="1" applyBorder="1" applyAlignment="1">
      <alignment horizontal="right" vertical="center" wrapText="1"/>
    </xf>
    <xf numFmtId="41" fontId="14" fillId="3" borderId="1" xfId="4" applyFont="1" applyFill="1" applyBorder="1" applyAlignment="1">
      <alignment horizontal="left" vertical="center" wrapText="1"/>
    </xf>
    <xf numFmtId="41" fontId="0" fillId="3" borderId="1" xfId="4" applyFont="1" applyFill="1" applyBorder="1" applyAlignment="1">
      <alignment horizontal="right" vertical="center" wrapText="1"/>
    </xf>
    <xf numFmtId="43" fontId="0" fillId="3" borderId="1" xfId="3" applyFont="1" applyFill="1" applyBorder="1" applyAlignment="1">
      <alignment horizontal="left" vertical="center" wrapText="1"/>
    </xf>
    <xf numFmtId="170" fontId="0" fillId="3" borderId="1" xfId="4" applyNumberFormat="1" applyFont="1" applyFill="1" applyBorder="1" applyAlignment="1">
      <alignment horizontal="center" vertical="center" wrapText="1"/>
    </xf>
    <xf numFmtId="0" fontId="0" fillId="3" borderId="1" xfId="0" applyFill="1" applyBorder="1" applyAlignment="1">
      <alignment horizontal="left" vertical="center" wrapText="1"/>
    </xf>
    <xf numFmtId="43" fontId="0" fillId="3" borderId="1" xfId="0" applyNumberFormat="1" applyFill="1" applyBorder="1" applyAlignment="1">
      <alignment horizontal="left" vertical="center" wrapText="1"/>
    </xf>
    <xf numFmtId="43" fontId="0" fillId="3" borderId="1" xfId="0" applyNumberFormat="1" applyFill="1" applyBorder="1" applyAlignment="1">
      <alignment horizontal="center" vertical="center" wrapText="1"/>
    </xf>
    <xf numFmtId="167" fontId="0" fillId="3" borderId="1" xfId="4" applyNumberFormat="1" applyFont="1" applyFill="1" applyBorder="1" applyAlignment="1">
      <alignment horizontal="right" vertical="center" wrapText="1"/>
    </xf>
    <xf numFmtId="167" fontId="0" fillId="3" borderId="1" xfId="0" applyNumberFormat="1" applyFill="1" applyBorder="1" applyAlignment="1">
      <alignment horizontal="center" vertical="center" wrapText="1"/>
    </xf>
    <xf numFmtId="0" fontId="0" fillId="3" borderId="0" xfId="0" applyFill="1" applyAlignment="1">
      <alignment vertical="center"/>
    </xf>
    <xf numFmtId="168" fontId="0" fillId="3" borderId="1" xfId="0" applyNumberFormat="1" applyFill="1" applyBorder="1" applyAlignment="1">
      <alignment horizontal="left" vertical="center" wrapText="1"/>
    </xf>
    <xf numFmtId="168" fontId="0" fillId="3" borderId="1" xfId="3" applyNumberFormat="1" applyFont="1" applyFill="1" applyBorder="1" applyAlignment="1">
      <alignment horizontal="left" vertical="center"/>
    </xf>
    <xf numFmtId="168" fontId="0" fillId="3" borderId="1" xfId="0" applyNumberFormat="1" applyFill="1" applyBorder="1" applyAlignment="1">
      <alignment horizontal="center" vertical="center" wrapText="1"/>
    </xf>
    <xf numFmtId="168" fontId="0" fillId="3" borderId="1" xfId="3" applyNumberFormat="1" applyFont="1" applyFill="1" applyBorder="1" applyAlignment="1">
      <alignment horizontal="left" vertical="center" wrapText="1"/>
    </xf>
    <xf numFmtId="167" fontId="0" fillId="3" borderId="1" xfId="0" applyNumberFormat="1" applyFill="1" applyBorder="1" applyAlignment="1">
      <alignment horizontal="left" vertical="center" wrapText="1"/>
    </xf>
    <xf numFmtId="0" fontId="0" fillId="3" borderId="1" xfId="0" applyFill="1" applyBorder="1" applyAlignment="1">
      <alignment horizontal="left" vertical="center"/>
    </xf>
    <xf numFmtId="168" fontId="0" fillId="3" borderId="1" xfId="3"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0" fillId="5" borderId="0" xfId="0" applyFill="1" applyAlignment="1">
      <alignment horizontal="center" vertical="center"/>
    </xf>
    <xf numFmtId="166" fontId="8" fillId="5" borderId="1" xfId="1" applyNumberFormat="1" applyFont="1" applyFill="1" applyBorder="1" applyAlignment="1">
      <alignment horizontal="center" vertical="center"/>
    </xf>
    <xf numFmtId="166" fontId="0" fillId="5" borderId="1" xfId="1" applyNumberFormat="1" applyFont="1" applyFill="1" applyBorder="1"/>
    <xf numFmtId="0" fontId="22" fillId="5" borderId="1" xfId="12" applyFont="1" applyFill="1" applyBorder="1">
      <alignment vertical="center"/>
    </xf>
    <xf numFmtId="0" fontId="22" fillId="5" borderId="1" xfId="12" applyFont="1" applyFill="1" applyBorder="1" applyAlignment="1">
      <alignment horizontal="center" vertical="center"/>
    </xf>
    <xf numFmtId="166" fontId="0" fillId="3" borderId="1" xfId="5" applyNumberFormat="1" applyFont="1" applyFill="1" applyBorder="1" applyAlignment="1">
      <alignment vertical="center" wrapText="1"/>
    </xf>
    <xf numFmtId="165" fontId="0" fillId="3" borderId="1" xfId="5" applyFont="1" applyFill="1" applyBorder="1" applyAlignment="1">
      <alignment vertical="center" wrapText="1"/>
    </xf>
    <xf numFmtId="43" fontId="0" fillId="3" borderId="1" xfId="14" applyFont="1" applyFill="1" applyBorder="1" applyAlignment="1">
      <alignment vertical="center" wrapText="1"/>
    </xf>
    <xf numFmtId="166" fontId="4" fillId="3" borderId="1" xfId="5" quotePrefix="1" applyNumberFormat="1" applyFont="1" applyFill="1" applyBorder="1" applyAlignment="1">
      <alignment horizontal="right" vertical="center" wrapText="1"/>
    </xf>
    <xf numFmtId="166" fontId="0" fillId="3" borderId="1" xfId="5" applyNumberFormat="1" applyFont="1" applyFill="1" applyBorder="1" applyAlignment="1">
      <alignment horizontal="right" vertical="center" wrapText="1"/>
    </xf>
    <xf numFmtId="0" fontId="0" fillId="3" borderId="1" xfId="0" quotePrefix="1" applyFill="1" applyBorder="1" applyAlignment="1">
      <alignment horizontal="center" vertical="center" wrapText="1"/>
    </xf>
    <xf numFmtId="0" fontId="1" fillId="3" borderId="1" xfId="0" quotePrefix="1" applyFont="1" applyFill="1" applyBorder="1" applyAlignment="1">
      <alignment vertical="center" wrapText="1"/>
    </xf>
    <xf numFmtId="0" fontId="1" fillId="3" borderId="1" xfId="0" quotePrefix="1" applyFont="1" applyFill="1" applyBorder="1" applyAlignment="1">
      <alignment horizontal="center" vertical="center" wrapText="1"/>
    </xf>
    <xf numFmtId="166" fontId="1" fillId="3" borderId="1" xfId="5" applyNumberFormat="1" applyFont="1" applyFill="1" applyBorder="1" applyAlignment="1">
      <alignment horizontal="right" vertical="center" wrapText="1"/>
    </xf>
    <xf numFmtId="166" fontId="0" fillId="5" borderId="1" xfId="5" applyNumberFormat="1" applyFont="1" applyFill="1" applyBorder="1" applyAlignment="1">
      <alignment vertical="center" wrapText="1"/>
    </xf>
    <xf numFmtId="164" fontId="0" fillId="3" borderId="1" xfId="15" applyFont="1" applyFill="1" applyBorder="1" applyAlignment="1">
      <alignment horizontal="right" vertical="center" wrapText="1"/>
    </xf>
    <xf numFmtId="167" fontId="0" fillId="0" borderId="1" xfId="3" applyNumberFormat="1" applyFont="1" applyBorder="1" applyAlignment="1">
      <alignment vertical="center" wrapText="1"/>
    </xf>
    <xf numFmtId="164" fontId="0" fillId="3" borderId="1" xfId="15" applyFont="1" applyFill="1" applyBorder="1" applyAlignment="1">
      <alignment vertical="center" wrapText="1"/>
    </xf>
    <xf numFmtId="0" fontId="4" fillId="3" borderId="1" xfId="15" quotePrefix="1" applyNumberFormat="1" applyFont="1" applyFill="1" applyBorder="1" applyAlignment="1">
      <alignment horizontal="right" vertical="center" wrapText="1"/>
    </xf>
    <xf numFmtId="167" fontId="0" fillId="3" borderId="1" xfId="14" applyNumberFormat="1" applyFont="1" applyFill="1" applyBorder="1" applyAlignment="1">
      <alignment horizontal="right" vertical="center" wrapText="1"/>
    </xf>
    <xf numFmtId="0" fontId="23" fillId="3" borderId="1" xfId="0" applyFont="1" applyFill="1" applyBorder="1" applyAlignment="1">
      <alignment horizontal="center" vertical="center" wrapText="1"/>
    </xf>
    <xf numFmtId="43" fontId="0" fillId="3" borderId="1" xfId="14" applyFont="1" applyFill="1" applyBorder="1" applyAlignment="1">
      <alignment horizontal="right" vertical="center" wrapText="1"/>
    </xf>
    <xf numFmtId="167" fontId="0" fillId="3" borderId="1" xfId="14" applyNumberFormat="1" applyFont="1" applyFill="1" applyBorder="1" applyAlignment="1">
      <alignment vertical="center" wrapText="1"/>
    </xf>
    <xf numFmtId="166" fontId="0" fillId="5" borderId="1" xfId="1" applyNumberFormat="1" applyFont="1" applyFill="1" applyBorder="1" applyAlignment="1">
      <alignment vertical="center"/>
    </xf>
    <xf numFmtId="166" fontId="0" fillId="0" borderId="0" xfId="0" applyNumberFormat="1"/>
    <xf numFmtId="166" fontId="10" fillId="5" borderId="1" xfId="1" applyNumberFormat="1" applyFont="1" applyFill="1" applyBorder="1" applyAlignment="1">
      <alignment vertical="center" wrapText="1"/>
    </xf>
    <xf numFmtId="166" fontId="10" fillId="11" borderId="1" xfId="1" applyNumberFormat="1" applyFont="1" applyFill="1" applyBorder="1" applyAlignment="1">
      <alignment vertical="center" wrapText="1"/>
    </xf>
    <xf numFmtId="166" fontId="22" fillId="5" borderId="1" xfId="1" applyNumberFormat="1" applyFont="1" applyFill="1" applyBorder="1" applyAlignment="1" applyProtection="1">
      <alignment vertical="center" wrapText="1"/>
    </xf>
    <xf numFmtId="166" fontId="23" fillId="3" borderId="1" xfId="1" applyNumberFormat="1" applyFont="1" applyFill="1" applyBorder="1" applyAlignment="1">
      <alignment horizontal="right" vertical="center" wrapText="1"/>
    </xf>
    <xf numFmtId="166" fontId="0" fillId="0" borderId="0" xfId="1" applyNumberFormat="1" applyFont="1"/>
    <xf numFmtId="0" fontId="14" fillId="0" borderId="1" xfId="0" quotePrefix="1" applyFont="1" applyBorder="1" applyAlignment="1">
      <alignment horizontal="center" vertical="center" wrapText="1"/>
    </xf>
    <xf numFmtId="0" fontId="2" fillId="14" borderId="1" xfId="0" applyFont="1" applyFill="1" applyBorder="1" applyAlignment="1">
      <alignment horizontal="center" vertical="center"/>
    </xf>
    <xf numFmtId="0" fontId="0" fillId="15" borderId="0" xfId="0" applyFill="1" applyAlignment="1">
      <alignment horizontal="center" vertical="center"/>
    </xf>
    <xf numFmtId="0" fontId="0" fillId="15" borderId="0" xfId="0" applyFill="1" applyAlignment="1">
      <alignment horizontal="center" vertical="center" wrapText="1"/>
    </xf>
    <xf numFmtId="0" fontId="0" fillId="0" borderId="1" xfId="0" applyBorder="1" applyAlignment="1">
      <alignment vertical="center"/>
    </xf>
    <xf numFmtId="166" fontId="0" fillId="0" borderId="1" xfId="1" applyNumberFormat="1" applyFont="1" applyBorder="1" applyAlignment="1">
      <alignment vertical="center"/>
    </xf>
    <xf numFmtId="166" fontId="0" fillId="0" borderId="1" xfId="0" applyNumberFormat="1" applyBorder="1" applyAlignment="1">
      <alignment vertical="center"/>
    </xf>
    <xf numFmtId="165" fontId="0" fillId="0" borderId="0" xfId="1" applyFont="1" applyAlignment="1">
      <alignment vertical="center"/>
    </xf>
    <xf numFmtId="165" fontId="0" fillId="0" borderId="0" xfId="0" applyNumberFormat="1" applyAlignment="1">
      <alignment vertical="center"/>
    </xf>
    <xf numFmtId="0" fontId="0" fillId="0" borderId="0" xfId="0" applyAlignment="1">
      <alignment vertical="center"/>
    </xf>
    <xf numFmtId="0" fontId="2" fillId="15"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26" fillId="0" borderId="1" xfId="0" applyFont="1" applyBorder="1" applyAlignment="1">
      <alignment horizontal="left" vertical="center" wrapText="1"/>
    </xf>
    <xf numFmtId="0" fontId="27" fillId="0" borderId="1" xfId="0" applyFont="1" applyBorder="1" applyAlignment="1">
      <alignment horizontal="left" vertical="center" wrapText="1"/>
    </xf>
    <xf numFmtId="165" fontId="0" fillId="0" borderId="1" xfId="1" applyFont="1" applyBorder="1" applyAlignment="1">
      <alignment vertical="center"/>
    </xf>
    <xf numFmtId="0" fontId="28" fillId="0" borderId="1" xfId="0" applyFont="1" applyBorder="1" applyAlignment="1">
      <alignment horizontal="left" vertical="center" wrapText="1"/>
    </xf>
    <xf numFmtId="0" fontId="0" fillId="0" borderId="1" xfId="0" applyBorder="1" applyAlignment="1">
      <alignment wrapText="1"/>
    </xf>
    <xf numFmtId="165" fontId="0" fillId="0" borderId="1" xfId="1" applyFont="1" applyBorder="1"/>
    <xf numFmtId="0" fontId="0" fillId="0" borderId="0" xfId="0" applyAlignment="1">
      <alignment vertical="center" wrapText="1"/>
    </xf>
    <xf numFmtId="166" fontId="0" fillId="0" borderId="0" xfId="0" applyNumberFormat="1" applyAlignment="1">
      <alignment vertical="center"/>
    </xf>
    <xf numFmtId="0" fontId="0" fillId="0" borderId="0" xfId="0" applyAlignment="1">
      <alignment wrapText="1"/>
    </xf>
    <xf numFmtId="166" fontId="0" fillId="0" borderId="1" xfId="0" applyNumberFormat="1" applyBorder="1" applyAlignment="1">
      <alignment vertical="center" wrapText="1"/>
    </xf>
    <xf numFmtId="166" fontId="0" fillId="10" borderId="1" xfId="0" applyNumberFormat="1" applyFill="1" applyBorder="1" applyAlignment="1">
      <alignment vertical="center" wrapText="1"/>
    </xf>
    <xf numFmtId="0" fontId="0" fillId="0" borderId="1" xfId="0" applyBorder="1"/>
    <xf numFmtId="166" fontId="0" fillId="0" borderId="1" xfId="0" applyNumberFormat="1" applyBorder="1"/>
    <xf numFmtId="0" fontId="0" fillId="0" borderId="0" xfId="0" applyAlignment="1">
      <alignment horizontal="right"/>
    </xf>
    <xf numFmtId="0" fontId="2" fillId="3" borderId="7" xfId="0" applyFont="1" applyFill="1" applyBorder="1" applyAlignment="1">
      <alignment horizontal="right" vertical="center" wrapText="1"/>
    </xf>
    <xf numFmtId="166" fontId="2" fillId="3" borderId="0" xfId="1" applyNumberFormat="1" applyFont="1" applyFill="1"/>
    <xf numFmtId="0" fontId="2" fillId="0" borderId="6" xfId="0" applyFont="1" applyBorder="1" applyAlignment="1">
      <alignment horizontal="center"/>
    </xf>
    <xf numFmtId="0" fontId="2" fillId="14" borderId="1" xfId="0" applyFont="1" applyFill="1" applyBorder="1" applyAlignment="1">
      <alignment horizontal="center" vertical="center" wrapText="1"/>
    </xf>
    <xf numFmtId="165" fontId="0" fillId="0" borderId="1" xfId="1" quotePrefix="1" applyFont="1" applyBorder="1" applyAlignment="1">
      <alignment horizontal="center" vertical="center" wrapText="1"/>
    </xf>
    <xf numFmtId="0" fontId="24" fillId="0" borderId="0" xfId="0" applyFont="1" applyAlignment="1">
      <alignment horizontal="center"/>
    </xf>
    <xf numFmtId="0" fontId="25" fillId="0" borderId="0" xfId="0" applyFont="1" applyBorder="1" applyAlignment="1">
      <alignment horizontal="center"/>
    </xf>
    <xf numFmtId="0" fontId="2" fillId="14" borderId="0" xfId="0" applyFont="1" applyFill="1" applyBorder="1" applyAlignment="1">
      <alignment horizontal="center" vertical="center"/>
    </xf>
    <xf numFmtId="166" fontId="0" fillId="0" borderId="0" xfId="0" applyNumberFormat="1" applyBorder="1" applyAlignment="1">
      <alignment vertical="center"/>
    </xf>
    <xf numFmtId="0" fontId="0" fillId="5" borderId="0" xfId="0" applyFill="1"/>
    <xf numFmtId="166" fontId="0" fillId="5" borderId="0" xfId="1" applyNumberFormat="1" applyFont="1" applyFill="1"/>
    <xf numFmtId="0" fontId="0" fillId="0" borderId="0" xfId="0" quotePrefix="1"/>
    <xf numFmtId="165" fontId="0" fillId="0" borderId="0" xfId="1" applyFont="1"/>
    <xf numFmtId="165" fontId="0" fillId="0" borderId="0" xfId="0" applyNumberFormat="1"/>
    <xf numFmtId="0" fontId="30" fillId="16" borderId="10"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1" xfId="0" applyFont="1" applyFill="1" applyBorder="1" applyAlignment="1">
      <alignment horizontal="center" vertical="center" wrapText="1"/>
    </xf>
    <xf numFmtId="0" fontId="31" fillId="0" borderId="12" xfId="0" applyFont="1" applyBorder="1" applyAlignment="1">
      <alignment vertical="center"/>
    </xf>
    <xf numFmtId="0" fontId="31" fillId="0" borderId="13" xfId="0" applyFont="1" applyBorder="1" applyAlignment="1">
      <alignment vertical="center"/>
    </xf>
    <xf numFmtId="4" fontId="31" fillId="0" borderId="13" xfId="0" applyNumberFormat="1" applyFont="1" applyBorder="1" applyAlignment="1">
      <alignment horizontal="right" vertical="center"/>
    </xf>
    <xf numFmtId="0" fontId="29" fillId="0" borderId="12" xfId="0" applyFont="1" applyBorder="1" applyAlignment="1">
      <alignment vertical="center"/>
    </xf>
    <xf numFmtId="0" fontId="29" fillId="0" borderId="13" xfId="0" applyFont="1" applyBorder="1" applyAlignment="1">
      <alignment vertical="center"/>
    </xf>
    <xf numFmtId="0" fontId="31" fillId="0" borderId="13" xfId="0" applyFont="1" applyBorder="1" applyAlignment="1">
      <alignment horizontal="center" vertical="center"/>
    </xf>
    <xf numFmtId="4" fontId="32" fillId="0" borderId="13" xfId="0" applyNumberFormat="1" applyFont="1" applyBorder="1" applyAlignment="1">
      <alignment horizontal="right" vertical="center"/>
    </xf>
    <xf numFmtId="9" fontId="0" fillId="0" borderId="0" xfId="16" applyFont="1"/>
    <xf numFmtId="10" fontId="0" fillId="0" borderId="0" xfId="16" applyNumberFormat="1" applyFont="1"/>
    <xf numFmtId="0" fontId="33" fillId="17" borderId="13" xfId="0" applyFont="1" applyFill="1" applyBorder="1" applyAlignment="1">
      <alignment horizontal="center" vertical="center" wrapText="1"/>
    </xf>
    <xf numFmtId="0" fontId="33" fillId="18" borderId="12" xfId="0" applyFont="1" applyFill="1" applyBorder="1" applyAlignment="1">
      <alignment horizontal="center" vertical="center" wrapText="1"/>
    </xf>
    <xf numFmtId="0" fontId="33" fillId="18" borderId="13" xfId="0" applyFont="1" applyFill="1" applyBorder="1" applyAlignment="1">
      <alignment horizontal="center" vertical="center" wrapText="1"/>
    </xf>
    <xf numFmtId="0" fontId="32" fillId="0" borderId="12" xfId="0" applyFont="1" applyBorder="1" applyAlignment="1">
      <alignment horizontal="center" vertical="center" wrapText="1"/>
    </xf>
    <xf numFmtId="0" fontId="32" fillId="0" borderId="13" xfId="0" applyFont="1" applyBorder="1" applyAlignment="1">
      <alignment vertical="center" wrapText="1"/>
    </xf>
    <xf numFmtId="0" fontId="32" fillId="0" borderId="13" xfId="0" applyFont="1" applyBorder="1" applyAlignment="1">
      <alignment horizontal="center" vertical="center" wrapText="1"/>
    </xf>
    <xf numFmtId="3" fontId="32" fillId="0" borderId="13" xfId="0" applyNumberFormat="1" applyFont="1" applyBorder="1" applyAlignment="1">
      <alignment horizontal="right" vertical="center" wrapText="1"/>
    </xf>
    <xf numFmtId="0" fontId="29" fillId="0" borderId="13" xfId="0" applyFont="1" applyBorder="1" applyAlignment="1">
      <alignment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166" fontId="0" fillId="3" borderId="1" xfId="1" applyNumberFormat="1" applyFont="1" applyFill="1" applyBorder="1" applyAlignment="1">
      <alignment horizontal="center" vertical="center"/>
    </xf>
    <xf numFmtId="0" fontId="0" fillId="3" borderId="1" xfId="0"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2" applyNumberFormat="1" applyFont="1" applyFill="1" applyBorder="1" applyAlignment="1">
      <alignment horizontal="center" vertical="center" wrapText="1"/>
    </xf>
    <xf numFmtId="0" fontId="2" fillId="2" borderId="3" xfId="2" applyNumberFormat="1" applyFont="1" applyFill="1" applyBorder="1" applyAlignment="1">
      <alignment horizontal="center" vertical="center" wrapText="1"/>
    </xf>
    <xf numFmtId="0" fontId="24" fillId="0" borderId="0" xfId="0" applyFont="1" applyAlignment="1">
      <alignment horizontal="center"/>
    </xf>
    <xf numFmtId="16" fontId="25" fillId="0" borderId="6" xfId="0" applyNumberFormat="1" applyFont="1" applyBorder="1" applyAlignment="1">
      <alignment horizontal="center"/>
    </xf>
    <xf numFmtId="0" fontId="25" fillId="0" borderId="6" xfId="0" applyFont="1" applyBorder="1" applyAlignment="1">
      <alignment horizontal="center"/>
    </xf>
    <xf numFmtId="0" fontId="2" fillId="0" borderId="0" xfId="0" applyFont="1" applyAlignment="1">
      <alignment horizontal="center" wrapText="1"/>
    </xf>
    <xf numFmtId="0" fontId="33" fillId="17" borderId="14" xfId="0" applyFont="1" applyFill="1" applyBorder="1" applyAlignment="1">
      <alignment horizontal="center" vertical="center" wrapText="1"/>
    </xf>
    <xf numFmtId="0" fontId="33" fillId="17" borderId="12" xfId="0" applyFont="1" applyFill="1" applyBorder="1" applyAlignment="1">
      <alignment horizontal="center" vertical="center" wrapText="1"/>
    </xf>
    <xf numFmtId="0" fontId="33" fillId="17" borderId="15" xfId="0" applyFont="1" applyFill="1" applyBorder="1" applyAlignment="1">
      <alignment horizontal="center" vertical="center" wrapText="1"/>
    </xf>
    <xf numFmtId="0" fontId="33" fillId="17" borderId="11" xfId="0" applyFont="1" applyFill="1" applyBorder="1" applyAlignment="1">
      <alignment horizontal="center" vertical="center" wrapText="1"/>
    </xf>
    <xf numFmtId="0" fontId="2" fillId="0" borderId="6" xfId="0" applyFont="1" applyBorder="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17">
    <cellStyle name="Comma" xfId="1" builtinId="3"/>
    <cellStyle name="Comma [0]" xfId="2" builtinId="6"/>
    <cellStyle name="Comma [0] 2" xfId="15" xr:uid="{4EE56D5C-1E44-490A-A358-938F1C252CE5}"/>
    <cellStyle name="Comma [0] 2 2" xfId="4" xr:uid="{1D5738C4-99CF-491B-B0B0-F9E16F9F53E7}"/>
    <cellStyle name="Comma [0] 2 2 2" xfId="8" xr:uid="{47F3B0C0-24F7-4881-B991-ACB8754ABFDA}"/>
    <cellStyle name="Comma [0] 2 2 3" xfId="7" xr:uid="{0B23C281-1AA6-46DD-B85B-D1E87DA5CEB6}"/>
    <cellStyle name="Comma 2" xfId="3" xr:uid="{D9E9FF45-EE00-4F48-A871-9CC1951F163D}"/>
    <cellStyle name="Comma 2 2" xfId="14" xr:uid="{F1FC79B2-C3C6-4209-B40E-BA7BF512894D}"/>
    <cellStyle name="Comma 2 3" xfId="5" xr:uid="{559DC7EE-B0F4-43DC-91C3-9C0314094FE8}"/>
    <cellStyle name="Comma 3" xfId="13" xr:uid="{22FE3915-A212-4199-A84C-0CC828A0B2B8}"/>
    <cellStyle name="Comma 8" xfId="9" xr:uid="{EA0BAB25-4106-4507-AE7E-4202388214B0}"/>
    <cellStyle name="Comma 9" xfId="10" xr:uid="{16BE3F49-4FCE-4D66-B7D7-4BFBD632A43E}"/>
    <cellStyle name="Normal" xfId="0" builtinId="0"/>
    <cellStyle name="Normal 11" xfId="6" xr:uid="{D741D3ED-A7FA-4DF2-8EEE-8380271AEA97}"/>
    <cellStyle name="Normal 2" xfId="12" xr:uid="{D8FD4ECD-220F-4CAD-BDB0-F5CAED9F2DDF}"/>
    <cellStyle name="Normal 7" xfId="11" xr:uid="{12B95333-0F54-4B49-9A09-95B851E72F31}"/>
    <cellStyle name="Percent" xfId="1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457200</xdr:colOff>
      <xdr:row>1</xdr:row>
      <xdr:rowOff>145692</xdr:rowOff>
    </xdr:from>
    <xdr:to>
      <xdr:col>15</xdr:col>
      <xdr:colOff>469951</xdr:colOff>
      <xdr:row>15</xdr:row>
      <xdr:rowOff>147425</xdr:rowOff>
    </xdr:to>
    <xdr:grpSp>
      <xdr:nvGrpSpPr>
        <xdr:cNvPr id="12" name="Group 11">
          <a:extLst>
            <a:ext uri="{FF2B5EF4-FFF2-40B4-BE49-F238E27FC236}">
              <a16:creationId xmlns:a16="http://schemas.microsoft.com/office/drawing/2014/main" id="{4761F663-7CB2-4120-AD38-46A13824337F}"/>
            </a:ext>
          </a:extLst>
        </xdr:cNvPr>
        <xdr:cNvGrpSpPr/>
      </xdr:nvGrpSpPr>
      <xdr:grpSpPr>
        <a:xfrm>
          <a:off x="8407400" y="329842"/>
          <a:ext cx="8756701" cy="3443433"/>
          <a:chOff x="8407400" y="329842"/>
          <a:chExt cx="6108751" cy="3443433"/>
        </a:xfrm>
      </xdr:grpSpPr>
      <xdr:pic>
        <xdr:nvPicPr>
          <xdr:cNvPr id="2" name="Picture 1">
            <a:extLst>
              <a:ext uri="{FF2B5EF4-FFF2-40B4-BE49-F238E27FC236}">
                <a16:creationId xmlns:a16="http://schemas.microsoft.com/office/drawing/2014/main" id="{F9B03C34-3FC8-48A0-942B-97AFAB6DE509}"/>
              </a:ext>
            </a:extLst>
          </xdr:cNvPr>
          <xdr:cNvPicPr>
            <a:picLocks noChangeAspect="1"/>
          </xdr:cNvPicPr>
        </xdr:nvPicPr>
        <xdr:blipFill>
          <a:blip xmlns:r="http://schemas.openxmlformats.org/officeDocument/2006/relationships" r:embed="rId1"/>
          <a:stretch>
            <a:fillRect/>
          </a:stretch>
        </xdr:blipFill>
        <xdr:spPr>
          <a:xfrm>
            <a:off x="8407400" y="329842"/>
            <a:ext cx="6108751" cy="3443433"/>
          </a:xfrm>
          <a:prstGeom prst="rect">
            <a:avLst/>
          </a:prstGeom>
          <a:ln w="12700">
            <a:solidFill>
              <a:schemeClr val="tx1"/>
            </a:solidFill>
          </a:ln>
        </xdr:spPr>
      </xdr:pic>
      <xdr:sp macro="" textlink="">
        <xdr:nvSpPr>
          <xdr:cNvPr id="3" name="TextBox 2">
            <a:extLst>
              <a:ext uri="{FF2B5EF4-FFF2-40B4-BE49-F238E27FC236}">
                <a16:creationId xmlns:a16="http://schemas.microsoft.com/office/drawing/2014/main" id="{947891BB-0AB7-4499-9C1A-348B25585F5D}"/>
              </a:ext>
            </a:extLst>
          </xdr:cNvPr>
          <xdr:cNvSpPr txBox="1"/>
        </xdr:nvSpPr>
        <xdr:spPr>
          <a:xfrm>
            <a:off x="8934450" y="2258337"/>
            <a:ext cx="52705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202718%</a:t>
            </a:r>
          </a:p>
        </xdr:txBody>
      </xdr:sp>
      <xdr:sp macro="" textlink="">
        <xdr:nvSpPr>
          <xdr:cNvPr id="5" name="TextBox 4">
            <a:extLst>
              <a:ext uri="{FF2B5EF4-FFF2-40B4-BE49-F238E27FC236}">
                <a16:creationId xmlns:a16="http://schemas.microsoft.com/office/drawing/2014/main" id="{36F1890B-7F9D-45CD-8E76-8DDF2C3C2E7E}"/>
              </a:ext>
            </a:extLst>
          </xdr:cNvPr>
          <xdr:cNvSpPr txBox="1"/>
        </xdr:nvSpPr>
        <xdr:spPr>
          <a:xfrm>
            <a:off x="10293350" y="22773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52,31%</a:t>
            </a:r>
          </a:p>
        </xdr:txBody>
      </xdr:sp>
      <xdr:sp macro="" textlink="">
        <xdr:nvSpPr>
          <xdr:cNvPr id="6" name="TextBox 5">
            <a:extLst>
              <a:ext uri="{FF2B5EF4-FFF2-40B4-BE49-F238E27FC236}">
                <a16:creationId xmlns:a16="http://schemas.microsoft.com/office/drawing/2014/main" id="{29122404-8FA3-46D7-AFC5-973C3AC85732}"/>
              </a:ext>
            </a:extLst>
          </xdr:cNvPr>
          <xdr:cNvSpPr txBox="1"/>
        </xdr:nvSpPr>
        <xdr:spPr>
          <a:xfrm>
            <a:off x="11728450" y="22773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23,68%</a:t>
            </a:r>
          </a:p>
        </xdr:txBody>
      </xdr:sp>
      <xdr:sp macro="" textlink="">
        <xdr:nvSpPr>
          <xdr:cNvPr id="7" name="TextBox 6">
            <a:extLst>
              <a:ext uri="{FF2B5EF4-FFF2-40B4-BE49-F238E27FC236}">
                <a16:creationId xmlns:a16="http://schemas.microsoft.com/office/drawing/2014/main" id="{FC798C01-72A5-454F-A0C3-20CD500DA6B3}"/>
              </a:ext>
            </a:extLst>
          </xdr:cNvPr>
          <xdr:cNvSpPr txBox="1"/>
        </xdr:nvSpPr>
        <xdr:spPr>
          <a:xfrm>
            <a:off x="13004800" y="22646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6,01%</a:t>
            </a:r>
          </a:p>
        </xdr:txBody>
      </xdr:sp>
      <xdr:sp macro="" textlink="">
        <xdr:nvSpPr>
          <xdr:cNvPr id="8" name="TextBox 7">
            <a:extLst>
              <a:ext uri="{FF2B5EF4-FFF2-40B4-BE49-F238E27FC236}">
                <a16:creationId xmlns:a16="http://schemas.microsoft.com/office/drawing/2014/main" id="{2ADEF08B-2CAA-4668-A3E5-9E64EA188310}"/>
              </a:ext>
            </a:extLst>
          </xdr:cNvPr>
          <xdr:cNvSpPr txBox="1"/>
        </xdr:nvSpPr>
        <xdr:spPr>
          <a:xfrm>
            <a:off x="13036550" y="135255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2,53%</a:t>
            </a:r>
          </a:p>
        </xdr:txBody>
      </xdr:sp>
      <xdr:sp macro="" textlink="">
        <xdr:nvSpPr>
          <xdr:cNvPr id="9" name="TextBox 8">
            <a:extLst>
              <a:ext uri="{FF2B5EF4-FFF2-40B4-BE49-F238E27FC236}">
                <a16:creationId xmlns:a16="http://schemas.microsoft.com/office/drawing/2014/main" id="{CE037B1C-A7BD-4060-B6B8-CB2E0D4FEDFB}"/>
              </a:ext>
            </a:extLst>
          </xdr:cNvPr>
          <xdr:cNvSpPr txBox="1"/>
        </xdr:nvSpPr>
        <xdr:spPr>
          <a:xfrm>
            <a:off x="11715750" y="137160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66,25%</a:t>
            </a:r>
          </a:p>
        </xdr:txBody>
      </xdr:sp>
      <xdr:sp macro="" textlink="">
        <xdr:nvSpPr>
          <xdr:cNvPr id="10" name="TextBox 9">
            <a:extLst>
              <a:ext uri="{FF2B5EF4-FFF2-40B4-BE49-F238E27FC236}">
                <a16:creationId xmlns:a16="http://schemas.microsoft.com/office/drawing/2014/main" id="{A0199BB2-ED91-4190-A8B7-59FCABB69318}"/>
              </a:ext>
            </a:extLst>
          </xdr:cNvPr>
          <xdr:cNvSpPr txBox="1"/>
        </xdr:nvSpPr>
        <xdr:spPr>
          <a:xfrm>
            <a:off x="10325100" y="137160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26,23%</a:t>
            </a:r>
          </a:p>
        </xdr:txBody>
      </xdr:sp>
      <xdr:sp macro="" textlink="">
        <xdr:nvSpPr>
          <xdr:cNvPr id="11" name="TextBox 10">
            <a:extLst>
              <a:ext uri="{FF2B5EF4-FFF2-40B4-BE49-F238E27FC236}">
                <a16:creationId xmlns:a16="http://schemas.microsoft.com/office/drawing/2014/main" id="{12C6136C-DA91-4934-9034-BCF7C72BCD23}"/>
              </a:ext>
            </a:extLst>
          </xdr:cNvPr>
          <xdr:cNvSpPr txBox="1"/>
        </xdr:nvSpPr>
        <xdr:spPr>
          <a:xfrm>
            <a:off x="8775700" y="139065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5,00%</a:t>
            </a:r>
          </a:p>
        </xdr:txBody>
      </xdr:sp>
    </xdr:grpSp>
    <xdr:clientData/>
  </xdr:twoCellAnchor>
  <xdr:twoCellAnchor>
    <xdr:from>
      <xdr:col>5</xdr:col>
      <xdr:colOff>0</xdr:colOff>
      <xdr:row>19</xdr:row>
      <xdr:rowOff>0</xdr:rowOff>
    </xdr:from>
    <xdr:to>
      <xdr:col>15</xdr:col>
      <xdr:colOff>12751</xdr:colOff>
      <xdr:row>37</xdr:row>
      <xdr:rowOff>128733</xdr:rowOff>
    </xdr:to>
    <xdr:grpSp>
      <xdr:nvGrpSpPr>
        <xdr:cNvPr id="13" name="Group 12">
          <a:extLst>
            <a:ext uri="{FF2B5EF4-FFF2-40B4-BE49-F238E27FC236}">
              <a16:creationId xmlns:a16="http://schemas.microsoft.com/office/drawing/2014/main" id="{C834DC39-7190-4781-B847-7690923BBD1F}"/>
            </a:ext>
          </a:extLst>
        </xdr:cNvPr>
        <xdr:cNvGrpSpPr/>
      </xdr:nvGrpSpPr>
      <xdr:grpSpPr>
        <a:xfrm>
          <a:off x="7950200" y="4362450"/>
          <a:ext cx="8756701" cy="3443433"/>
          <a:chOff x="8407400" y="329842"/>
          <a:chExt cx="6108751" cy="3443433"/>
        </a:xfrm>
      </xdr:grpSpPr>
      <xdr:pic>
        <xdr:nvPicPr>
          <xdr:cNvPr id="14" name="Picture 13">
            <a:extLst>
              <a:ext uri="{FF2B5EF4-FFF2-40B4-BE49-F238E27FC236}">
                <a16:creationId xmlns:a16="http://schemas.microsoft.com/office/drawing/2014/main" id="{B435EA85-0E5D-40E2-8B0A-44DEE2A119F6}"/>
              </a:ext>
            </a:extLst>
          </xdr:cNvPr>
          <xdr:cNvPicPr>
            <a:picLocks noChangeAspect="1"/>
          </xdr:cNvPicPr>
        </xdr:nvPicPr>
        <xdr:blipFill>
          <a:blip xmlns:r="http://schemas.openxmlformats.org/officeDocument/2006/relationships" r:embed="rId1"/>
          <a:stretch>
            <a:fillRect/>
          </a:stretch>
        </xdr:blipFill>
        <xdr:spPr>
          <a:xfrm>
            <a:off x="8407400" y="329842"/>
            <a:ext cx="6108751" cy="3443433"/>
          </a:xfrm>
          <a:prstGeom prst="rect">
            <a:avLst/>
          </a:prstGeom>
          <a:ln w="12700">
            <a:solidFill>
              <a:schemeClr val="tx1"/>
            </a:solidFill>
          </a:ln>
        </xdr:spPr>
      </xdr:pic>
      <xdr:sp macro="" textlink="">
        <xdr:nvSpPr>
          <xdr:cNvPr id="15" name="TextBox 14">
            <a:extLst>
              <a:ext uri="{FF2B5EF4-FFF2-40B4-BE49-F238E27FC236}">
                <a16:creationId xmlns:a16="http://schemas.microsoft.com/office/drawing/2014/main" id="{504FFD15-E82E-490C-A5C2-37DD0EC21AA0}"/>
              </a:ext>
            </a:extLst>
          </xdr:cNvPr>
          <xdr:cNvSpPr txBox="1"/>
        </xdr:nvSpPr>
        <xdr:spPr>
          <a:xfrm>
            <a:off x="8934450" y="2258337"/>
            <a:ext cx="52705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51%</a:t>
            </a:r>
          </a:p>
        </xdr:txBody>
      </xdr:sp>
      <xdr:sp macro="" textlink="">
        <xdr:nvSpPr>
          <xdr:cNvPr id="16" name="TextBox 15">
            <a:extLst>
              <a:ext uri="{FF2B5EF4-FFF2-40B4-BE49-F238E27FC236}">
                <a16:creationId xmlns:a16="http://schemas.microsoft.com/office/drawing/2014/main" id="{9DA986D9-1884-4CAD-944B-FE71769944FB}"/>
              </a:ext>
            </a:extLst>
          </xdr:cNvPr>
          <xdr:cNvSpPr txBox="1"/>
        </xdr:nvSpPr>
        <xdr:spPr>
          <a:xfrm>
            <a:off x="10293350" y="22773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0%</a:t>
            </a:r>
          </a:p>
        </xdr:txBody>
      </xdr:sp>
      <xdr:sp macro="" textlink="">
        <xdr:nvSpPr>
          <xdr:cNvPr id="17" name="TextBox 16">
            <a:extLst>
              <a:ext uri="{FF2B5EF4-FFF2-40B4-BE49-F238E27FC236}">
                <a16:creationId xmlns:a16="http://schemas.microsoft.com/office/drawing/2014/main" id="{EAEBE3CA-0BFE-460D-842C-48DB8E4DB67F}"/>
              </a:ext>
            </a:extLst>
          </xdr:cNvPr>
          <xdr:cNvSpPr txBox="1"/>
        </xdr:nvSpPr>
        <xdr:spPr>
          <a:xfrm>
            <a:off x="11728450" y="22773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48%</a:t>
            </a:r>
          </a:p>
        </xdr:txBody>
      </xdr:sp>
      <xdr:sp macro="" textlink="">
        <xdr:nvSpPr>
          <xdr:cNvPr id="18" name="TextBox 17">
            <a:extLst>
              <a:ext uri="{FF2B5EF4-FFF2-40B4-BE49-F238E27FC236}">
                <a16:creationId xmlns:a16="http://schemas.microsoft.com/office/drawing/2014/main" id="{83BE047A-3FA5-4507-9039-3033A52132E6}"/>
              </a:ext>
            </a:extLst>
          </xdr:cNvPr>
          <xdr:cNvSpPr txBox="1"/>
        </xdr:nvSpPr>
        <xdr:spPr>
          <a:xfrm>
            <a:off x="13004800" y="2264687"/>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0000">
                      <a:alpha val="60000"/>
                    </a:srgbClr>
                  </a:glow>
                </a:effectLst>
              </a:rPr>
              <a:t>2027</a:t>
            </a:r>
          </a:p>
          <a:p>
            <a:pPr algn="ctr"/>
            <a:r>
              <a:rPr lang="en-ID" sz="1200" b="1">
                <a:effectLst>
                  <a:glow rad="76200">
                    <a:srgbClr val="FF0000">
                      <a:alpha val="60000"/>
                    </a:srgbClr>
                  </a:glow>
                </a:effectLst>
              </a:rPr>
              <a:t>1%</a:t>
            </a:r>
          </a:p>
        </xdr:txBody>
      </xdr:sp>
      <xdr:sp macro="" textlink="">
        <xdr:nvSpPr>
          <xdr:cNvPr id="19" name="TextBox 18">
            <a:extLst>
              <a:ext uri="{FF2B5EF4-FFF2-40B4-BE49-F238E27FC236}">
                <a16:creationId xmlns:a16="http://schemas.microsoft.com/office/drawing/2014/main" id="{7559321C-B41B-4E29-AEAF-155A6562C631}"/>
              </a:ext>
            </a:extLst>
          </xdr:cNvPr>
          <xdr:cNvSpPr txBox="1"/>
        </xdr:nvSpPr>
        <xdr:spPr>
          <a:xfrm>
            <a:off x="13036550" y="135255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7,31%</a:t>
            </a:r>
          </a:p>
        </xdr:txBody>
      </xdr:sp>
      <xdr:sp macro="" textlink="">
        <xdr:nvSpPr>
          <xdr:cNvPr id="20" name="TextBox 19">
            <a:extLst>
              <a:ext uri="{FF2B5EF4-FFF2-40B4-BE49-F238E27FC236}">
                <a16:creationId xmlns:a16="http://schemas.microsoft.com/office/drawing/2014/main" id="{B7914B92-12D9-49BF-95CD-A4931F7BC132}"/>
              </a:ext>
            </a:extLst>
          </xdr:cNvPr>
          <xdr:cNvSpPr txBox="1"/>
        </xdr:nvSpPr>
        <xdr:spPr>
          <a:xfrm>
            <a:off x="11715750" y="137160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26,75%</a:t>
            </a:r>
          </a:p>
        </xdr:txBody>
      </xdr:sp>
      <xdr:sp macro="" textlink="">
        <xdr:nvSpPr>
          <xdr:cNvPr id="21" name="TextBox 20">
            <a:extLst>
              <a:ext uri="{FF2B5EF4-FFF2-40B4-BE49-F238E27FC236}">
                <a16:creationId xmlns:a16="http://schemas.microsoft.com/office/drawing/2014/main" id="{2142509F-F8AB-4663-8523-6180ED546C72}"/>
              </a:ext>
            </a:extLst>
          </xdr:cNvPr>
          <xdr:cNvSpPr txBox="1"/>
        </xdr:nvSpPr>
        <xdr:spPr>
          <a:xfrm>
            <a:off x="10325100" y="137160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65,71%</a:t>
            </a:r>
          </a:p>
        </xdr:txBody>
      </xdr:sp>
      <xdr:sp macro="" textlink="">
        <xdr:nvSpPr>
          <xdr:cNvPr id="22" name="TextBox 21">
            <a:extLst>
              <a:ext uri="{FF2B5EF4-FFF2-40B4-BE49-F238E27FC236}">
                <a16:creationId xmlns:a16="http://schemas.microsoft.com/office/drawing/2014/main" id="{C2880342-2EB4-4B01-BD68-1BC83B29D199}"/>
              </a:ext>
            </a:extLst>
          </xdr:cNvPr>
          <xdr:cNvSpPr txBox="1"/>
        </xdr:nvSpPr>
        <xdr:spPr>
          <a:xfrm>
            <a:off x="8775700" y="1390650"/>
            <a:ext cx="787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effectLst>
                  <a:glow rad="76200">
                    <a:srgbClr val="FFFF00">
                      <a:alpha val="60000"/>
                    </a:srgbClr>
                  </a:glow>
                </a:effectLst>
              </a:rPr>
              <a:t>2026</a:t>
            </a:r>
          </a:p>
          <a:p>
            <a:pPr algn="ctr"/>
            <a:r>
              <a:rPr lang="en-ID" sz="1200" b="1">
                <a:effectLst>
                  <a:glow rad="76200">
                    <a:srgbClr val="FFFF00">
                      <a:alpha val="60000"/>
                    </a:srgbClr>
                  </a:glow>
                </a:effectLst>
              </a:rPr>
              <a:t>0,23%</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EKERJAAN%202026%20YUNUS\MUSRENBANG%202026%20UNTUK%20RKPD%202027\MUSRENBANG%20KABUPATEN%20TH%202026%20UTK%20RKPD%202027\HASIL%20MUSRENBANGKAB%2017%20MARET%202026%20UTK%20RKPD%202027\REKAP%20MUSRENBANG%20KAB%20RKPD%202027_PAGU%20PER%20PILAR%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MUSRENKAB 17 MARET"/>
      <sheetName val="REKAP PER DUSUN_musrenbang"/>
      <sheetName val="REKAP PER DESA_musrenbang"/>
      <sheetName val="OPD_KEC_musrenbang"/>
      <sheetName val="PAGU PER PRIORITAS"/>
      <sheetName val="PAGU PER PROGRAM"/>
      <sheetName val="PAGU PER PILAR 2027"/>
    </sheetNames>
    <sheetDataSet>
      <sheetData sheetId="0">
        <row r="6">
          <cell r="B6" t="str">
            <v>KECAMATAN BATULAYAR</v>
          </cell>
        </row>
        <row r="7">
          <cell r="B7" t="str">
            <v>Infrastruktur Berkelanjutan</v>
          </cell>
          <cell r="D7" t="str">
            <v>PROGRAM PENINGKATAN PRASARANA, SARANA DAN UTILITAS UMUM (PSU)</v>
          </cell>
          <cell r="K7" t="str">
            <v>Dinas Pekerjaan Umum, Penataan Ruang, Perumahan dan Kawasan Permukiman</v>
          </cell>
          <cell r="O7" t="str">
            <v>Batulayar</v>
          </cell>
          <cell r="Q7">
            <v>247525000</v>
          </cell>
        </row>
        <row r="8">
          <cell r="B8" t="str">
            <v>Infrastruktur Berkelanjutan</v>
          </cell>
          <cell r="D8" t="str">
            <v>PROGRAM PENINGKATAN PRASARANA, SARANA DAN UTILITAS UMUM (PSU)</v>
          </cell>
          <cell r="K8" t="str">
            <v>Dinas Pekerjaan Umum, Penataan Ruang, Perumahan dan Kawasan Permukiman</v>
          </cell>
          <cell r="O8" t="str">
            <v>Batulayar</v>
          </cell>
          <cell r="Q8">
            <v>152257000</v>
          </cell>
        </row>
        <row r="9">
          <cell r="B9" t="str">
            <v>Infrastruktur Berkelanjutan</v>
          </cell>
          <cell r="D9" t="str">
            <v>PROGRAM PENGELOLAAN SUMBER DAYA AIR (SDA)</v>
          </cell>
          <cell r="K9" t="str">
            <v>Dinas Pekerjaan Umum, Penataan Ruang, Perumahan dan Kawasan Permukiman</v>
          </cell>
          <cell r="O9" t="str">
            <v>Batulayar</v>
          </cell>
          <cell r="Q9">
            <v>129150000</v>
          </cell>
        </row>
        <row r="10">
          <cell r="B10" t="str">
            <v>Infrastruktur Berkelanjutan</v>
          </cell>
          <cell r="D10" t="str">
            <v>PROGRAM PENINGKATAN PRASARANA, SARANA DAN UTILITAS UMUM (PSU)</v>
          </cell>
          <cell r="K10" t="str">
            <v>Dinas Pekerjaan Umum, Penataan Ruang, Perumahan dan Kawasan Permukiman</v>
          </cell>
          <cell r="O10" t="str">
            <v>Batulayar</v>
          </cell>
          <cell r="Q10">
            <v>41440000</v>
          </cell>
        </row>
        <row r="11">
          <cell r="B11" t="str">
            <v>Infrastruktur Berkelanjutan</v>
          </cell>
          <cell r="D11" t="str">
            <v>PROGRAM PENINGKATAN PRASARANA, SARANA DAN UTILITAS UMUM (PSU)</v>
          </cell>
          <cell r="K11" t="str">
            <v>Dinas Pekerjaan Umum, Penataan Ruang, Perumahan dan Kawasan Permukiman</v>
          </cell>
          <cell r="O11" t="str">
            <v>Batulayar</v>
          </cell>
          <cell r="Q11">
            <v>101352000</v>
          </cell>
        </row>
        <row r="12">
          <cell r="B12" t="str">
            <v>Infrastruktur Berkelanjutan</v>
          </cell>
          <cell r="D12" t="str">
            <v>PROGRAM PENINGKATAN PRASARANA, SARANA DAN UTILITAS UMUM (PSU)</v>
          </cell>
          <cell r="K12" t="str">
            <v>Dinas Pekerjaan Umum, Penataan Ruang, Perumahan dan Kawasan Permukiman</v>
          </cell>
          <cell r="O12" t="str">
            <v>Batulayar</v>
          </cell>
          <cell r="Q12">
            <v>161356000</v>
          </cell>
        </row>
        <row r="13">
          <cell r="B13" t="str">
            <v>Infrastruktur Berkelanjutan</v>
          </cell>
          <cell r="D13" t="str">
            <v>PROGRAM PENINGKATAN PRASARANA, SARANA DAN UTILITAS UMUM (PSU)</v>
          </cell>
          <cell r="K13" t="str">
            <v>Dinas Pekerjaan Umum, Penataan Ruang, Perumahan dan Kawasan Permukiman</v>
          </cell>
          <cell r="O13" t="str">
            <v>Batulayar</v>
          </cell>
          <cell r="Q13">
            <v>166920000</v>
          </cell>
        </row>
        <row r="14">
          <cell r="B14" t="str">
            <v>Pembangunan SDM Unggul dan Berdaya Saing</v>
          </cell>
          <cell r="D14" t="str">
            <v>PROGRAM PENGELOLAAN PENDIDIKAN</v>
          </cell>
          <cell r="K14" t="str">
            <v>Dinas Pendidikan dan Kebudayaan</v>
          </cell>
          <cell r="O14" t="str">
            <v>Batulayar</v>
          </cell>
          <cell r="Q14">
            <v>31433500</v>
          </cell>
        </row>
        <row r="15">
          <cell r="B15" t="str">
            <v>Agrominapolitan</v>
          </cell>
          <cell r="D15" t="str">
            <v>PROGRAM PENYEDIAAN DAN PENGEMBANGAN SARANA PERTANIAN</v>
          </cell>
          <cell r="K15" t="str">
            <v>Dinas Pertanian</v>
          </cell>
          <cell r="O15" t="str">
            <v>Batulayar</v>
          </cell>
          <cell r="Q15">
            <v>117566500</v>
          </cell>
        </row>
        <row r="16">
          <cell r="B16" t="str">
            <v>Transformasi dan Kemandirian Ekonomi</v>
          </cell>
          <cell r="D16" t="str">
            <v>PROGRAM PENGEMBANGAN UMKM</v>
          </cell>
          <cell r="K16" t="str">
            <v>Dinas Perindustrian, Koperasi, Usaha Kecil dan Menengah, dan Tenaga Kerja</v>
          </cell>
          <cell r="O16" t="str">
            <v>Batulayar</v>
          </cell>
          <cell r="Q16">
            <v>100000000</v>
          </cell>
        </row>
        <row r="17">
          <cell r="B17" t="str">
            <v>Transformasi dan Kemandirian Ekonomi</v>
          </cell>
          <cell r="D17" t="str">
            <v>PROGRAM PENINGKATAN SARANA DISTRIBUSI PERDAGANGAN</v>
          </cell>
          <cell r="K17" t="str">
            <v>Dinas Perdagangan</v>
          </cell>
          <cell r="O17" t="str">
            <v>Batulayar</v>
          </cell>
          <cell r="Q17">
            <v>100000000</v>
          </cell>
        </row>
        <row r="18">
          <cell r="B18" t="str">
            <v>Infrastruktur Berkelanjutan</v>
          </cell>
          <cell r="D18" t="str">
            <v>PROGRAM PENGELOLAAN SUMBER DAYA AIR (SDA)</v>
          </cell>
          <cell r="K18" t="str">
            <v>Dinas Pekerjaan Umum, Penataan Ruang, Perumahan dan Kawasan Permukiman</v>
          </cell>
          <cell r="O18" t="str">
            <v>Batulayar</v>
          </cell>
          <cell r="Q18">
            <v>250000000</v>
          </cell>
        </row>
        <row r="19">
          <cell r="B19" t="str">
            <v>Infrastruktur Berkelanjutan</v>
          </cell>
          <cell r="D19" t="str">
            <v>PROGRAM PENYELENGGARAAN JALAN</v>
          </cell>
          <cell r="K19" t="str">
            <v>Dinas Pekerjaan Umum, Penataan Ruang, Perumahan dan Kawasan Permukiman</v>
          </cell>
          <cell r="O19" t="str">
            <v>Batulayar</v>
          </cell>
          <cell r="Q19">
            <v>300000000</v>
          </cell>
        </row>
        <row r="20">
          <cell r="B20" t="str">
            <v>Agrominapolitan</v>
          </cell>
          <cell r="D20" t="str">
            <v>PROGRAM PENYEDIAAN DAN PENGEMBANGAN SARANA PERTANIAN</v>
          </cell>
          <cell r="K20" t="str">
            <v>Dinas Pertanian</v>
          </cell>
          <cell r="O20" t="str">
            <v>Batulayar</v>
          </cell>
          <cell r="Q20">
            <v>154937240</v>
          </cell>
        </row>
        <row r="21">
          <cell r="B21" t="str">
            <v>Infrastruktur Berkelanjutan</v>
          </cell>
          <cell r="D21" t="str">
            <v>PROGRAM PENINGKATAN PRASARANA, SARANA DAN UTILITAS UMUM (PSU)</v>
          </cell>
          <cell r="K21" t="str">
            <v>Dinas Pekerjaan Umum, Penataan Ruang, Perumahan dan Kawasan Permukiman</v>
          </cell>
          <cell r="O21" t="str">
            <v>Batulayar</v>
          </cell>
          <cell r="Q21">
            <v>154937240</v>
          </cell>
        </row>
        <row r="22">
          <cell r="B22" t="str">
            <v>Infrastruktur Berkelanjutan</v>
          </cell>
          <cell r="D22" t="str">
            <v>PROGRAM PENINGKATAN PRASARANA, SARANA DAN UTILITAS UMUM (PSU)</v>
          </cell>
          <cell r="K22" t="str">
            <v>Dinas Pekerjaan Umum, Penataan Ruang, Perumahan dan Kawasan Permukiman</v>
          </cell>
          <cell r="O22" t="str">
            <v>Batulayar</v>
          </cell>
          <cell r="Q22">
            <v>41275000</v>
          </cell>
        </row>
        <row r="23">
          <cell r="B23" t="str">
            <v>Infrastruktur Berkelanjutan</v>
          </cell>
          <cell r="D23" t="str">
            <v>PROGRAM PENINGKATAN PRASARANA, SARANA DAN UTILITAS UMUM (PSU)</v>
          </cell>
          <cell r="K23" t="str">
            <v>Dinas Pekerjaan Umum, Penataan Ruang, Perumahan dan Kawasan Permukiman</v>
          </cell>
          <cell r="O23" t="str">
            <v>Batulayar</v>
          </cell>
          <cell r="Q23">
            <v>240000000</v>
          </cell>
        </row>
        <row r="24">
          <cell r="B24" t="str">
            <v>Infrastruktur Berkelanjutan</v>
          </cell>
          <cell r="D24" t="str">
            <v>PROGRAM PENINGKATAN PRASARANA, SARANA DAN UTILITAS UMUM (PSU)</v>
          </cell>
          <cell r="K24" t="str">
            <v>Dinas Pekerjaan Umum, Penataan Ruang, Perumahan dan Kawasan Permukiman</v>
          </cell>
          <cell r="O24" t="str">
            <v>Batulayar</v>
          </cell>
          <cell r="Q24">
            <v>100000000</v>
          </cell>
        </row>
        <row r="25">
          <cell r="B25" t="str">
            <v>Infrastruktur Berkelanjutan</v>
          </cell>
          <cell r="D25" t="str">
            <v>PROGRAM PENINGKATAN PRASARANA, SARANA DAN UTILITAS UMUM (PSU)</v>
          </cell>
          <cell r="K25" t="str">
            <v>Dinas Pekerjaan Umum, Penataan Ruang, Perumahan dan Kawasan Permukiman</v>
          </cell>
          <cell r="O25" t="str">
            <v>Batulayar</v>
          </cell>
          <cell r="Q25">
            <v>260587760</v>
          </cell>
        </row>
        <row r="26">
          <cell r="B26" t="str">
            <v>Infrastruktur Berkelanjutan</v>
          </cell>
          <cell r="D26" t="str">
            <v>PROGRAM PENINGKATAN PRASARANA, SARANA DAN UTILITAS UMUM (PSU)</v>
          </cell>
          <cell r="K26" t="str">
            <v>Dinas Pekerjaan Umum, Penataan Ruang, Perumahan dan Kawasan Permukiman</v>
          </cell>
          <cell r="O26" t="str">
            <v>BATULAYAR</v>
          </cell>
          <cell r="Q26">
            <v>203200000</v>
          </cell>
        </row>
        <row r="27">
          <cell r="B27" t="str">
            <v>Transformasi dan Kemandirian Ekonomi</v>
          </cell>
          <cell r="D27" t="str">
            <v>PROGRAM PENINGKATAN SARANA DISTRIBUSI PERDAGANGAN</v>
          </cell>
          <cell r="K27" t="str">
            <v>Dinas Perdagangan</v>
          </cell>
          <cell r="O27" t="str">
            <v>Batulayar</v>
          </cell>
          <cell r="Q27">
            <v>50760000</v>
          </cell>
        </row>
        <row r="28">
          <cell r="B28" t="str">
            <v>Infrastruktur Berkelanjutan</v>
          </cell>
          <cell r="D28" t="str">
            <v>PROGRAM PENGELOLAAN PERSAMPAHAN</v>
          </cell>
          <cell r="K28" t="str">
            <v>Dinas Lingkungan Hidup</v>
          </cell>
          <cell r="O28" t="str">
            <v>Batulayar</v>
          </cell>
          <cell r="Q28">
            <v>33600000</v>
          </cell>
        </row>
        <row r="29">
          <cell r="B29" t="str">
            <v>Infrastruktur Berkelanjutan</v>
          </cell>
          <cell r="D29" t="str">
            <v>PROGRAM PENINGKATAN PRASARANA, SARANA DAN UTILITAS UMUM (PSU)</v>
          </cell>
          <cell r="K29" t="str">
            <v>Dinas Pekerjaan Umum, Penataan Ruang, Perumahan dan Kawasan Permukiman</v>
          </cell>
          <cell r="O29" t="str">
            <v>Batulayar</v>
          </cell>
          <cell r="Q29">
            <v>945880000</v>
          </cell>
        </row>
        <row r="30">
          <cell r="B30" t="str">
            <v>Transformasi dan Kemandirian Ekonomi</v>
          </cell>
          <cell r="D30" t="str">
            <v>PROGRAM PENINGKATAN SARANA DISTRIBUSI PERDAGANGAN</v>
          </cell>
          <cell r="K30" t="str">
            <v>Dinas Perdagangan</v>
          </cell>
          <cell r="O30" t="str">
            <v>Batulayar</v>
          </cell>
          <cell r="Q30">
            <v>203040000</v>
          </cell>
        </row>
        <row r="31">
          <cell r="B31" t="str">
            <v>Infrastruktur Berkelanjutan</v>
          </cell>
          <cell r="D31" t="str">
            <v>PROGRAM PENGELOLAAN SUMBER DAYA AIR (SDA)</v>
          </cell>
          <cell r="K31" t="str">
            <v>Dinas Pekerjaan Umum, Penataan Ruang, Perumahan dan Kawasan Permukiman</v>
          </cell>
          <cell r="O31" t="str">
            <v>Batulayar</v>
          </cell>
          <cell r="Q31">
            <v>100000000</v>
          </cell>
        </row>
        <row r="32">
          <cell r="B32" t="str">
            <v>Infrastruktur Berkelanjutan</v>
          </cell>
          <cell r="D32" t="str">
            <v>PROGRAM PENINGKATAN PRASARANA, SARANA DAN UTILITAS UMUM (PSU)</v>
          </cell>
          <cell r="K32" t="str">
            <v>Dinas Pekerjaan Umum, Penataan Ruang, Perumahan dan Kawasan Permukiman</v>
          </cell>
          <cell r="O32" t="str">
            <v>Batulayar</v>
          </cell>
          <cell r="Q32">
            <v>200000000</v>
          </cell>
        </row>
        <row r="33">
          <cell r="B33" t="str">
            <v>Infrastruktur Berkelanjutan</v>
          </cell>
          <cell r="D33" t="str">
            <v>PROGRAM PENINGKATAN PRASARANA, SARANA DAN UTILITAS UMUM (PSU)</v>
          </cell>
          <cell r="K33" t="str">
            <v>Dinas Pekerjaan Umum, Penataan Ruang, Perumahan dan Kawasan Permukiman</v>
          </cell>
          <cell r="O33" t="str">
            <v>Batulayar</v>
          </cell>
          <cell r="Q33">
            <v>96000000</v>
          </cell>
        </row>
        <row r="34">
          <cell r="B34" t="str">
            <v>Agrominapolitan</v>
          </cell>
          <cell r="D34" t="str">
            <v>Program Pengelolaan Perikanan Tangkap</v>
          </cell>
          <cell r="K34" t="str">
            <v>Dinas Kelautan, Perikanan, dan Ketahanan Pangan</v>
          </cell>
          <cell r="O34" t="str">
            <v>BATULAYAR</v>
          </cell>
          <cell r="Q34">
            <v>100000000</v>
          </cell>
        </row>
        <row r="35">
          <cell r="B35" t="str">
            <v>Infrastruktur Berkelanjutan</v>
          </cell>
          <cell r="D35" t="str">
            <v>PROGRAM PENINGKATAN PRASARANA, SARANA DAN UTILITAS UMUM (PSU)</v>
          </cell>
          <cell r="K35" t="str">
            <v>Dinas Pekerjaan Umum, Penataan Ruang, Perumahan dan Kawasan Permukiman</v>
          </cell>
          <cell r="O35" t="str">
            <v>Batulayar</v>
          </cell>
          <cell r="Q35">
            <v>264800000</v>
          </cell>
        </row>
        <row r="36">
          <cell r="B36" t="str">
            <v>Transformasi dan Kemandirian Ekonomi</v>
          </cell>
          <cell r="D36" t="str">
            <v>Program Pengelolaan Perikanan Tangkap</v>
          </cell>
          <cell r="K36" t="str">
            <v>Dinas Kelautan, Perikanan, dan Ketahanan Pangan</v>
          </cell>
          <cell r="O36" t="str">
            <v>Batulayar</v>
          </cell>
          <cell r="Q36">
            <v>40000000</v>
          </cell>
        </row>
        <row r="37">
          <cell r="B37" t="str">
            <v>Pembangunan SDM Unggul dan Berdaya Saing</v>
          </cell>
          <cell r="D37" t="str">
            <v>PROGRAM PENGELOLAAN PENDIDIKAN</v>
          </cell>
          <cell r="K37" t="str">
            <v>Dinas Pendidikan dan Kebudayaan</v>
          </cell>
          <cell r="O37" t="str">
            <v>Batulayar</v>
          </cell>
          <cell r="Q37">
            <v>37684000</v>
          </cell>
        </row>
        <row r="38">
          <cell r="B38" t="str">
            <v>Transformasi Tata Kelola</v>
          </cell>
          <cell r="D38" t="str">
            <v>PROGRAM PENINGKATAN KETENTERAMAN DAN KETERTIBAN UMUM</v>
          </cell>
          <cell r="K38" t="str">
            <v>Satuan Polisi Pamong Praja</v>
          </cell>
          <cell r="O38" t="str">
            <v>Batulayar</v>
          </cell>
          <cell r="Q38">
            <v>17466000</v>
          </cell>
        </row>
        <row r="39">
          <cell r="B39" t="str">
            <v>Transformasi Tata Kelola</v>
          </cell>
          <cell r="D39" t="str">
            <v>PROGRAM PENINGKATAN KETENTERAMAN DAN KETERTIBAN UMUM</v>
          </cell>
          <cell r="K39" t="str">
            <v>Satuan Polisi Pamong Praja</v>
          </cell>
          <cell r="O39" t="str">
            <v>Batulayar</v>
          </cell>
          <cell r="Q39">
            <v>17466000</v>
          </cell>
        </row>
        <row r="40">
          <cell r="B40" t="str">
            <v>Infrastruktur Berkelanjutan</v>
          </cell>
          <cell r="D40" t="str">
            <v>PROGRAM PENGELOLAAN PERSAMPAHAN</v>
          </cell>
          <cell r="K40" t="str">
            <v>Dinas Lingkungan Hidup</v>
          </cell>
          <cell r="O40" t="str">
            <v>Batulayar</v>
          </cell>
          <cell r="Q40">
            <v>50000000</v>
          </cell>
        </row>
        <row r="41">
          <cell r="B41" t="str">
            <v>Infrastruktur Berkelanjutan</v>
          </cell>
          <cell r="D41" t="str">
            <v>Program Penyelenggaraan Lalu Lintas dan Angkutan Jalan (LLAJ)</v>
          </cell>
          <cell r="K41" t="str">
            <v>Dinas Perhubungan</v>
          </cell>
          <cell r="O41" t="str">
            <v>Batulayar</v>
          </cell>
          <cell r="Q41">
            <v>83750000</v>
          </cell>
        </row>
        <row r="42">
          <cell r="B42" t="str">
            <v>Infrastruktur Berkelanjutan</v>
          </cell>
          <cell r="D42" t="str">
            <v>PROGRAM PENINGKATAN PRASARANA, SARANA DAN UTILITAS UMUM (PSU)</v>
          </cell>
          <cell r="K42" t="str">
            <v>Dinas Pekerjaan Umum, Penataan Ruang, Perumahan dan Kawasan Permukiman</v>
          </cell>
          <cell r="O42" t="str">
            <v>Batulayar</v>
          </cell>
          <cell r="Q42">
            <v>74000000</v>
          </cell>
        </row>
        <row r="43">
          <cell r="B43" t="str">
            <v>Infrastruktur Berkelanjutan</v>
          </cell>
          <cell r="D43" t="str">
            <v>PROGRAM PENINGKATAN PRASARANA, SARANA DAN UTILITAS UMUM (PSU)</v>
          </cell>
          <cell r="K43" t="str">
            <v>Dinas Pekerjaan Umum, Penataan Ruang, Perumahan dan Kawasan Permukiman</v>
          </cell>
          <cell r="O43" t="str">
            <v>Batulayar</v>
          </cell>
          <cell r="Q43">
            <v>63500000</v>
          </cell>
        </row>
        <row r="44">
          <cell r="B44" t="str">
            <v>Infrastruktur Berkelanjutan</v>
          </cell>
          <cell r="D44" t="str">
            <v>PROGRAM PENGELOLAAN SUMBER DAYA AIR (SDA)</v>
          </cell>
          <cell r="K44" t="str">
            <v>Dinas Pekerjaan Umum, Penataan Ruang, Perumahan dan Kawasan Permukiman</v>
          </cell>
          <cell r="O44" t="str">
            <v>Batulayar</v>
          </cell>
          <cell r="Q44">
            <v>214214000</v>
          </cell>
        </row>
        <row r="45">
          <cell r="B45" t="str">
            <v>Infrastruktur Berkelanjutan</v>
          </cell>
          <cell r="D45" t="str">
            <v>PROGRAM PENINGKATAN PRASARANA, SARANA DAN UTILITAS UMUM (PSU)</v>
          </cell>
          <cell r="K45" t="str">
            <v>Dinas Pekerjaan Umum, Penataan Ruang, Perumahan dan Kawasan Permukiman</v>
          </cell>
          <cell r="O45" t="str">
            <v>Batulayar</v>
          </cell>
          <cell r="Q45">
            <v>74000000</v>
          </cell>
        </row>
        <row r="46">
          <cell r="B46" t="str">
            <v>Infrastruktur Berkelanjutan</v>
          </cell>
          <cell r="D46" t="str">
            <v>PROGRAM PENINGKATAN PRASARANA, SARANA DAN UTILITAS UMUM (PSU)</v>
          </cell>
          <cell r="K46" t="str">
            <v>Dinas Pekerjaan Umum, Penataan Ruang, Perumahan dan Kawasan Permukiman</v>
          </cell>
          <cell r="O46" t="str">
            <v>Batulayar</v>
          </cell>
          <cell r="Q46">
            <v>63500000</v>
          </cell>
        </row>
        <row r="47">
          <cell r="B47" t="str">
            <v>Infrastruktur Berkelanjutan</v>
          </cell>
          <cell r="D47" t="str">
            <v>PROGRAM PENINGKATAN PRASARANA, SARANA DAN UTILITAS UMUM (PSU)</v>
          </cell>
          <cell r="K47" t="str">
            <v>Dinas Pekerjaan Umum, Penataan Ruang, Perumahan dan Kawasan Permukiman</v>
          </cell>
          <cell r="O47" t="str">
            <v>Batulayar</v>
          </cell>
          <cell r="Q47">
            <v>63500000</v>
          </cell>
        </row>
        <row r="48">
          <cell r="B48" t="str">
            <v>Infrastruktur Berkelanjutan</v>
          </cell>
          <cell r="D48" t="str">
            <v>PROGRAM PENGELOLAAN DAN PENGEMBANGAN SISTEM DRAINASE</v>
          </cell>
          <cell r="K48" t="str">
            <v>Dinas Pekerjaan Umum, Penataan Ruang, Perumahan dan Kawasan Permukiman</v>
          </cell>
          <cell r="O48" t="str">
            <v>Batulayar</v>
          </cell>
          <cell r="Q48">
            <v>166920000</v>
          </cell>
        </row>
        <row r="49">
          <cell r="B49" t="str">
            <v>Infrastruktur Berkelanjutan</v>
          </cell>
          <cell r="D49" t="str">
            <v>PROGRAM PENINGKATAN PRASARANA, SARANA DAN UTILITAS UMUM (PSU)</v>
          </cell>
          <cell r="K49" t="str">
            <v>Dinas Pekerjaan Umum, Penataan Ruang, Perumahan dan Kawasan Permukiman</v>
          </cell>
          <cell r="O49" t="str">
            <v>Batulayar</v>
          </cell>
          <cell r="Q49">
            <v>74000000</v>
          </cell>
        </row>
        <row r="50">
          <cell r="B50" t="str">
            <v>Transformasi dan Kemandirian Ekonomi</v>
          </cell>
          <cell r="D50" t="str">
            <v>PROGRAM PENINGKATAN SARANA DISTRIBUSI PERDAGANGAN</v>
          </cell>
          <cell r="K50" t="str">
            <v>Dinas Perdagangan</v>
          </cell>
          <cell r="O50" t="str">
            <v>Batulayar</v>
          </cell>
          <cell r="Q50">
            <v>20000000</v>
          </cell>
        </row>
        <row r="51">
          <cell r="B51" t="str">
            <v>Ketahanan Sosial</v>
          </cell>
          <cell r="D51" t="str">
            <v>PROGRAM REHABILITASI SOSIAL</v>
          </cell>
          <cell r="K51" t="str">
            <v>Dinas Sosial, Pemberdayaan Perempuan, dan Perlindungan Anak</v>
          </cell>
          <cell r="O51" t="str">
            <v>Batulayar</v>
          </cell>
          <cell r="Q51">
            <v>17460000</v>
          </cell>
        </row>
        <row r="52">
          <cell r="B52" t="str">
            <v>Infrastruktur Berkelanjutan</v>
          </cell>
          <cell r="D52" t="str">
            <v>PROGRAM PENINGKATAN PRASARANA, SARANA DAN UTILITAS UMUM (PSU)</v>
          </cell>
          <cell r="K52" t="str">
            <v>Dinas Pekerjaan Umum, Penataan Ruang, Perumahan dan Kawasan Permukiman</v>
          </cell>
          <cell r="O52" t="str">
            <v>Batulayar</v>
          </cell>
          <cell r="Q52">
            <v>118400000</v>
          </cell>
        </row>
        <row r="53">
          <cell r="B53" t="str">
            <v>Transformasi Tata Kelola</v>
          </cell>
          <cell r="D53" t="str">
            <v>PROGRAM PENINGKATAN KETENTERAMAN DAN KETERTIBAN UMUM</v>
          </cell>
          <cell r="K53" t="str">
            <v>Satuan Polisi Pamong Praja</v>
          </cell>
          <cell r="O53" t="str">
            <v>Batulayar</v>
          </cell>
          <cell r="Q53">
            <v>8733000</v>
          </cell>
        </row>
        <row r="54">
          <cell r="B54" t="str">
            <v>Infrastruktur Berkelanjutan</v>
          </cell>
          <cell r="D54" t="str">
            <v>PROGRAM PENGELOLAAN PERSAMPAHAN</v>
          </cell>
          <cell r="K54" t="str">
            <v>Dinas Lingkungan Hidup</v>
          </cell>
          <cell r="O54" t="str">
            <v>Batulayar</v>
          </cell>
          <cell r="Q54">
            <v>50000000</v>
          </cell>
        </row>
        <row r="55">
          <cell r="B55" t="str">
            <v>Agrominapolitan</v>
          </cell>
          <cell r="D55" t="str">
            <v>PROGRAM PENYEDIAAN DAN PENGEMBANGAN SARANA PERTANIAN</v>
          </cell>
          <cell r="K55" t="str">
            <v>Dinas Pertanian</v>
          </cell>
          <cell r="O55" t="str">
            <v>Batulayar</v>
          </cell>
          <cell r="Q55">
            <v>95000000</v>
          </cell>
        </row>
        <row r="56">
          <cell r="B56" t="str">
            <v>Agrominapolitan</v>
          </cell>
          <cell r="D56" t="str">
            <v>PROGRAM PENYEDIAAN DAN PENGEMBANGAN SARANA PERTANIAN</v>
          </cell>
          <cell r="K56" t="str">
            <v>Dinas Pertanian</v>
          </cell>
          <cell r="O56" t="str">
            <v>Batulayar</v>
          </cell>
          <cell r="Q56">
            <v>50000000</v>
          </cell>
        </row>
        <row r="57">
          <cell r="B57" t="str">
            <v>Transformasi dan Kemandirian Ekonomi</v>
          </cell>
          <cell r="D57" t="str">
            <v>PROGRAM PENGEMBANGAN UMKM</v>
          </cell>
          <cell r="K57" t="str">
            <v>Dinas Perindustrian, Koperasi, Usaha Kecil dan Menengah, dan Tenaga Kerja</v>
          </cell>
          <cell r="O57" t="str">
            <v>Batulayar</v>
          </cell>
          <cell r="Q57">
            <v>45000000</v>
          </cell>
        </row>
        <row r="58">
          <cell r="B58" t="str">
            <v>Infrastruktur Berkelanjutan</v>
          </cell>
          <cell r="D58" t="str">
            <v>PROGRAM KAWASAN PERMUKIMAN</v>
          </cell>
          <cell r="K58" t="str">
            <v>Dinas Pekerjaan Umum, Penataan Ruang, Perumahan dan Kawasan Permukiman</v>
          </cell>
          <cell r="O58" t="str">
            <v>Batulayar</v>
          </cell>
          <cell r="Q58">
            <v>25000000</v>
          </cell>
        </row>
        <row r="59">
          <cell r="B59" t="str">
            <v>Infrastruktur Berkelanjutan</v>
          </cell>
          <cell r="D59" t="str">
            <v>PROGRAM PENINGKATAN PRASARANA, SARANA DAN UTILITAS UMUM (PSU)</v>
          </cell>
          <cell r="K59" t="str">
            <v>Dinas Pekerjaan Umum, Penataan Ruang, Perumahan dan Kawasan Permukiman</v>
          </cell>
          <cell r="O59" t="str">
            <v>Batulayar</v>
          </cell>
          <cell r="Q59">
            <v>99000000</v>
          </cell>
        </row>
        <row r="60">
          <cell r="B60" t="str">
            <v>Infrastruktur Berkelanjutan</v>
          </cell>
          <cell r="D60" t="str">
            <v>PROGRAM PENINGKATAN PRASARANA, SARANA DAN UTILITAS UMUM (PSU)</v>
          </cell>
          <cell r="K60" t="str">
            <v>Dinas Pekerjaan Umum, Penataan Ruang, Perumahan dan Kawasan Permukiman</v>
          </cell>
          <cell r="O60" t="str">
            <v>Batulayar</v>
          </cell>
          <cell r="Q60">
            <v>99000000</v>
          </cell>
        </row>
        <row r="61">
          <cell r="B61" t="str">
            <v>Infrastruktur Berkelanjutan</v>
          </cell>
          <cell r="D61" t="str">
            <v>PROGRAM PENINGKATAN PRASARANA, SARANA DAN UTILITAS UMUM (PSU)</v>
          </cell>
          <cell r="K61" t="str">
            <v>Dinas Pekerjaan Umum, Penataan Ruang, Perumahan dan Kawasan Permukiman</v>
          </cell>
          <cell r="O61" t="str">
            <v>Batulayar</v>
          </cell>
          <cell r="Q61">
            <v>118800000</v>
          </cell>
        </row>
        <row r="62">
          <cell r="B62" t="str">
            <v>Infrastruktur Berkelanjutan</v>
          </cell>
          <cell r="D62" t="str">
            <v>PROGRAM PENINGKATAN PRASARANA, SARANA DAN UTILITAS UMUM (PSU)</v>
          </cell>
          <cell r="K62" t="str">
            <v>Dinas Pekerjaan Umum, Penataan Ruang, Perumahan dan Kawasan Permukiman</v>
          </cell>
          <cell r="O62" t="str">
            <v>Batulayar</v>
          </cell>
          <cell r="Q62">
            <v>133200000</v>
          </cell>
        </row>
        <row r="63">
          <cell r="B63" t="str">
            <v>Infrastruktur Berkelanjutan</v>
          </cell>
          <cell r="D63" t="str">
            <v>PROGRAM PENINGKATAN PRASARANA, SARANA DAN UTILITAS UMUM (PSU)</v>
          </cell>
          <cell r="K63" t="str">
            <v>Dinas Pekerjaan Umum, Penataan Ruang, Perumahan dan Kawasan Permukiman</v>
          </cell>
          <cell r="O63" t="str">
            <v>Batulayar</v>
          </cell>
          <cell r="Q63">
            <v>118400000</v>
          </cell>
        </row>
        <row r="64">
          <cell r="B64" t="str">
            <v>Infrastruktur Berkelanjutan</v>
          </cell>
          <cell r="D64" t="str">
            <v>PROGRAM PENGELOLAAN DAN PENGEMBANGAN SISTEM DRAINASE</v>
          </cell>
          <cell r="K64" t="str">
            <v>Dinas Pekerjaan Umum, Penataan Ruang, Perumahan dan Kawasan Permukiman</v>
          </cell>
          <cell r="O64" t="str">
            <v>Batulayar</v>
          </cell>
          <cell r="Q64">
            <v>195500000</v>
          </cell>
        </row>
        <row r="65">
          <cell r="B65" t="str">
            <v>Infrastruktur Berkelanjutan</v>
          </cell>
          <cell r="D65" t="str">
            <v>PROGRAM PENINGKATAN PRASARANA, SARANA DAN UTILITAS UMUM (PSU)</v>
          </cell>
          <cell r="K65" t="str">
            <v>Dinas Pekerjaan Umum, Penataan Ruang, Perumahan dan Kawasan Permukiman</v>
          </cell>
          <cell r="O65" t="str">
            <v>Batulayar</v>
          </cell>
          <cell r="Q65">
            <v>158400000</v>
          </cell>
        </row>
        <row r="66">
          <cell r="B66" t="str">
            <v>Infrastruktur Berkelanjutan</v>
          </cell>
          <cell r="D66" t="str">
            <v>PROGRAM PENINGKATAN PRASARANA, SARANA DAN UTILITAS UMUM (PSU)</v>
          </cell>
          <cell r="K66" t="str">
            <v>Dinas Pekerjaan Umum, Penataan Ruang, Perumahan dan Kawasan Permukiman</v>
          </cell>
          <cell r="O66" t="str">
            <v>Batulayar</v>
          </cell>
          <cell r="Q66">
            <v>198000000</v>
          </cell>
        </row>
        <row r="67">
          <cell r="B67" t="str">
            <v>Infrastruktur Berkelanjutan</v>
          </cell>
          <cell r="D67" t="str">
            <v>PROGRAM PENINGKATAN PRASARANA, SARANA DAN UTILITAS UMUM (PSU)</v>
          </cell>
          <cell r="K67" t="str">
            <v>Dinas Pekerjaan Umum, Penataan Ruang, Perumahan dan Kawasan Permukiman</v>
          </cell>
          <cell r="O67" t="str">
            <v>Batulayar</v>
          </cell>
          <cell r="Q67">
            <v>127000000</v>
          </cell>
        </row>
        <row r="68">
          <cell r="B68" t="str">
            <v>Infrastruktur Berkelanjutan</v>
          </cell>
          <cell r="D68" t="str">
            <v>PROGRAM KAWASAN PERMUKIMAN</v>
          </cell>
          <cell r="K68" t="str">
            <v>Dinas Pekerjaan Umum, Penataan Ruang, Perumahan dan Kawasan Permukiman</v>
          </cell>
          <cell r="O68" t="str">
            <v>Batulayar</v>
          </cell>
          <cell r="Q68">
            <v>25000000</v>
          </cell>
        </row>
        <row r="69">
          <cell r="B69" t="str">
            <v>Transformasi dan Kemandirian Ekonomi</v>
          </cell>
          <cell r="D69" t="str">
            <v>PROGRAM PENGEMBANGAN UMKM</v>
          </cell>
          <cell r="K69" t="str">
            <v>Dinas Perindustrian, Koperasi, Usaha Kecil dan Menengah, dan Tenaga Kerja</v>
          </cell>
          <cell r="O69" t="str">
            <v>Batulayar</v>
          </cell>
          <cell r="Q69">
            <v>8000000</v>
          </cell>
        </row>
        <row r="70">
          <cell r="B70" t="str">
            <v>Transformasi dan Kemandirian Ekonomi</v>
          </cell>
          <cell r="D70" t="str">
            <v>PROGRAM PENGEMBANGAN UMKM</v>
          </cell>
          <cell r="K70" t="str">
            <v>Dinas Perindustrian, Koperasi, Usaha Kecil dan Menengah, dan Tenaga Kerja</v>
          </cell>
          <cell r="O70" t="str">
            <v>Batulayar</v>
          </cell>
          <cell r="Q70">
            <v>12000000</v>
          </cell>
        </row>
        <row r="71">
          <cell r="B71" t="str">
            <v>Transformasi dan Kemandirian Ekonomi</v>
          </cell>
          <cell r="D71" t="str">
            <v>PROGRAM PENGEMBANGAN UMKM</v>
          </cell>
          <cell r="K71" t="str">
            <v>Dinas Perindustrian, Koperasi, Usaha Kecil dan Menengah, dan Tenaga Kerja</v>
          </cell>
          <cell r="O71" t="str">
            <v>Batulayar</v>
          </cell>
          <cell r="Q71">
            <v>8000000</v>
          </cell>
        </row>
        <row r="72">
          <cell r="B72" t="str">
            <v>Transformasi dan Kemandirian Ekonomi</v>
          </cell>
          <cell r="D72" t="str">
            <v>PROGRAM PENGEMBANGAN UMKM</v>
          </cell>
          <cell r="K72" t="str">
            <v>Dinas Perindustrian, Koperasi, Usaha Kecil dan Menengah, dan Tenaga Kerja</v>
          </cell>
          <cell r="O72" t="str">
            <v>Batulayar</v>
          </cell>
          <cell r="Q72">
            <v>8000000</v>
          </cell>
        </row>
        <row r="73">
          <cell r="B73" t="str">
            <v>Infrastruktur Berkelanjutan</v>
          </cell>
          <cell r="D73" t="str">
            <v>PROGRAM PENINGKATAN PRASARANA, SARANA DAN UTILITAS UMUM (PSU)</v>
          </cell>
          <cell r="K73" t="str">
            <v>Dinas Pekerjaan Umum, Penataan Ruang, Perumahan dan Kawasan Permukiman</v>
          </cell>
          <cell r="O73" t="str">
            <v>Batulayar</v>
          </cell>
          <cell r="Q73">
            <v>151960480</v>
          </cell>
        </row>
        <row r="74">
          <cell r="B74" t="str">
            <v>Infrastruktur Berkelanjutan</v>
          </cell>
          <cell r="D74" t="str">
            <v>PROGRAM PENINGKATAN PRASARANA, SARANA DAN UTILITAS UMUM (PSU)</v>
          </cell>
          <cell r="K74" t="str">
            <v>Dinas Pekerjaan Umum, Penataan Ruang, Perumahan dan Kawasan Permukiman</v>
          </cell>
          <cell r="O74" t="str">
            <v>Batulayar</v>
          </cell>
          <cell r="Q74">
            <v>524817920</v>
          </cell>
        </row>
        <row r="75">
          <cell r="B75" t="str">
            <v>Infrastruktur Berkelanjutan</v>
          </cell>
          <cell r="D75" t="str">
            <v>PROGRAM PENINGKATAN PRASARANA, SARANA DAN UTILITAS UMUM (PSU)</v>
          </cell>
          <cell r="K75" t="str">
            <v>Dinas Pekerjaan Umum, Penataan Ruang, Perumahan dan Kawasan Permukiman</v>
          </cell>
          <cell r="O75" t="str">
            <v>Batulayar</v>
          </cell>
          <cell r="Q75">
            <v>101600000</v>
          </cell>
        </row>
        <row r="76">
          <cell r="B76" t="str">
            <v>Infrastruktur Berkelanjutan</v>
          </cell>
          <cell r="D76" t="str">
            <v>PROGRAM PENINGKATAN PRASARANA, SARANA DAN UTILITAS UMUM (PSU)</v>
          </cell>
          <cell r="K76" t="str">
            <v>Dinas Pekerjaan Umum, Penataan Ruang, Perumahan dan Kawasan Permukiman</v>
          </cell>
          <cell r="O76" t="str">
            <v>Batulayar</v>
          </cell>
          <cell r="Q76">
            <v>98348960</v>
          </cell>
        </row>
        <row r="77">
          <cell r="B77" t="str">
            <v>Infrastruktur Berkelanjutan</v>
          </cell>
          <cell r="D77" t="str">
            <v>PROGRAM PENINGKATAN PRASARANA, SARANA DAN UTILITAS UMUM (PSU)</v>
          </cell>
          <cell r="K77" t="str">
            <v>Dinas Pekerjaan Umum, Penataan Ruang, Perumahan dan Kawasan Permukiman</v>
          </cell>
          <cell r="O77" t="str">
            <v>Batulayar</v>
          </cell>
          <cell r="Q77">
            <v>87272640.000000015</v>
          </cell>
        </row>
        <row r="78">
          <cell r="B78" t="str">
            <v>Agrominapolitan</v>
          </cell>
          <cell r="D78" t="str">
            <v>PROGRAM PENYEDIAAN DAN PENGEMBANGAN SARANA PERTANIAN</v>
          </cell>
          <cell r="K78" t="str">
            <v>Dinas Pertanian</v>
          </cell>
          <cell r="O78" t="str">
            <v>Batulayar</v>
          </cell>
          <cell r="Q78">
            <v>100000000</v>
          </cell>
        </row>
        <row r="79">
          <cell r="B79" t="str">
            <v>Infrastruktur Berkelanjutan</v>
          </cell>
          <cell r="D79" t="str">
            <v>PROGRAM PENYELENGGARAAN JALAN</v>
          </cell>
          <cell r="K79" t="str">
            <v>Dinas Pekerjaan Umum, Penataan Ruang, Perumahan dan Kawasan Permukiman</v>
          </cell>
          <cell r="O79" t="str">
            <v>Batulayar</v>
          </cell>
          <cell r="Q79">
            <v>172200000</v>
          </cell>
        </row>
        <row r="80">
          <cell r="B80" t="str">
            <v>Infrastruktur Berkelanjutan</v>
          </cell>
          <cell r="D80" t="str">
            <v>PROGRAM PENGELOLAAN DAN PENGEMBANGAN SISTEM DRAINASE</v>
          </cell>
          <cell r="K80" t="str">
            <v>Dinas Pekerjaan Umum, Penataan Ruang, Perumahan dan Kawasan Permukiman</v>
          </cell>
          <cell r="O80" t="str">
            <v>Batulayar</v>
          </cell>
          <cell r="Q80">
            <v>164138000</v>
          </cell>
        </row>
        <row r="81">
          <cell r="B81" t="str">
            <v>Infrastruktur Berkelanjutan</v>
          </cell>
          <cell r="D81" t="str">
            <v>PROGRAM PENYELENGGARAAN JALAN</v>
          </cell>
          <cell r="K81" t="str">
            <v>Dinas Pekerjaan Umum, Penataan Ruang, Perumahan dan Kawasan Permukiman</v>
          </cell>
          <cell r="O81" t="str">
            <v>Batulayar</v>
          </cell>
          <cell r="Q81">
            <v>118530000</v>
          </cell>
        </row>
        <row r="82">
          <cell r="B82" t="str">
            <v>Infrastruktur Berkelanjutan</v>
          </cell>
          <cell r="D82" t="str">
            <v>PROGRAM PENINGKATAN PRASARANA, SARANA DAN UTILITAS UMUM (PSU)</v>
          </cell>
          <cell r="K82" t="str">
            <v>Dinas Pekerjaan Umum, Penataan Ruang, Perumahan dan Kawasan Permukiman</v>
          </cell>
          <cell r="O82" t="str">
            <v>Batulayar</v>
          </cell>
          <cell r="Q82">
            <v>60000000</v>
          </cell>
        </row>
        <row r="83">
          <cell r="B83" t="str">
            <v>Infrastruktur Berkelanjutan</v>
          </cell>
          <cell r="D83" t="str">
            <v>PROGRAM PENINGKATAN PRASARANA, SARANA DAN UTILITAS UMUM (PSU)</v>
          </cell>
          <cell r="K83" t="str">
            <v>Dinas Pekerjaan Umum, Penataan Ruang, Perumahan dan Kawasan Permukiman</v>
          </cell>
          <cell r="O83" t="str">
            <v>Batulayar</v>
          </cell>
          <cell r="Q83">
            <v>76200000</v>
          </cell>
        </row>
        <row r="84">
          <cell r="B84" t="str">
            <v>Infrastruktur Berkelanjutan</v>
          </cell>
          <cell r="D84" t="str">
            <v>PROGRAM PENYELENGGARAAN JALAN</v>
          </cell>
          <cell r="K84" t="str">
            <v>Dinas Pekerjaan Umum, Penataan Ruang, Perumahan dan Kawasan Permukiman</v>
          </cell>
          <cell r="O84" t="str">
            <v>Batulayar</v>
          </cell>
          <cell r="Q84">
            <v>154980000</v>
          </cell>
        </row>
        <row r="85">
          <cell r="B85" t="str">
            <v>Infrastruktur Berkelanjutan</v>
          </cell>
          <cell r="D85" t="str">
            <v>PROGRAM PENGELOLAAN DAN PENGEMBANGAN SISTEM DRAINASE</v>
          </cell>
          <cell r="K85" t="str">
            <v>Dinas Pekerjaan Umum, Penataan Ruang, Perumahan dan Kawasan Permukiman</v>
          </cell>
          <cell r="O85" t="str">
            <v>Batulayar</v>
          </cell>
          <cell r="Q85">
            <v>130293880</v>
          </cell>
        </row>
        <row r="86">
          <cell r="B86" t="str">
            <v>Infrastruktur Berkelanjutan</v>
          </cell>
          <cell r="D86" t="str">
            <v>PROGRAM PENYELENGGARAAN JALAN</v>
          </cell>
          <cell r="K86" t="str">
            <v>Dinas Pekerjaan Umum, Penataan Ruang, Perumahan dan Kawasan Permukiman</v>
          </cell>
          <cell r="O86" t="str">
            <v>Batulayar</v>
          </cell>
          <cell r="Q86">
            <v>278388120</v>
          </cell>
        </row>
        <row r="87">
          <cell r="B87" t="str">
            <v>KECAMATAN GUNUNGSARI</v>
          </cell>
        </row>
        <row r="88">
          <cell r="B88" t="str">
            <v>Transformasi Tata Kelola</v>
          </cell>
          <cell r="D88" t="str">
            <v>PROGRAM PEMERINTAHAN DAN KESEJAHTERAAN RAKYAT</v>
          </cell>
          <cell r="K88" t="str">
            <v>Sekretariat Daerah</v>
          </cell>
          <cell r="O88" t="str">
            <v>Gunung Sari</v>
          </cell>
          <cell r="Q88">
            <v>100000000</v>
          </cell>
        </row>
        <row r="89">
          <cell r="B89" t="str">
            <v>Infrastruktur Berkelanjutan</v>
          </cell>
          <cell r="D89" t="str">
            <v>PROGRAM PENGELOLAAN PERSAMPAHAN</v>
          </cell>
          <cell r="K89" t="str">
            <v>Dinas Lingkungan Hidup</v>
          </cell>
          <cell r="O89" t="str">
            <v>GUNUNG SARI</v>
          </cell>
          <cell r="Q89">
            <v>50000000</v>
          </cell>
        </row>
        <row r="90">
          <cell r="B90" t="str">
            <v>Infrastruktur Berkelanjutan</v>
          </cell>
          <cell r="D90" t="str">
            <v>PROGRAM PENINGKATAN PRASARANA, SARANA DAN UTILITAS UMUM (PSU)</v>
          </cell>
          <cell r="K90" t="str">
            <v>Dinas Pekerjaan Umum, Penataan Ruang, Perumahan dan Kawasan Permukiman</v>
          </cell>
          <cell r="O90" t="str">
            <v>GUNUNG SARI</v>
          </cell>
          <cell r="Q90">
            <v>101600000</v>
          </cell>
        </row>
        <row r="91">
          <cell r="B91" t="str">
            <v>Infrastruktur Berkelanjutan</v>
          </cell>
          <cell r="D91" t="str">
            <v>PROGRAM PENGELOLAAN PERSAMPAHAN</v>
          </cell>
          <cell r="K91" t="str">
            <v>Dinas Lingkungan Hidup</v>
          </cell>
          <cell r="O91" t="str">
            <v>GUNUNG SARI</v>
          </cell>
          <cell r="Q91">
            <v>50000000</v>
          </cell>
        </row>
        <row r="92">
          <cell r="B92" t="str">
            <v>Infrastruktur Berkelanjutan</v>
          </cell>
          <cell r="D92" t="str">
            <v>Program Penyelenggaraan Lalu Lintas dan Angkutan Jalan (LLAJ)</v>
          </cell>
          <cell r="K92" t="str">
            <v>Dinas Perhubungan</v>
          </cell>
          <cell r="O92" t="str">
            <v>Gunung Sari</v>
          </cell>
          <cell r="Q92">
            <v>50000000</v>
          </cell>
        </row>
        <row r="93">
          <cell r="B93" t="str">
            <v>Infrastruktur Berkelanjutan</v>
          </cell>
          <cell r="D93" t="str">
            <v>PROGRAM PENINGKATAN PRASARANA, SARANA DAN UTILITAS UMUM (PSU)</v>
          </cell>
          <cell r="K93" t="str">
            <v>Dinas Pekerjaan Umum, Penataan Ruang, Perumahan dan Kawasan Permukiman</v>
          </cell>
          <cell r="O93" t="str">
            <v>GUNUNG SARI</v>
          </cell>
          <cell r="Q93">
            <v>102960000</v>
          </cell>
        </row>
        <row r="94">
          <cell r="B94" t="str">
            <v>Infrastruktur Berkelanjutan</v>
          </cell>
          <cell r="D94" t="str">
            <v>PROGRAM PENINGKATAN PRASARANA, SARANA DAN UTILITAS UMUM (PSU)</v>
          </cell>
          <cell r="K94" t="str">
            <v>Dinas Pekerjaan Umum, Penataan Ruang, Perumahan dan Kawasan Permukiman</v>
          </cell>
          <cell r="O94" t="str">
            <v>GUNUNG SARI</v>
          </cell>
          <cell r="Q94">
            <v>102960000</v>
          </cell>
        </row>
        <row r="95">
          <cell r="B95" t="str">
            <v>Infrastruktur Berkelanjutan</v>
          </cell>
          <cell r="D95" t="str">
            <v>PROGRAM PENINGKATAN PRASARANA, SARANA DAN UTILITAS UMUM (PSU)</v>
          </cell>
          <cell r="K95" t="str">
            <v>Dinas Pekerjaan Umum, Penataan Ruang, Perumahan dan Kawasan Permukiman</v>
          </cell>
          <cell r="O95" t="str">
            <v>GUNUNG SARI</v>
          </cell>
          <cell r="Q95">
            <v>59670000</v>
          </cell>
        </row>
        <row r="96">
          <cell r="B96" t="str">
            <v>Infrastruktur Berkelanjutan</v>
          </cell>
          <cell r="D96" t="str">
            <v>PROGRAM PENINGKATAN PRASARANA, SARANA DAN UTILITAS UMUM (PSU)</v>
          </cell>
          <cell r="K96" t="str">
            <v>Dinas Pekerjaan Umum, Penataan Ruang, Perumahan dan Kawasan Permukiman</v>
          </cell>
          <cell r="O96" t="str">
            <v>GUNUNG SARI</v>
          </cell>
          <cell r="Q96">
            <v>131147539.99999999</v>
          </cell>
        </row>
        <row r="97">
          <cell r="B97" t="str">
            <v>Infrastruktur Berkelanjutan</v>
          </cell>
          <cell r="D97" t="str">
            <v>PROGRAM PENGELOLAAN DAN PENGEMBANGAN SISTEM DRAINASE</v>
          </cell>
          <cell r="K97" t="str">
            <v>Dinas Pekerjaan Umum, Penataan Ruang, Perumahan dan Kawasan Permukiman</v>
          </cell>
          <cell r="O97" t="str">
            <v>GUNUNG SARI</v>
          </cell>
          <cell r="Q97">
            <v>139100000</v>
          </cell>
        </row>
        <row r="98">
          <cell r="B98" t="str">
            <v>Infrastruktur Berkelanjutan</v>
          </cell>
          <cell r="D98" t="str">
            <v>PROGRAM PENGELOLAAN DAN PENGEMBANGAN SISTEM DRAINASE</v>
          </cell>
          <cell r="K98" t="str">
            <v>Dinas Pekerjaan Umum, Penataan Ruang, Perumahan dan Kawasan Permukiman</v>
          </cell>
          <cell r="O98" t="str">
            <v>GUNUNG SARI</v>
          </cell>
          <cell r="Q98">
            <v>139100000</v>
          </cell>
        </row>
        <row r="99">
          <cell r="B99" t="str">
            <v>Agrominapolitan</v>
          </cell>
          <cell r="D99" t="str">
            <v>PROGRAM PENINGKATAN DIVERSIFIKASI DAN KETAHANAN PANGAN MASYARAKAT</v>
          </cell>
          <cell r="K99" t="str">
            <v>Dinas Kelautan, Perikanan, dan Ketahanan Pangan</v>
          </cell>
          <cell r="O99" t="str">
            <v>Gunung Sari</v>
          </cell>
          <cell r="Q99">
            <v>13000000</v>
          </cell>
        </row>
        <row r="100">
          <cell r="B100" t="str">
            <v>Agrominapolitan</v>
          </cell>
          <cell r="D100" t="str">
            <v>PROGRAM PENINGKATAN DIVERSIFIKASI DAN KETAHANAN PANGAN MASYARAKAT</v>
          </cell>
          <cell r="K100" t="str">
            <v>Dinas Kelautan, Perikanan, dan Ketahanan Pangan</v>
          </cell>
          <cell r="O100" t="str">
            <v>Gunung Sari</v>
          </cell>
          <cell r="Q100">
            <v>115000000</v>
          </cell>
        </row>
        <row r="101">
          <cell r="B101" t="str">
            <v>Transformasi Tata Kelola</v>
          </cell>
          <cell r="D101" t="str">
            <v>PROGRAM PEMERINTAHAN DAN KESEJAHTERAAN RAKYAT</v>
          </cell>
          <cell r="K101" t="str">
            <v>Sekretariat Daerah</v>
          </cell>
          <cell r="O101" t="str">
            <v>Gunung Sari</v>
          </cell>
          <cell r="Q101">
            <v>25000000</v>
          </cell>
        </row>
        <row r="102">
          <cell r="B102" t="str">
            <v>Transformasi Tata Kelola</v>
          </cell>
          <cell r="D102" t="str">
            <v>PROGRAM PEMERINTAHAN DAN KESEJAHTERAAN RAKYAT</v>
          </cell>
          <cell r="K102" t="str">
            <v>Sekretariat Daerah</v>
          </cell>
          <cell r="O102" t="str">
            <v>Gunung Sari</v>
          </cell>
          <cell r="Q102">
            <v>10000000</v>
          </cell>
        </row>
        <row r="103">
          <cell r="B103" t="str">
            <v>Transformasi Tata Kelola</v>
          </cell>
          <cell r="D103" t="str">
            <v>PROGRAM PEMERINTAHAN DAN KESEJAHTERAAN RAKYAT</v>
          </cell>
          <cell r="K103" t="str">
            <v>Sekretariat Daerah</v>
          </cell>
          <cell r="O103" t="str">
            <v>Gunung Sari</v>
          </cell>
          <cell r="Q103">
            <v>25000000</v>
          </cell>
        </row>
        <row r="104">
          <cell r="B104" t="str">
            <v>Transformasi Tata Kelola</v>
          </cell>
          <cell r="D104" t="str">
            <v>PROGRAM PEMERINTAHAN DAN KESEJAHTERAAN RAKYAT</v>
          </cell>
          <cell r="K104" t="str">
            <v>Sekretariat Daerah</v>
          </cell>
          <cell r="O104" t="str">
            <v>Gunung Sari</v>
          </cell>
          <cell r="Q104">
            <v>25000000</v>
          </cell>
        </row>
        <row r="105">
          <cell r="B105" t="str">
            <v>Transformasi Tata Kelola</v>
          </cell>
          <cell r="D105" t="str">
            <v>PROGRAM PEMERINTAHAN DAN KESEJAHTERAAN RAKYAT</v>
          </cell>
          <cell r="K105" t="str">
            <v>Sekretariat Daerah</v>
          </cell>
          <cell r="O105" t="str">
            <v>Gunung Sari</v>
          </cell>
          <cell r="Q105">
            <v>25000000</v>
          </cell>
        </row>
        <row r="106">
          <cell r="B106" t="str">
            <v>Transformasi Tata Kelola</v>
          </cell>
          <cell r="D106" t="str">
            <v>PROGRAM PEMERINTAHAN DAN KESEJAHTERAAN RAKYAT</v>
          </cell>
          <cell r="K106" t="str">
            <v>Sekretariat Daerah</v>
          </cell>
          <cell r="O106" t="str">
            <v>Gunung Sari</v>
          </cell>
          <cell r="Q106">
            <v>25000000</v>
          </cell>
        </row>
        <row r="107">
          <cell r="B107" t="str">
            <v>Sejahtera dari Desa</v>
          </cell>
          <cell r="D107" t="str">
            <v>PROGRAM PEMBERDAYAAN LEMBAGA KEMASYARAKATAN, LEMBAGA ADAT DAN MASYARAKAT HUKUM ADAT</v>
          </cell>
          <cell r="K107" t="str">
            <v>Dinas Pemberdayaan Masyarakat dan Desa</v>
          </cell>
          <cell r="O107" t="str">
            <v>Gunung Sari</v>
          </cell>
          <cell r="Q107">
            <v>5550000</v>
          </cell>
        </row>
        <row r="108">
          <cell r="B108" t="str">
            <v>Infrastruktur Berkelanjutan</v>
          </cell>
          <cell r="D108" t="str">
            <v>PROGRAM PENGELOLAAN PERSAMPAHAN</v>
          </cell>
          <cell r="K108" t="str">
            <v>Dinas Lingkungan Hidup</v>
          </cell>
          <cell r="O108" t="str">
            <v>Gunung Sari</v>
          </cell>
          <cell r="Q108">
            <v>50000000</v>
          </cell>
        </row>
        <row r="109">
          <cell r="B109" t="str">
            <v>Agrominapolitan</v>
          </cell>
          <cell r="D109" t="str">
            <v>PROGRAM PENYULUHAN PERTANIAN</v>
          </cell>
          <cell r="K109" t="str">
            <v>Dinas Pertanian</v>
          </cell>
          <cell r="O109" t="str">
            <v>Gunung Sari</v>
          </cell>
          <cell r="Q109">
            <v>30000000</v>
          </cell>
        </row>
        <row r="110">
          <cell r="B110" t="str">
            <v>Agrominapolitan</v>
          </cell>
          <cell r="D110" t="str">
            <v>PROGRAM PENYEDIAAN DAN PENGEMBANGAN SARANA PERTANIAN</v>
          </cell>
          <cell r="K110" t="str">
            <v>Dinas Pertanian</v>
          </cell>
          <cell r="O110" t="str">
            <v>Gunung Sari</v>
          </cell>
          <cell r="Q110">
            <v>38800000</v>
          </cell>
        </row>
        <row r="111">
          <cell r="B111" t="str">
            <v>Transformasi dan Kemandirian Ekonomi</v>
          </cell>
          <cell r="D111" t="str">
            <v>PROGRAM PENGEMBANGAN UMKM</v>
          </cell>
          <cell r="K111" t="str">
            <v>Dinas Perindustrian, Koperasi, Usaha Kecil dan Menengah, dan Tenaga Kerja</v>
          </cell>
          <cell r="O111" t="str">
            <v>Gunung Sari</v>
          </cell>
          <cell r="Q111">
            <v>52200000</v>
          </cell>
        </row>
        <row r="112">
          <cell r="B112" t="str">
            <v>Infrastruktur Berkelanjutan</v>
          </cell>
          <cell r="D112" t="str">
            <v>Program Penyelenggaraan Lalu Lintas dan Angkutan Jalan (LLAJ)</v>
          </cell>
          <cell r="K112" t="str">
            <v>Dinas Perhubungan</v>
          </cell>
          <cell r="O112" t="str">
            <v>Gunung Sari</v>
          </cell>
          <cell r="Q112">
            <v>10550000</v>
          </cell>
        </row>
        <row r="113">
          <cell r="B113" t="str">
            <v>Infrastruktur Berkelanjutan</v>
          </cell>
          <cell r="D113" t="str">
            <v>Program Penyelenggaraan Lalu Lintas dan Angkutan Jalan (LLAJ)</v>
          </cell>
          <cell r="K113" t="str">
            <v>Dinas Perhubungan</v>
          </cell>
          <cell r="O113" t="str">
            <v>Gunung Sari</v>
          </cell>
          <cell r="Q113">
            <v>10550000</v>
          </cell>
        </row>
        <row r="114">
          <cell r="B114" t="str">
            <v>Infrastruktur Berkelanjutan</v>
          </cell>
          <cell r="D114" t="str">
            <v>PROGRAM PENINGKATAN PRASARANA, SARANA DAN UTILITAS UMUM (PSU)</v>
          </cell>
          <cell r="K114" t="str">
            <v>Dinas Pekerjaan Umum, Penataan Ruang, Perumahan dan Kawasan Permukiman</v>
          </cell>
          <cell r="O114" t="str">
            <v>GUNUNG SARI</v>
          </cell>
          <cell r="Q114">
            <v>89100000</v>
          </cell>
        </row>
        <row r="115">
          <cell r="B115" t="str">
            <v>Infrastruktur Berkelanjutan</v>
          </cell>
          <cell r="D115" t="str">
            <v>PROGRAM PENINGKATAN PRASARANA, SARANA DAN UTILITAS UMUM (PSU)</v>
          </cell>
          <cell r="K115" t="str">
            <v>Dinas Pekerjaan Umum, Penataan Ruang, Perumahan dan Kawasan Permukiman</v>
          </cell>
          <cell r="O115" t="str">
            <v>GUNUNG SARI</v>
          </cell>
          <cell r="Q115">
            <v>60000000</v>
          </cell>
        </row>
        <row r="116">
          <cell r="B116" t="str">
            <v>Infrastruktur Berkelanjutan</v>
          </cell>
          <cell r="D116" t="str">
            <v>PROGRAM PENINGKATAN PRASARANA, SARANA DAN UTILITAS UMUM (PSU)</v>
          </cell>
          <cell r="K116" t="str">
            <v>Dinas Pekerjaan Umum, Penataan Ruang, Perumahan dan Kawasan Permukiman</v>
          </cell>
          <cell r="O116" t="str">
            <v>GUNUNG SARI</v>
          </cell>
          <cell r="Q116">
            <v>12320000</v>
          </cell>
        </row>
        <row r="117">
          <cell r="B117" t="str">
            <v>Infrastruktur Berkelanjutan</v>
          </cell>
          <cell r="D117" t="str">
            <v>PROGRAM PENINGKATAN PRASARANA, SARANA DAN UTILITAS UMUM (PSU)</v>
          </cell>
          <cell r="K117" t="str">
            <v>Dinas Pekerjaan Umum, Penataan Ruang, Perumahan dan Kawasan Permukiman</v>
          </cell>
          <cell r="O117" t="str">
            <v>GUNUNG SARI</v>
          </cell>
          <cell r="Q117">
            <v>198020000</v>
          </cell>
        </row>
        <row r="118">
          <cell r="B118" t="str">
            <v>Infrastruktur Berkelanjutan</v>
          </cell>
          <cell r="D118" t="str">
            <v>PROGRAM PENINGKATAN PRASARANA, SARANA DAN UTILITAS UMUM (PSU)</v>
          </cell>
          <cell r="K118" t="str">
            <v>Dinas Pekerjaan Umum, Penataan Ruang, Perumahan dan Kawasan Permukiman</v>
          </cell>
          <cell r="O118" t="str">
            <v>GUNUNG SARI</v>
          </cell>
          <cell r="Q118">
            <v>98360655</v>
          </cell>
        </row>
        <row r="119">
          <cell r="B119" t="str">
            <v>Infrastruktur Berkelanjutan</v>
          </cell>
          <cell r="D119" t="str">
            <v>PROGRAM PENINGKATAN PRASARANA, SARANA DAN UTILITAS UMUM (PSU)</v>
          </cell>
          <cell r="K119" t="str">
            <v>Dinas Pekerjaan Umum, Penataan Ruang, Perumahan dan Kawasan Permukiman</v>
          </cell>
          <cell r="O119" t="str">
            <v>GUNUNG SARI</v>
          </cell>
          <cell r="Q119">
            <v>1524000</v>
          </cell>
        </row>
        <row r="120">
          <cell r="B120" t="str">
            <v>Infrastruktur Berkelanjutan</v>
          </cell>
          <cell r="D120" t="str">
            <v>PROGRAM PENINGKATAN PRASARANA, SARANA DAN UTILITAS UMUM (PSU)</v>
          </cell>
          <cell r="K120" t="str">
            <v>Dinas Pekerjaan Umum, Penataan Ruang, Perumahan dan Kawasan Permukiman</v>
          </cell>
          <cell r="O120" t="str">
            <v>GUNUNG SARI</v>
          </cell>
          <cell r="Q120">
            <v>6096000</v>
          </cell>
        </row>
        <row r="121">
          <cell r="B121" t="str">
            <v>Infrastruktur Berkelanjutan</v>
          </cell>
          <cell r="D121" t="str">
            <v>PROGRAM PENINGKATAN PRASARANA, SARANA DAN UTILITAS UMUM (PSU)</v>
          </cell>
          <cell r="K121" t="str">
            <v>Dinas Pekerjaan Umum, Penataan Ruang, Perumahan dan Kawasan Permukiman</v>
          </cell>
          <cell r="O121" t="str">
            <v>GUNUNG SARI</v>
          </cell>
          <cell r="Q121">
            <v>75000000</v>
          </cell>
        </row>
        <row r="122">
          <cell r="B122" t="str">
            <v>Pembangunan SDM Unggul dan Berdaya Saing</v>
          </cell>
          <cell r="D122" t="str">
            <v>PROGRAM PENGEMBANGAN KEBUDAYAAN</v>
          </cell>
          <cell r="K122" t="str">
            <v>Dinas Pendidikan dan Kebudayaan</v>
          </cell>
          <cell r="O122" t="str">
            <v>Gunung Sari</v>
          </cell>
          <cell r="Q122">
            <v>100000000</v>
          </cell>
        </row>
        <row r="123">
          <cell r="B123" t="str">
            <v>Agrominapolitan</v>
          </cell>
          <cell r="D123" t="str">
            <v>PROGRAM PENYEDIAAN DAN PENGEMBANGAN SARANA PERTANIAN</v>
          </cell>
          <cell r="K123" t="str">
            <v>Dinas Pertanian</v>
          </cell>
          <cell r="O123" t="str">
            <v>Gunung Sari</v>
          </cell>
          <cell r="Q123">
            <v>100000000</v>
          </cell>
        </row>
        <row r="124">
          <cell r="B124" t="str">
            <v>Agrominapolitan</v>
          </cell>
          <cell r="D124" t="str">
            <v>PROGRAM PENYEDIAAN DAN PENGEMBANGAN SARANA PERTANIAN</v>
          </cell>
          <cell r="K124" t="str">
            <v>Dinas Pertanian</v>
          </cell>
          <cell r="O124" t="str">
            <v>Gunung Sari</v>
          </cell>
          <cell r="Q124">
            <v>100000000</v>
          </cell>
        </row>
        <row r="125">
          <cell r="B125" t="str">
            <v>Agrominapolitan</v>
          </cell>
          <cell r="D125" t="str">
            <v>PROGRAM PENYEDIAAN DAN PENGEMBANGAN SARANA PERTANIAN</v>
          </cell>
          <cell r="K125" t="str">
            <v>Dinas Pertanian</v>
          </cell>
          <cell r="O125" t="str">
            <v>Gunung Sari</v>
          </cell>
          <cell r="Q125">
            <v>100000000</v>
          </cell>
        </row>
        <row r="126">
          <cell r="B126" t="str">
            <v>Infrastruktur Berkelanjutan</v>
          </cell>
          <cell r="D126" t="str">
            <v>PROGRAM PENINGKATAN PRASARANA, SARANA DAN UTILITAS UMUM (PSU)</v>
          </cell>
          <cell r="K126" t="str">
            <v>Dinas Pekerjaan Umum, Penataan Ruang, Perumahan dan Kawasan Permukiman</v>
          </cell>
          <cell r="O126" t="str">
            <v>GUNUNG SARI</v>
          </cell>
          <cell r="Q126">
            <v>100000000</v>
          </cell>
        </row>
        <row r="127">
          <cell r="B127" t="str">
            <v>Infrastruktur Berkelanjutan</v>
          </cell>
          <cell r="D127" t="str">
            <v>PROGRAM PENINGKATAN PRASARANA, SARANA DAN UTILITAS UMUM (PSU)</v>
          </cell>
          <cell r="K127" t="str">
            <v>Dinas Pekerjaan Umum, Penataan Ruang, Perumahan dan Kawasan Permukiman</v>
          </cell>
          <cell r="O127" t="str">
            <v>GUNUNG SARI</v>
          </cell>
          <cell r="Q127">
            <v>100000000</v>
          </cell>
        </row>
        <row r="128">
          <cell r="B128" t="str">
            <v>Infrastruktur Berkelanjutan</v>
          </cell>
          <cell r="D128" t="str">
            <v>PROGRAM PENINGKATAN PRASARANA, SARANA DAN UTILITAS UMUM (PSU)</v>
          </cell>
          <cell r="K128" t="str">
            <v>Dinas Pekerjaan Umum, Penataan Ruang, Perumahan dan Kawasan Permukiman</v>
          </cell>
          <cell r="O128" t="str">
            <v>GUNUNG SARI</v>
          </cell>
          <cell r="Q128">
            <v>100000000</v>
          </cell>
        </row>
        <row r="129">
          <cell r="B129" t="str">
            <v>Infrastruktur Berkelanjutan</v>
          </cell>
          <cell r="D129" t="str">
            <v>PROGRAM PENGELOLAAN SUMBER DAYA AIR (SDA)</v>
          </cell>
          <cell r="K129" t="str">
            <v>Dinas Pekerjaan Umum, Penataan Ruang, Perumahan dan Kawasan Permukiman</v>
          </cell>
          <cell r="O129" t="str">
            <v>GUNUNG SARI</v>
          </cell>
          <cell r="Q129">
            <v>100000000</v>
          </cell>
        </row>
        <row r="130">
          <cell r="B130" t="str">
            <v>Infrastruktur Berkelanjutan</v>
          </cell>
          <cell r="D130" t="str">
            <v>PROGRAM PENINGKATAN PRASARANA, SARANA DAN UTILITAS UMUM (PSU)</v>
          </cell>
          <cell r="K130" t="str">
            <v>Dinas Pekerjaan Umum, Penataan Ruang, Perumahan dan Kawasan Permukiman</v>
          </cell>
          <cell r="O130" t="str">
            <v>GUNUNG SARI</v>
          </cell>
          <cell r="Q130">
            <v>100000000</v>
          </cell>
        </row>
        <row r="131">
          <cell r="B131" t="str">
            <v>Infrastruktur Berkelanjutan</v>
          </cell>
          <cell r="D131" t="str">
            <v>PROGRAM PENINGKATAN PRASARANA, SARANA DAN UTILITAS UMUM (PSU)</v>
          </cell>
          <cell r="K131" t="str">
            <v>Dinas Pekerjaan Umum, Penataan Ruang, Perumahan dan Kawasan Permukiman</v>
          </cell>
          <cell r="O131" t="str">
            <v>GUNUNG SARI</v>
          </cell>
          <cell r="Q131">
            <v>100000000</v>
          </cell>
        </row>
        <row r="132">
          <cell r="B132" t="str">
            <v>Infrastruktur Berkelanjutan</v>
          </cell>
          <cell r="D132" t="str">
            <v>PROGRAM PENINGKATAN PRASARANA, SARANA DAN UTILITAS UMUM (PSU)</v>
          </cell>
          <cell r="K132" t="str">
            <v>Dinas Pekerjaan Umum, Penataan Ruang, Perumahan dan Kawasan Permukiman</v>
          </cell>
          <cell r="O132" t="str">
            <v>GUNUNG SARI</v>
          </cell>
          <cell r="Q132">
            <v>100000000</v>
          </cell>
        </row>
        <row r="133">
          <cell r="B133" t="str">
            <v>Infrastruktur Berkelanjutan</v>
          </cell>
          <cell r="D133" t="str">
            <v>PROGRAM PENGELOLAAN DAN PENGEMBANGAN SISTEM DRAINASE</v>
          </cell>
          <cell r="K133" t="str">
            <v>Dinas Pekerjaan Umum, Penataan Ruang, Perumahan dan Kawasan Permukiman</v>
          </cell>
          <cell r="O133" t="str">
            <v>GUNUNG SARI</v>
          </cell>
          <cell r="Q133">
            <v>100000000</v>
          </cell>
        </row>
        <row r="134">
          <cell r="B134" t="str">
            <v>Transformasi Tata Kelola</v>
          </cell>
          <cell r="D134" t="str">
            <v>PROGRAM PEMERINTAHAN DAN KESEJAHTERAAN RAKYAT</v>
          </cell>
          <cell r="K134" t="str">
            <v>Sekretariat Daerah</v>
          </cell>
          <cell r="O134" t="str">
            <v>Gunung Sari</v>
          </cell>
          <cell r="Q134">
            <v>40000000</v>
          </cell>
        </row>
        <row r="135">
          <cell r="B135" t="str">
            <v>Agrominapolitan</v>
          </cell>
          <cell r="D135" t="str">
            <v>PROGRAM PENYEDIAAN DAN PENGEMBANGAN SARANA PERTANIAN</v>
          </cell>
          <cell r="K135" t="str">
            <v>Dinas Pertanian</v>
          </cell>
          <cell r="O135" t="str">
            <v>Gunung Sari</v>
          </cell>
          <cell r="Q135">
            <v>102037000</v>
          </cell>
        </row>
        <row r="136">
          <cell r="B136" t="str">
            <v>Infrastruktur Berkelanjutan</v>
          </cell>
          <cell r="D136" t="str">
            <v>PROGRAM PENINGKATAN PRASARANA, SARANA DAN UTILITAS UMUM (PSU)</v>
          </cell>
          <cell r="K136" t="str">
            <v>Dinas Pekerjaan Umum, Penataan Ruang, Perumahan dan Kawasan Permukiman</v>
          </cell>
          <cell r="O136" t="str">
            <v>GUNUNG SARI</v>
          </cell>
          <cell r="Q136">
            <v>110240000</v>
          </cell>
        </row>
        <row r="137">
          <cell r="B137" t="str">
            <v>Infrastruktur Berkelanjutan</v>
          </cell>
          <cell r="D137" t="str">
            <v>PROGRAM PENINGKATAN PRASARANA, SARANA DAN UTILITAS UMUM (PSU)</v>
          </cell>
          <cell r="K137" t="str">
            <v>Dinas Pekerjaan Umum, Penataan Ruang, Perumahan dan Kawasan Permukiman</v>
          </cell>
          <cell r="O137" t="str">
            <v>GUNUNG SARI</v>
          </cell>
          <cell r="Q137">
            <v>65574000</v>
          </cell>
        </row>
        <row r="138">
          <cell r="B138" t="str">
            <v>Infrastruktur Berkelanjutan</v>
          </cell>
          <cell r="D138" t="str">
            <v>PROGRAM PENINGKATAN PRASARANA, SARANA DAN UTILITAS UMUM (PSU)</v>
          </cell>
          <cell r="K138" t="str">
            <v>Dinas Pekerjaan Umum, Penataan Ruang, Perumahan dan Kawasan Permukiman</v>
          </cell>
          <cell r="O138" t="str">
            <v>GUNUNG SARI</v>
          </cell>
          <cell r="Q138">
            <v>110240000</v>
          </cell>
        </row>
        <row r="139">
          <cell r="B139" t="str">
            <v>Infrastruktur Berkelanjutan</v>
          </cell>
          <cell r="D139" t="str">
            <v>PROGRAM PENINGKATAN PRASARANA, SARANA DAN UTILITAS UMUM (PSU)</v>
          </cell>
          <cell r="K139" t="str">
            <v>Dinas Pekerjaan Umum, Penataan Ruang, Perumahan dan Kawasan Permukiman</v>
          </cell>
          <cell r="O139" t="str">
            <v>GUNUNG SARI</v>
          </cell>
          <cell r="Q139">
            <v>222560000</v>
          </cell>
        </row>
        <row r="140">
          <cell r="B140" t="str">
            <v>Infrastruktur Berkelanjutan</v>
          </cell>
          <cell r="D140" t="str">
            <v>PROGRAM PENINGKATAN PRASARANA, SARANA DAN UTILITAS UMUM (PSU)</v>
          </cell>
          <cell r="K140" t="str">
            <v>Dinas Pekerjaan Umum, Penataan Ruang, Perumahan dan Kawasan Permukiman</v>
          </cell>
          <cell r="O140" t="str">
            <v>GUNUNG SARI</v>
          </cell>
          <cell r="Q140">
            <v>73493333</v>
          </cell>
        </row>
        <row r="141">
          <cell r="B141" t="str">
            <v>Infrastruktur Berkelanjutan</v>
          </cell>
          <cell r="D141" t="str">
            <v>PROGRAM PENINGKATAN PRASARANA, SARANA DAN UTILITAS UMUM (PSU)</v>
          </cell>
          <cell r="K141" t="str">
            <v>Dinas Pekerjaan Umum, Penataan Ruang, Perumahan dan Kawasan Permukiman</v>
          </cell>
          <cell r="O141" t="str">
            <v>GUNUNG SARI</v>
          </cell>
          <cell r="Q141">
            <v>100000000</v>
          </cell>
        </row>
        <row r="142">
          <cell r="B142" t="str">
            <v>Infrastruktur Berkelanjutan</v>
          </cell>
          <cell r="D142" t="str">
            <v>PROGRAM PENINGKATAN PRASARANA, SARANA DAN UTILITAS UMUM (PSU)</v>
          </cell>
          <cell r="K142" t="str">
            <v>Dinas Pekerjaan Umum, Penataan Ruang, Perumahan dan Kawasan Permukiman</v>
          </cell>
          <cell r="O142" t="str">
            <v>GUNUNG SARI</v>
          </cell>
          <cell r="Q142">
            <v>100000000</v>
          </cell>
        </row>
        <row r="143">
          <cell r="B143" t="str">
            <v>Infrastruktur Berkelanjutan</v>
          </cell>
          <cell r="D143" t="str">
            <v>PROGRAM PENINGKATAN PRASARANA, SARANA DAN UTILITAS UMUM (PSU)</v>
          </cell>
          <cell r="K143" t="str">
            <v>Dinas Pekerjaan Umum, Penataan Ruang, Perumahan dan Kawasan Permukiman</v>
          </cell>
          <cell r="O143" t="str">
            <v>GUNUNG SARI</v>
          </cell>
          <cell r="Q143">
            <v>110240000</v>
          </cell>
        </row>
        <row r="144">
          <cell r="B144" t="str">
            <v>Agrominapolitan</v>
          </cell>
          <cell r="D144" t="str">
            <v>PROGRAM PENINGKATAN DIVERSIFIKASI DAN KETAHANAN PANGAN MASYARAKAT</v>
          </cell>
          <cell r="K144" t="str">
            <v>Dinas Kelautan, Perikanan, dan Ketahanan Pangan</v>
          </cell>
          <cell r="O144" t="str">
            <v>Gunung Sari</v>
          </cell>
          <cell r="Q144">
            <v>15000000</v>
          </cell>
        </row>
        <row r="145">
          <cell r="B145" t="str">
            <v>Agrominapolitan</v>
          </cell>
          <cell r="D145" t="str">
            <v>PROGRAM PENINGKATAN DIVERSIFIKASI DAN KETAHANAN PANGAN MASYARAKAT</v>
          </cell>
          <cell r="K145" t="str">
            <v>Dinas Kelautan, Perikanan, dan Ketahanan Pangan</v>
          </cell>
          <cell r="O145" t="str">
            <v>Gunung Sari</v>
          </cell>
          <cell r="Q145">
            <v>20000000</v>
          </cell>
        </row>
        <row r="146">
          <cell r="B146" t="str">
            <v>Pembangunan SDM Unggul dan Berdaya Saing</v>
          </cell>
          <cell r="D146" t="str">
            <v>PROGRAM PENGELOLAAN PENDIDIKAN</v>
          </cell>
          <cell r="K146" t="str">
            <v>Dinas Pendidikan dan Kebudayaan</v>
          </cell>
          <cell r="O146" t="str">
            <v>Gunung Sari</v>
          </cell>
          <cell r="Q146">
            <v>426114400</v>
          </cell>
        </row>
        <row r="147">
          <cell r="B147" t="str">
            <v>Pembangunan SDM Unggul dan Berdaya Saing</v>
          </cell>
          <cell r="D147" t="str">
            <v>PROGRAM PENGELOLAAN PENDIDIKAN</v>
          </cell>
          <cell r="K147" t="str">
            <v>Dinas Pendidikan dan Kebudayaan</v>
          </cell>
          <cell r="O147" t="str">
            <v>Gunung Sari</v>
          </cell>
          <cell r="Q147">
            <v>426114400</v>
          </cell>
        </row>
        <row r="148">
          <cell r="B148" t="str">
            <v>Agrominapolitan</v>
          </cell>
          <cell r="D148" t="str">
            <v>PROGRAM PENYEDIAAN DAN PENGEMBANGAN SARANA PERTANIAN</v>
          </cell>
          <cell r="K148" t="str">
            <v>Dinas Pertanian</v>
          </cell>
          <cell r="O148" t="str">
            <v>Gunung Sari</v>
          </cell>
          <cell r="Q148">
            <v>65000000</v>
          </cell>
        </row>
        <row r="149">
          <cell r="B149" t="str">
            <v>Agrominapolitan</v>
          </cell>
          <cell r="D149" t="str">
            <v>PROGRAM PENYEDIAAN DAN PENGEMBANGAN SARANA PERTANIAN</v>
          </cell>
          <cell r="K149" t="str">
            <v>Dinas Pertanian</v>
          </cell>
          <cell r="O149" t="str">
            <v>Gunung Sari</v>
          </cell>
          <cell r="Q149">
            <v>20000000</v>
          </cell>
        </row>
        <row r="150">
          <cell r="B150" t="str">
            <v>Infrastruktur Berkelanjutan</v>
          </cell>
          <cell r="D150" t="str">
            <v>PROGRAM PENINGKATAN PRASARANA, SARANA DAN UTILITAS UMUM (PSU)</v>
          </cell>
          <cell r="K150" t="str">
            <v>Dinas Pekerjaan Umum, Penataan Ruang, Perumahan dan Kawasan Permukiman</v>
          </cell>
          <cell r="O150" t="str">
            <v>GUNUNG SARI</v>
          </cell>
          <cell r="Q150">
            <v>65000000</v>
          </cell>
        </row>
        <row r="151">
          <cell r="B151" t="str">
            <v>Infrastruktur Berkelanjutan</v>
          </cell>
          <cell r="D151" t="str">
            <v>PROGRAM PENINGKATAN PRASARANA, SARANA DAN UTILITAS UMUM (PSU)</v>
          </cell>
          <cell r="K151" t="str">
            <v>Dinas Pekerjaan Umum, Penataan Ruang, Perumahan dan Kawasan Permukiman</v>
          </cell>
          <cell r="O151" t="str">
            <v>GUNUNG SARI</v>
          </cell>
          <cell r="Q151">
            <v>49180327.5</v>
          </cell>
        </row>
        <row r="152">
          <cell r="B152" t="str">
            <v>Agrominapolitan</v>
          </cell>
          <cell r="D152" t="str">
            <v>PROGRAM PENYEDIAAN DAN PENGEMBANGAN SARANA PERTANIAN</v>
          </cell>
          <cell r="K152" t="str">
            <v>Dinas Pertanian</v>
          </cell>
          <cell r="O152" t="str">
            <v>Gunung Sari</v>
          </cell>
          <cell r="Q152">
            <v>150000000</v>
          </cell>
        </row>
        <row r="153">
          <cell r="B153" t="str">
            <v>Infrastruktur Berkelanjutan</v>
          </cell>
          <cell r="D153" t="str">
            <v>PROGRAM PENINGKATAN PRASARANA, SARANA DAN UTILITAS UMUM (PSU)</v>
          </cell>
          <cell r="K153" t="str">
            <v>Dinas Pekerjaan Umum, Penataan Ruang, Perumahan dan Kawasan Permukiman</v>
          </cell>
          <cell r="O153" t="str">
            <v>GUNUNG SARI</v>
          </cell>
          <cell r="Q153">
            <v>381000000</v>
          </cell>
        </row>
        <row r="154">
          <cell r="B154" t="str">
            <v>Infrastruktur Berkelanjutan</v>
          </cell>
          <cell r="D154" t="str">
            <v>PROGRAM PENINGKATAN PRASARANA, SARANA DAN UTILITAS UMUM (PSU)</v>
          </cell>
          <cell r="K154" t="str">
            <v>Dinas Pekerjaan Umum, Penataan Ruang, Perumahan dan Kawasan Permukiman</v>
          </cell>
          <cell r="O154" t="str">
            <v>GUNUNG SARI</v>
          </cell>
          <cell r="Q154">
            <v>100965000</v>
          </cell>
        </row>
        <row r="155">
          <cell r="B155" t="str">
            <v>Infrastruktur Berkelanjutan</v>
          </cell>
          <cell r="D155" t="str">
            <v>PROGRAM PENINGKATAN PRASARANA, SARANA DAN UTILITAS UMUM (PSU)</v>
          </cell>
          <cell r="K155" t="str">
            <v>Dinas Pekerjaan Umum, Penataan Ruang, Perumahan dan Kawasan Permukiman</v>
          </cell>
          <cell r="O155" t="str">
            <v>GUNUNG SARI</v>
          </cell>
          <cell r="Q155">
            <v>254000000</v>
          </cell>
        </row>
        <row r="156">
          <cell r="B156" t="str">
            <v>Infrastruktur Berkelanjutan</v>
          </cell>
          <cell r="D156" t="str">
            <v>PROGRAM PENINGKATAN PRASARANA, SARANA DAN UTILITAS UMUM (PSU)</v>
          </cell>
          <cell r="K156" t="str">
            <v>Dinas Pekerjaan Umum, Penataan Ruang, Perumahan dan Kawasan Permukiman</v>
          </cell>
          <cell r="O156" t="str">
            <v>GUNUNG SARI</v>
          </cell>
          <cell r="Q156">
            <v>116251200</v>
          </cell>
        </row>
        <row r="157">
          <cell r="B157" t="str">
            <v>Infrastruktur Berkelanjutan</v>
          </cell>
          <cell r="D157" t="str">
            <v>PROGRAM PENGELOLAAN PERSAMPAHAN</v>
          </cell>
          <cell r="K157" t="str">
            <v>Dinas Lingkungan Hidup</v>
          </cell>
          <cell r="O157" t="str">
            <v>Gunung Sari</v>
          </cell>
          <cell r="Q157">
            <v>50000000</v>
          </cell>
        </row>
        <row r="158">
          <cell r="B158" t="str">
            <v>Transformasi Tata Kelola</v>
          </cell>
          <cell r="D158" t="str">
            <v>PROGRAM PEMERINTAHAN DAN KESEJAHTERAAN RAKYAT</v>
          </cell>
          <cell r="K158" t="str">
            <v>Sekretariat Daerah</v>
          </cell>
          <cell r="O158" t="str">
            <v>Gunung Sari</v>
          </cell>
          <cell r="Q158">
            <v>25000000</v>
          </cell>
        </row>
        <row r="159">
          <cell r="B159" t="str">
            <v>Infrastruktur Berkelanjutan</v>
          </cell>
          <cell r="D159" t="str">
            <v>PROGRAM PENGELOLAAN DAN PENGEMBANGAN SISTEM PENYEDIAAN AIR MINUM</v>
          </cell>
          <cell r="K159" t="str">
            <v>Dinas Pekerjaan Umum, Penataan Ruang, Perumahan dan Kawasan Permukiman</v>
          </cell>
          <cell r="O159" t="str">
            <v>GUNUNG SARI</v>
          </cell>
          <cell r="Q159">
            <v>150000000</v>
          </cell>
        </row>
        <row r="160">
          <cell r="B160" t="str">
            <v>Transformasi Tata Kelola</v>
          </cell>
          <cell r="D160" t="str">
            <v>PROGRAM PEMERINTAHAN DAN KESEJAHTERAAN RAKYAT</v>
          </cell>
          <cell r="K160" t="str">
            <v>Sekretariat Daerah</v>
          </cell>
          <cell r="O160" t="str">
            <v>Gunung Sari</v>
          </cell>
          <cell r="Q160">
            <v>25000000</v>
          </cell>
        </row>
        <row r="161">
          <cell r="B161" t="str">
            <v>Infrastruktur Berkelanjutan</v>
          </cell>
          <cell r="D161" t="str">
            <v>PROGRAM PENGELOLAAN PERSAMPAHAN</v>
          </cell>
          <cell r="K161" t="str">
            <v>Dinas Lingkungan Hidup</v>
          </cell>
          <cell r="O161" t="str">
            <v>Gunung Sari</v>
          </cell>
          <cell r="Q161">
            <v>50000000</v>
          </cell>
        </row>
        <row r="162">
          <cell r="B162" t="str">
            <v>Infrastruktur Berkelanjutan</v>
          </cell>
          <cell r="D162" t="str">
            <v>PROGRAM PENGELOLAAN PERSAMPAHAN</v>
          </cell>
          <cell r="K162" t="str">
            <v>Dinas Lingkungan Hidup</v>
          </cell>
          <cell r="O162" t="str">
            <v>Gunung Sari</v>
          </cell>
          <cell r="Q162">
            <v>50000000</v>
          </cell>
        </row>
        <row r="163">
          <cell r="B163" t="str">
            <v>Infrastruktur Berkelanjutan</v>
          </cell>
          <cell r="D163" t="str">
            <v>PROGRAM PENGELOLAAN PERSAMPAHAN</v>
          </cell>
          <cell r="K163" t="str">
            <v>Dinas Lingkungan Hidup</v>
          </cell>
          <cell r="O163" t="str">
            <v>Gunung Sari</v>
          </cell>
          <cell r="Q163">
            <v>50000000</v>
          </cell>
        </row>
        <row r="164">
          <cell r="B164" t="str">
            <v>Transformasi dan Kemandirian Ekonomi</v>
          </cell>
          <cell r="D164" t="str">
            <v>PROGRAM PENGEMBANGAN UMKM</v>
          </cell>
          <cell r="K164" t="str">
            <v>Dinas Perindustrian, Koperasi, Usaha Kecil dan Menengah, dan Tenaga Kerja</v>
          </cell>
          <cell r="O164" t="str">
            <v>Gunung Sari</v>
          </cell>
          <cell r="Q164">
            <v>52000000</v>
          </cell>
        </row>
        <row r="165">
          <cell r="B165" t="str">
            <v>Transformasi dan Kemandirian Ekonomi</v>
          </cell>
          <cell r="D165" t="str">
            <v>PROGRAM PENGEMBANGAN UMKM</v>
          </cell>
          <cell r="K165" t="str">
            <v>Dinas Perindustrian, Koperasi, Usaha Kecil dan Menengah, dan Tenaga Kerja</v>
          </cell>
          <cell r="O165" t="str">
            <v>Gunung Sari</v>
          </cell>
          <cell r="Q165">
            <v>50000000</v>
          </cell>
        </row>
        <row r="166">
          <cell r="B166" t="str">
            <v>Transformasi dan Kemandirian Ekonomi</v>
          </cell>
          <cell r="D166" t="str">
            <v>PROGRAM PENGEMBANGAN UMKM</v>
          </cell>
          <cell r="K166" t="str">
            <v>Dinas Perindustrian, Koperasi, Usaha Kecil dan Menengah, dan Tenaga Kerja</v>
          </cell>
          <cell r="O166" t="str">
            <v>Gunung Sari</v>
          </cell>
          <cell r="Q166">
            <v>52200000</v>
          </cell>
        </row>
        <row r="167">
          <cell r="B167" t="str">
            <v>Transformasi dan Kemandirian Ekonomi</v>
          </cell>
          <cell r="D167" t="str">
            <v>PROGRAM PENGEMBANGAN UMKM</v>
          </cell>
          <cell r="K167" t="str">
            <v>Dinas Perindustrian, Koperasi, Usaha Kecil dan Menengah, dan Tenaga Kerja</v>
          </cell>
          <cell r="O167" t="str">
            <v>Gunung Sari</v>
          </cell>
          <cell r="Q167">
            <v>50000000</v>
          </cell>
        </row>
        <row r="168">
          <cell r="B168" t="str">
            <v>Infrastruktur Berkelanjutan</v>
          </cell>
          <cell r="D168" t="str">
            <v>PROGRAM PENGELOLAAN PERSAMPAHAN</v>
          </cell>
          <cell r="K168" t="str">
            <v>Dinas Lingkungan Hidup</v>
          </cell>
          <cell r="O168" t="str">
            <v>Gunung Sari</v>
          </cell>
          <cell r="Q168">
            <v>50000000</v>
          </cell>
        </row>
        <row r="169">
          <cell r="B169" t="str">
            <v>Infrastruktur Berkelanjutan</v>
          </cell>
          <cell r="D169" t="str">
            <v>PROGRAM PENINGKATAN PRASARANA, SARANA DAN UTILITAS UMUM (PSU)</v>
          </cell>
          <cell r="K169" t="str">
            <v>Dinas Pekerjaan Umum, Penataan Ruang, Perumahan dan Kawasan Permukiman</v>
          </cell>
          <cell r="O169" t="str">
            <v>GUNUNG SARI</v>
          </cell>
          <cell r="Q169">
            <v>127508000.00000001</v>
          </cell>
        </row>
        <row r="170">
          <cell r="B170" t="str">
            <v>Infrastruktur Berkelanjutan</v>
          </cell>
          <cell r="D170" t="str">
            <v>PROGRAM PENINGKATAN PRASARANA, SARANA DAN UTILITAS UMUM (PSU)</v>
          </cell>
          <cell r="K170" t="str">
            <v>Dinas Pekerjaan Umum, Penataan Ruang, Perumahan dan Kawasan Permukiman</v>
          </cell>
          <cell r="O170" t="str">
            <v>GUNUNG SARI</v>
          </cell>
          <cell r="Q170">
            <v>101376000</v>
          </cell>
        </row>
        <row r="171">
          <cell r="B171" t="str">
            <v>Infrastruktur Berkelanjutan</v>
          </cell>
          <cell r="D171" t="str">
            <v>PROGRAM PENINGKATAN PRASARANA, SARANA DAN UTILITAS UMUM (PSU)</v>
          </cell>
          <cell r="K171" t="str">
            <v>Dinas Pekerjaan Umum, Penataan Ruang, Perumahan dan Kawasan Permukiman</v>
          </cell>
          <cell r="O171" t="str">
            <v>GUNUNG SARI</v>
          </cell>
          <cell r="Q171">
            <v>54864000</v>
          </cell>
        </row>
        <row r="172">
          <cell r="B172" t="str">
            <v>Agrominapolitan</v>
          </cell>
          <cell r="D172" t="str">
            <v>PROGRAM PENYEDIAAN DAN PENGEMBANGAN SARANA PERTANIAN</v>
          </cell>
          <cell r="K172" t="str">
            <v>Dinas Pertanian</v>
          </cell>
          <cell r="O172" t="str">
            <v>Gunung Sari</v>
          </cell>
          <cell r="Q172">
            <v>84000000</v>
          </cell>
        </row>
        <row r="173">
          <cell r="B173" t="str">
            <v>Transformasi dan Kemandirian Ekonomi</v>
          </cell>
          <cell r="D173" t="str">
            <v>PROGRAM PENINGKATAN SARANA DISTRIBUSI PERDAGANGAN</v>
          </cell>
          <cell r="K173" t="str">
            <v>Dinas Perdagangan</v>
          </cell>
          <cell r="O173" t="str">
            <v>Gunung Sari</v>
          </cell>
          <cell r="Q173">
            <v>15000000</v>
          </cell>
        </row>
        <row r="174">
          <cell r="B174" t="str">
            <v>Agrominapolitan</v>
          </cell>
          <cell r="D174" t="str">
            <v>PROGRAM PENYEDIAAN DAN PENGEMBANGAN SARANA PERTANIAN</v>
          </cell>
          <cell r="K174" t="str">
            <v>Dinas Pertanian</v>
          </cell>
          <cell r="O174" t="str">
            <v>Gunung Sari</v>
          </cell>
          <cell r="Q174">
            <v>100000000</v>
          </cell>
        </row>
        <row r="175">
          <cell r="B175" t="str">
            <v>Agrominapolitan</v>
          </cell>
          <cell r="D175" t="str">
            <v>PROGRAM PENYEDIAAN DAN PENGEMBANGAN SARANA PERTANIAN</v>
          </cell>
          <cell r="K175" t="str">
            <v>Dinas Pertanian</v>
          </cell>
          <cell r="O175" t="str">
            <v>Gunung Sari</v>
          </cell>
          <cell r="Q175">
            <v>181610000</v>
          </cell>
        </row>
        <row r="176">
          <cell r="B176" t="str">
            <v>Transformasi dan Kemandirian Ekonomi</v>
          </cell>
          <cell r="D176" t="str">
            <v>PROGRAM PENINGKATAN DAYA TARIK DESTINASI PARIWISATA</v>
          </cell>
          <cell r="K176" t="str">
            <v>Dinas Pariwisata, Ekonomi Kreatif, Pemuda, dan Olahraga</v>
          </cell>
          <cell r="O176" t="str">
            <v>Gunung Sari</v>
          </cell>
          <cell r="Q176">
            <v>61400000</v>
          </cell>
        </row>
        <row r="177">
          <cell r="B177" t="str">
            <v>Transformasi dan Kemandirian Ekonomi</v>
          </cell>
          <cell r="D177" t="str">
            <v>PROGRAM PENGEMBANGAN UMKM</v>
          </cell>
          <cell r="K177" t="str">
            <v>Dinas Perindustrian, Koperasi, Usaha Kecil dan Menengah, dan Tenaga Kerja</v>
          </cell>
          <cell r="O177" t="str">
            <v>Gunung Sari</v>
          </cell>
          <cell r="Q177">
            <v>15000000</v>
          </cell>
        </row>
        <row r="178">
          <cell r="B178" t="str">
            <v>Infrastruktur Berkelanjutan</v>
          </cell>
          <cell r="D178" t="str">
            <v>PROGRAM PENGELOLAAN SUMBER DAYA AIR (SDA)</v>
          </cell>
          <cell r="K178" t="str">
            <v>Dinas Pekerjaan Umum, Penataan Ruang, Perumahan dan Kawasan Permukiman</v>
          </cell>
          <cell r="O178" t="str">
            <v>GUNUNG SARI</v>
          </cell>
          <cell r="Q178">
            <v>98000000</v>
          </cell>
        </row>
        <row r="179">
          <cell r="B179" t="str">
            <v>Infrastruktur Berkelanjutan</v>
          </cell>
          <cell r="D179" t="str">
            <v>PROGRAM KAWASAN PERMUKIMAN</v>
          </cell>
          <cell r="K179" t="str">
            <v>Dinas Pekerjaan Umum, Penataan Ruang, Perumahan dan Kawasan Permukiman</v>
          </cell>
          <cell r="O179" t="str">
            <v>GUNUNG SARI</v>
          </cell>
          <cell r="Q179">
            <v>100000000</v>
          </cell>
        </row>
        <row r="180">
          <cell r="B180" t="str">
            <v>Infrastruktur Berkelanjutan</v>
          </cell>
          <cell r="D180" t="str">
            <v>PROGRAM PENGELOLAAN DAN PENGEMBANGAN SISTEM DRAINASE</v>
          </cell>
          <cell r="K180" t="str">
            <v>Dinas Pekerjaan Umum, Penataan Ruang, Perumahan dan Kawasan Permukiman</v>
          </cell>
          <cell r="O180" t="str">
            <v>GUNUNG SARI</v>
          </cell>
          <cell r="Q180">
            <v>57000000</v>
          </cell>
        </row>
        <row r="181">
          <cell r="B181" t="str">
            <v>Infrastruktur Berkelanjutan</v>
          </cell>
          <cell r="D181" t="str">
            <v>PROGRAM PENINGKATAN PRASARANA, SARANA DAN UTILITAS UMUM (PSU)</v>
          </cell>
          <cell r="K181" t="str">
            <v>Dinas Pekerjaan Umum, Penataan Ruang, Perumahan dan Kawasan Permukiman</v>
          </cell>
          <cell r="O181" t="str">
            <v>GUNUNG SARI</v>
          </cell>
          <cell r="Q181">
            <v>32000000</v>
          </cell>
        </row>
        <row r="182">
          <cell r="B182" t="str">
            <v>Infrastruktur Berkelanjutan</v>
          </cell>
          <cell r="D182" t="str">
            <v>PROGRAM PENINGKATAN PRASARANA, SARANA DAN UTILITAS UMUM (PSU)</v>
          </cell>
          <cell r="K182" t="str">
            <v>Dinas Pekerjaan Umum, Penataan Ruang, Perumahan dan Kawasan Permukiman</v>
          </cell>
          <cell r="O182" t="str">
            <v>GUNUNG SARI</v>
          </cell>
          <cell r="Q182">
            <v>33600000</v>
          </cell>
        </row>
        <row r="183">
          <cell r="B183" t="str">
            <v>Infrastruktur Berkelanjutan</v>
          </cell>
          <cell r="D183" t="str">
            <v>PROGRAM PENINGKATAN PRASARANA, SARANA DAN UTILITAS UMUM (PSU)</v>
          </cell>
          <cell r="K183" t="str">
            <v>Dinas Pekerjaan Umum, Penataan Ruang, Perumahan dan Kawasan Permukiman</v>
          </cell>
          <cell r="O183" t="str">
            <v>GUNUNG SARI</v>
          </cell>
          <cell r="Q183">
            <v>102960000</v>
          </cell>
        </row>
        <row r="184">
          <cell r="B184" t="str">
            <v>Infrastruktur Berkelanjutan</v>
          </cell>
          <cell r="D184" t="str">
            <v>PROGRAM PENINGKATAN PRASARANA, SARANA DAN UTILITAS UMUM (PSU)</v>
          </cell>
          <cell r="K184" t="str">
            <v>Dinas Pekerjaan Umum, Penataan Ruang, Perumahan dan Kawasan Permukiman</v>
          </cell>
          <cell r="O184" t="str">
            <v>GUNUNG SARI</v>
          </cell>
          <cell r="Q184">
            <v>100000000</v>
          </cell>
        </row>
        <row r="185">
          <cell r="B185" t="str">
            <v>Infrastruktur Berkelanjutan</v>
          </cell>
          <cell r="D185" t="str">
            <v>PROGRAM PENINGKATAN PRASARANA, SARANA DAN UTILITAS UMUM (PSU)</v>
          </cell>
          <cell r="K185" t="str">
            <v>Dinas Pekerjaan Umum, Penataan Ruang, Perumahan dan Kawasan Permukiman</v>
          </cell>
          <cell r="O185" t="str">
            <v>GUNUNG SARI</v>
          </cell>
          <cell r="Q185">
            <v>100000000</v>
          </cell>
        </row>
        <row r="186">
          <cell r="B186" t="str">
            <v>Infrastruktur Berkelanjutan</v>
          </cell>
          <cell r="D186" t="str">
            <v>PROGRAM PENINGKATAN PRASARANA, SARANA DAN UTILITAS UMUM (PSU)</v>
          </cell>
          <cell r="K186" t="str">
            <v>Dinas Pekerjaan Umum, Penataan Ruang, Perumahan dan Kawasan Permukiman</v>
          </cell>
          <cell r="O186" t="str">
            <v>GUNUNG SARI</v>
          </cell>
          <cell r="Q186">
            <v>50000000</v>
          </cell>
        </row>
        <row r="187">
          <cell r="B187" t="str">
            <v>Infrastruktur Berkelanjutan</v>
          </cell>
          <cell r="D187" t="str">
            <v>PROGRAM PENINGKATAN PRASARANA, SARANA DAN UTILITAS UMUM (PSU)</v>
          </cell>
          <cell r="K187" t="str">
            <v>Dinas Pekerjaan Umum, Penataan Ruang, Perumahan dan Kawasan Permukiman</v>
          </cell>
          <cell r="O187" t="str">
            <v>GUNUNG SARI</v>
          </cell>
          <cell r="Q187">
            <v>50000000</v>
          </cell>
        </row>
        <row r="188">
          <cell r="B188" t="str">
            <v>Infrastruktur Berkelanjutan</v>
          </cell>
          <cell r="D188" t="str">
            <v>PROGRAM PENGELOLAAN SUMBER DAYA AIR (SDA)</v>
          </cell>
          <cell r="K188" t="str">
            <v>Dinas Pekerjaan Umum, Penataan Ruang, Perumahan dan Kawasan Permukiman</v>
          </cell>
          <cell r="O188" t="str">
            <v>GUNUNG SARI</v>
          </cell>
          <cell r="Q188">
            <v>100000000</v>
          </cell>
        </row>
        <row r="189">
          <cell r="B189" t="str">
            <v>Pengentasan Pengangguran</v>
          </cell>
          <cell r="D189" t="str">
            <v>PROGRAM PENEMPATAN TENAGA KERJA</v>
          </cell>
          <cell r="K189" t="str">
            <v>Dinas Perindustrian, Koperasi, Usaha Kecil dan Menengah, dan Tenaga Kerja</v>
          </cell>
          <cell r="O189" t="str">
            <v>GUNUNG SARI</v>
          </cell>
          <cell r="Q189">
            <v>100000000</v>
          </cell>
        </row>
        <row r="190">
          <cell r="B190" t="str">
            <v>Infrastruktur Berkelanjutan</v>
          </cell>
          <cell r="D190" t="str">
            <v>PROGRAM PENINGKATAN PRASARANA, SARANA DAN UTILITAS UMUM (PSU)</v>
          </cell>
          <cell r="K190" t="str">
            <v>Dinas Pekerjaan Umum, Penataan Ruang, Perumahan dan Kawasan Permukiman</v>
          </cell>
          <cell r="O190" t="str">
            <v>GUNUNG SARI</v>
          </cell>
          <cell r="Q190">
            <v>100000000</v>
          </cell>
        </row>
        <row r="191">
          <cell r="B191" t="str">
            <v>Infrastruktur Berkelanjutan</v>
          </cell>
          <cell r="D191" t="str">
            <v>PROGRAM PENINGKATAN PRASARANA, SARANA DAN UTILITAS UMUM (PSU)</v>
          </cell>
          <cell r="K191" t="str">
            <v>Dinas Pekerjaan Umum, Penataan Ruang, Perumahan dan Kawasan Permukiman</v>
          </cell>
          <cell r="O191" t="str">
            <v>GUNUNG SARI</v>
          </cell>
          <cell r="Q191">
            <v>100000000</v>
          </cell>
        </row>
        <row r="192">
          <cell r="B192" t="str">
            <v>Infrastruktur Berkelanjutan</v>
          </cell>
          <cell r="D192" t="str">
            <v>PROGRAM PENINGKATAN PRASARANA, SARANA DAN UTILITAS UMUM (PSU)</v>
          </cell>
          <cell r="K192" t="str">
            <v>Dinas Pekerjaan Umum, Penataan Ruang, Perumahan dan Kawasan Permukiman</v>
          </cell>
          <cell r="O192" t="str">
            <v>GUNUNG SARI</v>
          </cell>
          <cell r="Q192">
            <v>100000000</v>
          </cell>
        </row>
        <row r="193">
          <cell r="B193" t="str">
            <v>Infrastruktur Berkelanjutan</v>
          </cell>
          <cell r="D193" t="str">
            <v>PROGRAM PENINGKATAN PRASARANA, SARANA DAN UTILITAS UMUM (PSU)</v>
          </cell>
          <cell r="K193" t="str">
            <v>Dinas Pekerjaan Umum, Penataan Ruang, Perumahan dan Kawasan Permukiman</v>
          </cell>
          <cell r="O193" t="str">
            <v>GUNUNG SARI</v>
          </cell>
          <cell r="Q193">
            <v>100000000</v>
          </cell>
        </row>
        <row r="194">
          <cell r="B194" t="str">
            <v>Infrastruktur Berkelanjutan</v>
          </cell>
          <cell r="D194" t="str">
            <v>PROGRAM PENINGKATAN PRASARANA, SARANA DAN UTILITAS UMUM (PSU)</v>
          </cell>
          <cell r="K194" t="str">
            <v>Dinas Pekerjaan Umum, Penataan Ruang, Perumahan dan Kawasan Permukiman</v>
          </cell>
          <cell r="O194" t="str">
            <v>GUNUNG SARI</v>
          </cell>
          <cell r="Q194">
            <v>100000000</v>
          </cell>
        </row>
        <row r="195">
          <cell r="B195" t="str">
            <v>Infrastruktur Berkelanjutan</v>
          </cell>
          <cell r="D195" t="str">
            <v>PROGRAM PENGELOLAAN SUMBER DAYA AIR (SDA)</v>
          </cell>
          <cell r="K195" t="str">
            <v>Dinas Pekerjaan Umum, Penataan Ruang, Perumahan dan Kawasan Permukiman</v>
          </cell>
          <cell r="O195" t="str">
            <v>GUNUNG SARI</v>
          </cell>
          <cell r="Q195">
            <v>100000000</v>
          </cell>
        </row>
        <row r="196">
          <cell r="B196" t="str">
            <v>Infrastruktur Berkelanjutan</v>
          </cell>
          <cell r="D196" t="str">
            <v>PROGRAM PENINGKATAN PRASARANA, SARANA DAN UTILITAS UMUM (PSU)</v>
          </cell>
          <cell r="K196" t="str">
            <v>Dinas Pekerjaan Umum, Penataan Ruang, Perumahan dan Kawasan Permukiman</v>
          </cell>
          <cell r="O196" t="str">
            <v>GUNUNG SARI</v>
          </cell>
          <cell r="Q196">
            <v>50000000</v>
          </cell>
        </row>
        <row r="197">
          <cell r="B197" t="str">
            <v>Infrastruktur Berkelanjutan</v>
          </cell>
          <cell r="D197" t="str">
            <v>PROGRAM PENINGKATAN PRASARANA, SARANA DAN UTILITAS UMUM (PSU)</v>
          </cell>
          <cell r="K197" t="str">
            <v>Dinas Pekerjaan Umum, Penataan Ruang, Perumahan dan Kawasan Permukiman</v>
          </cell>
          <cell r="O197" t="str">
            <v>GUNUNG SARI</v>
          </cell>
          <cell r="Q197">
            <v>50000000</v>
          </cell>
        </row>
        <row r="198">
          <cell r="B198" t="str">
            <v>Infrastruktur Berkelanjutan</v>
          </cell>
          <cell r="D198" t="str">
            <v>PROGRAM PENINGKATAN PRASARANA, SARANA DAN UTILITAS UMUM (PSU)</v>
          </cell>
          <cell r="K198" t="str">
            <v>Dinas Pekerjaan Umum, Penataan Ruang, Perumahan dan Kawasan Permukiman</v>
          </cell>
          <cell r="O198" t="str">
            <v>GUNUNG SARI</v>
          </cell>
          <cell r="Q198">
            <v>100000000</v>
          </cell>
        </row>
        <row r="199">
          <cell r="B199" t="str">
            <v>Infrastruktur Berkelanjutan</v>
          </cell>
          <cell r="D199" t="str">
            <v>PROGRAM PENINGKATAN PRASARANA, SARANA DAN UTILITAS UMUM (PSU)</v>
          </cell>
          <cell r="K199" t="str">
            <v>Dinas Pekerjaan Umum, Penataan Ruang, Perumahan dan Kawasan Permukiman</v>
          </cell>
          <cell r="O199" t="str">
            <v>GUNUNG SARI</v>
          </cell>
          <cell r="Q199">
            <v>100000000</v>
          </cell>
        </row>
        <row r="200">
          <cell r="B200" t="str">
            <v>Infrastruktur Berkelanjutan</v>
          </cell>
          <cell r="D200" t="str">
            <v>PROGRAM PENGELOLAAN SUMBER DAYA AIR (SDA)</v>
          </cell>
          <cell r="K200" t="str">
            <v>Dinas Pekerjaan Umum, Penataan Ruang, Perumahan dan Kawasan Permukiman</v>
          </cell>
          <cell r="O200" t="str">
            <v>GUNUNG SARI</v>
          </cell>
          <cell r="Q200">
            <v>99999999.999999985</v>
          </cell>
        </row>
        <row r="201">
          <cell r="B201" t="str">
            <v>Infrastruktur Berkelanjutan</v>
          </cell>
          <cell r="D201" t="str">
            <v>PROGRAM PENINGKATAN PRASARANA, SARANA DAN UTILITAS UMUM (PSU)</v>
          </cell>
          <cell r="K201" t="str">
            <v>Dinas Pekerjaan Umum, Penataan Ruang, Perumahan dan Kawasan Permukiman</v>
          </cell>
          <cell r="O201" t="str">
            <v>GUNUNG SARI</v>
          </cell>
          <cell r="Q201">
            <v>100000000</v>
          </cell>
        </row>
        <row r="202">
          <cell r="B202" t="str">
            <v>Transformasi Tata Kelola</v>
          </cell>
          <cell r="D202" t="str">
            <v>PROGRAM PEMERINTAHAN DAN KESEJAHTERAAN RAKYAT</v>
          </cell>
          <cell r="K202" t="str">
            <v>Sekretariat Daerah</v>
          </cell>
          <cell r="O202" t="str">
            <v>Gunung Sari</v>
          </cell>
          <cell r="Q202">
            <v>10000000</v>
          </cell>
        </row>
        <row r="203">
          <cell r="B203" t="str">
            <v>Infrastruktur Berkelanjutan</v>
          </cell>
          <cell r="D203" t="str">
            <v>Program Penyelenggaraan Lalu Lintas dan Angkutan Jalan (LLAJ)</v>
          </cell>
          <cell r="K203" t="str">
            <v>Dinas Perhubungan</v>
          </cell>
          <cell r="O203" t="str">
            <v>Gunung Sari</v>
          </cell>
          <cell r="Q203">
            <v>129950000</v>
          </cell>
        </row>
        <row r="204">
          <cell r="B204" t="str">
            <v>Infrastruktur Berkelanjutan</v>
          </cell>
          <cell r="D204" t="str">
            <v>Program Penyelenggaraan Lalu Lintas dan Angkutan Jalan (LLAJ)</v>
          </cell>
          <cell r="K204" t="str">
            <v>Dinas Perhubungan</v>
          </cell>
          <cell r="O204" t="str">
            <v>Gunung Sari</v>
          </cell>
          <cell r="Q204">
            <v>129950000</v>
          </cell>
        </row>
        <row r="205">
          <cell r="B205" t="str">
            <v>Transformasi Tata Kelola</v>
          </cell>
          <cell r="D205" t="str">
            <v>PROGRAM PENINGKATAN KETENTERAMAN DAN KETERTIBAN UMUM</v>
          </cell>
          <cell r="K205" t="str">
            <v>Satuan Polisi Pamong Praja</v>
          </cell>
          <cell r="O205" t="str">
            <v>Gunung Sari</v>
          </cell>
          <cell r="Q205">
            <v>22738000</v>
          </cell>
        </row>
        <row r="206">
          <cell r="B206" t="str">
            <v>Transformasi Tata Kelola</v>
          </cell>
          <cell r="D206" t="str">
            <v>PROGRAM PENINGKATAN KETENTERAMAN DAN KETERTIBAN UMUM</v>
          </cell>
          <cell r="K206" t="str">
            <v>Satuan Polisi Pamong Praja</v>
          </cell>
          <cell r="O206" t="str">
            <v>Gunung Sari</v>
          </cell>
          <cell r="Q206">
            <v>22738000</v>
          </cell>
        </row>
        <row r="207">
          <cell r="B207" t="str">
            <v>Infrastruktur Berkelanjutan</v>
          </cell>
          <cell r="D207" t="str">
            <v>PROGRAM PENGELOLAAN PERSAMPAHAN</v>
          </cell>
          <cell r="K207" t="str">
            <v>Dinas Lingkungan Hidup</v>
          </cell>
          <cell r="O207" t="str">
            <v>Gunung Sari</v>
          </cell>
          <cell r="Q207">
            <v>50000000</v>
          </cell>
        </row>
        <row r="208">
          <cell r="B208" t="str">
            <v>Infrastruktur Berkelanjutan</v>
          </cell>
          <cell r="D208" t="str">
            <v>PROGRAM PENGELOLAAN PERSAMPAHAN</v>
          </cell>
          <cell r="K208" t="str">
            <v>Dinas Lingkungan Hidup</v>
          </cell>
          <cell r="O208" t="str">
            <v>Gunung Sari</v>
          </cell>
          <cell r="Q208">
            <v>50000000</v>
          </cell>
        </row>
        <row r="209">
          <cell r="B209" t="str">
            <v>Infrastruktur Berkelanjutan</v>
          </cell>
          <cell r="D209" t="str">
            <v>PROGRAM PENGELOLAAN PERSAMPAHAN</v>
          </cell>
          <cell r="K209" t="str">
            <v>Dinas Lingkungan Hidup</v>
          </cell>
          <cell r="O209" t="str">
            <v>Gunung Sari</v>
          </cell>
          <cell r="Q209">
            <v>50000000</v>
          </cell>
        </row>
        <row r="210">
          <cell r="B210" t="str">
            <v>Infrastruktur Berkelanjutan</v>
          </cell>
          <cell r="D210" t="str">
            <v>PROGRAM PENGELOLAAN PERSAMPAHAN</v>
          </cell>
          <cell r="K210" t="str">
            <v>Dinas Lingkungan Hidup</v>
          </cell>
          <cell r="O210" t="str">
            <v>Gunung Sari</v>
          </cell>
          <cell r="Q210">
            <v>50000000</v>
          </cell>
        </row>
        <row r="211">
          <cell r="B211" t="str">
            <v>Infrastruktur Berkelanjutan</v>
          </cell>
          <cell r="D211" t="str">
            <v>PROGRAM PENGELOLAAN PERSAMPAHAN</v>
          </cell>
          <cell r="K211" t="str">
            <v>Dinas Lingkungan Hidup</v>
          </cell>
          <cell r="O211" t="str">
            <v>Gunung Sari</v>
          </cell>
          <cell r="Q211">
            <v>50000000</v>
          </cell>
        </row>
        <row r="212">
          <cell r="B212" t="str">
            <v>Transformasi dan Kemandirian Ekonomi</v>
          </cell>
          <cell r="D212" t="str">
            <v>Program Pengembangan Kapasitas Daya Saing Keolahragaan</v>
          </cell>
          <cell r="K212" t="str">
            <v>Dinas Pariwisata, Ekonomi Kreatif, Pemuda, dan Olahraga</v>
          </cell>
          <cell r="O212" t="str">
            <v>Gunung Sari</v>
          </cell>
          <cell r="Q212">
            <v>20000000</v>
          </cell>
        </row>
        <row r="213">
          <cell r="B213" t="str">
            <v>Transformasi dan Kemandirian Ekonomi</v>
          </cell>
          <cell r="D213" t="str">
            <v>Program Pengembangan Kapasitas Daya Saing Keolahragaan</v>
          </cell>
          <cell r="K213" t="str">
            <v>Dinas Pariwisata, Ekonomi Kreatif, Pemuda, dan Olahraga</v>
          </cell>
          <cell r="O213" t="str">
            <v>Gunung Sari</v>
          </cell>
          <cell r="Q213">
            <v>20000000</v>
          </cell>
        </row>
        <row r="214">
          <cell r="B214" t="str">
            <v>Infrastruktur Berkelanjutan</v>
          </cell>
          <cell r="D214" t="str">
            <v>PROGRAM PENINGKATAN PRASARANA, SARANA DAN UTILITAS UMUM (PSU)</v>
          </cell>
          <cell r="K214" t="str">
            <v>Dinas Pekerjaan Umum, Penataan Ruang, Perumahan dan Kawasan Permukiman</v>
          </cell>
          <cell r="O214" t="str">
            <v>GUNUNG SARI</v>
          </cell>
          <cell r="Q214">
            <v>20000000</v>
          </cell>
        </row>
        <row r="215">
          <cell r="B215" t="str">
            <v>Infrastruktur Berkelanjutan</v>
          </cell>
          <cell r="D215" t="str">
            <v>PROGRAM PENINGKATAN PRASARANA, SARANA DAN UTILITAS UMUM (PSU)</v>
          </cell>
          <cell r="K215" t="str">
            <v>Dinas Pekerjaan Umum, Penataan Ruang, Perumahan dan Kawasan Permukiman</v>
          </cell>
          <cell r="O215" t="str">
            <v>GUNUNG SARI</v>
          </cell>
          <cell r="Q215">
            <v>98360655</v>
          </cell>
        </row>
        <row r="216">
          <cell r="B216" t="str">
            <v>Infrastruktur Berkelanjutan</v>
          </cell>
          <cell r="D216" t="str">
            <v>PROGRAM PENINGKATAN PRASARANA, SARANA DAN UTILITAS UMUM (PSU)</v>
          </cell>
          <cell r="K216" t="str">
            <v>Dinas Pekerjaan Umum, Penataan Ruang, Perumahan dan Kawasan Permukiman</v>
          </cell>
          <cell r="O216" t="str">
            <v>GUNUNG SARI</v>
          </cell>
          <cell r="Q216">
            <v>98360655</v>
          </cell>
        </row>
        <row r="217">
          <cell r="B217" t="str">
            <v>Infrastruktur Berkelanjutan</v>
          </cell>
          <cell r="D217" t="str">
            <v>PROGRAM PENINGKATAN PRASARANA, SARANA DAN UTILITAS UMUM (PSU)</v>
          </cell>
          <cell r="K217" t="str">
            <v>Dinas Pekerjaan Umum, Penataan Ruang, Perumahan dan Kawasan Permukiman</v>
          </cell>
          <cell r="O217" t="str">
            <v>GUNUNG SARI</v>
          </cell>
          <cell r="Q217">
            <v>131147539.99999999</v>
          </cell>
        </row>
        <row r="218">
          <cell r="B218" t="str">
            <v>Infrastruktur Berkelanjutan</v>
          </cell>
          <cell r="D218" t="str">
            <v>PROGRAM PENINGKATAN PRASARANA, SARANA DAN UTILITAS UMUM (PSU)</v>
          </cell>
          <cell r="K218" t="str">
            <v>Dinas Pekerjaan Umum, Penataan Ruang, Perumahan dan Kawasan Permukiman</v>
          </cell>
          <cell r="O218" t="str">
            <v>GUNUNG SARI</v>
          </cell>
          <cell r="Q218">
            <v>65573769.999999993</v>
          </cell>
        </row>
        <row r="219">
          <cell r="B219" t="str">
            <v>Agrominapolitan</v>
          </cell>
          <cell r="D219" t="str">
            <v>PROGRAM PENINGKATAN DIVERSIFIKASI DAN KETAHANAN PANGAN MASYARAKAT</v>
          </cell>
          <cell r="K219" t="str">
            <v>Dinas Kelautan, Perikanan, dan Ketahanan Pangan</v>
          </cell>
          <cell r="O219" t="str">
            <v>Gunung Sari</v>
          </cell>
          <cell r="Q219">
            <v>5000000</v>
          </cell>
        </row>
        <row r="220">
          <cell r="B220" t="str">
            <v>Agrominapolitan</v>
          </cell>
          <cell r="D220" t="str">
            <v>PROGRAM PENINGKATAN DIVERSIFIKASI DAN KETAHANAN PANGAN MASYARAKAT</v>
          </cell>
          <cell r="K220" t="str">
            <v>Dinas Kelautan, Perikanan, dan Ketahanan Pangan</v>
          </cell>
          <cell r="O220" t="str">
            <v>Gunung Sari</v>
          </cell>
          <cell r="Q220">
            <v>5000000</v>
          </cell>
        </row>
        <row r="221">
          <cell r="B221" t="str">
            <v>Agrominapolitan</v>
          </cell>
          <cell r="D221" t="str">
            <v>PROGRAM PENINGKATAN DIVERSIFIKASI DAN KETAHANAN PANGAN MASYARAKAT</v>
          </cell>
          <cell r="K221" t="str">
            <v>Dinas Kelautan, Perikanan, dan Ketahanan Pangan</v>
          </cell>
          <cell r="O221" t="str">
            <v>Gunung Sari</v>
          </cell>
          <cell r="Q221">
            <v>5000000</v>
          </cell>
        </row>
        <row r="222">
          <cell r="B222" t="str">
            <v>Agrominapolitan</v>
          </cell>
          <cell r="D222" t="str">
            <v>PROGRAM PENYEDIAAN DAN PENGEMBANGAN SARANA PERTANIAN</v>
          </cell>
          <cell r="K222" t="str">
            <v>Dinas Pertanian</v>
          </cell>
          <cell r="O222" t="str">
            <v>Gunung Sari</v>
          </cell>
          <cell r="Q222">
            <v>25000000</v>
          </cell>
        </row>
        <row r="223">
          <cell r="B223" t="str">
            <v>Agrominapolitan</v>
          </cell>
          <cell r="D223" t="str">
            <v>PROGRAM PENYEDIAAN DAN PENGEMBANGAN SARANA PERTANIAN</v>
          </cell>
          <cell r="K223" t="str">
            <v>Dinas Pertanian</v>
          </cell>
          <cell r="O223" t="str">
            <v>Gunung Sari</v>
          </cell>
          <cell r="Q223">
            <v>100000000</v>
          </cell>
        </row>
        <row r="224">
          <cell r="B224" t="str">
            <v>Transformasi dan Kemandirian Ekonomi</v>
          </cell>
          <cell r="D224" t="str">
            <v>PROGRAM PERENCANAAN DAN PEMBANGUNAN INDUSTRI</v>
          </cell>
          <cell r="K224" t="str">
            <v>Dinas Perindustrian, Koperasi, Usaha Kecil dan Menengah, dan Tenaga Kerja</v>
          </cell>
          <cell r="O224" t="str">
            <v>Gunung Sari</v>
          </cell>
          <cell r="Q224">
            <v>20000000</v>
          </cell>
        </row>
        <row r="225">
          <cell r="B225" t="str">
            <v>Transformasi dan Kemandirian Ekonomi</v>
          </cell>
          <cell r="D225" t="str">
            <v>PROGRAM PENEMPATAN TENAGA KERJA</v>
          </cell>
          <cell r="K225" t="str">
            <v>Dinas Perindustrian, Koperasi, Usaha Kecil dan Menengah, dan Tenaga Kerja</v>
          </cell>
          <cell r="O225" t="str">
            <v>Gunung Sari</v>
          </cell>
          <cell r="Q225">
            <v>10000000</v>
          </cell>
        </row>
        <row r="226">
          <cell r="B226" t="str">
            <v>Transformasi dan Kemandirian Ekonomi</v>
          </cell>
          <cell r="D226" t="str">
            <v>PROGRAM PERENCANAAN DAN PEMBANGUNAN INDUSTRI</v>
          </cell>
          <cell r="K226" t="str">
            <v>Dinas Perindustrian, Koperasi, Usaha Kecil dan Menengah, dan Tenaga Kerja</v>
          </cell>
          <cell r="O226" t="str">
            <v>Gunung Sari</v>
          </cell>
          <cell r="Q226">
            <v>15000000</v>
          </cell>
        </row>
        <row r="227">
          <cell r="B227" t="str">
            <v>Infrastruktur Berkelanjutan</v>
          </cell>
          <cell r="D227" t="str">
            <v>PROGRAM PENYELENGGARAAN JALAN</v>
          </cell>
          <cell r="K227" t="str">
            <v>Dinas Pekerjaan Umum, Penataan Ruang, Perumahan dan Kawasan Permukiman</v>
          </cell>
          <cell r="O227" t="str">
            <v>GUNUNG SARI</v>
          </cell>
          <cell r="Q227">
            <v>120000000</v>
          </cell>
        </row>
        <row r="228">
          <cell r="B228" t="str">
            <v>Infrastruktur Berkelanjutan</v>
          </cell>
          <cell r="D228" t="str">
            <v>PROGRAM PENYELENGGARAAN JALAN</v>
          </cell>
          <cell r="K228" t="str">
            <v>Dinas Pekerjaan Umum, Penataan Ruang, Perumahan dan Kawasan Permukiman</v>
          </cell>
          <cell r="O228" t="str">
            <v>GUNUNG SARI</v>
          </cell>
          <cell r="Q228">
            <v>150000000</v>
          </cell>
        </row>
        <row r="229">
          <cell r="B229" t="str">
            <v>Infrastruktur Berkelanjutan</v>
          </cell>
          <cell r="D229" t="str">
            <v>PROGRAM PENINGKATAN PRASARANA, SARANA DAN UTILITAS UMUM (PSU)</v>
          </cell>
          <cell r="K229" t="str">
            <v>Dinas Pekerjaan Umum, Penataan Ruang, Perumahan dan Kawasan Permukiman</v>
          </cell>
          <cell r="O229" t="str">
            <v>GUNUNG SARI</v>
          </cell>
          <cell r="Q229">
            <v>110000000</v>
          </cell>
        </row>
        <row r="230">
          <cell r="B230" t="str">
            <v>Infrastruktur Berkelanjutan</v>
          </cell>
          <cell r="D230" t="str">
            <v>PROGRAM PENINGKATAN PRASARANA, SARANA DAN UTILITAS UMUM (PSU)</v>
          </cell>
          <cell r="K230" t="str">
            <v>Dinas Pekerjaan Umum, Penataan Ruang, Perumahan dan Kawasan Permukiman</v>
          </cell>
          <cell r="O230" t="str">
            <v>GUNUNG SARI</v>
          </cell>
          <cell r="Q230">
            <v>50000000</v>
          </cell>
        </row>
        <row r="231">
          <cell r="B231" t="str">
            <v>Infrastruktur Berkelanjutan</v>
          </cell>
          <cell r="D231" t="str">
            <v>PROGRAM PENINGKATAN PRASARANA, SARANA DAN UTILITAS UMUM (PSU)</v>
          </cell>
          <cell r="K231" t="str">
            <v>Dinas Pekerjaan Umum, Penataan Ruang, Perumahan dan Kawasan Permukiman</v>
          </cell>
          <cell r="O231" t="str">
            <v>GUNUNG SARI</v>
          </cell>
          <cell r="Q231">
            <v>100000000</v>
          </cell>
        </row>
        <row r="232">
          <cell r="B232" t="str">
            <v>Infrastruktur Berkelanjutan</v>
          </cell>
          <cell r="D232" t="str">
            <v>PROGRAM PENYELENGGARAAN JALAN</v>
          </cell>
          <cell r="K232" t="str">
            <v>Dinas Pekerjaan Umum, Penataan Ruang, Perumahan dan Kawasan Permukiman</v>
          </cell>
          <cell r="O232" t="str">
            <v>GUNUNG SARI</v>
          </cell>
          <cell r="Q232">
            <v>45000000</v>
          </cell>
        </row>
        <row r="233">
          <cell r="B233" t="str">
            <v>Infrastruktur Berkelanjutan</v>
          </cell>
          <cell r="D233" t="str">
            <v>PROGRAM PENYELENGGARAAN JALAN</v>
          </cell>
          <cell r="K233" t="str">
            <v>Dinas Pekerjaan Umum, Penataan Ruang, Perumahan dan Kawasan Permukiman</v>
          </cell>
          <cell r="O233" t="str">
            <v>GUNUNG SARI</v>
          </cell>
          <cell r="Q233">
            <v>100000000</v>
          </cell>
        </row>
        <row r="234">
          <cell r="B234" t="str">
            <v>Infrastruktur Berkelanjutan</v>
          </cell>
          <cell r="D234" t="str">
            <v>PROGRAM PENYELENGGARAAN JALAN</v>
          </cell>
          <cell r="K234" t="str">
            <v>Dinas Pekerjaan Umum, Penataan Ruang, Perumahan dan Kawasan Permukiman</v>
          </cell>
          <cell r="O234" t="str">
            <v>GUNUNG SARI</v>
          </cell>
          <cell r="Q234">
            <v>40000000</v>
          </cell>
        </row>
        <row r="235">
          <cell r="B235" t="str">
            <v>Infrastruktur Berkelanjutan</v>
          </cell>
          <cell r="D235" t="str">
            <v>PROGRAM PENYELENGGARAAN JALAN</v>
          </cell>
          <cell r="K235" t="str">
            <v>Dinas Pekerjaan Umum, Penataan Ruang, Perumahan dan Kawasan Permukiman</v>
          </cell>
          <cell r="O235" t="str">
            <v>GUNUNG SARI</v>
          </cell>
          <cell r="Q235">
            <v>100000000</v>
          </cell>
        </row>
        <row r="236">
          <cell r="B236" t="str">
            <v>Infrastruktur Berkelanjutan</v>
          </cell>
          <cell r="D236" t="str">
            <v>PROGRAM PENINGKATAN PRASARANA, SARANA DAN UTILITAS UMUM (PSU)</v>
          </cell>
          <cell r="K236" t="str">
            <v>Dinas Pekerjaan Umum, Penataan Ruang, Perumahan dan Kawasan Permukiman</v>
          </cell>
          <cell r="O236" t="str">
            <v>GUNUNG SARI</v>
          </cell>
          <cell r="Q236">
            <v>114300000</v>
          </cell>
        </row>
        <row r="237">
          <cell r="B237" t="str">
            <v>Infrastruktur Berkelanjutan</v>
          </cell>
          <cell r="D237" t="str">
            <v>PROGRAM PENINGKATAN PRASARANA, SARANA DAN UTILITAS UMUM (PSU)</v>
          </cell>
          <cell r="K237" t="str">
            <v>Dinas Pekerjaan Umum, Penataan Ruang, Perumahan dan Kawasan Permukiman</v>
          </cell>
          <cell r="O237" t="str">
            <v>GUNUNG SARI</v>
          </cell>
          <cell r="Q237">
            <v>114300000</v>
          </cell>
        </row>
        <row r="238">
          <cell r="B238" t="str">
            <v>Infrastruktur Berkelanjutan</v>
          </cell>
          <cell r="D238" t="str">
            <v>PROGRAM PENINGKATAN PRASARANA, SARANA DAN UTILITAS UMUM (PSU)</v>
          </cell>
          <cell r="K238" t="str">
            <v>Dinas Pekerjaan Umum, Penataan Ruang, Perumahan dan Kawasan Permukiman</v>
          </cell>
          <cell r="O238" t="str">
            <v>GUNUNG SARI</v>
          </cell>
          <cell r="Q238">
            <v>117475000</v>
          </cell>
        </row>
        <row r="239">
          <cell r="B239" t="str">
            <v>Infrastruktur Berkelanjutan</v>
          </cell>
          <cell r="D239" t="str">
            <v>PROGRAM PENINGKATAN PRASARANA, SARANA DAN UTILITAS UMUM (PSU)</v>
          </cell>
          <cell r="K239" t="str">
            <v>Dinas Pekerjaan Umum, Penataan Ruang, Perumahan dan Kawasan Permukiman</v>
          </cell>
          <cell r="O239" t="str">
            <v>GUNUNG SARI</v>
          </cell>
          <cell r="Q239">
            <v>114300000</v>
          </cell>
        </row>
        <row r="240">
          <cell r="B240" t="str">
            <v>Infrastruktur Berkelanjutan</v>
          </cell>
          <cell r="D240" t="str">
            <v>PROGRAM PENINGKATAN PRASARANA, SARANA DAN UTILITAS UMUM (PSU)</v>
          </cell>
          <cell r="K240" t="str">
            <v>Dinas Pekerjaan Umum, Penataan Ruang, Perumahan dan Kawasan Permukiman</v>
          </cell>
          <cell r="O240" t="str">
            <v>GUNUNG SARI</v>
          </cell>
          <cell r="Q240">
            <v>218440000</v>
          </cell>
        </row>
        <row r="241">
          <cell r="B241" t="str">
            <v>Infrastruktur Berkelanjutan</v>
          </cell>
          <cell r="D241" t="str">
            <v>PROGRAM PENINGKATAN PRASARANA, SARANA DAN UTILITAS UMUM (PSU)</v>
          </cell>
          <cell r="K241" t="str">
            <v>Dinas Pekerjaan Umum, Penataan Ruang, Perumahan dan Kawasan Permukiman</v>
          </cell>
          <cell r="O241" t="str">
            <v>GUNUNG SARI</v>
          </cell>
          <cell r="Q241">
            <v>114300000</v>
          </cell>
        </row>
        <row r="242">
          <cell r="B242" t="str">
            <v>Infrastruktur Berkelanjutan</v>
          </cell>
          <cell r="D242" t="str">
            <v>PROGRAM PENINGKATAN PRASARANA, SARANA DAN UTILITAS UMUM (PSU)</v>
          </cell>
          <cell r="K242" t="str">
            <v>Dinas Pekerjaan Umum, Penataan Ruang, Perumahan dan Kawasan Permukiman</v>
          </cell>
          <cell r="O242" t="str">
            <v>GUNUNG SARI</v>
          </cell>
          <cell r="Q242">
            <v>218440000</v>
          </cell>
        </row>
        <row r="243">
          <cell r="B243" t="str">
            <v>Agrominapolitan</v>
          </cell>
          <cell r="D243" t="str">
            <v>PROGRAM PENYEDIAAN DAN PENGEMBANGAN SARANA PERTANIAN</v>
          </cell>
          <cell r="K243" t="str">
            <v>Dinas Pertanian</v>
          </cell>
          <cell r="O243" t="str">
            <v>Gunung Sari</v>
          </cell>
          <cell r="Q243">
            <v>84170000</v>
          </cell>
        </row>
        <row r="244">
          <cell r="B244" t="str">
            <v>Agrominapolitan</v>
          </cell>
          <cell r="D244" t="str">
            <v>PROGRAM PENYEDIAAN DAN PENGEMBANGAN SARANA PERTANIAN</v>
          </cell>
          <cell r="K244" t="str">
            <v>Dinas Pertanian</v>
          </cell>
          <cell r="O244" t="str">
            <v>Gunung Sari</v>
          </cell>
          <cell r="Q244">
            <v>26000000</v>
          </cell>
        </row>
        <row r="245">
          <cell r="B245" t="str">
            <v>Agrominapolitan</v>
          </cell>
          <cell r="D245" t="str">
            <v>PROGRAM PENYEDIAAN DAN PENGEMBANGAN SARANA PERTANIAN</v>
          </cell>
          <cell r="K245" t="str">
            <v>Dinas Pertanian</v>
          </cell>
          <cell r="O245" t="str">
            <v>Gunung Sari</v>
          </cell>
          <cell r="Q245">
            <v>84170000</v>
          </cell>
        </row>
        <row r="246">
          <cell r="B246" t="str">
            <v>Agrominapolitan</v>
          </cell>
          <cell r="D246" t="str">
            <v>PROGRAM PENYEDIAAN DAN PENGEMBANGAN SARANA PERTANIAN</v>
          </cell>
          <cell r="K246" t="str">
            <v>Dinas Pertanian</v>
          </cell>
          <cell r="O246" t="str">
            <v>Gunung Sari</v>
          </cell>
          <cell r="Q246">
            <v>26000000</v>
          </cell>
        </row>
        <row r="247">
          <cell r="B247" t="str">
            <v>Agrominapolitan</v>
          </cell>
          <cell r="D247" t="str">
            <v>PROGRAM PENYEDIAAN DAN PENGEMBANGAN SARANA PERTANIAN</v>
          </cell>
          <cell r="K247" t="str">
            <v>Dinas Pertanian</v>
          </cell>
          <cell r="O247" t="str">
            <v>Gunung Sari</v>
          </cell>
          <cell r="Q247">
            <v>84170000</v>
          </cell>
        </row>
        <row r="248">
          <cell r="B248" t="str">
            <v>Agrominapolitan</v>
          </cell>
          <cell r="D248" t="str">
            <v>PROGRAM PENYEDIAAN DAN PENGEMBANGAN SARANA PERTANIAN</v>
          </cell>
          <cell r="K248" t="str">
            <v>Dinas Pertanian</v>
          </cell>
          <cell r="O248" t="str">
            <v>Gunung Sari</v>
          </cell>
          <cell r="Q248">
            <v>26000000</v>
          </cell>
        </row>
        <row r="249">
          <cell r="B249" t="str">
            <v>Agrominapolitan</v>
          </cell>
          <cell r="D249" t="str">
            <v>PROGRAM PENYEDIAAN DAN PENGEMBANGAN SARANA PERTANIAN</v>
          </cell>
          <cell r="K249" t="str">
            <v>Dinas Pertanian</v>
          </cell>
          <cell r="O249" t="str">
            <v>Gunung Sari</v>
          </cell>
          <cell r="Q249">
            <v>81570000</v>
          </cell>
        </row>
        <row r="250">
          <cell r="B250" t="str">
            <v>Agrominapolitan</v>
          </cell>
          <cell r="D250" t="str">
            <v>PROGRAM PENYEDIAAN DAN PENGEMBANGAN SARANA PERTANIAN</v>
          </cell>
          <cell r="K250" t="str">
            <v>Dinas Pertanian</v>
          </cell>
          <cell r="O250" t="str">
            <v>Gunung Sari</v>
          </cell>
          <cell r="Q250">
            <v>28600000</v>
          </cell>
        </row>
        <row r="251">
          <cell r="B251" t="str">
            <v>Infrastruktur Berkelanjutan</v>
          </cell>
          <cell r="D251" t="str">
            <v>PROGRAM PENYELENGGARAAN JALAN</v>
          </cell>
          <cell r="K251" t="str">
            <v>Dinas Pekerjaan Umum, Penataan Ruang, Perumahan dan Kawasan Permukiman</v>
          </cell>
          <cell r="O251" t="str">
            <v>GUNUNG SARI</v>
          </cell>
          <cell r="Q251">
            <v>24811100</v>
          </cell>
        </row>
        <row r="252">
          <cell r="B252" t="str">
            <v>Infrastruktur Berkelanjutan</v>
          </cell>
          <cell r="D252" t="str">
            <v>PROGRAM PENYELENGGARAAN JALAN</v>
          </cell>
          <cell r="K252" t="str">
            <v>Dinas Pekerjaan Umum, Penataan Ruang, Perumahan dan Kawasan Permukiman</v>
          </cell>
          <cell r="O252" t="str">
            <v>Gunung Sari</v>
          </cell>
          <cell r="Q252">
            <v>24811100</v>
          </cell>
        </row>
        <row r="253">
          <cell r="B253" t="str">
            <v>Infrastruktur Berkelanjutan</v>
          </cell>
          <cell r="D253" t="str">
            <v>PROGRAM PENYELENGGARAAN JALAN</v>
          </cell>
          <cell r="K253" t="str">
            <v>Dinas Pekerjaan Umum, Penataan Ruang, Perumahan dan Kawasan Permukiman</v>
          </cell>
          <cell r="O253" t="str">
            <v>Gunung Sari</v>
          </cell>
          <cell r="Q253">
            <v>24314878</v>
          </cell>
        </row>
        <row r="254">
          <cell r="B254" t="str">
            <v>Infrastruktur Berkelanjutan</v>
          </cell>
          <cell r="D254" t="str">
            <v>PROGRAM PENINGKATAN PRASARANA, SARANA DAN UTILITAS UMUM (PSU)</v>
          </cell>
          <cell r="K254" t="str">
            <v>Dinas Pekerjaan Umum, Penataan Ruang, Perumahan dan Kawasan Permukiman</v>
          </cell>
          <cell r="O254" t="str">
            <v>Gunung Sari</v>
          </cell>
          <cell r="Q254">
            <v>208524590</v>
          </cell>
        </row>
        <row r="255">
          <cell r="B255" t="str">
            <v>Transformasi dan Kemandirian Ekonomi</v>
          </cell>
          <cell r="D255" t="str">
            <v>PROGRAM PENINGKATAN DAYA TARIK DESTINASI PARIWISATA</v>
          </cell>
          <cell r="K255" t="str">
            <v>Dinas Pariwisata, Ekonomi Kreatif, Pemuda, dan Olahraga</v>
          </cell>
          <cell r="O255" t="str">
            <v>Gunung Sari</v>
          </cell>
          <cell r="Q255">
            <v>276858332</v>
          </cell>
        </row>
        <row r="256">
          <cell r="B256" t="str">
            <v>Infrastruktur Berkelanjutan</v>
          </cell>
          <cell r="D256" t="str">
            <v>PROGRAM PENINGKATAN PRASARANA, SARANA DAN UTILITAS UMUM (PSU)</v>
          </cell>
          <cell r="K256" t="str">
            <v>Dinas Pekerjaan Umum, Penataan Ruang, Perumahan dan Kawasan Permukiman</v>
          </cell>
          <cell r="O256" t="str">
            <v>GUNUNG SARI</v>
          </cell>
          <cell r="Q256">
            <v>114300000</v>
          </cell>
        </row>
        <row r="257">
          <cell r="B257" t="str">
            <v>Infrastruktur Berkelanjutan</v>
          </cell>
          <cell r="D257" t="str">
            <v>PROGRAM PENINGKATAN PRASARANA, SARANA DAN UTILITAS UMUM (PSU)</v>
          </cell>
          <cell r="K257" t="str">
            <v>Dinas Pekerjaan Umum, Penataan Ruang, Perumahan dan Kawasan Permukiman</v>
          </cell>
          <cell r="O257" t="str">
            <v>GUNUNG SARI</v>
          </cell>
          <cell r="Q257">
            <v>205232000</v>
          </cell>
        </row>
        <row r="258">
          <cell r="B258" t="str">
            <v>Infrastruktur Berkelanjutan</v>
          </cell>
          <cell r="D258" t="str">
            <v>PROGRAM PENINGKATAN PRASARANA, SARANA DAN UTILITAS UMUM (PSU)</v>
          </cell>
          <cell r="K258" t="str">
            <v>Dinas Pekerjaan Umum, Penataan Ruang, Perumahan dan Kawasan Permukiman</v>
          </cell>
          <cell r="O258" t="str">
            <v>GUNUNG SARI</v>
          </cell>
          <cell r="Q258">
            <v>190500000</v>
          </cell>
        </row>
        <row r="259">
          <cell r="B259" t="str">
            <v>Infrastruktur Berkelanjutan</v>
          </cell>
          <cell r="D259" t="str">
            <v>PROGRAM PENYELENGGARAAN JALAN</v>
          </cell>
          <cell r="K259" t="str">
            <v>Dinas Pekerjaan Umum, Penataan Ruang, Perumahan dan Kawasan Permukiman</v>
          </cell>
          <cell r="O259" t="str">
            <v>GUNUNG SARI</v>
          </cell>
          <cell r="Q259">
            <v>119340000</v>
          </cell>
        </row>
        <row r="260">
          <cell r="B260" t="str">
            <v>Infrastruktur Berkelanjutan</v>
          </cell>
          <cell r="D260" t="str">
            <v>PROGRAM PENINGKATAN PRASARANA, SARANA DAN UTILITAS UMUM (PSU)</v>
          </cell>
          <cell r="K260" t="str">
            <v>Dinas Pekerjaan Umum, Penataan Ruang, Perumahan dan Kawasan Permukiman</v>
          </cell>
          <cell r="O260" t="str">
            <v>GUNUNG SARI</v>
          </cell>
          <cell r="Q260">
            <v>203200000</v>
          </cell>
        </row>
        <row r="261">
          <cell r="B261" t="str">
            <v>Infrastruktur Berkelanjutan</v>
          </cell>
          <cell r="D261" t="str">
            <v>PROGRAM PENINGKATAN PRASARANA, SARANA DAN UTILITAS UMUM (PSU)</v>
          </cell>
          <cell r="K261" t="str">
            <v>Dinas Pekerjaan Umum, Penataan Ruang, Perumahan dan Kawasan Permukiman</v>
          </cell>
          <cell r="O261" t="str">
            <v>GUNUNG SARI</v>
          </cell>
          <cell r="Q261">
            <v>205740000</v>
          </cell>
        </row>
        <row r="262">
          <cell r="B262" t="str">
            <v>Agrominapolitan</v>
          </cell>
          <cell r="D262" t="str">
            <v>PROGRAM PENYEDIAAN DAN PENGEMBANGAN SARANA PERTANIAN</v>
          </cell>
          <cell r="K262" t="str">
            <v>Dinas Pertanian</v>
          </cell>
          <cell r="O262" t="str">
            <v>Gunung Sari</v>
          </cell>
          <cell r="Q262">
            <v>168000000</v>
          </cell>
        </row>
        <row r="263">
          <cell r="B263" t="str">
            <v>Infrastruktur Berkelanjutan</v>
          </cell>
          <cell r="D263" t="str">
            <v>PROGRAM PENYELENGGARAAN JALAN</v>
          </cell>
          <cell r="K263" t="str">
            <v>Dinas Pekerjaan Umum, Penataan Ruang, Perumahan dan Kawasan Permukiman</v>
          </cell>
          <cell r="O263" t="str">
            <v>GUNUNG SARI</v>
          </cell>
          <cell r="Q263">
            <v>100163554</v>
          </cell>
        </row>
        <row r="264">
          <cell r="B264" t="str">
            <v>Infrastruktur Berkelanjutan</v>
          </cell>
          <cell r="D264" t="str">
            <v>PROGRAM PENINGKATAN PRASARANA, SARANA DAN UTILITAS UMUM (PSU)</v>
          </cell>
          <cell r="K264" t="str">
            <v>Dinas Pekerjaan Umum, Penataan Ruang, Perumahan dan Kawasan Permukiman</v>
          </cell>
          <cell r="O264" t="str">
            <v>GUNUNG SARI</v>
          </cell>
          <cell r="Q264">
            <v>258688522.64999998</v>
          </cell>
        </row>
        <row r="265">
          <cell r="B265" t="str">
            <v>Infrastruktur Berkelanjutan</v>
          </cell>
          <cell r="D265" t="str">
            <v>PROGRAM PENINGKATAN PRASARANA, SARANA DAN UTILITAS UMUM (PSU)</v>
          </cell>
          <cell r="K265" t="str">
            <v>Dinas Pekerjaan Umum, Penataan Ruang, Perumahan dan Kawasan Permukiman</v>
          </cell>
          <cell r="O265" t="str">
            <v>GUNUNG SARI</v>
          </cell>
          <cell r="Q265">
            <v>212786883.64999998</v>
          </cell>
        </row>
        <row r="266">
          <cell r="B266" t="str">
            <v>Infrastruktur Berkelanjutan</v>
          </cell>
          <cell r="D266" t="str">
            <v>PROGRAM PENINGKATAN PRASARANA, SARANA DAN UTILITAS UMUM (PSU)</v>
          </cell>
          <cell r="K266" t="str">
            <v>Dinas Pekerjaan Umum, Penataan Ruang, Perumahan dan Kawasan Permukiman</v>
          </cell>
          <cell r="O266" t="str">
            <v>GUNUNG SARI</v>
          </cell>
          <cell r="Q266">
            <v>74249268</v>
          </cell>
        </row>
        <row r="267">
          <cell r="B267" t="str">
            <v>Infrastruktur Berkelanjutan</v>
          </cell>
          <cell r="D267" t="str">
            <v>PROGRAM PENINGKATAN PRASARANA, SARANA DAN UTILITAS UMUM (PSU)</v>
          </cell>
          <cell r="K267" t="str">
            <v>Dinas Pekerjaan Umum, Penataan Ruang, Perumahan dan Kawasan Permukiman</v>
          </cell>
          <cell r="O267" t="str">
            <v>GUNUNG SARI</v>
          </cell>
          <cell r="Q267">
            <v>27540983</v>
          </cell>
        </row>
        <row r="268">
          <cell r="B268" t="str">
            <v>Infrastruktur Berkelanjutan</v>
          </cell>
          <cell r="D268" t="str">
            <v>PROGRAM PENINGKATAN PRASARANA, SARANA DAN UTILITAS UMUM (PSU)</v>
          </cell>
          <cell r="K268" t="str">
            <v>Dinas Pekerjaan Umum, Penataan Ruang, Perumahan dan Kawasan Permukiman</v>
          </cell>
          <cell r="O268" t="str">
            <v>GUNUNG SARI</v>
          </cell>
          <cell r="Q268">
            <v>55674666</v>
          </cell>
        </row>
        <row r="269">
          <cell r="B269" t="str">
            <v>Infrastruktur Berkelanjutan</v>
          </cell>
          <cell r="D269" t="str">
            <v>PROGRAM PENGELOLAAN DAN PENGEMBANGAN SISTEM DRAINASE</v>
          </cell>
          <cell r="K269" t="str">
            <v>Dinas Pekerjaan Umum, Penataan Ruang, Perumahan dan Kawasan Permukiman</v>
          </cell>
          <cell r="O269" t="str">
            <v>GUNUNG SARI</v>
          </cell>
          <cell r="Q269">
            <v>119074216</v>
          </cell>
        </row>
        <row r="270">
          <cell r="B270" t="str">
            <v>Transformasi dan Kemandirian Ekonomi</v>
          </cell>
          <cell r="D270" t="str">
            <v>PROGRAM PENINGKATAN SARANA DISTRIBUSI PERDAGANGAN</v>
          </cell>
          <cell r="K270" t="str">
            <v>Dinas Perdagangan</v>
          </cell>
          <cell r="O270" t="str">
            <v>Gunung Sari</v>
          </cell>
          <cell r="Q270">
            <v>50760000</v>
          </cell>
        </row>
        <row r="271">
          <cell r="B271" t="str">
            <v>Transformasi Tata Kelola</v>
          </cell>
          <cell r="D271" t="str">
            <v>PROGRAM PEMERINTAHAN DAN KESEJAHTERAAN RAKYAT</v>
          </cell>
          <cell r="K271" t="str">
            <v>Sekretariat Daerah</v>
          </cell>
          <cell r="O271" t="str">
            <v>Gunung Sari</v>
          </cell>
          <cell r="Q271">
            <v>50000000</v>
          </cell>
        </row>
        <row r="272">
          <cell r="B272" t="str">
            <v>Transformasi Tata Kelola</v>
          </cell>
          <cell r="D272" t="str">
            <v>PROGRAM PEMERINTAHAN DAN KESEJAHTERAAN RAKYAT</v>
          </cell>
          <cell r="K272" t="str">
            <v>Sekretariat Daerah</v>
          </cell>
          <cell r="O272" t="str">
            <v>Gunung Sari</v>
          </cell>
          <cell r="Q272">
            <v>50000000</v>
          </cell>
        </row>
        <row r="273">
          <cell r="B273" t="str">
            <v>Pembangunan SDM Unggul dan Berdaya Saing</v>
          </cell>
          <cell r="D273" t="str">
            <v>PROGRAM PENGELOLAAN PENDIDIKAN</v>
          </cell>
          <cell r="K273" t="str">
            <v>Dinas Pendidikan dan Kebudayaan</v>
          </cell>
          <cell r="O273" t="str">
            <v>Gunung Sari</v>
          </cell>
          <cell r="Q273">
            <v>100000000</v>
          </cell>
        </row>
        <row r="274">
          <cell r="B274" t="str">
            <v>Pembangunan SDM Unggul dan Berdaya Saing</v>
          </cell>
          <cell r="D274" t="str">
            <v>PROGRAM PENGELOLAAN PENDIDIKAN</v>
          </cell>
          <cell r="K274" t="str">
            <v>Dinas Pendidikan dan Kebudayaan</v>
          </cell>
          <cell r="O274" t="str">
            <v>Gunung Sari</v>
          </cell>
          <cell r="Q274">
            <v>31625000</v>
          </cell>
        </row>
        <row r="275">
          <cell r="B275" t="str">
            <v>Transformasi dan Kemandirian Ekonomi</v>
          </cell>
          <cell r="D275" t="str">
            <v>PROGRAM PENINGKATAN DAYA TARIK DESTINASI PARIWISATA</v>
          </cell>
          <cell r="K275" t="str">
            <v>Dinas Pariwisata, Ekonomi Kreatif, Pemuda, dan Olahraga</v>
          </cell>
          <cell r="O275" t="str">
            <v>Gunung Sari</v>
          </cell>
          <cell r="Q275">
            <v>50000000</v>
          </cell>
        </row>
        <row r="276">
          <cell r="B276" t="str">
            <v>Infrastruktur Berkelanjutan</v>
          </cell>
          <cell r="D276" t="str">
            <v>Program Penyelenggaraan Lalu Lintas dan Angkutan Jalan (LLAJ)</v>
          </cell>
          <cell r="K276" t="str">
            <v>Dinas Perhubungan</v>
          </cell>
          <cell r="O276" t="str">
            <v>Gunung Sari</v>
          </cell>
          <cell r="Q276">
            <v>50250000</v>
          </cell>
        </row>
        <row r="277">
          <cell r="B277" t="str">
            <v>Infrastruktur Berkelanjutan</v>
          </cell>
          <cell r="D277" t="str">
            <v>PROGRAM PENGELOLAAN DAN PENGEMBANGAN SISTEM DRAINASE</v>
          </cell>
          <cell r="K277" t="str">
            <v>Dinas Pekerjaan Umum, Penataan Ruang, Perumahan dan Kawasan Permukiman</v>
          </cell>
          <cell r="O277" t="str">
            <v>GUNUNG SARI</v>
          </cell>
          <cell r="Q277">
            <v>177200000</v>
          </cell>
        </row>
        <row r="278">
          <cell r="B278" t="str">
            <v>Infrastruktur Berkelanjutan</v>
          </cell>
          <cell r="D278" t="str">
            <v>PROGRAM PENINGKATAN PRASARANA, SARANA DAN UTILITAS UMUM (PSU)</v>
          </cell>
          <cell r="K278" t="str">
            <v>Dinas Pekerjaan Umum, Penataan Ruang, Perumahan dan Kawasan Permukiman</v>
          </cell>
          <cell r="O278" t="str">
            <v>GUNUNG SARI</v>
          </cell>
          <cell r="Q278">
            <v>273390000</v>
          </cell>
        </row>
        <row r="279">
          <cell r="B279" t="str">
            <v>Infrastruktur Berkelanjutan</v>
          </cell>
          <cell r="D279" t="str">
            <v>PROGRAM PENGELOLAAN DAN PENGEMBANGAN SISTEM DRAINASE</v>
          </cell>
          <cell r="K279" t="str">
            <v>Dinas Pekerjaan Umum, Penataan Ruang, Perumahan dan Kawasan Permukiman</v>
          </cell>
          <cell r="O279" t="str">
            <v>GUNUNG SARI</v>
          </cell>
          <cell r="Q279">
            <v>177200000</v>
          </cell>
        </row>
        <row r="280">
          <cell r="B280" t="str">
            <v>KECAMATAN LINGSAR</v>
          </cell>
        </row>
        <row r="281">
          <cell r="B281" t="str">
            <v>Transformasi dan Kemandirian Ekonomi</v>
          </cell>
          <cell r="D281" t="str">
            <v>PROGRAM PENINGKATAN SARANA DISTRIBUSI PERDAGANGAN</v>
          </cell>
          <cell r="K281" t="str">
            <v>Dinas Perdagangan</v>
          </cell>
          <cell r="O281" t="str">
            <v>Lingsar</v>
          </cell>
          <cell r="Q281">
            <v>100000000</v>
          </cell>
        </row>
        <row r="282">
          <cell r="B282" t="str">
            <v>Transformasi dan Kemandirian Ekonomi</v>
          </cell>
          <cell r="D282" t="str">
            <v>PROGRAM PENINGKATAN SARANA DISTRIBUSI PERDAGANGAN</v>
          </cell>
          <cell r="K282" t="str">
            <v>Dinas Perdagangan</v>
          </cell>
          <cell r="O282" t="str">
            <v>Lingsar</v>
          </cell>
          <cell r="Q282">
            <v>315000000</v>
          </cell>
        </row>
        <row r="283">
          <cell r="B283" t="str">
            <v>Transformasi dan Kemandirian Ekonomi</v>
          </cell>
          <cell r="D283" t="str">
            <v>PROGRAM PENINGKATAN SARANA DISTRIBUSI PERDAGANGAN</v>
          </cell>
          <cell r="K283" t="str">
            <v>Dinas Perdagangan</v>
          </cell>
          <cell r="O283" t="str">
            <v>Lingsar</v>
          </cell>
          <cell r="Q283">
            <v>14690000</v>
          </cell>
        </row>
        <row r="284">
          <cell r="B284" t="str">
            <v>Transformasi dan Kemandirian Ekonomi</v>
          </cell>
          <cell r="D284" t="str">
            <v>PROGRAM PENINGKATAN SARANA DISTRIBUSI PERDAGANGAN</v>
          </cell>
          <cell r="K284" t="str">
            <v>Dinas Perdagangan</v>
          </cell>
          <cell r="O284" t="str">
            <v>Lingsar</v>
          </cell>
          <cell r="Q284">
            <v>14690000</v>
          </cell>
        </row>
        <row r="285">
          <cell r="B285" t="str">
            <v>Pembangunan SDM Unggul dan Berdaya Saing</v>
          </cell>
          <cell r="D285" t="str">
            <v>PROGRAM PENGELOLAAN PENDIDIKAN</v>
          </cell>
          <cell r="K285" t="str">
            <v>Dinas Pendidikan dan Kebudayaan</v>
          </cell>
          <cell r="O285" t="str">
            <v>Lingsar</v>
          </cell>
          <cell r="Q285">
            <v>31625000</v>
          </cell>
        </row>
        <row r="286">
          <cell r="B286" t="str">
            <v>Pembangunan SDM Unggul dan Berdaya Saing</v>
          </cell>
          <cell r="D286" t="str">
            <v>PROGRAM PENGELOLAAN PENDIDIKAN</v>
          </cell>
          <cell r="K286" t="str">
            <v>Dinas Pendidikan dan Kebudayaan</v>
          </cell>
          <cell r="O286" t="str">
            <v>Lingsar</v>
          </cell>
          <cell r="Q286">
            <v>50000000</v>
          </cell>
        </row>
        <row r="287">
          <cell r="B287" t="str">
            <v>Harmoni Sosial</v>
          </cell>
          <cell r="D287" t="str">
            <v>PROGRAM PENGEMBANGAN KEBUDAYAAN</v>
          </cell>
          <cell r="K287" t="str">
            <v>Dinas Pendidikan dan Kebudayaan</v>
          </cell>
          <cell r="O287" t="str">
            <v>Lingsar</v>
          </cell>
          <cell r="Q287">
            <v>100000000</v>
          </cell>
        </row>
        <row r="288">
          <cell r="B288" t="str">
            <v>Harmoni Sosial</v>
          </cell>
          <cell r="D288" t="str">
            <v>PROGRAM PENGEMBANGAN KEBUDAYAAN</v>
          </cell>
          <cell r="K288" t="str">
            <v>Dinas Pendidikan dan Kebudayaan</v>
          </cell>
          <cell r="O288" t="str">
            <v>Lingsar</v>
          </cell>
          <cell r="Q288">
            <v>100000000</v>
          </cell>
        </row>
        <row r="289">
          <cell r="B289" t="str">
            <v>Harmoni Sosial</v>
          </cell>
          <cell r="D289" t="str">
            <v>PROGRAM PENGEMBANGAN KEBUDAYAAN</v>
          </cell>
          <cell r="K289" t="str">
            <v>Dinas Pendidikan dan Kebudayaan</v>
          </cell>
          <cell r="O289" t="str">
            <v>Lingsar</v>
          </cell>
          <cell r="Q289">
            <v>100000000</v>
          </cell>
        </row>
        <row r="290">
          <cell r="B290" t="str">
            <v>Harmoni Sosial</v>
          </cell>
          <cell r="D290" t="str">
            <v>PROGRAM PENGEMBANGAN KEBUDAYAAN</v>
          </cell>
          <cell r="K290" t="str">
            <v>Dinas Pendidikan dan Kebudayaan</v>
          </cell>
          <cell r="O290" t="str">
            <v>Lingsar</v>
          </cell>
          <cell r="Q290">
            <v>100000000</v>
          </cell>
        </row>
        <row r="291">
          <cell r="B291" t="str">
            <v>Pembangunan SDM Unggul dan Berdaya Saing</v>
          </cell>
          <cell r="D291" t="str">
            <v>PROGRAM PENGELOLAAN PENDIDIKAN</v>
          </cell>
          <cell r="K291" t="str">
            <v>Dinas Pendidikan dan Kebudayaan</v>
          </cell>
          <cell r="O291" t="str">
            <v>Lingsar</v>
          </cell>
          <cell r="Q291">
            <v>31625000</v>
          </cell>
        </row>
        <row r="292">
          <cell r="B292" t="str">
            <v>Pembangunan SDM Unggul dan Berdaya Saing</v>
          </cell>
          <cell r="D292" t="str">
            <v>PROGRAM PENGELOLAAN PENDIDIKAN</v>
          </cell>
          <cell r="K292" t="str">
            <v>Dinas Pendidikan dan Kebudayaan</v>
          </cell>
          <cell r="O292" t="str">
            <v>Lingsar</v>
          </cell>
          <cell r="Q292">
            <v>100000000</v>
          </cell>
        </row>
        <row r="293">
          <cell r="B293" t="str">
            <v>Pembangunan SDM Unggul dan Berdaya Saing</v>
          </cell>
          <cell r="D293" t="str">
            <v>PROGRAM PENGELOLAAN PENDIDIKAN</v>
          </cell>
          <cell r="K293" t="str">
            <v>Dinas Pendidikan dan Kebudayaan</v>
          </cell>
          <cell r="O293" t="str">
            <v>Lingsar</v>
          </cell>
          <cell r="Q293">
            <v>38500000</v>
          </cell>
        </row>
        <row r="294">
          <cell r="B294" t="str">
            <v>Pembangunan SDM Unggul dan Berdaya Saing</v>
          </cell>
          <cell r="D294" t="str">
            <v>PROGRAM PENGELOLAAN PENDIDIKAN</v>
          </cell>
          <cell r="K294" t="str">
            <v>Dinas Pendidikan dan Kebudayaan</v>
          </cell>
          <cell r="O294" t="str">
            <v>Lingsar</v>
          </cell>
          <cell r="Q294">
            <v>38500000</v>
          </cell>
        </row>
        <row r="295">
          <cell r="B295" t="str">
            <v>Transformasi Tata Kelola</v>
          </cell>
          <cell r="D295" t="str">
            <v>PROGRAM PENINGKATAN KETENTERAMAN DAN KETERTIBAN UMUM</v>
          </cell>
          <cell r="K295" t="str">
            <v>Satuan Polisi Pamong Praja</v>
          </cell>
          <cell r="O295" t="str">
            <v>Lingsar</v>
          </cell>
          <cell r="Q295">
            <v>9230250</v>
          </cell>
        </row>
        <row r="296">
          <cell r="B296" t="str">
            <v>Transformasi Tata Kelola</v>
          </cell>
          <cell r="D296" t="str">
            <v>PROGRAM PENINGKATAN KETENTERAMAN DAN KETERTIBAN UMUM</v>
          </cell>
          <cell r="K296" t="str">
            <v>Satuan Polisi Pamong Praja</v>
          </cell>
          <cell r="O296" t="str">
            <v>Lingsar</v>
          </cell>
          <cell r="Q296">
            <v>9230250</v>
          </cell>
        </row>
        <row r="297">
          <cell r="B297" t="str">
            <v>Infrastruktur Berkelanjutan</v>
          </cell>
          <cell r="D297" t="str">
            <v>PROGRAM PENGELOLAAN PERSAMPAHAN</v>
          </cell>
          <cell r="K297" t="str">
            <v>Dinas Lingkungan Hidup</v>
          </cell>
          <cell r="O297" t="str">
            <v>Lingsar</v>
          </cell>
          <cell r="Q297">
            <v>50000000</v>
          </cell>
        </row>
        <row r="298">
          <cell r="B298" t="str">
            <v>Infrastruktur Berkelanjutan</v>
          </cell>
          <cell r="D298" t="str">
            <v>PROGRAM PENGELOLAAN PERSAMPAHAN</v>
          </cell>
          <cell r="K298" t="str">
            <v>Dinas Lingkungan Hidup</v>
          </cell>
          <cell r="O298" t="str">
            <v>Lingsar</v>
          </cell>
          <cell r="Q298">
            <v>50000000</v>
          </cell>
        </row>
        <row r="299">
          <cell r="B299" t="str">
            <v>Infrastruktur Berkelanjutan</v>
          </cell>
          <cell r="D299" t="str">
            <v>PROGRAM PENGELOLAAN PERSAMPAHAN</v>
          </cell>
          <cell r="K299" t="str">
            <v>Dinas Lingkungan Hidup</v>
          </cell>
          <cell r="O299" t="str">
            <v>Lingsar</v>
          </cell>
          <cell r="Q299">
            <v>50000000</v>
          </cell>
        </row>
        <row r="300">
          <cell r="B300" t="str">
            <v>Infrastruktur Berkelanjutan</v>
          </cell>
          <cell r="D300" t="str">
            <v>PROGRAM PENGELOLAAN PERSAMPAHAN</v>
          </cell>
          <cell r="K300" t="str">
            <v>Dinas Lingkungan Hidup</v>
          </cell>
          <cell r="O300" t="str">
            <v>Lingsar</v>
          </cell>
          <cell r="Q300">
            <v>200000000</v>
          </cell>
        </row>
        <row r="301">
          <cell r="B301" t="str">
            <v>Agrominapolitan</v>
          </cell>
          <cell r="D301" t="str">
            <v>PROGRAM PENYEDIAAN DAN PENGEMBANGAN SARANA PERTANIAN</v>
          </cell>
          <cell r="K301" t="str">
            <v>Dinas Pertanian</v>
          </cell>
          <cell r="O301" t="str">
            <v>Lingsar</v>
          </cell>
          <cell r="Q301">
            <v>95040000</v>
          </cell>
        </row>
        <row r="302">
          <cell r="B302" t="str">
            <v>Agrominapolitan</v>
          </cell>
          <cell r="D302" t="str">
            <v>PROGRAM PENYEDIAAN DAN PENGEMBANGAN SARANA PERTANIAN</v>
          </cell>
          <cell r="K302" t="str">
            <v>Dinas Pertanian</v>
          </cell>
          <cell r="O302" t="str">
            <v>Lingsar</v>
          </cell>
          <cell r="Q302">
            <v>99500000</v>
          </cell>
        </row>
        <row r="303">
          <cell r="B303" t="str">
            <v>Agrominapolitan</v>
          </cell>
          <cell r="D303" t="str">
            <v>PROGRAM PENYEDIAAN DAN PENGEMBANGAN SARANA PERTANIAN</v>
          </cell>
          <cell r="K303" t="str">
            <v>Dinas Pertanian</v>
          </cell>
          <cell r="O303" t="str">
            <v>Lingsar</v>
          </cell>
          <cell r="Q303">
            <v>75000000</v>
          </cell>
        </row>
        <row r="304">
          <cell r="B304" t="str">
            <v>Agrominapolitan</v>
          </cell>
          <cell r="D304" t="str">
            <v>PROGRAM PENYEDIAAN DAN PENGEMBANGAN SARANA PERTANIAN</v>
          </cell>
          <cell r="K304" t="str">
            <v>Dinas Pertanian</v>
          </cell>
          <cell r="O304" t="str">
            <v>Lingsar</v>
          </cell>
          <cell r="Q304">
            <v>200000000</v>
          </cell>
        </row>
        <row r="305">
          <cell r="B305" t="str">
            <v>Agrominapolitan</v>
          </cell>
          <cell r="D305" t="str">
            <v>PROGRAM PENYEDIAAN DAN PENGEMBANGAN SARANA PERTANIAN</v>
          </cell>
          <cell r="K305" t="str">
            <v>Dinas Pertanian</v>
          </cell>
          <cell r="O305" t="str">
            <v>Lingsar</v>
          </cell>
          <cell r="Q305">
            <v>100000000</v>
          </cell>
        </row>
        <row r="306">
          <cell r="B306" t="str">
            <v>Agrominapolitan</v>
          </cell>
          <cell r="D306" t="str">
            <v>PROGRAM PENYEDIAAN DAN PENGEMBANGAN SARANA PERTANIAN</v>
          </cell>
          <cell r="K306" t="str">
            <v>Dinas Pertanian</v>
          </cell>
          <cell r="O306" t="str">
            <v>Lingsar</v>
          </cell>
          <cell r="Q306">
            <v>100000000</v>
          </cell>
        </row>
        <row r="307">
          <cell r="B307" t="str">
            <v>Agrominapolitan</v>
          </cell>
          <cell r="D307" t="str">
            <v>PROGRAM PENYEDIAAN DAN PENGEMBANGAN SARANA PERTANIAN</v>
          </cell>
          <cell r="K307" t="str">
            <v>Dinas Pertanian</v>
          </cell>
          <cell r="O307" t="str">
            <v>Lingsar</v>
          </cell>
          <cell r="Q307">
            <v>100000000</v>
          </cell>
        </row>
        <row r="308">
          <cell r="B308" t="str">
            <v>Agrominapolitan</v>
          </cell>
          <cell r="D308" t="str">
            <v>PROGRAM PENYEDIAAN DAN PENGEMBANGAN SARANA PERTANIAN</v>
          </cell>
          <cell r="K308" t="str">
            <v>Dinas Pertanian</v>
          </cell>
          <cell r="O308" t="str">
            <v>Lingsar</v>
          </cell>
          <cell r="Q308">
            <v>85000000</v>
          </cell>
        </row>
        <row r="309">
          <cell r="B309" t="str">
            <v>Agrominapolitan</v>
          </cell>
          <cell r="D309" t="str">
            <v>PROGRAM PENYEDIAAN DAN PENGEMBANGAN SARANA PERTANIAN</v>
          </cell>
          <cell r="K309" t="str">
            <v>Dinas Pertanian</v>
          </cell>
          <cell r="O309" t="str">
            <v>Lingsar</v>
          </cell>
          <cell r="Q309">
            <v>150000000</v>
          </cell>
        </row>
        <row r="310">
          <cell r="B310" t="str">
            <v>Agrominapolitan</v>
          </cell>
          <cell r="D310" t="str">
            <v>PROGRAM PENYEDIAAN DAN PENGEMBANGAN SARANA PERTANIAN</v>
          </cell>
          <cell r="K310" t="str">
            <v>Dinas Pertanian</v>
          </cell>
          <cell r="O310" t="str">
            <v>Lingsar</v>
          </cell>
          <cell r="Q310">
            <v>150000000</v>
          </cell>
        </row>
        <row r="311">
          <cell r="B311" t="str">
            <v>Agrominapolitan</v>
          </cell>
          <cell r="D311" t="str">
            <v>PROGRAM PENYEDIAAN DAN PENGEMBANGAN SARANA PERTANIAN</v>
          </cell>
          <cell r="K311" t="str">
            <v>Dinas Pertanian</v>
          </cell>
          <cell r="O311" t="str">
            <v>Lingsar</v>
          </cell>
          <cell r="Q311">
            <v>200000000</v>
          </cell>
        </row>
        <row r="312">
          <cell r="B312" t="str">
            <v>Agrominapolitan</v>
          </cell>
          <cell r="D312" t="str">
            <v>PROGRAM PENYEDIAAN DAN PENGEMBANGAN SARANA PERTANIAN</v>
          </cell>
          <cell r="K312" t="str">
            <v>Dinas Pertanian</v>
          </cell>
          <cell r="O312" t="str">
            <v>Lingsar</v>
          </cell>
          <cell r="Q312">
            <v>50800000</v>
          </cell>
        </row>
        <row r="313">
          <cell r="B313" t="str">
            <v>Agrominapolitan</v>
          </cell>
          <cell r="D313" t="str">
            <v>PROGRAM PENYEDIAAN DAN PENGEMBANGAN SARANA PERTANIAN</v>
          </cell>
          <cell r="K313" t="str">
            <v>Dinas Pertanian</v>
          </cell>
          <cell r="O313" t="str">
            <v>Lingsar</v>
          </cell>
          <cell r="Q313">
            <v>30000000</v>
          </cell>
        </row>
        <row r="314">
          <cell r="B314" t="str">
            <v>Agrominapolitan</v>
          </cell>
          <cell r="D314" t="str">
            <v>PROGRAM PENYEDIAAN DAN PENGEMBANGAN SARANA PERTANIAN</v>
          </cell>
          <cell r="K314" t="str">
            <v>Dinas Pertanian</v>
          </cell>
          <cell r="O314" t="str">
            <v>Lingsar</v>
          </cell>
          <cell r="Q314">
            <v>160000000</v>
          </cell>
        </row>
        <row r="315">
          <cell r="B315" t="str">
            <v>Agrominapolitan</v>
          </cell>
          <cell r="D315" t="str">
            <v>PROGRAM PENYEDIAAN DAN PENGEMBANGAN SARANA PERTANIAN</v>
          </cell>
          <cell r="K315" t="str">
            <v>Dinas Pertanian</v>
          </cell>
          <cell r="O315" t="str">
            <v>Lingsar</v>
          </cell>
          <cell r="Q315">
            <v>190000000</v>
          </cell>
        </row>
        <row r="316">
          <cell r="B316" t="str">
            <v>Agrominapolitan</v>
          </cell>
          <cell r="D316" t="str">
            <v>PROGRAM PENYEDIAAN DAN PENGEMBANGAN SARANA PERTANIAN</v>
          </cell>
          <cell r="K316" t="str">
            <v>Dinas Pertanian</v>
          </cell>
          <cell r="O316" t="str">
            <v>Lingsar</v>
          </cell>
          <cell r="Q316">
            <v>135000000</v>
          </cell>
        </row>
        <row r="317">
          <cell r="B317" t="str">
            <v>Agrominapolitan</v>
          </cell>
          <cell r="D317" t="str">
            <v>PROGRAM PENYEDIAAN DAN PENGEMBANGAN SARANA PERTANIAN</v>
          </cell>
          <cell r="K317" t="str">
            <v>Dinas Pertanian</v>
          </cell>
          <cell r="O317" t="str">
            <v>Lingsar</v>
          </cell>
          <cell r="Q317">
            <v>130735000</v>
          </cell>
        </row>
        <row r="318">
          <cell r="B318" t="str">
            <v>Transformasi dan Kemandirian Ekonomi</v>
          </cell>
          <cell r="D318" t="str">
            <v>PROGRAM PENINGKATAN DAYA TARIK DESTINASI PARIWISATA</v>
          </cell>
          <cell r="K318" t="str">
            <v>Dinas Pariwisata, Ekonomi Kreatif, Pemuda, dan Olahraga</v>
          </cell>
          <cell r="O318" t="str">
            <v>Lingsar</v>
          </cell>
          <cell r="Q318">
            <v>700000000</v>
          </cell>
        </row>
        <row r="319">
          <cell r="B319" t="str">
            <v>Pembangunan SDM Unggul dan Berdaya Saing</v>
          </cell>
          <cell r="D319" t="str">
            <v>Program Pengembangan Kapasitas Daya Saing Keolahragaan</v>
          </cell>
          <cell r="K319" t="str">
            <v>Dinas Pariwisata, Ekonomi Kreatif, Pemuda, dan Olahraga</v>
          </cell>
          <cell r="O319" t="str">
            <v>Lingsar</v>
          </cell>
          <cell r="Q319">
            <v>273930000</v>
          </cell>
        </row>
        <row r="320">
          <cell r="B320" t="str">
            <v>Pembangunan SDM Unggul dan Berdaya Saing</v>
          </cell>
          <cell r="D320" t="str">
            <v>Program Pengembangan Kapasitas Daya Saing Keolahragaan</v>
          </cell>
          <cell r="K320" t="str">
            <v>Dinas Pariwisata, Ekonomi Kreatif, Pemuda, dan Olahraga</v>
          </cell>
          <cell r="O320" t="str">
            <v>Lingsar</v>
          </cell>
          <cell r="Q320">
            <v>100000000</v>
          </cell>
        </row>
        <row r="321">
          <cell r="B321" t="str">
            <v>Pembangunan SDM Unggul dan Berdaya Saing</v>
          </cell>
          <cell r="D321" t="str">
            <v>Program Pengembangan Kapasitas Daya Saing Keolahragaan</v>
          </cell>
          <cell r="K321" t="str">
            <v>Dinas Pariwisata, Ekonomi Kreatif, Pemuda, dan Olahraga</v>
          </cell>
          <cell r="O321" t="str">
            <v>Lingsar</v>
          </cell>
          <cell r="Q321">
            <v>100000000</v>
          </cell>
        </row>
        <row r="322">
          <cell r="B322" t="str">
            <v>Transformasi dan Kemandirian Ekonomi</v>
          </cell>
          <cell r="D322" t="str">
            <v>PROGRAM PERENCANAAN DAN PEMBANGUNAN INDUSTRI</v>
          </cell>
          <cell r="K322" t="str">
            <v>Dinas Perindustrian, Koperasi, Usaha Kecil dan Menengah, dan Tenaga Kerja</v>
          </cell>
          <cell r="O322" t="str">
            <v>Lingsar</v>
          </cell>
          <cell r="Q322">
            <v>36000000</v>
          </cell>
        </row>
        <row r="323">
          <cell r="B323" t="str">
            <v>Infrastruktur Berkelanjutan</v>
          </cell>
          <cell r="D323" t="str">
            <v>Program Penyelenggaraan Lalu Lintas dan Angkutan Jalan (LLAJ)</v>
          </cell>
          <cell r="K323" t="str">
            <v>Dinas Perhubungan</v>
          </cell>
          <cell r="O323" t="str">
            <v>Lingsar</v>
          </cell>
          <cell r="Q323">
            <v>134000000</v>
          </cell>
        </row>
        <row r="324">
          <cell r="B324" t="str">
            <v>Infrastruktur Berkelanjutan</v>
          </cell>
          <cell r="D324" t="str">
            <v>Program Penyelenggaraan Lalu Lintas dan Angkutan Jalan (LLAJ)</v>
          </cell>
          <cell r="K324" t="str">
            <v>Dinas Perhubungan</v>
          </cell>
          <cell r="O324" t="str">
            <v>Lingsar</v>
          </cell>
          <cell r="Q324">
            <v>16750000</v>
          </cell>
        </row>
        <row r="325">
          <cell r="B325" t="str">
            <v>Infrastruktur Berkelanjutan</v>
          </cell>
          <cell r="D325" t="str">
            <v>Program Penyelenggaraan Lalu Lintas dan Angkutan Jalan (LLAJ)</v>
          </cell>
          <cell r="K325" t="str">
            <v>Dinas Perhubungan</v>
          </cell>
          <cell r="O325" t="str">
            <v>Lingsar</v>
          </cell>
          <cell r="Q325">
            <v>16750000</v>
          </cell>
        </row>
        <row r="326">
          <cell r="B326" t="str">
            <v>Infrastruktur Berkelanjutan</v>
          </cell>
          <cell r="D326" t="str">
            <v>Program Penyelenggaraan Lalu Lintas dan Angkutan Jalan (LLAJ)</v>
          </cell>
          <cell r="K326" t="str">
            <v>Dinas Perhubungan</v>
          </cell>
          <cell r="O326" t="str">
            <v>Lingsar</v>
          </cell>
          <cell r="Q326">
            <v>10000000</v>
          </cell>
        </row>
        <row r="327">
          <cell r="B327" t="str">
            <v>Infrastruktur Berkelanjutan</v>
          </cell>
          <cell r="D327" t="str">
            <v>Program Penyelenggaraan Lalu Lintas dan Angkutan Jalan (LLAJ)</v>
          </cell>
          <cell r="K327" t="str">
            <v>Dinas Perhubungan</v>
          </cell>
          <cell r="O327" t="str">
            <v>Lingsar</v>
          </cell>
          <cell r="Q327">
            <v>100000000</v>
          </cell>
        </row>
        <row r="328">
          <cell r="B328" t="str">
            <v>Infrastruktur Berkelanjutan</v>
          </cell>
          <cell r="D328" t="str">
            <v>Program Penyelenggaraan Lalu Lintas dan Angkutan Jalan (LLAJ)</v>
          </cell>
          <cell r="K328" t="str">
            <v>Dinas Perhubungan</v>
          </cell>
          <cell r="O328" t="str">
            <v>Lingsar</v>
          </cell>
          <cell r="Q328">
            <v>100500000</v>
          </cell>
        </row>
        <row r="329">
          <cell r="B329" t="str">
            <v>Infrastruktur Berkelanjutan</v>
          </cell>
          <cell r="D329" t="str">
            <v>Program Penyelenggaraan Lalu Lintas dan Angkutan Jalan (LLAJ)</v>
          </cell>
          <cell r="K329" t="str">
            <v>Dinas Perhubungan</v>
          </cell>
          <cell r="O329" t="str">
            <v>Lingsar</v>
          </cell>
          <cell r="Q329">
            <v>117250000</v>
          </cell>
        </row>
        <row r="330">
          <cell r="B330" t="str">
            <v>Infrastruktur Berkelanjutan</v>
          </cell>
          <cell r="D330" t="str">
            <v>Program Penyelenggaraan Lalu Lintas dan Angkutan Jalan (LLAJ)</v>
          </cell>
          <cell r="K330" t="str">
            <v>Dinas Perhubungan</v>
          </cell>
          <cell r="O330" t="str">
            <v>Lingsar</v>
          </cell>
          <cell r="Q330">
            <v>100500000</v>
          </cell>
        </row>
        <row r="331">
          <cell r="B331" t="str">
            <v>Infrastruktur Berkelanjutan</v>
          </cell>
          <cell r="D331" t="str">
            <v>Program Penyelenggaraan Lalu Lintas dan Angkutan Jalan (LLAJ)</v>
          </cell>
          <cell r="K331" t="str">
            <v>Dinas Perhubungan</v>
          </cell>
          <cell r="O331" t="str">
            <v>Lingsar</v>
          </cell>
          <cell r="Q331">
            <v>16750000</v>
          </cell>
        </row>
        <row r="332">
          <cell r="B332" t="str">
            <v>Infrastruktur Berkelanjutan</v>
          </cell>
          <cell r="D332" t="str">
            <v>PROGRAM PENINGKATAN PRASARANA, SARANA DAN UTILITAS UMUM (PSU)</v>
          </cell>
          <cell r="K332" t="str">
            <v>Dinas Pekerjaan Umum, Penataan Ruang, Perumahan dan Kawasan Permukiman</v>
          </cell>
          <cell r="O332" t="str">
            <v>Lingsar</v>
          </cell>
          <cell r="Q332">
            <v>105600000</v>
          </cell>
        </row>
        <row r="333">
          <cell r="B333" t="str">
            <v>Infrastruktur Berkelanjutan</v>
          </cell>
          <cell r="D333" t="str">
            <v>PROGRAM PENGELOLAAN DAN PENGEMBANGAN SISTEM DRAINASE</v>
          </cell>
          <cell r="K333" t="str">
            <v>Dinas Pekerjaan Umum, Penataan Ruang, Perumahan dan Kawasan Permukiman</v>
          </cell>
          <cell r="O333" t="str">
            <v>Lingsar</v>
          </cell>
          <cell r="Q333">
            <v>139100000</v>
          </cell>
        </row>
        <row r="334">
          <cell r="B334" t="str">
            <v>Infrastruktur Berkelanjutan</v>
          </cell>
          <cell r="D334" t="str">
            <v>PROGRAM PENINGKATAN PRASARANA, SARANA DAN UTILITAS UMUM (PSU)</v>
          </cell>
          <cell r="K334" t="str">
            <v>Dinas Pekerjaan Umum, Penataan Ruang, Perumahan dan Kawasan Permukiman</v>
          </cell>
          <cell r="O334" t="str">
            <v>Lingsar</v>
          </cell>
          <cell r="Q334">
            <v>50800000</v>
          </cell>
        </row>
        <row r="335">
          <cell r="B335" t="str">
            <v>Infrastruktur Berkelanjutan</v>
          </cell>
          <cell r="D335" t="str">
            <v>PROGRAM PENINGKATAN PRASARANA, SARANA DAN UTILITAS UMUM (PSU)</v>
          </cell>
          <cell r="K335" t="str">
            <v>Dinas Pekerjaan Umum, Penataan Ruang, Perumahan dan Kawasan Permukiman</v>
          </cell>
          <cell r="O335" t="str">
            <v>Lingsar</v>
          </cell>
          <cell r="Q335">
            <v>396000000</v>
          </cell>
        </row>
        <row r="336">
          <cell r="B336" t="str">
            <v>Infrastruktur Berkelanjutan</v>
          </cell>
          <cell r="D336" t="str">
            <v>PROGRAM PENGELOLAAN DAN PENGEMBANGAN SISTEM DRAINASE</v>
          </cell>
          <cell r="K336" t="str">
            <v>Dinas Pekerjaan Umum, Penataan Ruang, Perumahan dan Kawasan Permukiman</v>
          </cell>
          <cell r="O336" t="str">
            <v>Lingsar</v>
          </cell>
          <cell r="Q336">
            <v>139100000</v>
          </cell>
        </row>
        <row r="337">
          <cell r="B337" t="str">
            <v>Infrastruktur Berkelanjutan</v>
          </cell>
          <cell r="D337" t="str">
            <v>PROGRAM PENGELOLAAN DAN PENGEMBANGAN SISTEM DRAINASE</v>
          </cell>
          <cell r="K337" t="str">
            <v>Dinas Pekerjaan Umum, Penataan Ruang, Perumahan dan Kawasan Permukiman</v>
          </cell>
          <cell r="O337" t="str">
            <v>Lingsar</v>
          </cell>
          <cell r="Q337">
            <v>278200000</v>
          </cell>
        </row>
        <row r="338">
          <cell r="B338" t="str">
            <v>Infrastruktur Berkelanjutan</v>
          </cell>
          <cell r="D338" t="str">
            <v>PROGRAM PENINGKATAN PRASARANA, SARANA DAN UTILITAS UMUM (PSU)</v>
          </cell>
          <cell r="K338" t="str">
            <v>Dinas Pekerjaan Umum, Penataan Ruang, Perumahan dan Kawasan Permukiman</v>
          </cell>
          <cell r="O338" t="str">
            <v>Lingsar</v>
          </cell>
          <cell r="Q338">
            <v>254000000</v>
          </cell>
        </row>
        <row r="339">
          <cell r="B339" t="str">
            <v>Infrastruktur Berkelanjutan</v>
          </cell>
          <cell r="D339" t="str">
            <v>PROGRAM PENINGKATAN PRASARANA, SARANA DAN UTILITAS UMUM (PSU)</v>
          </cell>
          <cell r="K339" t="str">
            <v>Dinas Pekerjaan Umum, Penataan Ruang, Perumahan dan Kawasan Permukiman</v>
          </cell>
          <cell r="O339" t="str">
            <v>Lingsar</v>
          </cell>
          <cell r="Q339">
            <v>114300000</v>
          </cell>
        </row>
        <row r="340">
          <cell r="B340" t="str">
            <v>Infrastruktur Berkelanjutan</v>
          </cell>
          <cell r="D340" t="str">
            <v>PROGRAM PENGELOLAAN SUMBER DAYA AIR (SDA)</v>
          </cell>
          <cell r="K340" t="str">
            <v>Dinas Pekerjaan Umum, Penataan Ruang, Perumahan dan Kawasan Permukiman</v>
          </cell>
          <cell r="O340" t="str">
            <v>Lingsar</v>
          </cell>
          <cell r="Q340">
            <v>100000000</v>
          </cell>
        </row>
        <row r="341">
          <cell r="B341" t="str">
            <v>Infrastruktur Berkelanjutan</v>
          </cell>
          <cell r="D341" t="str">
            <v>PROGRAM PENGELOLAAN SUMBER DAYA AIR (SDA)</v>
          </cell>
          <cell r="K341" t="str">
            <v>Dinas Pekerjaan Umum, Penataan Ruang, Perumahan dan Kawasan Permukiman</v>
          </cell>
          <cell r="O341" t="str">
            <v>Lingsar</v>
          </cell>
          <cell r="Q341">
            <v>115000000</v>
          </cell>
        </row>
        <row r="342">
          <cell r="B342" t="str">
            <v>Infrastruktur Berkelanjutan</v>
          </cell>
          <cell r="D342" t="str">
            <v>PROGRAM PENGELOLAAN DAN PENGEMBANGAN SISTEM DRAINASE</v>
          </cell>
          <cell r="K342" t="str">
            <v>Dinas Pekerjaan Umum, Penataan Ruang, Perumahan dan Kawasan Permukiman</v>
          </cell>
          <cell r="O342" t="str">
            <v>Lingsar</v>
          </cell>
          <cell r="Q342">
            <v>98000000</v>
          </cell>
        </row>
        <row r="343">
          <cell r="B343" t="str">
            <v>Infrastruktur Berkelanjutan</v>
          </cell>
          <cell r="D343" t="str">
            <v>PROGRAM PENINGKATAN PRASARANA, SARANA DAN UTILITAS UMUM (PSU)</v>
          </cell>
          <cell r="K343" t="str">
            <v>Dinas Pekerjaan Umum, Penataan Ruang, Perumahan dan Kawasan Permukiman</v>
          </cell>
          <cell r="O343" t="str">
            <v>Lingsar</v>
          </cell>
          <cell r="Q343">
            <v>114300000</v>
          </cell>
        </row>
        <row r="344">
          <cell r="B344" t="str">
            <v>Infrastruktur Berkelanjutan</v>
          </cell>
          <cell r="D344" t="str">
            <v>PROGRAM PENINGKATAN PRASARANA, SARANA DAN UTILITAS UMUM (PSU)</v>
          </cell>
          <cell r="K344" t="str">
            <v>Dinas Pekerjaan Umum, Penataan Ruang, Perumahan dan Kawasan Permukiman</v>
          </cell>
          <cell r="O344" t="str">
            <v>Lingsar</v>
          </cell>
          <cell r="Q344">
            <v>120300000</v>
          </cell>
        </row>
        <row r="345">
          <cell r="B345" t="str">
            <v>Infrastruktur Berkelanjutan</v>
          </cell>
          <cell r="D345" t="str">
            <v>PROGRAM PENINGKATAN PRASARANA, SARANA DAN UTILITAS UMUM (PSU)</v>
          </cell>
          <cell r="K345" t="str">
            <v>Dinas Pekerjaan Umum, Penataan Ruang, Perumahan dan Kawasan Permukiman</v>
          </cell>
          <cell r="O345" t="str">
            <v>Lingsar</v>
          </cell>
          <cell r="Q345">
            <v>96240000</v>
          </cell>
        </row>
        <row r="346">
          <cell r="B346" t="str">
            <v>Infrastruktur Berkelanjutan</v>
          </cell>
          <cell r="D346" t="str">
            <v>PROGRAM PENGELOLAAN SUMBER DAYA AIR (SDA)</v>
          </cell>
          <cell r="K346" t="str">
            <v>Dinas Pekerjaan Umum, Penataan Ruang, Perumahan dan Kawasan Permukiman</v>
          </cell>
          <cell r="O346" t="str">
            <v>Lingsar</v>
          </cell>
          <cell r="Q346">
            <v>127000000</v>
          </cell>
        </row>
        <row r="347">
          <cell r="B347" t="str">
            <v>Infrastruktur Berkelanjutan</v>
          </cell>
          <cell r="D347" t="str">
            <v>PROGRAM PENGELOLAAN SUMBER DAYA AIR (SDA)</v>
          </cell>
          <cell r="K347" t="str">
            <v>Dinas Pekerjaan Umum, Penataan Ruang, Perumahan dan Kawasan Permukiman</v>
          </cell>
          <cell r="O347" t="str">
            <v>Lingsar</v>
          </cell>
          <cell r="Q347">
            <v>111000000</v>
          </cell>
        </row>
        <row r="348">
          <cell r="B348" t="str">
            <v>Infrastruktur Berkelanjutan</v>
          </cell>
          <cell r="D348" t="str">
            <v>PROGRAM PENINGKATAN PRASARANA, SARANA DAN UTILITAS UMUM (PSU)</v>
          </cell>
          <cell r="K348" t="str">
            <v>Dinas Pekerjaan Umum, Penataan Ruang, Perumahan dan Kawasan Permukiman</v>
          </cell>
          <cell r="O348" t="str">
            <v>Lingsar</v>
          </cell>
          <cell r="Q348">
            <v>132330000</v>
          </cell>
        </row>
        <row r="349">
          <cell r="B349" t="str">
            <v>Infrastruktur Berkelanjutan</v>
          </cell>
          <cell r="D349" t="str">
            <v>PROGRAM KAWASAN PERMUKIMAN</v>
          </cell>
          <cell r="K349" t="str">
            <v>Dinas Pekerjaan Umum, Penataan Ruang, Perumahan dan Kawasan Permukiman</v>
          </cell>
          <cell r="O349" t="str">
            <v>Lingsar</v>
          </cell>
          <cell r="Q349">
            <v>175000000</v>
          </cell>
        </row>
        <row r="350">
          <cell r="B350" t="str">
            <v>Infrastruktur Berkelanjutan</v>
          </cell>
          <cell r="D350" t="str">
            <v>PROGRAM PENINGKATAN PRASARANA, SARANA DAN UTILITAS UMUM (PSU)</v>
          </cell>
          <cell r="K350" t="str">
            <v>Dinas Pekerjaan Umum, Penataan Ruang, Perumahan dan Kawasan Permukiman</v>
          </cell>
          <cell r="O350" t="str">
            <v>Lingsar</v>
          </cell>
          <cell r="Q350">
            <v>15240000</v>
          </cell>
        </row>
        <row r="351">
          <cell r="B351" t="str">
            <v>Infrastruktur Berkelanjutan</v>
          </cell>
          <cell r="D351" t="str">
            <v>PROGRAM PENINGKATAN PRASARANA, SARANA DAN UTILITAS UMUM (PSU)</v>
          </cell>
          <cell r="K351" t="str">
            <v>Dinas Pekerjaan Umum, Penataan Ruang, Perumahan dan Kawasan Permukiman</v>
          </cell>
          <cell r="O351" t="str">
            <v>Lingsar</v>
          </cell>
          <cell r="Q351">
            <v>50800000</v>
          </cell>
        </row>
        <row r="352">
          <cell r="B352" t="str">
            <v>Infrastruktur Berkelanjutan</v>
          </cell>
          <cell r="D352" t="str">
            <v>PROGRAM PENINGKATAN PRASARANA, SARANA DAN UTILITAS UMUM (PSU)</v>
          </cell>
          <cell r="K352" t="str">
            <v>Dinas Pekerjaan Umum, Penataan Ruang, Perumahan dan Kawasan Permukiman</v>
          </cell>
          <cell r="O352" t="str">
            <v>Lingsar</v>
          </cell>
          <cell r="Q352">
            <v>55245000</v>
          </cell>
        </row>
        <row r="353">
          <cell r="B353" t="str">
            <v>Infrastruktur Berkelanjutan</v>
          </cell>
          <cell r="D353" t="str">
            <v>PROGRAM PENGELOLAAN DAN PENGEMBANGAN SISTEM PENYEDIAAN AIR MINUM</v>
          </cell>
          <cell r="K353" t="str">
            <v>Dinas Pekerjaan Umum, Penataan Ruang, Perumahan dan Kawasan Permukiman</v>
          </cell>
          <cell r="O353" t="str">
            <v>Lingsar</v>
          </cell>
          <cell r="Q353">
            <v>125000000</v>
          </cell>
        </row>
        <row r="354">
          <cell r="B354" t="str">
            <v>Infrastruktur Berkelanjutan</v>
          </cell>
          <cell r="D354" t="str">
            <v>PROGRAM PENINGKATAN PRASARANA, SARANA DAN UTILITAS UMUM (PSU)</v>
          </cell>
          <cell r="K354" t="str">
            <v>Dinas Pekerjaan Umum, Penataan Ruang, Perumahan dan Kawasan Permukiman</v>
          </cell>
          <cell r="O354" t="str">
            <v>Lingsar</v>
          </cell>
          <cell r="Q354">
            <v>40400000</v>
          </cell>
        </row>
        <row r="355">
          <cell r="B355" t="str">
            <v>Infrastruktur Berkelanjutan</v>
          </cell>
          <cell r="D355" t="str">
            <v>PROGRAM PENINGKATAN PRASARANA, SARANA DAN UTILITAS UMUM (PSU)</v>
          </cell>
          <cell r="K355" t="str">
            <v>Dinas Pekerjaan Umum, Penataan Ruang, Perumahan dan Kawasan Permukiman</v>
          </cell>
          <cell r="O355" t="str">
            <v>Lingsar</v>
          </cell>
          <cell r="Q355">
            <v>38100000</v>
          </cell>
        </row>
        <row r="356">
          <cell r="B356" t="str">
            <v>Infrastruktur Berkelanjutan</v>
          </cell>
          <cell r="D356" t="str">
            <v>PROGRAM PENINGKATAN PRASARANA, SARANA DAN UTILITAS UMUM (PSU)</v>
          </cell>
          <cell r="K356" t="str">
            <v>Dinas Pekerjaan Umum, Penataan Ruang, Perumahan dan Kawasan Permukiman</v>
          </cell>
          <cell r="O356" t="str">
            <v>Lingsar</v>
          </cell>
          <cell r="Q356">
            <v>100000000</v>
          </cell>
        </row>
        <row r="357">
          <cell r="B357" t="str">
            <v>Infrastruktur Berkelanjutan</v>
          </cell>
          <cell r="D357" t="str">
            <v>PROGRAM PENGELOLAAN SUMBER DAYA AIR (SDA)</v>
          </cell>
          <cell r="K357" t="str">
            <v>Dinas Pekerjaan Umum, Penataan Ruang, Perumahan dan Kawasan Permukiman</v>
          </cell>
          <cell r="O357" t="str">
            <v>Lingsar</v>
          </cell>
          <cell r="Q357">
            <v>84240000</v>
          </cell>
        </row>
        <row r="358">
          <cell r="B358" t="str">
            <v>Infrastruktur Berkelanjutan</v>
          </cell>
          <cell r="D358" t="str">
            <v>PROGRAM PENINGKATAN PRASARANA, SARANA DAN UTILITAS UMUM (PSU)</v>
          </cell>
          <cell r="K358" t="str">
            <v>Dinas Pekerjaan Umum, Penataan Ruang, Perumahan dan Kawasan Permukiman</v>
          </cell>
          <cell r="O358" t="str">
            <v>Lingsar</v>
          </cell>
          <cell r="Q358">
            <v>61776000</v>
          </cell>
        </row>
        <row r="359">
          <cell r="B359" t="str">
            <v>Infrastruktur Berkelanjutan</v>
          </cell>
          <cell r="D359" t="str">
            <v>PROGRAM PENINGKATAN PRASARANA, SARANA DAN UTILITAS UMUM (PSU)</v>
          </cell>
          <cell r="K359" t="str">
            <v>Dinas Pekerjaan Umum, Penataan Ruang, Perumahan dan Kawasan Permukiman</v>
          </cell>
          <cell r="O359" t="str">
            <v>Lingsar</v>
          </cell>
          <cell r="Q359">
            <v>100000000</v>
          </cell>
        </row>
        <row r="360">
          <cell r="B360" t="str">
            <v>Infrastruktur Berkelanjutan</v>
          </cell>
          <cell r="D360" t="str">
            <v>PROGRAM PENGELOLAAN DAN PENGEMBANGAN SISTEM DRAINASE</v>
          </cell>
          <cell r="K360" t="str">
            <v>Dinas Pekerjaan Umum, Penataan Ruang, Perumahan dan Kawasan Permukiman</v>
          </cell>
          <cell r="O360" t="str">
            <v>Lingsar</v>
          </cell>
          <cell r="Q360">
            <v>152400000</v>
          </cell>
        </row>
        <row r="361">
          <cell r="B361" t="str">
            <v>Infrastruktur Berkelanjutan</v>
          </cell>
          <cell r="D361" t="str">
            <v>PROGRAM PENGELOLAAN SUMBER DAYA AIR (SDA)</v>
          </cell>
          <cell r="K361" t="str">
            <v>Dinas Pekerjaan Umum, Penataan Ruang, Perumahan dan Kawasan Permukiman</v>
          </cell>
          <cell r="O361" t="str">
            <v>Lingsar</v>
          </cell>
          <cell r="Q361">
            <v>105300000</v>
          </cell>
        </row>
        <row r="362">
          <cell r="B362" t="str">
            <v>Infrastruktur Berkelanjutan</v>
          </cell>
          <cell r="D362" t="str">
            <v>PROGRAM PENINGKATAN PRASARANA, SARANA DAN UTILITAS UMUM (PSU)</v>
          </cell>
          <cell r="K362" t="str">
            <v>Dinas Pekerjaan Umum, Penataan Ruang, Perumahan dan Kawasan Permukiman</v>
          </cell>
          <cell r="O362" t="str">
            <v>Lingsar</v>
          </cell>
          <cell r="Q362">
            <v>50800000</v>
          </cell>
        </row>
        <row r="363">
          <cell r="B363" t="str">
            <v>Infrastruktur Berkelanjutan</v>
          </cell>
          <cell r="D363" t="str">
            <v>PROGRAM PENYELENGGARAAN JALAN</v>
          </cell>
          <cell r="K363" t="str">
            <v>Dinas Pekerjaan Umum, Penataan Ruang, Perumahan dan Kawasan Permukiman</v>
          </cell>
          <cell r="O363" t="str">
            <v>Lingsar</v>
          </cell>
          <cell r="Q363">
            <v>101600000</v>
          </cell>
        </row>
        <row r="364">
          <cell r="B364" t="str">
            <v>Infrastruktur Berkelanjutan</v>
          </cell>
          <cell r="D364" t="str">
            <v>PROGRAM PENGELOLAAN DAN PENGEMBANGAN SISTEM PENYEDIAAN AIR MINUM</v>
          </cell>
          <cell r="K364" t="str">
            <v>Dinas Pekerjaan Umum, Penataan Ruang, Perumahan dan Kawasan Permukiman</v>
          </cell>
          <cell r="O364" t="str">
            <v>Lingsar</v>
          </cell>
          <cell r="Q364">
            <v>65000000</v>
          </cell>
        </row>
        <row r="365">
          <cell r="B365" t="str">
            <v>Infrastruktur Berkelanjutan</v>
          </cell>
          <cell r="D365" t="str">
            <v>PROGRAM PENGELOLAAN SUMBER DAYA AIR (SDA)</v>
          </cell>
          <cell r="K365" t="str">
            <v>Dinas Pekerjaan Umum, Penataan Ruang, Perumahan dan Kawasan Permukiman</v>
          </cell>
          <cell r="O365" t="str">
            <v>Lingsar</v>
          </cell>
          <cell r="Q365">
            <v>140400000</v>
          </cell>
        </row>
        <row r="366">
          <cell r="B366" t="str">
            <v>Infrastruktur Berkelanjutan</v>
          </cell>
          <cell r="D366" t="str">
            <v>PROGRAM PENYELENGGARAAN JALAN</v>
          </cell>
          <cell r="K366" t="str">
            <v>Dinas Pekerjaan Umum, Penataan Ruang, Perumahan dan Kawasan Permukiman</v>
          </cell>
          <cell r="O366" t="str">
            <v>Lingsar</v>
          </cell>
          <cell r="Q366">
            <v>50800000</v>
          </cell>
        </row>
        <row r="367">
          <cell r="B367" t="str">
            <v>Infrastruktur Berkelanjutan</v>
          </cell>
          <cell r="D367" t="str">
            <v>PROGRAM PENGELOLAAN DAN PENGEMBANGAN SISTEM PENYEDIAAN AIR MINUM</v>
          </cell>
          <cell r="K367" t="str">
            <v>Dinas Pekerjaan Umum, Penataan Ruang, Perumahan dan Kawasan Permukiman</v>
          </cell>
          <cell r="O367" t="str">
            <v>Lingsar</v>
          </cell>
          <cell r="Q367">
            <v>250000000</v>
          </cell>
        </row>
        <row r="368">
          <cell r="B368" t="str">
            <v>Infrastruktur Berkelanjutan</v>
          </cell>
          <cell r="D368" t="str">
            <v>PROGRAM PENINGKATAN PRASARANA, SARANA DAN UTILITAS UMUM (PSU)</v>
          </cell>
          <cell r="K368" t="str">
            <v>Dinas Pekerjaan Umum, Penataan Ruang, Perumahan dan Kawasan Permukiman</v>
          </cell>
          <cell r="O368" t="str">
            <v>Lingsar</v>
          </cell>
          <cell r="Q368">
            <v>95040000</v>
          </cell>
        </row>
        <row r="369">
          <cell r="B369" t="str">
            <v>Infrastruktur Berkelanjutan</v>
          </cell>
          <cell r="D369" t="str">
            <v>PROGRAM PENINGKATAN PRASARANA, SARANA DAN UTILITAS UMUM (PSU)</v>
          </cell>
          <cell r="K369" t="str">
            <v>Dinas Pekerjaan Umum, Penataan Ruang, Perumahan dan Kawasan Permukiman</v>
          </cell>
          <cell r="O369" t="str">
            <v>Lingsar</v>
          </cell>
          <cell r="Q369">
            <v>59400000</v>
          </cell>
        </row>
        <row r="370">
          <cell r="B370" t="str">
            <v>Infrastruktur Berkelanjutan</v>
          </cell>
          <cell r="D370" t="str">
            <v>PROGRAM PENINGKATAN PRASARANA, SARANA DAN UTILITAS UMUM (PSU)</v>
          </cell>
          <cell r="K370" t="str">
            <v>Dinas Pekerjaan Umum, Penataan Ruang, Perumahan dan Kawasan Permukiman</v>
          </cell>
          <cell r="O370" t="str">
            <v>Lingsar</v>
          </cell>
          <cell r="Q370">
            <v>96624000</v>
          </cell>
        </row>
        <row r="371">
          <cell r="B371" t="str">
            <v>Infrastruktur Berkelanjutan</v>
          </cell>
          <cell r="D371" t="str">
            <v>PROGRAM PENINGKATAN PRASARANA, SARANA DAN UTILITAS UMUM (PSU)</v>
          </cell>
          <cell r="K371" t="str">
            <v>Dinas Pekerjaan Umum, Penataan Ruang, Perumahan dan Kawasan Permukiman</v>
          </cell>
          <cell r="O371" t="str">
            <v>Lingsar</v>
          </cell>
          <cell r="Q371">
            <v>300456000</v>
          </cell>
        </row>
        <row r="372">
          <cell r="B372" t="str">
            <v>Infrastruktur Berkelanjutan</v>
          </cell>
          <cell r="D372" t="str">
            <v>PROGRAM PENINGKATAN PRASARANA, SARANA DAN UTILITAS UMUM (PSU)</v>
          </cell>
          <cell r="K372" t="str">
            <v>Dinas Pekerjaan Umum, Penataan Ruang, Perumahan dan Kawasan Permukiman</v>
          </cell>
          <cell r="O372" t="str">
            <v>Lingsar</v>
          </cell>
          <cell r="Q372">
            <v>79200000</v>
          </cell>
        </row>
        <row r="373">
          <cell r="B373" t="str">
            <v>Infrastruktur Berkelanjutan</v>
          </cell>
          <cell r="D373" t="str">
            <v>PROGRAM KAWASAN PERMUKIMAN</v>
          </cell>
          <cell r="K373" t="str">
            <v>Dinas Pekerjaan Umum, Penataan Ruang, Perumahan dan Kawasan Permukiman</v>
          </cell>
          <cell r="O373" t="str">
            <v>Lingsar</v>
          </cell>
          <cell r="Q373">
            <v>105000000</v>
          </cell>
        </row>
        <row r="374">
          <cell r="B374" t="str">
            <v>Infrastruktur Berkelanjutan</v>
          </cell>
          <cell r="D374" t="str">
            <v>PROGRAM KAWASAN PERMUKIMAN</v>
          </cell>
          <cell r="K374" t="str">
            <v>Dinas Pekerjaan Umum, Penataan Ruang, Perumahan dan Kawasan Permukiman</v>
          </cell>
          <cell r="O374" t="str">
            <v>Lingsar</v>
          </cell>
          <cell r="Q374">
            <v>105000000</v>
          </cell>
        </row>
        <row r="375">
          <cell r="B375" t="str">
            <v>Infrastruktur Berkelanjutan</v>
          </cell>
          <cell r="D375" t="str">
            <v>PROGRAM KAWASAN PERMUKIMAN</v>
          </cell>
          <cell r="K375" t="str">
            <v>Dinas Pekerjaan Umum, Penataan Ruang, Perumahan dan Kawasan Permukiman</v>
          </cell>
          <cell r="O375" t="str">
            <v>Lingsar</v>
          </cell>
          <cell r="Q375">
            <v>105000000</v>
          </cell>
        </row>
        <row r="376">
          <cell r="B376" t="str">
            <v>Infrastruktur Berkelanjutan</v>
          </cell>
          <cell r="D376" t="str">
            <v>PROGRAM KAWASAN PERMUKIMAN</v>
          </cell>
          <cell r="K376" t="str">
            <v>Dinas Pekerjaan Umum, Penataan Ruang, Perumahan dan Kawasan Permukiman</v>
          </cell>
          <cell r="O376" t="str">
            <v>Lingsar</v>
          </cell>
          <cell r="Q376">
            <v>105000000</v>
          </cell>
        </row>
        <row r="377">
          <cell r="B377" t="str">
            <v>Infrastruktur Berkelanjutan</v>
          </cell>
          <cell r="D377" t="str">
            <v>PROGRAM KAWASAN PERMUKIMAN</v>
          </cell>
          <cell r="K377" t="str">
            <v>Dinas Pekerjaan Umum, Penataan Ruang, Perumahan dan Kawasan Permukiman</v>
          </cell>
          <cell r="O377" t="str">
            <v>Lingsar</v>
          </cell>
          <cell r="Q377">
            <v>105000000</v>
          </cell>
        </row>
        <row r="378">
          <cell r="B378" t="str">
            <v>Infrastruktur Berkelanjutan</v>
          </cell>
          <cell r="D378" t="str">
            <v>PROGRAM PENINGKATAN PRASARANA, SARANA DAN UTILITAS UMUM (PSU)</v>
          </cell>
          <cell r="K378" t="str">
            <v>Dinas Pekerjaan Umum, Penataan Ruang, Perumahan dan Kawasan Permukiman</v>
          </cell>
          <cell r="O378" t="str">
            <v>Lingsar</v>
          </cell>
          <cell r="Q378">
            <v>149850000</v>
          </cell>
        </row>
        <row r="379">
          <cell r="B379" t="str">
            <v>Infrastruktur Berkelanjutan</v>
          </cell>
          <cell r="D379" t="str">
            <v>PROGRAM PENINGKATAN PRASARANA, SARANA DAN UTILITAS UMUM (PSU)</v>
          </cell>
          <cell r="K379" t="str">
            <v>Dinas Pekerjaan Umum, Penataan Ruang, Perumahan dan Kawasan Permukiman</v>
          </cell>
          <cell r="O379" t="str">
            <v>Lingsar</v>
          </cell>
          <cell r="Q379">
            <v>179820000</v>
          </cell>
        </row>
        <row r="380">
          <cell r="B380" t="str">
            <v>Infrastruktur Berkelanjutan</v>
          </cell>
          <cell r="D380" t="str">
            <v>PROGRAM PENINGKATAN PRASARANA, SARANA DAN UTILITAS UMUM (PSU)</v>
          </cell>
          <cell r="K380" t="str">
            <v>Dinas Pekerjaan Umum, Penataan Ruang, Perumahan dan Kawasan Permukiman</v>
          </cell>
          <cell r="O380" t="str">
            <v>Lingsar</v>
          </cell>
          <cell r="Q380">
            <v>134865000</v>
          </cell>
        </row>
        <row r="381">
          <cell r="B381" t="str">
            <v>Infrastruktur Berkelanjutan</v>
          </cell>
          <cell r="D381" t="str">
            <v>PROGRAM PENINGKATAN PRASARANA, SARANA DAN UTILITAS UMUM (PSU)</v>
          </cell>
          <cell r="K381" t="str">
            <v>Dinas Pekerjaan Umum, Penataan Ruang, Perumahan dan Kawasan Permukiman</v>
          </cell>
          <cell r="O381" t="str">
            <v>Lingsar</v>
          </cell>
          <cell r="Q381">
            <v>134865000</v>
          </cell>
        </row>
        <row r="382">
          <cell r="B382" t="str">
            <v>Infrastruktur Berkelanjutan</v>
          </cell>
          <cell r="D382" t="str">
            <v>PROGRAM PENINGKATAN PRASARANA, SARANA DAN UTILITAS UMUM (PSU)</v>
          </cell>
          <cell r="K382" t="str">
            <v>Dinas Pekerjaan Umum, Penataan Ruang, Perumahan dan Kawasan Permukiman</v>
          </cell>
          <cell r="O382" t="str">
            <v>Lingsar</v>
          </cell>
          <cell r="Q382">
            <v>134865000</v>
          </cell>
        </row>
        <row r="383">
          <cell r="B383" t="str">
            <v>Infrastruktur Berkelanjutan</v>
          </cell>
          <cell r="D383" t="str">
            <v>PROGRAM PENYELENGGARAAN JALAN</v>
          </cell>
          <cell r="K383" t="str">
            <v>Dinas Pekerjaan Umum, Penataan Ruang, Perumahan dan Kawasan Permukiman</v>
          </cell>
          <cell r="O383" t="str">
            <v>Lingsar</v>
          </cell>
          <cell r="Q383">
            <v>225000000</v>
          </cell>
        </row>
        <row r="384">
          <cell r="B384" t="str">
            <v>Infrastruktur Berkelanjutan</v>
          </cell>
          <cell r="D384" t="str">
            <v>PROGRAM PENINGKATAN PRASARANA, SARANA DAN UTILITAS UMUM (PSU)</v>
          </cell>
          <cell r="K384" t="str">
            <v>Dinas Pekerjaan Umum, Penataan Ruang, Perumahan dan Kawasan Permukiman</v>
          </cell>
          <cell r="O384" t="str">
            <v>Lingsar</v>
          </cell>
          <cell r="Q384">
            <v>99608000</v>
          </cell>
        </row>
        <row r="385">
          <cell r="B385" t="str">
            <v>Infrastruktur Berkelanjutan</v>
          </cell>
          <cell r="D385" t="str">
            <v>PROGRAM PENINGKATAN PRASARANA, SARANA DAN UTILITAS UMUM (PSU)</v>
          </cell>
          <cell r="K385" t="str">
            <v>Dinas Pekerjaan Umum, Penataan Ruang, Perumahan dan Kawasan Permukiman</v>
          </cell>
          <cell r="O385" t="str">
            <v>Lingsar</v>
          </cell>
          <cell r="Q385">
            <v>113886000</v>
          </cell>
        </row>
        <row r="386">
          <cell r="B386" t="str">
            <v>Infrastruktur Berkelanjutan</v>
          </cell>
          <cell r="D386" t="str">
            <v>PROGRAM PENINGKATAN PRASARANA, SARANA DAN UTILITAS UMUM (PSU)</v>
          </cell>
          <cell r="K386" t="str">
            <v>Dinas Pekerjaan Umum, Penataan Ruang, Perumahan dan Kawasan Permukiman</v>
          </cell>
          <cell r="O386" t="str">
            <v>Lingsar</v>
          </cell>
          <cell r="Q386">
            <v>100000000</v>
          </cell>
        </row>
        <row r="387">
          <cell r="B387" t="str">
            <v>Infrastruktur Berkelanjutan</v>
          </cell>
          <cell r="D387" t="str">
            <v>PROGRAM PENINGKATAN PRASARANA, SARANA DAN UTILITAS UMUM (PSU)</v>
          </cell>
          <cell r="K387" t="str">
            <v>Dinas Pekerjaan Umum, Penataan Ruang, Perumahan dan Kawasan Permukiman</v>
          </cell>
          <cell r="O387" t="str">
            <v>Lingsar</v>
          </cell>
          <cell r="Q387">
            <v>152400000</v>
          </cell>
        </row>
        <row r="388">
          <cell r="B388" t="str">
            <v>Infrastruktur Berkelanjutan</v>
          </cell>
          <cell r="D388" t="str">
            <v>PROGRAM PENGELOLAAN DAN PENGEMBANGAN SISTEM DRAINASE</v>
          </cell>
          <cell r="K388" t="str">
            <v>Dinas Pekerjaan Umum, Penataan Ruang, Perumahan dan Kawasan Permukiman</v>
          </cell>
          <cell r="O388" t="str">
            <v>Lingsar</v>
          </cell>
          <cell r="Q388">
            <v>85000000</v>
          </cell>
        </row>
        <row r="389">
          <cell r="B389" t="str">
            <v>Infrastruktur Berkelanjutan</v>
          </cell>
          <cell r="D389" t="str">
            <v>PROGRAM PENINGKATAN PRASARANA, SARANA DAN UTILITAS UMUM (PSU)</v>
          </cell>
          <cell r="K389" t="str">
            <v>Dinas Pekerjaan Umum, Penataan Ruang, Perumahan dan Kawasan Permukiman</v>
          </cell>
          <cell r="O389" t="str">
            <v>Lingsar</v>
          </cell>
          <cell r="Q389">
            <v>127000000</v>
          </cell>
        </row>
        <row r="390">
          <cell r="B390" t="str">
            <v>Infrastruktur Berkelanjutan</v>
          </cell>
          <cell r="D390" t="str">
            <v>PROGRAM PENYELENGGARAAN JALAN</v>
          </cell>
          <cell r="K390" t="str">
            <v>Dinas Pekerjaan Umum, Penataan Ruang, Perumahan dan Kawasan Permukiman</v>
          </cell>
          <cell r="O390" t="str">
            <v>Lingsar</v>
          </cell>
          <cell r="Q390">
            <v>100000000</v>
          </cell>
        </row>
        <row r="391">
          <cell r="B391" t="str">
            <v>Infrastruktur Berkelanjutan</v>
          </cell>
          <cell r="D391" t="str">
            <v>PROGRAM PENINGKATAN PRASARANA, SARANA DAN UTILITAS UMUM (PSU)</v>
          </cell>
          <cell r="K391" t="str">
            <v>Dinas Pekerjaan Umum, Penataan Ruang, Perumahan dan Kawasan Permukiman</v>
          </cell>
          <cell r="O391" t="str">
            <v>Lingsar</v>
          </cell>
          <cell r="Q391">
            <v>134865000</v>
          </cell>
        </row>
        <row r="392">
          <cell r="B392" t="str">
            <v>Infrastruktur Berkelanjutan</v>
          </cell>
          <cell r="D392" t="str">
            <v>PROGRAM PENINGKATAN PRASARANA, SARANA DAN UTILITAS UMUM (PSU)</v>
          </cell>
          <cell r="K392" t="str">
            <v>Dinas Pekerjaan Umum, Penataan Ruang, Perumahan dan Kawasan Permukiman</v>
          </cell>
          <cell r="O392" t="str">
            <v>Lingsar</v>
          </cell>
          <cell r="Q392">
            <v>114300000</v>
          </cell>
        </row>
        <row r="393">
          <cell r="B393" t="str">
            <v>Infrastruktur Berkelanjutan</v>
          </cell>
          <cell r="D393" t="str">
            <v>PROGRAM PENINGKATAN PRASARANA, SARANA DAN UTILITAS UMUM (PSU)</v>
          </cell>
          <cell r="K393" t="str">
            <v>Dinas Pekerjaan Umum, Penataan Ruang, Perumahan dan Kawasan Permukiman</v>
          </cell>
          <cell r="O393" t="str">
            <v>Lingsar</v>
          </cell>
          <cell r="Q393">
            <v>38100000</v>
          </cell>
        </row>
        <row r="394">
          <cell r="B394" t="str">
            <v>Infrastruktur Berkelanjutan</v>
          </cell>
          <cell r="D394" t="str">
            <v>PROGRAM KAWASAN PERMUKIMAN</v>
          </cell>
          <cell r="K394" t="str">
            <v>Dinas Pekerjaan Umum, Penataan Ruang, Perumahan dan Kawasan Permukiman</v>
          </cell>
          <cell r="O394" t="str">
            <v>Lingsar</v>
          </cell>
          <cell r="Q394">
            <v>25000000</v>
          </cell>
        </row>
        <row r="395">
          <cell r="B395" t="str">
            <v>Infrastruktur Berkelanjutan</v>
          </cell>
          <cell r="D395" t="str">
            <v>PROGRAM KAWASAN PERMUKIMAN</v>
          </cell>
          <cell r="K395" t="str">
            <v>Dinas Pekerjaan Umum, Penataan Ruang, Perumahan dan Kawasan Permukiman</v>
          </cell>
          <cell r="O395" t="str">
            <v>Lingsar</v>
          </cell>
          <cell r="Q395">
            <v>25000000</v>
          </cell>
        </row>
        <row r="396">
          <cell r="B396" t="str">
            <v>Infrastruktur Berkelanjutan</v>
          </cell>
          <cell r="D396" t="str">
            <v>PROGRAM KAWASAN PERMUKIMAN</v>
          </cell>
          <cell r="K396" t="str">
            <v>Dinas Pekerjaan Umum, Penataan Ruang, Perumahan dan Kawasan Permukiman</v>
          </cell>
          <cell r="O396" t="str">
            <v>Lingsar</v>
          </cell>
          <cell r="Q396">
            <v>25000000</v>
          </cell>
        </row>
        <row r="397">
          <cell r="B397" t="str">
            <v>Infrastruktur Berkelanjutan</v>
          </cell>
          <cell r="D397" t="str">
            <v>PROGRAM PENGELOLAAN DAN PENGEMBANGAN SISTEM PENYEDIAAN AIR MINUM</v>
          </cell>
          <cell r="K397" t="str">
            <v>Dinas Pekerjaan Umum, Penataan Ruang, Perumahan dan Kawasan Permukiman</v>
          </cell>
          <cell r="O397" t="str">
            <v>Lingsar</v>
          </cell>
          <cell r="Q397">
            <v>50000000</v>
          </cell>
        </row>
        <row r="398">
          <cell r="B398" t="str">
            <v>Infrastruktur Berkelanjutan</v>
          </cell>
          <cell r="D398" t="str">
            <v>PROGRAM PENGELOLAAN DAN PENGEMBANGAN SISTEM PENYEDIAAN AIR MINUM</v>
          </cell>
          <cell r="K398" t="str">
            <v>Dinas Pekerjaan Umum, Penataan Ruang, Perumahan dan Kawasan Permukiman</v>
          </cell>
          <cell r="O398" t="str">
            <v>Lingsar</v>
          </cell>
          <cell r="Q398">
            <v>50000000</v>
          </cell>
        </row>
        <row r="399">
          <cell r="B399" t="str">
            <v>Infrastruktur Berkelanjutan</v>
          </cell>
          <cell r="D399" t="str">
            <v>PROGRAM PENINGKATAN PRASARANA, SARANA DAN UTILITAS UMUM (PSU)</v>
          </cell>
          <cell r="K399" t="str">
            <v>Dinas Pekerjaan Umum, Penataan Ruang, Perumahan dan Kawasan Permukiman</v>
          </cell>
          <cell r="O399" t="str">
            <v>Lingsar</v>
          </cell>
          <cell r="Q399">
            <v>131147539.99999999</v>
          </cell>
        </row>
        <row r="400">
          <cell r="B400" t="str">
            <v>Infrastruktur Berkelanjutan</v>
          </cell>
          <cell r="D400" t="str">
            <v>PROGRAM PENINGKATAN PRASARANA, SARANA DAN UTILITAS UMUM (PSU)</v>
          </cell>
          <cell r="K400" t="str">
            <v>Dinas Pekerjaan Umum, Penataan Ruang, Perumahan dan Kawasan Permukiman</v>
          </cell>
          <cell r="O400" t="str">
            <v>Lingsar</v>
          </cell>
          <cell r="Q400">
            <v>177800000</v>
          </cell>
        </row>
        <row r="401">
          <cell r="B401" t="str">
            <v>Infrastruktur Berkelanjutan</v>
          </cell>
          <cell r="D401" t="str">
            <v>PROGRAM PENINGKATAN PRASARANA, SARANA DAN UTILITAS UMUM (PSU)</v>
          </cell>
          <cell r="K401" t="str">
            <v>Dinas Pekerjaan Umum, Penataan Ruang, Perumahan dan Kawasan Permukiman</v>
          </cell>
          <cell r="O401" t="str">
            <v>Lingsar</v>
          </cell>
          <cell r="Q401">
            <v>250000000</v>
          </cell>
        </row>
        <row r="402">
          <cell r="B402" t="str">
            <v>Infrastruktur Berkelanjutan</v>
          </cell>
          <cell r="D402" t="str">
            <v>PROGRAM PENINGKATAN PRASARANA, SARANA DAN UTILITAS UMUM (PSU)</v>
          </cell>
          <cell r="K402" t="str">
            <v>Dinas Pekerjaan Umum, Penataan Ruang, Perumahan dan Kawasan Permukiman</v>
          </cell>
          <cell r="O402" t="str">
            <v>Lingsar</v>
          </cell>
          <cell r="Q402">
            <v>190500000</v>
          </cell>
        </row>
        <row r="403">
          <cell r="B403" t="str">
            <v>Infrastruktur Berkelanjutan</v>
          </cell>
          <cell r="D403" t="str">
            <v>PROGRAM PENINGKATAN PRASARANA, SARANA DAN UTILITAS UMUM (PSU)</v>
          </cell>
          <cell r="K403" t="str">
            <v>Dinas Pekerjaan Umum, Penataan Ruang, Perumahan dan Kawasan Permukiman</v>
          </cell>
          <cell r="O403" t="str">
            <v>Lingsar</v>
          </cell>
          <cell r="Q403">
            <v>150000000</v>
          </cell>
        </row>
        <row r="404">
          <cell r="B404" t="str">
            <v>Infrastruktur Berkelanjutan</v>
          </cell>
          <cell r="D404" t="str">
            <v>PROGRAM PENINGKATAN PRASARANA, SARANA DAN UTILITAS UMUM (PSU)</v>
          </cell>
          <cell r="K404" t="str">
            <v>Dinas Pekerjaan Umum, Penataan Ruang, Perumahan dan Kawasan Permukiman</v>
          </cell>
          <cell r="O404" t="str">
            <v>Lingsar</v>
          </cell>
          <cell r="Q404">
            <v>152400000</v>
          </cell>
        </row>
        <row r="405">
          <cell r="B405" t="str">
            <v>Infrastruktur Berkelanjutan</v>
          </cell>
          <cell r="D405" t="str">
            <v>PROGRAM KAWASAN PERMUKIMAN</v>
          </cell>
          <cell r="K405" t="str">
            <v>Dinas Pekerjaan Umum, Penataan Ruang, Perumahan dan Kawasan Permukiman</v>
          </cell>
          <cell r="O405" t="str">
            <v>Lingsar</v>
          </cell>
          <cell r="Q405">
            <v>49140000</v>
          </cell>
        </row>
        <row r="406">
          <cell r="B406" t="str">
            <v>Infrastruktur Berkelanjutan</v>
          </cell>
          <cell r="D406" t="str">
            <v>PROGRAM PENINGKATAN PRASARANA, SARANA DAN UTILITAS UMUM (PSU)</v>
          </cell>
          <cell r="K406" t="str">
            <v>Dinas Pekerjaan Umum, Penataan Ruang, Perumahan dan Kawasan Permukiman</v>
          </cell>
          <cell r="O406" t="str">
            <v>Lingsar</v>
          </cell>
          <cell r="Q406">
            <v>148515000</v>
          </cell>
        </row>
        <row r="407">
          <cell r="B407" t="str">
            <v>Infrastruktur Berkelanjutan</v>
          </cell>
          <cell r="D407" t="str">
            <v>PROGRAM KAWASAN PERMUKIMAN</v>
          </cell>
          <cell r="K407" t="str">
            <v>Dinas Pekerjaan Umum, Penataan Ruang, Perumahan dan Kawasan Permukiman</v>
          </cell>
          <cell r="O407" t="str">
            <v>Lingsar</v>
          </cell>
          <cell r="Q407">
            <v>100500000</v>
          </cell>
        </row>
        <row r="408">
          <cell r="B408" t="str">
            <v>Infrastruktur Berkelanjutan</v>
          </cell>
          <cell r="D408" t="str">
            <v>PROGRAM PENGELOLAAN SUMBER DAYA AIR (SDA)</v>
          </cell>
          <cell r="K408" t="str">
            <v>Dinas Pekerjaan Umum, Penataan Ruang, Perumahan dan Kawasan Permukiman</v>
          </cell>
          <cell r="O408" t="str">
            <v>Lingsar</v>
          </cell>
          <cell r="Q408">
            <v>116425000</v>
          </cell>
        </row>
        <row r="409">
          <cell r="B409" t="str">
            <v>Infrastruktur Berkelanjutan</v>
          </cell>
          <cell r="D409" t="str">
            <v>PROGRAM PENYELENGGARAAN JALAN</v>
          </cell>
          <cell r="K409" t="str">
            <v>Dinas Pekerjaan Umum, Penataan Ruang, Perumahan dan Kawasan Permukiman</v>
          </cell>
          <cell r="O409" t="str">
            <v>Lingsar</v>
          </cell>
          <cell r="Q409">
            <v>101600000</v>
          </cell>
        </row>
        <row r="410">
          <cell r="B410" t="str">
            <v>Infrastruktur Berkelanjutan</v>
          </cell>
          <cell r="D410" t="str">
            <v>PROGRAM PENGELOLAAN DAN PENGEMBANGAN SISTEM PENYEDIAAN AIR MINUM</v>
          </cell>
          <cell r="K410" t="str">
            <v>Dinas Pekerjaan Umum, Penataan Ruang, Perumahan dan Kawasan Permukiman</v>
          </cell>
          <cell r="O410" t="str">
            <v>Lingsar</v>
          </cell>
          <cell r="Q410">
            <v>100000000</v>
          </cell>
        </row>
        <row r="411">
          <cell r="B411" t="str">
            <v>Infrastruktur Berkelanjutan</v>
          </cell>
          <cell r="D411" t="str">
            <v>PROGRAM KAWASAN PERMUKIMAN</v>
          </cell>
          <cell r="K411" t="str">
            <v>Dinas Pekerjaan Umum, Penataan Ruang, Perumahan dan Kawasan Permukiman</v>
          </cell>
          <cell r="O411" t="str">
            <v>Lingsar</v>
          </cell>
          <cell r="Q411">
            <v>166920000</v>
          </cell>
        </row>
        <row r="412">
          <cell r="B412" t="str">
            <v>Infrastruktur Berkelanjutan</v>
          </cell>
          <cell r="D412" t="str">
            <v>PROGRAM PENGELOLAAN DAN PENGEMBANGAN SISTEM DRAINASE</v>
          </cell>
          <cell r="K412" t="str">
            <v>Dinas Pekerjaan Umum, Penataan Ruang, Perumahan dan Kawasan Permukiman</v>
          </cell>
          <cell r="O412" t="str">
            <v>Lingsar</v>
          </cell>
          <cell r="Q412">
            <v>69550000</v>
          </cell>
        </row>
        <row r="413">
          <cell r="B413" t="str">
            <v>Infrastruktur Berkelanjutan</v>
          </cell>
          <cell r="D413" t="str">
            <v>PROGRAM PENINGKATAN PRASARANA, SARANA DAN UTILITAS UMUM (PSU)</v>
          </cell>
          <cell r="K413" t="str">
            <v>Dinas Pekerjaan Umum, Penataan Ruang, Perumahan dan Kawasan Permukiman</v>
          </cell>
          <cell r="O413" t="str">
            <v>Lingsar</v>
          </cell>
          <cell r="Q413">
            <v>45212000</v>
          </cell>
        </row>
        <row r="414">
          <cell r="B414" t="str">
            <v>Infrastruktur Berkelanjutan</v>
          </cell>
          <cell r="D414" t="str">
            <v>PROGRAM PENINGKATAN PRASARANA, SARANA DAN UTILITAS UMUM (PSU)</v>
          </cell>
          <cell r="K414" t="str">
            <v>Dinas Pekerjaan Umum, Penataan Ruang, Perumahan dan Kawasan Permukiman</v>
          </cell>
          <cell r="O414" t="str">
            <v>Lingsar</v>
          </cell>
          <cell r="Q414">
            <v>152400000</v>
          </cell>
        </row>
        <row r="415">
          <cell r="B415" t="str">
            <v>Infrastruktur Berkelanjutan</v>
          </cell>
          <cell r="D415" t="str">
            <v>PROGRAM PENINGKATAN PRASARANA, SARANA DAN UTILITAS UMUM (PSU)</v>
          </cell>
          <cell r="K415" t="str">
            <v>Dinas Pekerjaan Umum, Penataan Ruang, Perumahan dan Kawasan Permukiman</v>
          </cell>
          <cell r="O415" t="str">
            <v>Lingsar</v>
          </cell>
          <cell r="Q415">
            <v>152400000</v>
          </cell>
        </row>
        <row r="416">
          <cell r="B416" t="str">
            <v>Infrastruktur Berkelanjutan</v>
          </cell>
          <cell r="D416" t="str">
            <v>PROGRAM PENINGKATAN PRASARANA, SARANA DAN UTILITAS UMUM (PSU)</v>
          </cell>
          <cell r="K416" t="str">
            <v>Dinas Pekerjaan Umum, Penataan Ruang, Perumahan dan Kawasan Permukiman</v>
          </cell>
          <cell r="O416" t="str">
            <v>Lingsar</v>
          </cell>
          <cell r="Q416">
            <v>95250000</v>
          </cell>
        </row>
        <row r="417">
          <cell r="B417" t="str">
            <v>Infrastruktur Berkelanjutan</v>
          </cell>
          <cell r="D417" t="str">
            <v>PROGRAM PENINGKATAN PRASARANA, SARANA DAN UTILITAS UMUM (PSU)</v>
          </cell>
          <cell r="K417" t="str">
            <v>Dinas Pekerjaan Umum, Penataan Ruang, Perumahan dan Kawasan Permukiman</v>
          </cell>
          <cell r="O417" t="str">
            <v>Lingsar</v>
          </cell>
          <cell r="Q417">
            <v>152400000</v>
          </cell>
        </row>
        <row r="418">
          <cell r="B418" t="str">
            <v>Infrastruktur Berkelanjutan</v>
          </cell>
          <cell r="D418" t="str">
            <v>PROGRAM PENINGKATAN PRASARANA, SARANA DAN UTILITAS UMUM (PSU)</v>
          </cell>
          <cell r="K418" t="str">
            <v>Dinas Pekerjaan Umum, Penataan Ruang, Perumahan dan Kawasan Permukiman</v>
          </cell>
          <cell r="O418" t="str">
            <v>Lingsar</v>
          </cell>
          <cell r="Q418">
            <v>152400000</v>
          </cell>
        </row>
        <row r="419">
          <cell r="B419" t="str">
            <v>Infrastruktur Berkelanjutan</v>
          </cell>
          <cell r="D419" t="str">
            <v>PROGRAM PENYELENGGARAAN JALAN</v>
          </cell>
          <cell r="K419" t="str">
            <v>Dinas Pekerjaan Umum, Penataan Ruang, Perumahan dan Kawasan Permukiman</v>
          </cell>
          <cell r="O419" t="str">
            <v>Lingsar</v>
          </cell>
          <cell r="Q419">
            <v>250000000</v>
          </cell>
        </row>
        <row r="420">
          <cell r="B420" t="str">
            <v>Infrastruktur Berkelanjutan</v>
          </cell>
          <cell r="D420" t="str">
            <v>PROGRAM PENINGKATAN PRASARANA, SARANA DAN UTILITAS UMUM (PSU)</v>
          </cell>
          <cell r="K420" t="str">
            <v>Dinas Pekerjaan Umum, Penataan Ruang, Perumahan dan Kawasan Permukiman</v>
          </cell>
          <cell r="O420" t="str">
            <v>Lingsar</v>
          </cell>
          <cell r="Q420">
            <v>98360655</v>
          </cell>
        </row>
        <row r="421">
          <cell r="B421" t="str">
            <v>Infrastruktur Berkelanjutan</v>
          </cell>
          <cell r="D421" t="str">
            <v>PROGRAM PENGELOLAAN DAN PENGEMBANGAN SISTEM DRAINASE</v>
          </cell>
          <cell r="K421" t="str">
            <v>Dinas Pekerjaan Umum, Penataan Ruang, Perumahan dan Kawasan Permukiman</v>
          </cell>
          <cell r="O421" t="str">
            <v>Lingsar</v>
          </cell>
          <cell r="Q421">
            <v>166800000</v>
          </cell>
        </row>
        <row r="422">
          <cell r="B422" t="str">
            <v>Infrastruktur Berkelanjutan</v>
          </cell>
          <cell r="D422" t="str">
            <v>PROGRAM PENINGKATAN PRASARANA, SARANA DAN UTILITAS UMUM (PSU)</v>
          </cell>
          <cell r="K422" t="str">
            <v>Dinas Pekerjaan Umum, Penataan Ruang, Perumahan dan Kawasan Permukiman</v>
          </cell>
          <cell r="O422" t="str">
            <v>Lingsar</v>
          </cell>
          <cell r="Q422">
            <v>38100000</v>
          </cell>
        </row>
        <row r="423">
          <cell r="B423" t="str">
            <v>Infrastruktur Berkelanjutan</v>
          </cell>
          <cell r="D423" t="str">
            <v>PROGRAM PENINGKATAN PRASARANA, SARANA DAN UTILITAS UMUM (PSU)</v>
          </cell>
          <cell r="K423" t="str">
            <v>Dinas Pekerjaan Umum, Penataan Ruang, Perumahan dan Kawasan Permukiman</v>
          </cell>
          <cell r="O423" t="str">
            <v>Lingsar</v>
          </cell>
          <cell r="Q423">
            <v>76200000</v>
          </cell>
        </row>
        <row r="424">
          <cell r="B424" t="str">
            <v>KECAMATAN NARMADA</v>
          </cell>
        </row>
        <row r="425">
          <cell r="B425" t="str">
            <v>Agrominapolitan</v>
          </cell>
          <cell r="D425" t="str">
            <v>PROGRAM PENYEDIAAN DAN PENGEMBANGAN SARANA PERTANIAN</v>
          </cell>
          <cell r="K425" t="str">
            <v>Dinas Pertanian</v>
          </cell>
          <cell r="O425" t="str">
            <v>Narmada</v>
          </cell>
          <cell r="Q425">
            <v>142000000</v>
          </cell>
        </row>
        <row r="426">
          <cell r="B426" t="str">
            <v>Infrastruktur Berkelanjutan</v>
          </cell>
          <cell r="D426" t="str">
            <v>PROGRAM PENINGKATAN PRASARANA, SARANA DAN UTILITAS UMUM (PSU)</v>
          </cell>
          <cell r="K426" t="str">
            <v>Dinas Pekerjaan Umum, Penataan Ruang, Perumahan dan Kawasan Permukiman</v>
          </cell>
          <cell r="O426" t="str">
            <v>Narmada</v>
          </cell>
          <cell r="Q426">
            <v>152459015</v>
          </cell>
        </row>
        <row r="427">
          <cell r="B427" t="str">
            <v>Infrastruktur Berkelanjutan</v>
          </cell>
          <cell r="D427" t="str">
            <v>PROGRAM PENINGKATAN PRASARANA, SARANA DAN UTILITAS UMUM (PSU)</v>
          </cell>
          <cell r="K427" t="str">
            <v>Dinas Pekerjaan Umum, Penataan Ruang, Perumahan dan Kawasan Permukiman</v>
          </cell>
          <cell r="O427" t="str">
            <v>Narmada</v>
          </cell>
          <cell r="Q427">
            <v>176791999.60800001</v>
          </cell>
        </row>
        <row r="428">
          <cell r="B428" t="str">
            <v>Infrastruktur Berkelanjutan</v>
          </cell>
          <cell r="D428" t="str">
            <v>PROGRAM PENINGKATAN PRASARANA, SARANA DAN UTILITAS UMUM (PSU)</v>
          </cell>
          <cell r="K428" t="str">
            <v>Dinas Pekerjaan Umum, Penataan Ruang, Perumahan dan Kawasan Permukiman</v>
          </cell>
          <cell r="O428" t="str">
            <v>Narmada</v>
          </cell>
          <cell r="Q428">
            <v>136393441.59999999</v>
          </cell>
        </row>
        <row r="429">
          <cell r="B429" t="str">
            <v>Infrastruktur Berkelanjutan</v>
          </cell>
          <cell r="D429" t="str">
            <v>PROGRAM PENINGKATAN PRASARANA, SARANA DAN UTILITAS UMUM (PSU)</v>
          </cell>
          <cell r="K429" t="str">
            <v>Dinas Pekerjaan Umum, Penataan Ruang, Perumahan dan Kawasan Permukiman</v>
          </cell>
          <cell r="O429" t="str">
            <v>Narmada</v>
          </cell>
          <cell r="Q429">
            <v>93006222.016000003</v>
          </cell>
        </row>
        <row r="430">
          <cell r="B430" t="str">
            <v>Infrastruktur Berkelanjutan</v>
          </cell>
          <cell r="D430" t="str">
            <v>PROGRAM PENINGKATAN PRASARANA, SARANA DAN UTILITAS UMUM (PSU)</v>
          </cell>
          <cell r="K430" t="str">
            <v>Dinas Pekerjaan Umum, Penataan Ruang, Perumahan dan Kawasan Permukiman</v>
          </cell>
          <cell r="O430" t="str">
            <v>Narmada</v>
          </cell>
          <cell r="Q430">
            <v>154098360</v>
          </cell>
        </row>
        <row r="431">
          <cell r="B431" t="str">
            <v>Infrastruktur Berkelanjutan</v>
          </cell>
          <cell r="D431" t="str">
            <v>PROGRAM PENINGKATAN PRASARANA, SARANA DAN UTILITAS UMUM (PSU)</v>
          </cell>
          <cell r="K431" t="str">
            <v>Dinas Pekerjaan Umum, Penataan Ruang, Perumahan dan Kawasan Permukiman</v>
          </cell>
          <cell r="O431" t="str">
            <v>Narmada</v>
          </cell>
          <cell r="Q431">
            <v>150819671</v>
          </cell>
        </row>
        <row r="432">
          <cell r="B432" t="str">
            <v>Infrastruktur Berkelanjutan</v>
          </cell>
          <cell r="D432" t="str">
            <v>PROGRAM PENINGKATAN PRASARANA, SARANA DAN UTILITAS UMUM (PSU)</v>
          </cell>
          <cell r="K432" t="str">
            <v>Dinas Pekerjaan Umum, Penataan Ruang, Perumahan dan Kawasan Permukiman</v>
          </cell>
          <cell r="O432" t="str">
            <v>Narmada</v>
          </cell>
          <cell r="Q432">
            <v>102271999.99999999</v>
          </cell>
        </row>
        <row r="433">
          <cell r="B433" t="str">
            <v>Infrastruktur Berkelanjutan</v>
          </cell>
          <cell r="D433" t="str">
            <v>PROGRAM PENINGKATAN PRASARANA, SARANA DAN UTILITAS UMUM (PSU)</v>
          </cell>
          <cell r="K433" t="str">
            <v>Dinas Pekerjaan Umum, Penataan Ruang, Perumahan dan Kawasan Permukiman</v>
          </cell>
          <cell r="O433" t="str">
            <v>Narmada</v>
          </cell>
          <cell r="Q433">
            <v>77216000</v>
          </cell>
        </row>
        <row r="434">
          <cell r="B434" t="str">
            <v>Infrastruktur Berkelanjutan</v>
          </cell>
          <cell r="D434" t="str">
            <v>PROGRAM PENINGKATAN PRASARANA, SARANA DAN UTILITAS UMUM (PSU)</v>
          </cell>
          <cell r="K434" t="str">
            <v>Dinas Pekerjaan Umum, Penataan Ruang, Perumahan dan Kawasan Permukiman</v>
          </cell>
          <cell r="O434" t="str">
            <v>Narmada</v>
          </cell>
          <cell r="Q434">
            <v>121920000</v>
          </cell>
        </row>
        <row r="435">
          <cell r="B435" t="str">
            <v>Infrastruktur Berkelanjutan</v>
          </cell>
          <cell r="D435" t="str">
            <v>PROGRAM PENINGKATAN PRASARANA, SARANA DAN UTILITAS UMUM (PSU)</v>
          </cell>
          <cell r="K435" t="str">
            <v>Dinas Pekerjaan Umum, Penataan Ruang, Perumahan dan Kawasan Permukiman</v>
          </cell>
          <cell r="O435" t="str">
            <v>Narmada</v>
          </cell>
          <cell r="Q435">
            <v>101600000</v>
          </cell>
        </row>
        <row r="436">
          <cell r="B436" t="str">
            <v>Infrastruktur Berkelanjutan</v>
          </cell>
          <cell r="D436" t="str">
            <v>PROGRAM PENINGKATAN PRASARANA, SARANA DAN UTILITAS UMUM (PSU)</v>
          </cell>
          <cell r="K436" t="str">
            <v>Dinas Pekerjaan Umum, Penataan Ruang, Perumahan dan Kawasan Permukiman</v>
          </cell>
          <cell r="O436" t="str">
            <v>Narmada</v>
          </cell>
          <cell r="Q436">
            <v>70720000</v>
          </cell>
        </row>
        <row r="437">
          <cell r="B437" t="str">
            <v>Infrastruktur Berkelanjutan</v>
          </cell>
          <cell r="D437" t="str">
            <v>PROGRAM PENINGKATAN PRASARANA, SARANA DAN UTILITAS UMUM (PSU)</v>
          </cell>
          <cell r="K437" t="str">
            <v>Dinas Pekerjaan Umum, Penataan Ruang, Perumahan dan Kawasan Permukiman</v>
          </cell>
          <cell r="O437" t="str">
            <v>Narmada</v>
          </cell>
          <cell r="Q437">
            <v>36576000</v>
          </cell>
        </row>
        <row r="438">
          <cell r="B438" t="str">
            <v>Infrastruktur Berkelanjutan</v>
          </cell>
          <cell r="D438" t="str">
            <v>PROGRAM PENINGKATAN PRASARANA, SARANA DAN UTILITAS UMUM (PSU)</v>
          </cell>
          <cell r="K438" t="str">
            <v>Dinas Pekerjaan Umum, Penataan Ruang, Perumahan dan Kawasan Permukiman</v>
          </cell>
          <cell r="O438" t="str">
            <v>Narmada</v>
          </cell>
          <cell r="Q438">
            <v>240000000</v>
          </cell>
        </row>
        <row r="439">
          <cell r="B439" t="str">
            <v>Infrastruktur Berkelanjutan</v>
          </cell>
          <cell r="D439" t="str">
            <v>PROGRAM PENINGKATAN PRASARANA, SARANA DAN UTILITAS UMUM (PSU)</v>
          </cell>
          <cell r="K439" t="str">
            <v>Dinas Pekerjaan Umum, Penataan Ruang, Perumahan dan Kawasan Permukiman</v>
          </cell>
          <cell r="O439" t="str">
            <v>Narmada</v>
          </cell>
          <cell r="Q439">
            <v>144780000</v>
          </cell>
        </row>
        <row r="440">
          <cell r="B440" t="str">
            <v>Infrastruktur Berkelanjutan</v>
          </cell>
          <cell r="D440" t="str">
            <v>PROGRAM PENINGKATAN PRASARANA, SARANA DAN UTILITAS UMUM (PSU)</v>
          </cell>
          <cell r="K440" t="str">
            <v>Dinas Pekerjaan Umum, Penataan Ruang, Perumahan dan Kawasan Permukiman</v>
          </cell>
          <cell r="O440" t="str">
            <v>Narmada</v>
          </cell>
          <cell r="Q440">
            <v>104851200</v>
          </cell>
        </row>
        <row r="441">
          <cell r="B441" t="str">
            <v>Agrominapolitan</v>
          </cell>
          <cell r="D441" t="str">
            <v>PROGRAM PENYEDIAAN DAN PENGEMBANGAN SARANA PERTANIAN</v>
          </cell>
          <cell r="K441" t="str">
            <v>Dinas Pertanian</v>
          </cell>
          <cell r="O441" t="str">
            <v>Narmada</v>
          </cell>
          <cell r="Q441">
            <v>50000000</v>
          </cell>
        </row>
        <row r="442">
          <cell r="B442" t="str">
            <v>Agrominapolitan</v>
          </cell>
          <cell r="D442" t="str">
            <v>PROGRAM PENYEDIAAN DAN PENGEMBANGAN SARANA PERTANIAN</v>
          </cell>
          <cell r="K442" t="str">
            <v>Dinas Pertanian</v>
          </cell>
          <cell r="O442" t="str">
            <v>Narmada</v>
          </cell>
          <cell r="Q442">
            <v>250000000</v>
          </cell>
        </row>
        <row r="443">
          <cell r="B443" t="str">
            <v>Agrominapolitan</v>
          </cell>
          <cell r="D443" t="str">
            <v>PROGRAM PENYEDIAAN DAN PENGEMBANGAN SARANA PERTANIAN</v>
          </cell>
          <cell r="K443" t="str">
            <v>Dinas Pertanian</v>
          </cell>
          <cell r="O443" t="str">
            <v>Narmada</v>
          </cell>
          <cell r="Q443">
            <v>109000000</v>
          </cell>
        </row>
        <row r="444">
          <cell r="B444" t="str">
            <v>Agrominapolitan</v>
          </cell>
          <cell r="D444" t="str">
            <v>PROGRAM PENYEDIAAN DAN PENGEMBANGAN SARANA PERTANIAN</v>
          </cell>
          <cell r="K444" t="str">
            <v>Dinas Pertanian</v>
          </cell>
          <cell r="O444" t="str">
            <v>Narmada</v>
          </cell>
          <cell r="Q444">
            <v>250000000</v>
          </cell>
        </row>
        <row r="445">
          <cell r="B445" t="str">
            <v>Infrastruktur Berkelanjutan</v>
          </cell>
          <cell r="D445" t="str">
            <v>Program Penyelenggaraan Lalu Lintas dan Angkutan Jalan (LLAJ)</v>
          </cell>
          <cell r="K445" t="str">
            <v>Dinas Perhubungan</v>
          </cell>
          <cell r="O445" t="str">
            <v>Narmada</v>
          </cell>
          <cell r="Q445">
            <v>134000000</v>
          </cell>
        </row>
        <row r="446">
          <cell r="B446" t="str">
            <v>Infrastruktur Berkelanjutan</v>
          </cell>
          <cell r="D446" t="str">
            <v>PROGRAM PENGELOLAAN DAN PENGEMBANGAN SISTEM DRAINASE</v>
          </cell>
          <cell r="K446" t="str">
            <v>Dinas Pekerjaan Umum, Penataan Ruang, Perumahan dan Kawasan Permukiman</v>
          </cell>
          <cell r="O446" t="str">
            <v>Narmada</v>
          </cell>
          <cell r="Q446">
            <v>200000000</v>
          </cell>
        </row>
        <row r="447">
          <cell r="B447" t="str">
            <v>Transformasi dan Kemandirian Ekonomi</v>
          </cell>
          <cell r="D447" t="str">
            <v>PROGRAM PENINGKATAN SARANA DISTRIBUSI PERDAGANGAN</v>
          </cell>
          <cell r="K447" t="str">
            <v>Dinas Perdagangan</v>
          </cell>
          <cell r="O447" t="str">
            <v>Narmada</v>
          </cell>
          <cell r="Q447">
            <v>76140000</v>
          </cell>
        </row>
        <row r="448">
          <cell r="B448" t="str">
            <v>Transformasi dan Kemandirian Ekonomi</v>
          </cell>
          <cell r="D448" t="str">
            <v>PROGRAM PENINGKATAN SARANA DISTRIBUSI PERDAGANGAN</v>
          </cell>
          <cell r="K448" t="str">
            <v>Dinas Perdagangan</v>
          </cell>
          <cell r="O448" t="str">
            <v>Narmada</v>
          </cell>
          <cell r="Q448">
            <v>95175000</v>
          </cell>
        </row>
        <row r="449">
          <cell r="B449" t="str">
            <v>Transformasi dan Kemandirian Ekonomi</v>
          </cell>
          <cell r="D449" t="str">
            <v>PROGRAM PENINGKATAN SARANA DISTRIBUSI PERDAGANGAN</v>
          </cell>
          <cell r="K449" t="str">
            <v>Dinas Perdagangan</v>
          </cell>
          <cell r="O449" t="str">
            <v>Narmada</v>
          </cell>
          <cell r="Q449">
            <v>12690000</v>
          </cell>
        </row>
        <row r="450">
          <cell r="B450" t="str">
            <v>Transformasi dan Kemandirian Ekonomi</v>
          </cell>
          <cell r="D450" t="str">
            <v>PROGRAM PENINGKATAN SARANA DISTRIBUSI PERDAGANGAN</v>
          </cell>
          <cell r="K450" t="str">
            <v>Dinas Perdagangan</v>
          </cell>
          <cell r="O450" t="str">
            <v>Narmada</v>
          </cell>
          <cell r="Q450">
            <v>76140000</v>
          </cell>
        </row>
        <row r="451">
          <cell r="B451" t="str">
            <v>Infrastruktur Berkelanjutan</v>
          </cell>
          <cell r="D451" t="str">
            <v>PROGRAM PENANGGULANGAN BENCANA</v>
          </cell>
          <cell r="K451" t="str">
            <v>Badan Penanggulangan Bencana Daerah</v>
          </cell>
          <cell r="O451" t="str">
            <v>Narmada</v>
          </cell>
          <cell r="Q451">
            <v>210000000</v>
          </cell>
        </row>
        <row r="452">
          <cell r="B452" t="str">
            <v>Infrastruktur Berkelanjutan</v>
          </cell>
          <cell r="D452" t="str">
            <v>PROGRAM PENANGGULANGAN BENCANA</v>
          </cell>
          <cell r="K452" t="str">
            <v>Badan Penanggulangan Bencana Daerah</v>
          </cell>
          <cell r="O452" t="str">
            <v>Narmada</v>
          </cell>
          <cell r="Q452">
            <v>210000000</v>
          </cell>
        </row>
        <row r="453">
          <cell r="B453" t="str">
            <v>Infrastruktur Berkelanjutan</v>
          </cell>
          <cell r="D453" t="str">
            <v>PROGRAM PENANGGULANGAN BENCANA</v>
          </cell>
          <cell r="K453" t="str">
            <v>Badan Penanggulangan Bencana Daerah</v>
          </cell>
          <cell r="O453" t="str">
            <v>Narmada</v>
          </cell>
          <cell r="Q453">
            <v>35000000</v>
          </cell>
        </row>
        <row r="454">
          <cell r="B454" t="str">
            <v>Agrominapolitan</v>
          </cell>
          <cell r="D454" t="str">
            <v>PROGRAM PENYEDIAAN DAN PENGEMBANGAN SARANA PERTANIAN</v>
          </cell>
          <cell r="K454" t="str">
            <v>Dinas Pertanian</v>
          </cell>
          <cell r="O454" t="str">
            <v>Narmada</v>
          </cell>
          <cell r="Q454">
            <v>190000000</v>
          </cell>
        </row>
        <row r="455">
          <cell r="B455" t="str">
            <v>Transformasi dan Kemandirian Ekonomi</v>
          </cell>
          <cell r="D455" t="str">
            <v>PROGRAM PENINGKATAN SARANA DISTRIBUSI PERDAGANGAN</v>
          </cell>
          <cell r="K455" t="str">
            <v>Dinas Perdagangan</v>
          </cell>
          <cell r="O455" t="str">
            <v>Narmada</v>
          </cell>
          <cell r="Q455">
            <v>100000000</v>
          </cell>
        </row>
        <row r="456">
          <cell r="B456" t="str">
            <v>Transformasi dan Kemandirian Ekonomi</v>
          </cell>
          <cell r="D456" t="str">
            <v>PROGRAM PENGEMBANGAN UMKM</v>
          </cell>
          <cell r="K456" t="str">
            <v>Dinas Perindustrian, Koperasi, Usaha Kecil dan Menengah, dan Tenaga Kerja</v>
          </cell>
          <cell r="O456" t="str">
            <v>Narmada</v>
          </cell>
          <cell r="Q456">
            <v>100000000</v>
          </cell>
        </row>
        <row r="457">
          <cell r="B457" t="str">
            <v>Pembangunan SDM Unggul dan Berdaya Saing</v>
          </cell>
          <cell r="D457" t="str">
            <v>PROGRAM PEMENUHAN UPAYA KESEHATAN PERORANGAN DAN UPAYA KESEHATAN MASYARAKAT</v>
          </cell>
          <cell r="K457" t="str">
            <v>Dinas Kesehatan, Pengendalian Penduduk dan Keluarga Berencana</v>
          </cell>
          <cell r="O457" t="str">
            <v>Narmada</v>
          </cell>
          <cell r="Q457">
            <v>2583000</v>
          </cell>
        </row>
        <row r="458">
          <cell r="B458" t="str">
            <v>Pembangunan SDM Unggul dan Berdaya Saing</v>
          </cell>
          <cell r="D458" t="str">
            <v>PROGRAM PEMENUHAN UPAYA KESEHATAN PERORANGAN DAN UPAYA KESEHATAN MASYARAKAT</v>
          </cell>
          <cell r="K458" t="str">
            <v>Dinas Kesehatan, Pengendalian Penduduk dan Keluarga Berencana</v>
          </cell>
          <cell r="O458" t="str">
            <v>Narmada</v>
          </cell>
          <cell r="Q458">
            <v>2583000</v>
          </cell>
        </row>
        <row r="459">
          <cell r="B459" t="str">
            <v>Pembangunan SDM Unggul dan Berdaya Saing</v>
          </cell>
          <cell r="D459" t="str">
            <v>PROGRAM PEMENUHAN UPAYA KESEHATAN PERORANGAN DAN UPAYA KESEHATAN MASYARAKAT</v>
          </cell>
          <cell r="K459" t="str">
            <v>Dinas Kesehatan, Pengendalian Penduduk dan Keluarga Berencana</v>
          </cell>
          <cell r="O459" t="str">
            <v>Narmada</v>
          </cell>
          <cell r="Q459">
            <v>2583000</v>
          </cell>
        </row>
        <row r="460">
          <cell r="B460" t="str">
            <v>Pembangunan SDM Unggul dan Berdaya Saing</v>
          </cell>
          <cell r="D460" t="str">
            <v>PROGRAM PEMENUHAN UPAYA KESEHATAN PERORANGAN DAN UPAYA KESEHATAN MASYARAKAT</v>
          </cell>
          <cell r="K460" t="str">
            <v>Dinas Kesehatan, Pengendalian Penduduk dan Keluarga Berencana</v>
          </cell>
          <cell r="O460" t="str">
            <v>Narmada</v>
          </cell>
          <cell r="Q460">
            <v>2583000</v>
          </cell>
        </row>
        <row r="461">
          <cell r="B461" t="str">
            <v>Pembangunan SDM Unggul dan Berdaya Saing</v>
          </cell>
          <cell r="D461" t="str">
            <v>PROGRAM PEMENUHAN UPAYA KESEHATAN PERORANGAN DAN UPAYA KESEHATAN MASYARAKAT</v>
          </cell>
          <cell r="K461" t="str">
            <v>Dinas Kesehatan, Pengendalian Penduduk dan Keluarga Berencana</v>
          </cell>
          <cell r="O461" t="str">
            <v>Narmada</v>
          </cell>
          <cell r="Q461">
            <v>2583000</v>
          </cell>
        </row>
        <row r="462">
          <cell r="B462" t="str">
            <v>Pembangunan SDM Unggul dan Berdaya Saing</v>
          </cell>
          <cell r="D462" t="str">
            <v>PROGRAM PEMENUHAN UPAYA KESEHATAN PERORANGAN DAN UPAYA KESEHATAN MASYARAKAT</v>
          </cell>
          <cell r="K462" t="str">
            <v>Dinas Kesehatan, Pengendalian Penduduk dan Keluarga Berencana</v>
          </cell>
          <cell r="O462" t="str">
            <v>Narmada</v>
          </cell>
          <cell r="Q462">
            <v>2583000</v>
          </cell>
        </row>
        <row r="463">
          <cell r="B463" t="str">
            <v>Pembangunan SDM Unggul dan Berdaya Saing</v>
          </cell>
          <cell r="D463" t="str">
            <v>PROGRAM PEMENUHAN UPAYA KESEHATAN PERORANGAN DAN UPAYA KESEHATAN MASYARAKAT</v>
          </cell>
          <cell r="K463" t="str">
            <v>Dinas Kesehatan, Pengendalian Penduduk dan Keluarga Berencana</v>
          </cell>
          <cell r="O463" t="str">
            <v>Narmada</v>
          </cell>
          <cell r="Q463">
            <v>2583000</v>
          </cell>
        </row>
        <row r="464">
          <cell r="B464" t="str">
            <v>Pembangunan SDM Unggul dan Berdaya Saing</v>
          </cell>
          <cell r="D464" t="str">
            <v>PROGRAM PEMENUHAN UPAYA KESEHATAN PERORANGAN DAN UPAYA KESEHATAN MASYARAKAT</v>
          </cell>
          <cell r="K464" t="str">
            <v>Dinas Kesehatan, Pengendalian Penduduk dan Keluarga Berencana</v>
          </cell>
          <cell r="O464" t="str">
            <v>Narmada</v>
          </cell>
          <cell r="Q464">
            <v>2583000</v>
          </cell>
        </row>
        <row r="465">
          <cell r="B465" t="str">
            <v>Pembangunan SDM Unggul dan Berdaya Saing</v>
          </cell>
          <cell r="D465" t="str">
            <v>PROGRAM PEMENUHAN UPAYA KESEHATAN PERORANGAN DAN UPAYA KESEHATAN MASYARAKAT</v>
          </cell>
          <cell r="K465" t="str">
            <v>Dinas Kesehatan, Pengendalian Penduduk dan Keluarga Berencana</v>
          </cell>
          <cell r="O465" t="str">
            <v>Narmada</v>
          </cell>
          <cell r="Q465">
            <v>2583000</v>
          </cell>
        </row>
        <row r="466">
          <cell r="B466" t="str">
            <v>Pembangunan SDM Unggul dan Berdaya Saing</v>
          </cell>
          <cell r="D466" t="str">
            <v>PROGRAM PEMENUHAN UPAYA KESEHATAN PERORANGAN DAN UPAYA KESEHATAN MASYARAKAT</v>
          </cell>
          <cell r="K466" t="str">
            <v>Dinas Kesehatan, Pengendalian Penduduk dan Keluarga Berencana</v>
          </cell>
          <cell r="O466" t="str">
            <v>Narmada</v>
          </cell>
          <cell r="Q466">
            <v>2583000</v>
          </cell>
        </row>
        <row r="467">
          <cell r="B467" t="str">
            <v>Agrominapolitan</v>
          </cell>
          <cell r="D467" t="str">
            <v>PROGRAM PENYEDIAAN DAN PENGEMBANGAN SARANA PERTANIAN</v>
          </cell>
          <cell r="K467" t="str">
            <v>Dinas Pertanian</v>
          </cell>
          <cell r="O467" t="str">
            <v>Narmada</v>
          </cell>
          <cell r="Q467">
            <v>90000000</v>
          </cell>
        </row>
        <row r="468">
          <cell r="B468" t="str">
            <v>Agrominapolitan</v>
          </cell>
          <cell r="D468" t="str">
            <v>PROGRAM PENYEDIAAN DAN PENGEMBANGAN SARANA PERTANIAN</v>
          </cell>
          <cell r="K468" t="str">
            <v>Dinas Pertanian</v>
          </cell>
          <cell r="O468" t="str">
            <v>Narmada</v>
          </cell>
          <cell r="Q468">
            <v>50000000</v>
          </cell>
        </row>
        <row r="469">
          <cell r="B469" t="str">
            <v>Agrominapolitan</v>
          </cell>
          <cell r="D469" t="str">
            <v>PROGRAM PENYEDIAAN DAN PENGEMBANGAN SARANA PERTANIAN</v>
          </cell>
          <cell r="K469" t="str">
            <v>Dinas Pertanian</v>
          </cell>
          <cell r="O469" t="str">
            <v>Narmada</v>
          </cell>
          <cell r="Q469">
            <v>50000000</v>
          </cell>
        </row>
        <row r="470">
          <cell r="B470" t="str">
            <v>Agrominapolitan</v>
          </cell>
          <cell r="D470" t="str">
            <v>PROGRAM PENYEDIAAN DAN PENGEMBANGAN SARANA PERTANIAN</v>
          </cell>
          <cell r="K470" t="str">
            <v>Dinas Pertanian</v>
          </cell>
          <cell r="O470" t="str">
            <v>Narmada</v>
          </cell>
          <cell r="Q470">
            <v>40000000</v>
          </cell>
        </row>
        <row r="471">
          <cell r="B471" t="str">
            <v>Transformasi dan Kemandirian Ekonomi</v>
          </cell>
          <cell r="D471" t="str">
            <v>PROGRAM PENEMPATAN TENAGA KERJA</v>
          </cell>
          <cell r="K471" t="str">
            <v>Dinas Perindustrian, Koperasi, Usaha Kecil dan Menengah, dan Tenaga Kerja</v>
          </cell>
          <cell r="O471" t="str">
            <v>Narmada</v>
          </cell>
          <cell r="Q471">
            <v>10500000</v>
          </cell>
        </row>
        <row r="472">
          <cell r="B472" t="str">
            <v>Transformasi dan Kemandirian Ekonomi</v>
          </cell>
          <cell r="D472" t="str">
            <v>PROGRAM PENEMPATAN TENAGA KERJA</v>
          </cell>
          <cell r="K472" t="str">
            <v>Dinas Perindustrian, Koperasi, Usaha Kecil dan Menengah, dan Tenaga Kerja</v>
          </cell>
          <cell r="O472" t="str">
            <v>Narmada</v>
          </cell>
          <cell r="Q472">
            <v>13500000</v>
          </cell>
        </row>
        <row r="473">
          <cell r="B473" t="str">
            <v>Transformasi dan Kemandirian Ekonomi</v>
          </cell>
          <cell r="D473" t="str">
            <v>PROGRAM PENEMPATAN TENAGA KERJA</v>
          </cell>
          <cell r="K473" t="str">
            <v>Dinas Perindustrian, Koperasi, Usaha Kecil dan Menengah, dan Tenaga Kerja</v>
          </cell>
          <cell r="O473" t="str">
            <v>Narmada</v>
          </cell>
          <cell r="Q473">
            <v>4500000</v>
          </cell>
        </row>
        <row r="474">
          <cell r="B474" t="str">
            <v>Transformasi dan Kemandirian Ekonomi</v>
          </cell>
          <cell r="D474" t="str">
            <v>PROGRAM PENEMPATAN TENAGA KERJA</v>
          </cell>
          <cell r="K474" t="str">
            <v>Dinas Perindustrian, Koperasi, Usaha Kecil dan Menengah, dan Tenaga Kerja</v>
          </cell>
          <cell r="O474" t="str">
            <v>Narmada</v>
          </cell>
          <cell r="Q474">
            <v>26000000</v>
          </cell>
        </row>
        <row r="475">
          <cell r="B475" t="str">
            <v>Infrastruktur Berkelanjutan</v>
          </cell>
          <cell r="D475" t="str">
            <v>Program Penyelenggaraan Lalu Lintas dan Angkutan Jalan (LLAJ)</v>
          </cell>
          <cell r="K475" t="str">
            <v>Dinas Perhubungan</v>
          </cell>
          <cell r="O475" t="str">
            <v>Narmada</v>
          </cell>
          <cell r="Q475">
            <v>33500000</v>
          </cell>
        </row>
        <row r="476">
          <cell r="B476" t="str">
            <v>Infrastruktur Berkelanjutan</v>
          </cell>
          <cell r="D476" t="str">
            <v>PROGRAM PENINGKATAN PRASARANA, SARANA DAN UTILITAS UMUM (PSU)</v>
          </cell>
          <cell r="K476" t="str">
            <v>Dinas Pekerjaan Umum, Penataan Ruang, Perumahan dan Kawasan Permukiman</v>
          </cell>
          <cell r="O476" t="str">
            <v>Narmada</v>
          </cell>
          <cell r="Q476">
            <v>128712870</v>
          </cell>
        </row>
        <row r="477">
          <cell r="B477" t="str">
            <v>Infrastruktur Berkelanjutan</v>
          </cell>
          <cell r="D477" t="str">
            <v>PROGRAM PENINGKATAN PRASARANA, SARANA DAN UTILITAS UMUM (PSU)</v>
          </cell>
          <cell r="K477" t="str">
            <v>Dinas Pekerjaan Umum, Penataan Ruang, Perumahan dan Kawasan Permukiman</v>
          </cell>
          <cell r="O477" t="str">
            <v>Narmada</v>
          </cell>
          <cell r="Q477">
            <v>99009900</v>
          </cell>
        </row>
        <row r="478">
          <cell r="B478" t="str">
            <v>Infrastruktur Berkelanjutan</v>
          </cell>
          <cell r="D478" t="str">
            <v>PROGRAM PENINGKATAN PRASARANA, SARANA DAN UTILITAS UMUM (PSU)</v>
          </cell>
          <cell r="K478" t="str">
            <v>Dinas Pekerjaan Umum, Penataan Ruang, Perumahan dan Kawasan Permukiman</v>
          </cell>
          <cell r="O478" t="str">
            <v>Narmada</v>
          </cell>
          <cell r="Q478">
            <v>99009900</v>
          </cell>
        </row>
        <row r="479">
          <cell r="B479" t="str">
            <v>Infrastruktur Berkelanjutan</v>
          </cell>
          <cell r="D479" t="str">
            <v>PROGRAM PENINGKATAN PRASARANA, SARANA DAN UTILITAS UMUM (PSU)</v>
          </cell>
          <cell r="K479" t="str">
            <v>Dinas Pekerjaan Umum, Penataan Ruang, Perumahan dan Kawasan Permukiman</v>
          </cell>
          <cell r="O479" t="str">
            <v>Narmada</v>
          </cell>
          <cell r="Q479">
            <v>79207920</v>
          </cell>
        </row>
        <row r="480">
          <cell r="B480" t="str">
            <v>Infrastruktur Berkelanjutan</v>
          </cell>
          <cell r="D480" t="str">
            <v>PROGRAM PENINGKATAN PRASARANA, SARANA DAN UTILITAS UMUM (PSU)</v>
          </cell>
          <cell r="K480" t="str">
            <v>Dinas Pekerjaan Umum, Penataan Ruang, Perumahan dan Kawasan Permukiman</v>
          </cell>
          <cell r="O480" t="str">
            <v>Narmada</v>
          </cell>
          <cell r="Q480">
            <v>59405940</v>
          </cell>
        </row>
        <row r="481">
          <cell r="B481" t="str">
            <v>Infrastruktur Berkelanjutan</v>
          </cell>
          <cell r="D481" t="str">
            <v>PROGRAM PENINGKATAN PRASARANA, SARANA DAN UTILITAS UMUM (PSU)</v>
          </cell>
          <cell r="K481" t="str">
            <v>Dinas Pekerjaan Umum, Penataan Ruang, Perumahan dan Kawasan Permukiman</v>
          </cell>
          <cell r="O481" t="str">
            <v>Narmada</v>
          </cell>
          <cell r="Q481">
            <v>85799999.25</v>
          </cell>
        </row>
        <row r="482">
          <cell r="B482" t="str">
            <v>Infrastruktur Berkelanjutan</v>
          </cell>
          <cell r="D482" t="str">
            <v>PROGRAM PENINGKATAN PRASARANA, SARANA DAN UTILITAS UMUM (PSU)</v>
          </cell>
          <cell r="K482" t="str">
            <v>Dinas Pekerjaan Umum, Penataan Ruang, Perumahan dan Kawasan Permukiman</v>
          </cell>
          <cell r="O482" t="str">
            <v>Narmada</v>
          </cell>
          <cell r="Q482">
            <v>99009900</v>
          </cell>
        </row>
        <row r="483">
          <cell r="B483" t="str">
            <v>Infrastruktur Berkelanjutan</v>
          </cell>
          <cell r="D483" t="str">
            <v>PROGRAM PENINGKATAN PRASARANA, SARANA DAN UTILITAS UMUM (PSU)</v>
          </cell>
          <cell r="K483" t="str">
            <v>Dinas Pekerjaan Umum, Penataan Ruang, Perumahan dan Kawasan Permukiman</v>
          </cell>
          <cell r="O483" t="str">
            <v>Narmada</v>
          </cell>
          <cell r="Q483">
            <v>15253333.199999999</v>
          </cell>
        </row>
        <row r="484">
          <cell r="B484" t="str">
            <v>Transformasi Tata Kelola</v>
          </cell>
          <cell r="D484" t="str">
            <v>PROGRAM PEMERINTAHAN DAN KESEJAHTERAAN RAKYAT</v>
          </cell>
          <cell r="K484" t="str">
            <v>Sekretariat Daerah</v>
          </cell>
          <cell r="O484" t="str">
            <v>Narmada</v>
          </cell>
          <cell r="Q484">
            <v>13000000</v>
          </cell>
        </row>
        <row r="485">
          <cell r="B485" t="str">
            <v>Transformasi Tata Kelola</v>
          </cell>
          <cell r="D485" t="str">
            <v>PROGRAM PEMERINTAHAN DAN KESEJAHTERAAN RAKYAT</v>
          </cell>
          <cell r="K485" t="str">
            <v>Sekretariat Daerah</v>
          </cell>
          <cell r="O485" t="str">
            <v>Narmada</v>
          </cell>
          <cell r="Q485">
            <v>15000000</v>
          </cell>
        </row>
        <row r="486">
          <cell r="B486" t="str">
            <v>Infrastruktur Berkelanjutan</v>
          </cell>
          <cell r="D486" t="str">
            <v>PROGRAM PENINGKATAN PRASARANA, SARANA DAN UTILITAS UMUM (PSU)</v>
          </cell>
          <cell r="K486" t="str">
            <v>Dinas Pekerjaan Umum, Penataan Ruang, Perumahan dan Kawasan Permukiman</v>
          </cell>
          <cell r="O486" t="str">
            <v>Narmada</v>
          </cell>
          <cell r="Q486">
            <v>127920790.8</v>
          </cell>
        </row>
        <row r="487">
          <cell r="B487" t="str">
            <v>Infrastruktur Berkelanjutan</v>
          </cell>
          <cell r="D487" t="str">
            <v>PROGRAM PENINGKATAN PRASARANA, SARANA DAN UTILITAS UMUM (PSU)</v>
          </cell>
          <cell r="K487" t="str">
            <v>Dinas Pekerjaan Umum, Penataan Ruang, Perumahan dan Kawasan Permukiman</v>
          </cell>
          <cell r="O487" t="str">
            <v>Narmada</v>
          </cell>
          <cell r="Q487">
            <v>147326731.19999999</v>
          </cell>
        </row>
        <row r="488">
          <cell r="B488" t="str">
            <v>Infrastruktur Berkelanjutan</v>
          </cell>
          <cell r="D488" t="str">
            <v>PROGRAM PENINGKATAN PRASARANA, SARANA DAN UTILITAS UMUM (PSU)</v>
          </cell>
          <cell r="K488" t="str">
            <v>Dinas Pekerjaan Umum, Penataan Ruang, Perumahan dan Kawasan Permukiman</v>
          </cell>
          <cell r="O488" t="str">
            <v>Narmada</v>
          </cell>
          <cell r="Q488">
            <v>31683168</v>
          </cell>
        </row>
        <row r="489">
          <cell r="B489" t="str">
            <v>Infrastruktur Berkelanjutan</v>
          </cell>
          <cell r="D489" t="str">
            <v>PROGRAM PENINGKATAN PRASARANA, SARANA DAN UTILITAS UMUM (PSU)</v>
          </cell>
          <cell r="K489" t="str">
            <v>Dinas Pekerjaan Umum, Penataan Ruang, Perumahan dan Kawasan Permukiman</v>
          </cell>
          <cell r="O489" t="str">
            <v>Narmada</v>
          </cell>
          <cell r="Q489">
            <v>166336800</v>
          </cell>
        </row>
        <row r="490">
          <cell r="B490" t="str">
            <v>Infrastruktur Berkelanjutan</v>
          </cell>
          <cell r="D490" t="str">
            <v>PROGRAM PENINGKATAN PRASARANA, SARANA DAN UTILITAS UMUM (PSU)</v>
          </cell>
          <cell r="K490" t="str">
            <v>Dinas Pekerjaan Umum, Penataan Ruang, Perumahan dan Kawasan Permukiman</v>
          </cell>
          <cell r="O490" t="str">
            <v>Narmada</v>
          </cell>
          <cell r="Q490">
            <v>118811880</v>
          </cell>
        </row>
        <row r="491">
          <cell r="B491" t="str">
            <v>Infrastruktur Berkelanjutan</v>
          </cell>
          <cell r="D491" t="str">
            <v>PROGRAM PENINGKATAN PRASARANA, SARANA DAN UTILITAS UMUM (PSU)</v>
          </cell>
          <cell r="K491" t="str">
            <v>Dinas Pekerjaan Umum, Penataan Ruang, Perumahan dan Kawasan Permukiman</v>
          </cell>
          <cell r="O491" t="str">
            <v>Narmada</v>
          </cell>
          <cell r="Q491">
            <v>99009900</v>
          </cell>
        </row>
        <row r="492">
          <cell r="B492" t="str">
            <v>Infrastruktur Berkelanjutan</v>
          </cell>
          <cell r="D492" t="str">
            <v>PROGRAM PENGELOLAAN SUMBER DAYA AIR (SDA)</v>
          </cell>
          <cell r="K492" t="str">
            <v>Dinas Pekerjaan Umum, Penataan Ruang, Perumahan dan Kawasan Permukiman</v>
          </cell>
          <cell r="O492" t="str">
            <v>Narmada</v>
          </cell>
          <cell r="Q492">
            <v>139100000</v>
          </cell>
        </row>
        <row r="493">
          <cell r="B493" t="str">
            <v>Infrastruktur Berkelanjutan</v>
          </cell>
          <cell r="D493" t="str">
            <v>PROGRAM PENINGKATAN PRASARANA, SARANA DAN UTILITAS UMUM (PSU)</v>
          </cell>
          <cell r="K493" t="str">
            <v>Dinas Pekerjaan Umum, Penataan Ruang, Perumahan dan Kawasan Permukiman</v>
          </cell>
          <cell r="O493" t="str">
            <v>Narmada</v>
          </cell>
          <cell r="Q493">
            <v>114851484</v>
          </cell>
        </row>
        <row r="494">
          <cell r="B494" t="str">
            <v>Infrastruktur Berkelanjutan</v>
          </cell>
          <cell r="D494" t="str">
            <v>PROGRAM PENINGKATAN PRASARANA, SARANA DAN UTILITAS UMUM (PSU)</v>
          </cell>
          <cell r="K494" t="str">
            <v>Dinas Pekerjaan Umum, Penataan Ruang, Perumahan dan Kawasan Permukiman</v>
          </cell>
          <cell r="O494" t="str">
            <v>Narmada</v>
          </cell>
          <cell r="Q494">
            <v>27722772</v>
          </cell>
        </row>
        <row r="495">
          <cell r="B495" t="str">
            <v>Transformasi dan Kemandirian Ekonomi</v>
          </cell>
          <cell r="D495" t="str">
            <v>PROGRAM PENINGKATAN SARANA DISTRIBUSI PERDAGANGAN</v>
          </cell>
          <cell r="K495" t="str">
            <v>Dinas Perdagangan</v>
          </cell>
          <cell r="O495" t="str">
            <v>Narmada</v>
          </cell>
          <cell r="Q495">
            <v>25380000</v>
          </cell>
        </row>
        <row r="496">
          <cell r="B496" t="str">
            <v>Transformasi dan Kemandirian Ekonomi</v>
          </cell>
          <cell r="D496" t="str">
            <v>PROGRAM PENINGKATAN SARANA DISTRIBUSI PERDAGANGAN</v>
          </cell>
          <cell r="K496" t="str">
            <v>Dinas Perdagangan</v>
          </cell>
          <cell r="O496" t="str">
            <v>Narmada</v>
          </cell>
          <cell r="Q496">
            <v>25380000</v>
          </cell>
        </row>
        <row r="497">
          <cell r="B497" t="str">
            <v>Agrominapolitan</v>
          </cell>
          <cell r="D497" t="str">
            <v>PROGRAM PENYEDIAAN DAN PENGEMBANGAN SARANA PERTANIAN</v>
          </cell>
          <cell r="K497" t="str">
            <v>Dinas Pertanian</v>
          </cell>
          <cell r="O497" t="str">
            <v>Narmada</v>
          </cell>
          <cell r="Q497">
            <v>50000000</v>
          </cell>
        </row>
        <row r="498">
          <cell r="B498" t="str">
            <v>Agrominapolitan</v>
          </cell>
          <cell r="D498" t="str">
            <v>PROGRAM PENYEDIAAN DAN PENGEMBANGAN SARANA PERTANIAN</v>
          </cell>
          <cell r="K498" t="str">
            <v>Dinas Pertanian</v>
          </cell>
          <cell r="O498" t="str">
            <v>Narmada</v>
          </cell>
          <cell r="Q498">
            <v>125000000</v>
          </cell>
        </row>
        <row r="499">
          <cell r="B499" t="str">
            <v>Agrominapolitan</v>
          </cell>
          <cell r="D499" t="str">
            <v>PROGRAM PENYEDIAAN DAN PENGEMBANGAN SARANA PERTANIAN</v>
          </cell>
          <cell r="K499" t="str">
            <v>Dinas Pertanian</v>
          </cell>
          <cell r="O499" t="str">
            <v>Narmada</v>
          </cell>
          <cell r="Q499">
            <v>125000000</v>
          </cell>
        </row>
        <row r="500">
          <cell r="B500" t="str">
            <v>Infrastruktur Berkelanjutan</v>
          </cell>
          <cell r="D500" t="str">
            <v>PROGRAM PENINGKATAN PRASARANA, SARANA DAN UTILITAS UMUM (PSU)</v>
          </cell>
          <cell r="K500" t="str">
            <v>Dinas Pekerjaan Umum, Penataan Ruang, Perumahan dan Kawasan Permukiman</v>
          </cell>
          <cell r="O500" t="str">
            <v>Narmada</v>
          </cell>
          <cell r="Q500">
            <v>152533332</v>
          </cell>
        </row>
        <row r="501">
          <cell r="B501" t="str">
            <v>Infrastruktur Berkelanjutan</v>
          </cell>
          <cell r="D501" t="str">
            <v>PROGRAM PENGELOLAAN SUMBER DAYA AIR (SDA)</v>
          </cell>
          <cell r="K501" t="str">
            <v>Dinas Pekerjaan Umum, Penataan Ruang, Perumahan dan Kawasan Permukiman</v>
          </cell>
          <cell r="O501" t="str">
            <v>Narmada</v>
          </cell>
          <cell r="Q501">
            <v>210000000</v>
          </cell>
        </row>
        <row r="502">
          <cell r="B502" t="str">
            <v>Infrastruktur Berkelanjutan</v>
          </cell>
          <cell r="D502" t="str">
            <v>PROGRAM PENINGKATAN PRASARANA, SARANA DAN UTILITAS UMUM (PSU)</v>
          </cell>
          <cell r="K502" t="str">
            <v>Dinas Pekerjaan Umum, Penataan Ruang, Perumahan dan Kawasan Permukiman</v>
          </cell>
          <cell r="O502" t="str">
            <v>Narmada</v>
          </cell>
          <cell r="Q502">
            <v>316831680</v>
          </cell>
        </row>
        <row r="503">
          <cell r="B503" t="str">
            <v>Agrominapolitan</v>
          </cell>
          <cell r="D503" t="str">
            <v>PROGRAM PENYEDIAAN DAN PENGEMBANGAN SARANA PERTANIAN</v>
          </cell>
          <cell r="K503" t="str">
            <v>Dinas Pertanian</v>
          </cell>
          <cell r="O503" t="str">
            <v>Narmada</v>
          </cell>
          <cell r="Q503">
            <v>55000000</v>
          </cell>
        </row>
        <row r="504">
          <cell r="B504" t="str">
            <v>Infrastruktur Berkelanjutan</v>
          </cell>
          <cell r="D504" t="str">
            <v>PROGRAM PENINGKATAN PRASARANA, SARANA DAN UTILITAS UMUM (PSU)</v>
          </cell>
          <cell r="K504" t="str">
            <v>Dinas Pekerjaan Umum, Penataan Ruang, Perumahan dan Kawasan Permukiman</v>
          </cell>
          <cell r="O504" t="str">
            <v>Narmada</v>
          </cell>
          <cell r="Q504">
            <v>101688888</v>
          </cell>
        </row>
        <row r="505">
          <cell r="B505" t="str">
            <v>Infrastruktur Berkelanjutan</v>
          </cell>
          <cell r="D505" t="str">
            <v>PROGRAM PENINGKATAN PRASARANA, SARANA DAN UTILITAS UMUM (PSU)</v>
          </cell>
          <cell r="K505" t="str">
            <v>Dinas Pekerjaan Umum, Penataan Ruang, Perumahan dan Kawasan Permukiman</v>
          </cell>
          <cell r="O505" t="str">
            <v>Narmada</v>
          </cell>
          <cell r="Q505">
            <v>101688800</v>
          </cell>
        </row>
        <row r="506">
          <cell r="B506" t="str">
            <v>Infrastruktur Berkelanjutan</v>
          </cell>
          <cell r="D506" t="str">
            <v>PROGRAM PENINGKATAN PRASARANA, SARANA DAN UTILITAS UMUM (PSU)</v>
          </cell>
          <cell r="K506" t="str">
            <v>Dinas Pekerjaan Umum, Penataan Ruang, Perumahan dan Kawasan Permukiman</v>
          </cell>
          <cell r="O506" t="str">
            <v>Narmada</v>
          </cell>
          <cell r="Q506">
            <v>104918080</v>
          </cell>
        </row>
        <row r="507">
          <cell r="B507" t="str">
            <v>Infrastruktur Berkelanjutan</v>
          </cell>
          <cell r="D507" t="str">
            <v>PROGRAM PENINGKATAN PRASARANA, SARANA DAN UTILITAS UMUM (PSU)</v>
          </cell>
          <cell r="K507" t="str">
            <v>Dinas Pekerjaan Umum, Penataan Ruang, Perumahan dan Kawasan Permukiman</v>
          </cell>
          <cell r="O507" t="str">
            <v>Narmada</v>
          </cell>
          <cell r="Q507">
            <v>104918080</v>
          </cell>
        </row>
        <row r="508">
          <cell r="B508" t="str">
            <v>Infrastruktur Berkelanjutan</v>
          </cell>
          <cell r="D508" t="str">
            <v>PROGRAM PENINGKATAN PRASARANA, SARANA DAN UTILITAS UMUM (PSU)</v>
          </cell>
          <cell r="K508" t="str">
            <v>Dinas Pekerjaan Umum, Penataan Ruang, Perumahan dan Kawasan Permukiman</v>
          </cell>
          <cell r="O508" t="str">
            <v>Narmada</v>
          </cell>
          <cell r="Q508">
            <v>102970400</v>
          </cell>
        </row>
        <row r="509">
          <cell r="B509" t="str">
            <v>Infrastruktur Berkelanjutan</v>
          </cell>
          <cell r="D509" t="str">
            <v>PROGRAM PENINGKATAN PRASARANA, SARANA DAN UTILITAS UMUM (PSU)</v>
          </cell>
          <cell r="K509" t="str">
            <v>Dinas Pekerjaan Umum, Penataan Ruang, Perumahan dan Kawasan Permukiman</v>
          </cell>
          <cell r="O509" t="str">
            <v>Narmada</v>
          </cell>
          <cell r="Q509">
            <v>102970400</v>
          </cell>
        </row>
        <row r="510">
          <cell r="B510" t="str">
            <v>Infrastruktur Berkelanjutan</v>
          </cell>
          <cell r="D510" t="str">
            <v>PROGRAM PENINGKATAN PRASARANA, SARANA DAN UTILITAS UMUM (PSU)</v>
          </cell>
          <cell r="K510" t="str">
            <v>Dinas Pekerjaan Umum, Penataan Ruang, Perumahan dan Kawasan Permukiman</v>
          </cell>
          <cell r="O510" t="str">
            <v>Narmada</v>
          </cell>
          <cell r="Q510">
            <v>32786885</v>
          </cell>
        </row>
        <row r="511">
          <cell r="B511" t="str">
            <v>Infrastruktur Berkelanjutan</v>
          </cell>
          <cell r="D511" t="str">
            <v>PROGRAM PENINGKATAN PRASARANA, SARANA DAN UTILITAS UMUM (PSU)</v>
          </cell>
          <cell r="K511" t="str">
            <v>Dinas Pekerjaan Umum, Penataan Ruang, Perumahan dan Kawasan Permukiman</v>
          </cell>
          <cell r="O511" t="str">
            <v>Narmada</v>
          </cell>
          <cell r="Q511">
            <v>99010000</v>
          </cell>
        </row>
        <row r="512">
          <cell r="B512" t="str">
            <v>Infrastruktur Berkelanjutan</v>
          </cell>
          <cell r="D512" t="str">
            <v>PROGRAM PENINGKATAN PRASARANA, SARANA DAN UTILITAS UMUM (PSU)</v>
          </cell>
          <cell r="K512" t="str">
            <v>Dinas Pekerjaan Umum, Penataan Ruang, Perumahan dan Kawasan Permukiman</v>
          </cell>
          <cell r="O512" t="str">
            <v>Narmada</v>
          </cell>
          <cell r="Q512">
            <v>98360700</v>
          </cell>
        </row>
        <row r="513">
          <cell r="B513" t="str">
            <v>Infrastruktur Berkelanjutan</v>
          </cell>
          <cell r="D513" t="str">
            <v>PROGRAM PENINGKATAN PRASARANA, SARANA DAN UTILITAS UMUM (PSU)</v>
          </cell>
          <cell r="K513" t="str">
            <v>Dinas Pekerjaan Umum, Penataan Ruang, Perumahan dan Kawasan Permukiman</v>
          </cell>
          <cell r="O513" t="str">
            <v>Narmada</v>
          </cell>
          <cell r="Q513">
            <v>101688800</v>
          </cell>
        </row>
        <row r="514">
          <cell r="B514" t="str">
            <v>Transformasi dan Kemandirian Ekonomi</v>
          </cell>
          <cell r="D514" t="str">
            <v>PROGRAM PENINGKATAN SARANA DISTRIBUSI PERDAGANGAN</v>
          </cell>
          <cell r="K514" t="str">
            <v>Dinas Perdagangan</v>
          </cell>
          <cell r="O514" t="str">
            <v>Narmada</v>
          </cell>
          <cell r="Q514">
            <v>101520000</v>
          </cell>
        </row>
        <row r="515">
          <cell r="B515" t="str">
            <v>Transformasi dan Kemandirian Ekonomi</v>
          </cell>
          <cell r="D515" t="str">
            <v>PROGRAM PENINGKATAN SARANA DISTRIBUSI PERDAGANGAN</v>
          </cell>
          <cell r="K515" t="str">
            <v>Dinas Perdagangan</v>
          </cell>
          <cell r="O515" t="str">
            <v>Narmada</v>
          </cell>
          <cell r="Q515">
            <v>101520000</v>
          </cell>
        </row>
        <row r="516">
          <cell r="B516" t="str">
            <v>Transformasi Tata Kelola</v>
          </cell>
          <cell r="D516" t="str">
            <v>PROGRAM PENINGKATAN KETENTERAMAN DAN KETERTIBAN UMUM</v>
          </cell>
          <cell r="K516" t="str">
            <v>Satuan Polisi Pamong Praja</v>
          </cell>
          <cell r="O516" t="str">
            <v>Narmada</v>
          </cell>
          <cell r="Q516">
            <v>9000000</v>
          </cell>
        </row>
        <row r="517">
          <cell r="B517" t="str">
            <v>Infrastruktur Berkelanjutan</v>
          </cell>
          <cell r="D517" t="str">
            <v>PROGRAM PENGENDALIAN PENCEMARAN DAN/ATAU KERUSAKAN LINGKUNGAN HIDUP.</v>
          </cell>
          <cell r="K517" t="str">
            <v>Dinas Lingkungan Hidup</v>
          </cell>
          <cell r="O517" t="str">
            <v>Narmada</v>
          </cell>
          <cell r="Q517">
            <v>50000000</v>
          </cell>
        </row>
        <row r="518">
          <cell r="B518" t="str">
            <v>Agrominapolitan</v>
          </cell>
          <cell r="D518" t="str">
            <v>PROGRAM PENYEDIAAN DAN PENGEMBANGAN SARANA PERTANIAN</v>
          </cell>
          <cell r="K518" t="str">
            <v>Dinas Pertanian</v>
          </cell>
          <cell r="O518" t="str">
            <v>Narmada</v>
          </cell>
          <cell r="Q518">
            <v>100000000</v>
          </cell>
        </row>
        <row r="519">
          <cell r="B519" t="str">
            <v>Agrominapolitan</v>
          </cell>
          <cell r="D519" t="str">
            <v>PROGRAM PENYEDIAAN DAN PENGEMBANGAN SARANA PERTANIAN</v>
          </cell>
          <cell r="K519" t="str">
            <v>Dinas Pertanian</v>
          </cell>
          <cell r="O519" t="str">
            <v>Narmada</v>
          </cell>
          <cell r="Q519">
            <v>100000000</v>
          </cell>
        </row>
        <row r="520">
          <cell r="B520" t="str">
            <v>Agrominapolitan</v>
          </cell>
          <cell r="D520" t="str">
            <v>PROGRAM PENYEDIAAN DAN PENGEMBANGAN SARANA PERTANIAN</v>
          </cell>
          <cell r="K520" t="str">
            <v>Dinas Pertanian</v>
          </cell>
          <cell r="O520" t="str">
            <v>Narmada</v>
          </cell>
          <cell r="Q520">
            <v>100000000</v>
          </cell>
        </row>
        <row r="521">
          <cell r="B521" t="str">
            <v>Agrominapolitan</v>
          </cell>
          <cell r="D521" t="str">
            <v>PROGRAM PENYEDIAAN DAN PENGEMBANGAN SARANA PERTANIAN</v>
          </cell>
          <cell r="K521" t="str">
            <v>Dinas Pertanian</v>
          </cell>
          <cell r="O521" t="str">
            <v>Narmada</v>
          </cell>
          <cell r="Q521">
            <v>287857165</v>
          </cell>
        </row>
        <row r="522">
          <cell r="B522" t="str">
            <v>Transformasi dan Kemandirian Ekonomi</v>
          </cell>
          <cell r="D522" t="str">
            <v>PROGRAM PENGEMBANGAN SUMBER DAYA PARIWISATA DAN EKONOMI KREATIF</v>
          </cell>
          <cell r="K522" t="str">
            <v>Dinas Pariwisata, Ekonomi Kreatif, Pemuda, dan Olahraga</v>
          </cell>
          <cell r="O522" t="str">
            <v>Narmada</v>
          </cell>
          <cell r="Q522">
            <v>50000000</v>
          </cell>
        </row>
        <row r="523">
          <cell r="B523" t="str">
            <v>Transformasi dan Kemandirian Ekonomi</v>
          </cell>
          <cell r="D523" t="str">
            <v>PROGRAM PENINGKATAN DAYA TARIK DESTINASI PARIWISATA</v>
          </cell>
          <cell r="K523" t="str">
            <v>Dinas Pariwisata, Ekonomi Kreatif, Pemuda, dan Olahraga</v>
          </cell>
          <cell r="O523" t="str">
            <v>Narmada</v>
          </cell>
          <cell r="Q523">
            <v>50000000</v>
          </cell>
        </row>
        <row r="524">
          <cell r="B524" t="str">
            <v>Transformasi dan Kemandirian Ekonomi</v>
          </cell>
          <cell r="D524" t="str">
            <v>Program Pengembangan Kapasitas Daya Saing Keolahragaan</v>
          </cell>
          <cell r="K524" t="str">
            <v>Dinas Pariwisata, Ekonomi Kreatif, Pemuda, dan Olahraga</v>
          </cell>
          <cell r="O524" t="str">
            <v>Narmada</v>
          </cell>
          <cell r="Q524">
            <v>25000000</v>
          </cell>
        </row>
        <row r="525">
          <cell r="B525" t="str">
            <v>Infrastruktur Berkelanjutan</v>
          </cell>
          <cell r="D525" t="str">
            <v>Program Penyelenggaraan Lalu Lintas dan Angkutan Jalan (LLAJ)</v>
          </cell>
          <cell r="K525" t="str">
            <v>Dinas Perhubungan</v>
          </cell>
          <cell r="O525" t="str">
            <v>Narmada</v>
          </cell>
          <cell r="Q525">
            <v>110000000</v>
          </cell>
        </row>
        <row r="526">
          <cell r="B526" t="str">
            <v>Infrastruktur Berkelanjutan</v>
          </cell>
          <cell r="D526" t="str">
            <v>PROGRAM KAWASAN PERMUKIMAN</v>
          </cell>
          <cell r="K526" t="str">
            <v>Dinas Pekerjaan Umum, Penataan Ruang, Perumahan dan Kawasan Permukiman</v>
          </cell>
          <cell r="O526" t="str">
            <v>Narmada</v>
          </cell>
          <cell r="Q526">
            <v>50000000</v>
          </cell>
        </row>
        <row r="527">
          <cell r="B527" t="str">
            <v>Infrastruktur Berkelanjutan</v>
          </cell>
          <cell r="D527" t="str">
            <v>PROGRAM KAWASAN PERMUKIMAN</v>
          </cell>
          <cell r="K527" t="str">
            <v>Dinas Pekerjaan Umum, Penataan Ruang, Perumahan dan Kawasan Permukiman</v>
          </cell>
          <cell r="O527" t="str">
            <v>Narmada</v>
          </cell>
          <cell r="Q527">
            <v>50000000</v>
          </cell>
        </row>
        <row r="528">
          <cell r="B528" t="str">
            <v>Infrastruktur Berkelanjutan</v>
          </cell>
          <cell r="D528" t="str">
            <v>PROGRAM PENINGKATAN PRASARANA, SARANA DAN UTILITAS UMUM (PSU)</v>
          </cell>
          <cell r="K528" t="str">
            <v>Dinas Pekerjaan Umum, Penataan Ruang, Perumahan dan Kawasan Permukiman</v>
          </cell>
          <cell r="O528" t="str">
            <v>Narmada</v>
          </cell>
          <cell r="Q528">
            <v>14564000</v>
          </cell>
        </row>
        <row r="529">
          <cell r="B529" t="str">
            <v>Infrastruktur Berkelanjutan</v>
          </cell>
          <cell r="D529" t="str">
            <v>PROGRAM PENYELENGGARAAN JALAN</v>
          </cell>
          <cell r="K529" t="str">
            <v>Dinas Pekerjaan Umum, Penataan Ruang, Perumahan dan Kawasan Permukiman</v>
          </cell>
          <cell r="O529" t="str">
            <v>Narmada</v>
          </cell>
          <cell r="Q529">
            <v>888837516</v>
          </cell>
        </row>
        <row r="530">
          <cell r="B530" t="str">
            <v>Infrastruktur Berkelanjutan</v>
          </cell>
          <cell r="D530" t="str">
            <v>PROGRAM PENINGKATAN PRASARANA, SARANA DAN UTILITAS UMUM (PSU)</v>
          </cell>
          <cell r="K530" t="str">
            <v>Dinas Pekerjaan Umum, Penataan Ruang, Perumahan dan Kawasan Permukiman</v>
          </cell>
          <cell r="O530" t="str">
            <v>Narmada</v>
          </cell>
          <cell r="Q530">
            <v>50000000</v>
          </cell>
        </row>
        <row r="531">
          <cell r="B531" t="str">
            <v>Infrastruktur Berkelanjutan</v>
          </cell>
          <cell r="D531" t="str">
            <v>PROGRAM PENINGKATAN PRASARANA, SARANA DAN UTILITAS UMUM (PSU)</v>
          </cell>
          <cell r="K531" t="str">
            <v>Dinas Pekerjaan Umum, Penataan Ruang, Perumahan dan Kawasan Permukiman</v>
          </cell>
          <cell r="O531" t="str">
            <v>Narmada</v>
          </cell>
          <cell r="Q531">
            <v>50081734</v>
          </cell>
        </row>
        <row r="532">
          <cell r="B532" t="str">
            <v>Infrastruktur Berkelanjutan</v>
          </cell>
          <cell r="D532" t="str">
            <v>PROGRAM PENINGKATAN PRASARANA, SARANA DAN UTILITAS UMUM (PSU)</v>
          </cell>
          <cell r="K532" t="str">
            <v>Dinas Pekerjaan Umum, Penataan Ruang, Perumahan dan Kawasan Permukiman</v>
          </cell>
          <cell r="O532" t="str">
            <v>Narmada</v>
          </cell>
          <cell r="Q532">
            <v>50080536</v>
          </cell>
        </row>
        <row r="533">
          <cell r="B533" t="str">
            <v>Infrastruktur Berkelanjutan</v>
          </cell>
          <cell r="D533" t="str">
            <v>PROGRAM PENINGKATAN PRASARANA, SARANA DAN UTILITAS UMUM (PSU)</v>
          </cell>
          <cell r="K533" t="str">
            <v>Dinas Pekerjaan Umum, Penataan Ruang, Perumahan dan Kawasan Permukiman</v>
          </cell>
          <cell r="O533" t="str">
            <v>Narmada</v>
          </cell>
          <cell r="Q533">
            <v>110000000</v>
          </cell>
        </row>
        <row r="534">
          <cell r="B534" t="str">
            <v>Infrastruktur Berkelanjutan</v>
          </cell>
          <cell r="D534" t="str">
            <v>PROGRAM PENINGKATAN PRASARANA, SARANA DAN UTILITAS UMUM (PSU)</v>
          </cell>
          <cell r="K534" t="str">
            <v>Dinas Pekerjaan Umum, Penataan Ruang, Perumahan dan Kawasan Permukiman</v>
          </cell>
          <cell r="O534" t="str">
            <v>Narmada</v>
          </cell>
          <cell r="Q534">
            <v>110000000</v>
          </cell>
        </row>
        <row r="535">
          <cell r="B535" t="str">
            <v>Infrastruktur Berkelanjutan</v>
          </cell>
          <cell r="D535" t="str">
            <v>PROGRAM PENGELOLAAN DAN PENGEMBANGAN SISTEM PENYEDIAAN AIR MINUM</v>
          </cell>
          <cell r="K535" t="str">
            <v>Dinas Pekerjaan Umum, Penataan Ruang, Perumahan dan Kawasan Permukiman</v>
          </cell>
          <cell r="O535" t="str">
            <v>Narmada</v>
          </cell>
          <cell r="Q535">
            <v>110000000</v>
          </cell>
        </row>
        <row r="536">
          <cell r="B536" t="str">
            <v>Infrastruktur Berkelanjutan</v>
          </cell>
          <cell r="D536" t="str">
            <v>PROGRAM PENGELOLAAN DAN PENGEMBANGAN SISTEM PENYEDIAAN AIR MINUM</v>
          </cell>
          <cell r="K536" t="str">
            <v>Dinas Pekerjaan Umum, Penataan Ruang, Perumahan dan Kawasan Permukiman</v>
          </cell>
          <cell r="O536" t="str">
            <v>Narmada</v>
          </cell>
          <cell r="Q536">
            <v>200000000</v>
          </cell>
        </row>
        <row r="537">
          <cell r="B537" t="str">
            <v>Infrastruktur Berkelanjutan</v>
          </cell>
          <cell r="D537" t="str">
            <v>PROGRAM PENINGKATAN PRASARANA, SARANA DAN UTILITAS UMUM (PSU)</v>
          </cell>
          <cell r="K537" t="str">
            <v>Dinas Pekerjaan Umum, Penataan Ruang, Perumahan dan Kawasan Permukiman</v>
          </cell>
          <cell r="O537" t="str">
            <v>Narmada</v>
          </cell>
          <cell r="Q537">
            <v>110000000</v>
          </cell>
        </row>
        <row r="538">
          <cell r="B538" t="str">
            <v>Infrastruktur Berkelanjutan</v>
          </cell>
          <cell r="D538" t="str">
            <v>PROGRAM PENGELOLAAN DAN PENGEMBANGAN SISTEM PENYEDIAAN AIR MINUM</v>
          </cell>
          <cell r="K538" t="str">
            <v>Dinas Pekerjaan Umum, Penataan Ruang, Perumahan dan Kawasan Permukiman</v>
          </cell>
          <cell r="O538" t="str">
            <v>Narmada</v>
          </cell>
          <cell r="Q538">
            <v>150000000</v>
          </cell>
        </row>
        <row r="539">
          <cell r="B539" t="str">
            <v>Infrastruktur Berkelanjutan</v>
          </cell>
          <cell r="D539" t="str">
            <v>PROGRAM PENINGKATAN PRASARANA, SARANA DAN UTILITAS UMUM (PSU)</v>
          </cell>
          <cell r="K539" t="str">
            <v>Dinas Pekerjaan Umum, Penataan Ruang, Perumahan dan Kawasan Permukiman</v>
          </cell>
          <cell r="O539" t="str">
            <v>Narmada</v>
          </cell>
          <cell r="Q539">
            <v>110000000</v>
          </cell>
        </row>
        <row r="540">
          <cell r="B540" t="str">
            <v>Infrastruktur Berkelanjutan</v>
          </cell>
          <cell r="D540" t="str">
            <v>PROGRAM PENYELENGGARAAN JALAN</v>
          </cell>
          <cell r="K540" t="str">
            <v>Dinas Pekerjaan Umum, Penataan Ruang, Perumahan dan Kawasan Permukiman</v>
          </cell>
          <cell r="O540" t="str">
            <v>Narmada</v>
          </cell>
          <cell r="Q540">
            <v>206640000</v>
          </cell>
        </row>
        <row r="541">
          <cell r="B541" t="str">
            <v>Infrastruktur Berkelanjutan</v>
          </cell>
          <cell r="D541" t="str">
            <v>PROGRAM KAWASAN PERMUKIMAN</v>
          </cell>
          <cell r="K541" t="str">
            <v>Dinas Pekerjaan Umum, Penataan Ruang, Perumahan dan Kawasan Permukiman</v>
          </cell>
          <cell r="O541" t="str">
            <v>Narmada</v>
          </cell>
          <cell r="Q541">
            <v>185000000</v>
          </cell>
        </row>
        <row r="542">
          <cell r="B542" t="str">
            <v>Infrastruktur Berkelanjutan</v>
          </cell>
          <cell r="D542" t="str">
            <v>PROGRAM PENGELOLAAN SUMBER DAYA AIR (SDA)</v>
          </cell>
          <cell r="K542" t="str">
            <v>Dinas Pekerjaan Umum, Penataan Ruang, Perumahan dan Kawasan Permukiman</v>
          </cell>
          <cell r="O542" t="str">
            <v>Narmada</v>
          </cell>
          <cell r="Q542">
            <v>145640000</v>
          </cell>
        </row>
        <row r="543">
          <cell r="B543" t="str">
            <v>Infrastruktur Berkelanjutan</v>
          </cell>
          <cell r="D543" t="str">
            <v>PROGRAM PENGELOLAAN DAN PENGEMBANGAN SISTEM DRAINASE</v>
          </cell>
          <cell r="K543" t="str">
            <v>Dinas Pekerjaan Umum, Penataan Ruang, Perumahan dan Kawasan Permukiman</v>
          </cell>
          <cell r="O543" t="str">
            <v>Narmada</v>
          </cell>
          <cell r="Q543">
            <v>100000000</v>
          </cell>
        </row>
        <row r="544">
          <cell r="B544" t="str">
            <v>Infrastruktur Berkelanjutan</v>
          </cell>
          <cell r="D544" t="str">
            <v>PROGRAM PENGELOLAAN DAN PENGEMBANGAN SISTEM DRAINASE</v>
          </cell>
          <cell r="K544" t="str">
            <v>Dinas Pekerjaan Umum, Penataan Ruang, Perumahan dan Kawasan Permukiman</v>
          </cell>
          <cell r="O544" t="str">
            <v>Narmada</v>
          </cell>
          <cell r="Q544">
            <v>100000000</v>
          </cell>
        </row>
        <row r="545">
          <cell r="B545" t="str">
            <v>Infrastruktur Berkelanjutan</v>
          </cell>
          <cell r="D545" t="str">
            <v>PROGRAM KAWASAN PERMUKIMAN</v>
          </cell>
          <cell r="K545" t="str">
            <v>Dinas Pekerjaan Umum, Penataan Ruang, Perumahan dan Kawasan Permukiman</v>
          </cell>
          <cell r="O545" t="str">
            <v>Narmada</v>
          </cell>
          <cell r="Q545">
            <v>190000000</v>
          </cell>
        </row>
        <row r="546">
          <cell r="B546" t="str">
            <v>Infrastruktur Berkelanjutan</v>
          </cell>
          <cell r="D546" t="str">
            <v>PROGRAM KAWASAN PERMUKIMAN</v>
          </cell>
          <cell r="K546" t="str">
            <v>Dinas Pekerjaan Umum, Penataan Ruang, Perumahan dan Kawasan Permukiman</v>
          </cell>
          <cell r="O546" t="str">
            <v>Narmada</v>
          </cell>
          <cell r="Q546">
            <v>50000000</v>
          </cell>
        </row>
        <row r="547">
          <cell r="B547" t="str">
            <v>Transformasi Tata Kelola</v>
          </cell>
          <cell r="D547" t="str">
            <v>PROGRAM PEMERINTAHAN DAN KESEJAHTERAAN RAKYAT</v>
          </cell>
          <cell r="K547" t="str">
            <v>Sekretariat Daerah</v>
          </cell>
          <cell r="O547" t="str">
            <v>Narmada</v>
          </cell>
          <cell r="Q547">
            <v>10000000</v>
          </cell>
        </row>
        <row r="548">
          <cell r="B548" t="str">
            <v>Infrastruktur Berkelanjutan</v>
          </cell>
          <cell r="D548" t="str">
            <v>PROGRAM PENGENDALIAN PENCEMARAN DAN/ATAU KERUSAKAN LINGKUNGAN HIDUP.</v>
          </cell>
          <cell r="K548" t="str">
            <v>Dinas Lingkungan Hidup</v>
          </cell>
          <cell r="O548" t="str">
            <v>Narmada</v>
          </cell>
          <cell r="Q548">
            <v>75000000</v>
          </cell>
        </row>
        <row r="549">
          <cell r="B549" t="str">
            <v>Infrastruktur Berkelanjutan</v>
          </cell>
          <cell r="D549" t="str">
            <v>Program Penyelenggaraan Lalu Lintas dan Angkutan Jalan (LLAJ)</v>
          </cell>
          <cell r="K549" t="str">
            <v>Dinas Perhubungan</v>
          </cell>
          <cell r="O549" t="str">
            <v>Narmada</v>
          </cell>
          <cell r="Q549">
            <v>35000000</v>
          </cell>
        </row>
        <row r="550">
          <cell r="B550" t="str">
            <v>Infrastruktur Berkelanjutan</v>
          </cell>
          <cell r="D550" t="str">
            <v>PROGRAM PENINGKATAN PRASARANA, SARANA DAN UTILITAS UMUM (PSU)</v>
          </cell>
          <cell r="K550" t="str">
            <v>Dinas Pekerjaan Umum, Penataan Ruang, Perumahan dan Kawasan Permukiman</v>
          </cell>
          <cell r="O550" t="str">
            <v>Narmada</v>
          </cell>
          <cell r="Q550">
            <v>79208000</v>
          </cell>
        </row>
        <row r="551">
          <cell r="B551" t="str">
            <v>Infrastruktur Berkelanjutan</v>
          </cell>
          <cell r="D551" t="str">
            <v>PROGRAM PENINGKATAN PRASARANA, SARANA DAN UTILITAS UMUM (PSU)</v>
          </cell>
          <cell r="K551" t="str">
            <v>Dinas Pekerjaan Umum, Penataan Ruang, Perumahan dan Kawasan Permukiman</v>
          </cell>
          <cell r="O551" t="str">
            <v>Narmada</v>
          </cell>
          <cell r="Q551">
            <v>118811880</v>
          </cell>
        </row>
        <row r="552">
          <cell r="B552" t="str">
            <v>Infrastruktur Berkelanjutan</v>
          </cell>
          <cell r="D552" t="str">
            <v>PROGRAM PENINGKATAN PRASARANA, SARANA DAN UTILITAS UMUM (PSU)</v>
          </cell>
          <cell r="K552" t="str">
            <v>Dinas Pekerjaan Umum, Penataan Ruang, Perumahan dan Kawasan Permukiman</v>
          </cell>
          <cell r="O552" t="str">
            <v>Narmada</v>
          </cell>
          <cell r="Q552">
            <v>88599838.400000006</v>
          </cell>
        </row>
        <row r="553">
          <cell r="B553" t="str">
            <v>Infrastruktur Berkelanjutan</v>
          </cell>
          <cell r="D553" t="str">
            <v>PROGRAM PENINGKATAN PRASARANA, SARANA DAN UTILITAS UMUM (PSU)</v>
          </cell>
          <cell r="K553" t="str">
            <v>Dinas Pekerjaan Umum, Penataan Ruang, Perumahan dan Kawasan Permukiman</v>
          </cell>
          <cell r="O553" t="str">
            <v>Narmada</v>
          </cell>
          <cell r="Q553">
            <v>108000000</v>
          </cell>
        </row>
        <row r="554">
          <cell r="B554" t="str">
            <v>Infrastruktur Berkelanjutan</v>
          </cell>
          <cell r="D554" t="str">
            <v>PROGRAM PENGELOLAAN DAN PENGEMBANGAN SISTEM PENYEDIAAN AIR MINUM</v>
          </cell>
          <cell r="K554" t="str">
            <v>Dinas Pekerjaan Umum, Penataan Ruang, Perumahan dan Kawasan Permukiman</v>
          </cell>
          <cell r="O554" t="str">
            <v>Narmada</v>
          </cell>
          <cell r="Q554">
            <v>150000000</v>
          </cell>
        </row>
        <row r="555">
          <cell r="B555" t="str">
            <v>Infrastruktur Berkelanjutan</v>
          </cell>
          <cell r="D555" t="str">
            <v>PROGRAM PENINGKATAN PRASARANA, SARANA DAN UTILITAS UMUM (PSU)</v>
          </cell>
          <cell r="K555" t="str">
            <v>Dinas Pekerjaan Umum, Penataan Ruang, Perumahan dan Kawasan Permukiman</v>
          </cell>
          <cell r="O555" t="str">
            <v>Narmada</v>
          </cell>
          <cell r="Q555">
            <v>68639999.400000006</v>
          </cell>
        </row>
        <row r="556">
          <cell r="B556" t="str">
            <v>Infrastruktur Berkelanjutan</v>
          </cell>
          <cell r="D556" t="str">
            <v>PROGRAM PENINGKATAN PRASARANA, SARANA DAN UTILITAS UMUM (PSU)</v>
          </cell>
          <cell r="K556" t="str">
            <v>Dinas Pekerjaan Umum, Penataan Ruang, Perumahan dan Kawasan Permukiman</v>
          </cell>
          <cell r="O556" t="str">
            <v>Narmada</v>
          </cell>
          <cell r="Q556">
            <v>25422222</v>
          </cell>
        </row>
        <row r="557">
          <cell r="B557" t="str">
            <v>Infrastruktur Berkelanjutan</v>
          </cell>
          <cell r="D557" t="str">
            <v>PROGRAM PENINGKATAN PRASARANA, SARANA DAN UTILITAS UMUM (PSU)</v>
          </cell>
          <cell r="K557" t="str">
            <v>Dinas Pekerjaan Umum, Penataan Ruang, Perumahan dan Kawasan Permukiman</v>
          </cell>
          <cell r="O557" t="str">
            <v>Narmada</v>
          </cell>
          <cell r="Q557">
            <v>92282665.859999999</v>
          </cell>
        </row>
        <row r="558">
          <cell r="B558" t="str">
            <v>Infrastruktur Berkelanjutan</v>
          </cell>
          <cell r="D558" t="str">
            <v>PROGRAM PENINGKATAN PRASARANA, SARANA DAN UTILITAS UMUM (PSU)</v>
          </cell>
          <cell r="K558" t="str">
            <v>Dinas Pekerjaan Umum, Penataan Ruang, Perumahan dan Kawasan Permukiman</v>
          </cell>
          <cell r="O558" t="str">
            <v>Narmada</v>
          </cell>
          <cell r="Q558">
            <v>77537777.099999994</v>
          </cell>
        </row>
        <row r="559">
          <cell r="B559" t="str">
            <v>Infrastruktur Berkelanjutan</v>
          </cell>
          <cell r="D559" t="str">
            <v>PROGRAM PENINGKATAN PRASARANA, SARANA DAN UTILITAS UMUM (PSU)</v>
          </cell>
          <cell r="K559" t="str">
            <v>Dinas Pekerjaan Umum, Penataan Ruang, Perumahan dan Kawasan Permukiman</v>
          </cell>
          <cell r="O559" t="str">
            <v>Narmada</v>
          </cell>
          <cell r="Q559">
            <v>21354666.48</v>
          </cell>
        </row>
        <row r="560">
          <cell r="B560" t="str">
            <v>Infrastruktur Berkelanjutan</v>
          </cell>
          <cell r="D560" t="str">
            <v>PROGRAM PENINGKATAN PRASARANA, SARANA DAN UTILITAS UMUM (PSU)</v>
          </cell>
          <cell r="K560" t="str">
            <v>Dinas Pekerjaan Umum, Penataan Ruang, Perumahan dan Kawasan Permukiman</v>
          </cell>
          <cell r="O560" t="str">
            <v>Narmada</v>
          </cell>
          <cell r="Q560">
            <v>51098666.219999999</v>
          </cell>
        </row>
        <row r="561">
          <cell r="B561" t="str">
            <v>Pembangunan SDM Unggul dan Berdaya Saing</v>
          </cell>
          <cell r="D561" t="str">
            <v>PROGRAM PENGELOLAAN PENDIDIKAN</v>
          </cell>
          <cell r="K561" t="str">
            <v>Dinas Pendidikan dan Kebudayaan</v>
          </cell>
          <cell r="O561" t="str">
            <v>Narmada</v>
          </cell>
          <cell r="Q561">
            <v>342708000</v>
          </cell>
        </row>
        <row r="562">
          <cell r="B562" t="str">
            <v>Pembangunan SDM Unggul dan Berdaya Saing</v>
          </cell>
          <cell r="D562" t="str">
            <v>PROGRAM PENGELOLAAN PENDIDIKAN</v>
          </cell>
          <cell r="K562" t="str">
            <v>Dinas Pendidikan dan Kebudayaan</v>
          </cell>
          <cell r="O562" t="str">
            <v>Narmada</v>
          </cell>
          <cell r="Q562">
            <v>100000000</v>
          </cell>
        </row>
        <row r="563">
          <cell r="B563" t="str">
            <v>Pengentasan Pengangguran</v>
          </cell>
          <cell r="D563" t="str">
            <v>PROGRAM PENEMPATAN TENAGA KERJA</v>
          </cell>
          <cell r="K563" t="str">
            <v>Dinas Perindustrian, Koperasi, Usaha Kecil dan Menengah, dan Tenaga Kerja</v>
          </cell>
          <cell r="O563" t="str">
            <v>Narmada</v>
          </cell>
          <cell r="Q563">
            <v>150000000</v>
          </cell>
        </row>
        <row r="564">
          <cell r="B564" t="str">
            <v>Infrastruktur Berkelanjutan</v>
          </cell>
          <cell r="D564" t="str">
            <v>PROGRAM PENGELOLAAN SUMBER DAYA AIR (SDA)</v>
          </cell>
          <cell r="K564" t="str">
            <v>Dinas Pekerjaan Umum, Penataan Ruang, Perumahan dan Kawasan Permukiman</v>
          </cell>
          <cell r="O564" t="str">
            <v>Narmada</v>
          </cell>
          <cell r="Q564">
            <v>20000000</v>
          </cell>
        </row>
        <row r="565">
          <cell r="B565" t="str">
            <v>Infrastruktur Berkelanjutan</v>
          </cell>
          <cell r="D565" t="str">
            <v>PROGRAM PENINGKATAN PRASARANA, SARANA DAN UTILITAS UMUM (PSU)</v>
          </cell>
          <cell r="K565" t="str">
            <v>Dinas Pekerjaan Umum, Penataan Ruang, Perumahan dan Kawasan Permukiman</v>
          </cell>
          <cell r="O565" t="str">
            <v>Narmada</v>
          </cell>
          <cell r="Q565">
            <v>50844400</v>
          </cell>
        </row>
        <row r="566">
          <cell r="B566" t="str">
            <v>Infrastruktur Berkelanjutan</v>
          </cell>
          <cell r="D566" t="str">
            <v>PROGRAM KAWASAN PERMUKIMAN</v>
          </cell>
          <cell r="K566" t="str">
            <v>Dinas Pekerjaan Umum, Penataan Ruang, Perumahan dan Kawasan Permukiman</v>
          </cell>
          <cell r="O566" t="str">
            <v>Narmada</v>
          </cell>
          <cell r="Q566">
            <v>100000000</v>
          </cell>
        </row>
        <row r="567">
          <cell r="B567" t="str">
            <v>Infrastruktur Berkelanjutan</v>
          </cell>
          <cell r="D567" t="str">
            <v>PROGRAM PENYELENGGARAAN JALAN</v>
          </cell>
          <cell r="K567" t="str">
            <v>Dinas Pekerjaan Umum, Penataan Ruang, Perumahan dan Kawasan Permukiman</v>
          </cell>
          <cell r="O567" t="str">
            <v>Narmada</v>
          </cell>
          <cell r="Q567">
            <v>140000000</v>
          </cell>
        </row>
        <row r="568">
          <cell r="B568" t="str">
            <v>Infrastruktur Berkelanjutan</v>
          </cell>
          <cell r="D568" t="str">
            <v>PROGRAM KAWASAN PERMUKIMAN</v>
          </cell>
          <cell r="K568" t="str">
            <v>Dinas Pekerjaan Umum, Penataan Ruang, Perumahan dan Kawasan Permukiman</v>
          </cell>
          <cell r="O568" t="str">
            <v>Narmada</v>
          </cell>
          <cell r="Q568">
            <v>100000000</v>
          </cell>
        </row>
        <row r="569">
          <cell r="B569" t="str">
            <v>Infrastruktur Berkelanjutan</v>
          </cell>
          <cell r="D569" t="str">
            <v>PROGRAM PENINGKATAN PRASARANA, SARANA DAN UTILITAS UMUM (PSU)</v>
          </cell>
          <cell r="K569" t="str">
            <v>Dinas Pekerjaan Umum, Penataan Ruang, Perumahan dan Kawasan Permukiman</v>
          </cell>
          <cell r="O569" t="str">
            <v>Narmada</v>
          </cell>
          <cell r="Q569">
            <v>127111000</v>
          </cell>
        </row>
        <row r="570">
          <cell r="B570" t="str">
            <v>Infrastruktur Berkelanjutan</v>
          </cell>
          <cell r="D570" t="str">
            <v>PROGRAM PENINGKATAN PRASARANA, SARANA DAN UTILITAS UMUM (PSU)</v>
          </cell>
          <cell r="K570" t="str">
            <v>Dinas Pekerjaan Umum, Penataan Ruang, Perumahan dan Kawasan Permukiman</v>
          </cell>
          <cell r="O570" t="str">
            <v>Narmada</v>
          </cell>
          <cell r="Q570">
            <v>160000000</v>
          </cell>
        </row>
        <row r="571">
          <cell r="B571" t="str">
            <v>Infrastruktur Berkelanjutan</v>
          </cell>
          <cell r="D571" t="str">
            <v>PROGRAM PENINGKATAN PRASARANA, SARANA DAN UTILITAS UMUM (PSU)</v>
          </cell>
          <cell r="K571" t="str">
            <v>Dinas Pekerjaan Umum, Penataan Ruang, Perumahan dan Kawasan Permukiman</v>
          </cell>
          <cell r="O571" t="str">
            <v>Narmada</v>
          </cell>
          <cell r="Q571">
            <v>101688800</v>
          </cell>
        </row>
        <row r="572">
          <cell r="B572" t="str">
            <v>Infrastruktur Berkelanjutan</v>
          </cell>
          <cell r="D572" t="str">
            <v>PROGRAM PENINGKATAN PRASARANA, SARANA DAN UTILITAS UMUM (PSU)</v>
          </cell>
          <cell r="K572" t="str">
            <v>Dinas Pekerjaan Umum, Penataan Ruang, Perumahan dan Kawasan Permukiman</v>
          </cell>
          <cell r="O572" t="str">
            <v>Narmada</v>
          </cell>
          <cell r="Q572">
            <v>80000000</v>
          </cell>
        </row>
        <row r="573">
          <cell r="B573" t="str">
            <v>Agrominapolitan</v>
          </cell>
          <cell r="D573" t="str">
            <v>PROGRAM PENYEDIAAN DAN PENGEMBANGAN SARANA PERTANIAN</v>
          </cell>
          <cell r="K573" t="str">
            <v>Dinas Pertanian</v>
          </cell>
          <cell r="O573" t="str">
            <v>Narmada</v>
          </cell>
          <cell r="Q573">
            <v>82417575</v>
          </cell>
        </row>
        <row r="574">
          <cell r="B574" t="str">
            <v>Agrominapolitan</v>
          </cell>
          <cell r="D574" t="str">
            <v>PROGRAM PENYEDIAAN DAN PENGEMBANGAN SARANA PERTANIAN</v>
          </cell>
          <cell r="K574" t="str">
            <v>Dinas Pertanian</v>
          </cell>
          <cell r="O574" t="str">
            <v>Narmada</v>
          </cell>
          <cell r="Q574">
            <v>82417575</v>
          </cell>
        </row>
        <row r="575">
          <cell r="B575" t="str">
            <v>Infrastruktur Berkelanjutan</v>
          </cell>
          <cell r="D575" t="str">
            <v>PROGRAM PENINGKATAN PRASARANA, SARANA DAN UTILITAS UMUM (PSU)</v>
          </cell>
          <cell r="K575" t="str">
            <v>Dinas Pekerjaan Umum, Penataan Ruang, Perumahan dan Kawasan Permukiman</v>
          </cell>
          <cell r="O575" t="str">
            <v>Narmada</v>
          </cell>
          <cell r="Q575">
            <v>85418665.920000002</v>
          </cell>
        </row>
        <row r="576">
          <cell r="B576" t="str">
            <v>Infrastruktur Berkelanjutan</v>
          </cell>
          <cell r="D576" t="str">
            <v>PROGRAM PENINGKATAN PRASARANA, SARANA DAN UTILITAS UMUM (PSU)</v>
          </cell>
          <cell r="K576" t="str">
            <v>Dinas Pekerjaan Umum, Penataan Ruang, Perumahan dan Kawasan Permukiman</v>
          </cell>
          <cell r="O576" t="str">
            <v>Narmada</v>
          </cell>
          <cell r="Q576">
            <v>95333332.5</v>
          </cell>
        </row>
        <row r="577">
          <cell r="B577" t="str">
            <v>Infrastruktur Berkelanjutan</v>
          </cell>
          <cell r="D577" t="str">
            <v>PROGRAM PENINGKATAN PRASARANA, SARANA DAN UTILITAS UMUM (PSU)</v>
          </cell>
          <cell r="K577" t="str">
            <v>Dinas Pekerjaan Umum, Penataan Ruang, Perumahan dan Kawasan Permukiman</v>
          </cell>
          <cell r="O577" t="str">
            <v>Narmada</v>
          </cell>
          <cell r="Q577">
            <v>101688800</v>
          </cell>
        </row>
        <row r="578">
          <cell r="B578" t="str">
            <v>Infrastruktur Berkelanjutan</v>
          </cell>
          <cell r="D578" t="str">
            <v>PROGRAM PENINGKATAN PRASARANA, SARANA DAN UTILITAS UMUM (PSU)</v>
          </cell>
          <cell r="K578" t="str">
            <v>Dinas Pekerjaan Umum, Penataan Ruang, Perumahan dan Kawasan Permukiman</v>
          </cell>
          <cell r="O578" t="str">
            <v>Narmada</v>
          </cell>
          <cell r="Q578">
            <v>101688800</v>
          </cell>
        </row>
        <row r="579">
          <cell r="B579" t="str">
            <v>Infrastruktur Berkelanjutan</v>
          </cell>
          <cell r="D579" t="str">
            <v>PROGRAM PENYELENGGARAAN JALAN</v>
          </cell>
          <cell r="K579" t="str">
            <v>Dinas Pekerjaan Umum, Penataan Ruang, Perumahan dan Kawasan Permukiman</v>
          </cell>
          <cell r="O579" t="str">
            <v>Narmada</v>
          </cell>
          <cell r="Q579">
            <v>1000000000</v>
          </cell>
        </row>
        <row r="580">
          <cell r="B580" t="str">
            <v>Agrominapolitan</v>
          </cell>
          <cell r="D580" t="str">
            <v>PROGRAM PENYEDIAAN DAN PENGEMBANGAN SARANA PERTANIAN</v>
          </cell>
          <cell r="K580" t="str">
            <v>Dinas Pertanian</v>
          </cell>
          <cell r="O580" t="str">
            <v>Narmada</v>
          </cell>
          <cell r="Q580">
            <v>200000000</v>
          </cell>
        </row>
        <row r="581">
          <cell r="B581" t="str">
            <v>Infrastruktur Berkelanjutan</v>
          </cell>
          <cell r="D581" t="str">
            <v>PROGRAM PENINGKATAN PRASARANA, SARANA DAN UTILITAS UMUM (PSU)</v>
          </cell>
          <cell r="K581" t="str">
            <v>Dinas Pekerjaan Umum, Penataan Ruang, Perumahan dan Kawasan Permukiman</v>
          </cell>
          <cell r="O581" t="str">
            <v>Narmada</v>
          </cell>
          <cell r="Q581">
            <v>190666665</v>
          </cell>
        </row>
        <row r="582">
          <cell r="B582" t="str">
            <v>Infrastruktur Berkelanjutan</v>
          </cell>
          <cell r="D582" t="str">
            <v>PROGRAM PENINGKATAN PRASARANA, SARANA DAN UTILITAS UMUM (PSU)</v>
          </cell>
          <cell r="K582" t="str">
            <v>Dinas Pekerjaan Umum, Penataan Ruang, Perumahan dan Kawasan Permukiman</v>
          </cell>
          <cell r="O582" t="str">
            <v>Narmada</v>
          </cell>
          <cell r="Q582">
            <v>200444500</v>
          </cell>
        </row>
        <row r="583">
          <cell r="B583" t="str">
            <v>Infrastruktur Berkelanjutan</v>
          </cell>
          <cell r="D583" t="str">
            <v>PROGRAM PENINGKATAN PRASARANA, SARANA DAN UTILITAS UMUM (PSU)</v>
          </cell>
          <cell r="K583" t="str">
            <v>Dinas Pekerjaan Umum, Penataan Ruang, Perumahan dan Kawasan Permukiman</v>
          </cell>
          <cell r="O583" t="str">
            <v>Narmada</v>
          </cell>
          <cell r="Q583">
            <v>198019800</v>
          </cell>
        </row>
        <row r="584">
          <cell r="B584" t="str">
            <v>Infrastruktur Berkelanjutan</v>
          </cell>
          <cell r="D584" t="str">
            <v>PROGRAM PENINGKATAN PRASARANA, SARANA DAN UTILITAS UMUM (PSU)</v>
          </cell>
          <cell r="K584" t="str">
            <v>Dinas Pekerjaan Umum, Penataan Ruang, Perumahan dan Kawasan Permukiman</v>
          </cell>
          <cell r="O584" t="str">
            <v>Narmada</v>
          </cell>
          <cell r="Q584">
            <v>216088700</v>
          </cell>
        </row>
        <row r="585">
          <cell r="B585" t="str">
            <v>Pembangunan SDM Unggul dan Berdaya Saing</v>
          </cell>
          <cell r="D585" t="str">
            <v>PROGRAM PENGELOLAAN PENDIDIKAN</v>
          </cell>
          <cell r="K585" t="str">
            <v>Dinas Pendidikan dan Kebudayaan</v>
          </cell>
          <cell r="O585" t="str">
            <v>Narmada</v>
          </cell>
          <cell r="Q585">
            <v>100000000</v>
          </cell>
        </row>
        <row r="586">
          <cell r="B586" t="str">
            <v>Agrominapolitan</v>
          </cell>
          <cell r="D586" t="str">
            <v>PROGRAM PENYEDIAAN DAN PENGEMBANGAN SARANA PERTANIAN</v>
          </cell>
          <cell r="K586" t="str">
            <v>Dinas Pertanian</v>
          </cell>
          <cell r="O586" t="str">
            <v>Narmada</v>
          </cell>
          <cell r="Q586">
            <v>197260274</v>
          </cell>
        </row>
        <row r="587">
          <cell r="B587" t="str">
            <v>Infrastruktur Berkelanjutan</v>
          </cell>
          <cell r="D587" t="str">
            <v>PROGRAM PENYELENGGARAAN JALAN</v>
          </cell>
          <cell r="K587" t="str">
            <v>Dinas Pekerjaan Umum, Penataan Ruang, Perumahan dan Kawasan Permukiman</v>
          </cell>
          <cell r="O587" t="str">
            <v>Narmada</v>
          </cell>
          <cell r="Q587">
            <v>167142870</v>
          </cell>
        </row>
        <row r="588">
          <cell r="B588" t="str">
            <v>Infrastruktur Berkelanjutan</v>
          </cell>
          <cell r="D588" t="str">
            <v>PROGRAM PENGELOLAAN DAN PENGEMBANGAN SISTEM DRAINASE</v>
          </cell>
          <cell r="K588" t="str">
            <v>Dinas Pekerjaan Umum, Penataan Ruang, Perumahan dan Kawasan Permukiman</v>
          </cell>
          <cell r="O588" t="str">
            <v>Narmada</v>
          </cell>
          <cell r="Q588">
            <v>189176000</v>
          </cell>
        </row>
        <row r="589">
          <cell r="B589" t="str">
            <v>Infrastruktur Berkelanjutan</v>
          </cell>
          <cell r="D589" t="str">
            <v>PROGRAM PENYELENGGARAAN JALAN</v>
          </cell>
          <cell r="K589" t="str">
            <v>Dinas Pekerjaan Umum, Penataan Ruang, Perumahan dan Kawasan Permukiman</v>
          </cell>
          <cell r="O589" t="str">
            <v>Narmada</v>
          </cell>
          <cell r="Q589">
            <v>167142870</v>
          </cell>
        </row>
        <row r="590">
          <cell r="B590" t="str">
            <v>Infrastruktur Berkelanjutan</v>
          </cell>
          <cell r="D590" t="str">
            <v>PROGRAM PENINGKATAN PRASARANA, SARANA DAN UTILITAS UMUM (PSU)</v>
          </cell>
          <cell r="K590" t="str">
            <v>Dinas Pekerjaan Umum, Penataan Ruang, Perumahan dan Kawasan Permukiman</v>
          </cell>
          <cell r="O590" t="str">
            <v>Narmada</v>
          </cell>
          <cell r="Q590">
            <v>180000000</v>
          </cell>
        </row>
        <row r="591">
          <cell r="B591" t="str">
            <v>Infrastruktur Berkelanjutan</v>
          </cell>
          <cell r="D591" t="str">
            <v>PROGRAM PENINGKATAN PRASARANA, SARANA DAN UTILITAS UMUM (PSU)</v>
          </cell>
          <cell r="K591" t="str">
            <v>Dinas Pekerjaan Umum, Penataan Ruang, Perumahan dan Kawasan Permukiman</v>
          </cell>
          <cell r="O591" t="str">
            <v>Narmada</v>
          </cell>
          <cell r="Q591">
            <v>127111000</v>
          </cell>
        </row>
        <row r="592">
          <cell r="B592" t="str">
            <v>Infrastruktur Berkelanjutan</v>
          </cell>
          <cell r="D592" t="str">
            <v>PROGRAM PENINGKATAN PRASARANA, SARANA DAN UTILITAS UMUM (PSU)</v>
          </cell>
          <cell r="K592" t="str">
            <v>Dinas Pekerjaan Umum, Penataan Ruang, Perumahan dan Kawasan Permukiman</v>
          </cell>
          <cell r="O592" t="str">
            <v>Narmada</v>
          </cell>
          <cell r="Q592">
            <v>101688800</v>
          </cell>
        </row>
        <row r="593">
          <cell r="B593" t="str">
            <v>Infrastruktur Berkelanjutan</v>
          </cell>
          <cell r="D593" t="str">
            <v>PROGRAM PENINGKATAN PRASARANA, SARANA DAN UTILITAS UMUM (PSU)</v>
          </cell>
          <cell r="K593" t="str">
            <v>Dinas Pekerjaan Umum, Penataan Ruang, Perumahan dan Kawasan Permukiman</v>
          </cell>
          <cell r="O593" t="str">
            <v>Narmada</v>
          </cell>
          <cell r="Q593">
            <v>57199950</v>
          </cell>
        </row>
        <row r="594">
          <cell r="B594" t="str">
            <v>Infrastruktur Berkelanjutan</v>
          </cell>
          <cell r="D594" t="str">
            <v>PROGRAM PENINGKATAN PRASARANA, SARANA DAN UTILITAS UMUM (PSU)</v>
          </cell>
          <cell r="K594" t="str">
            <v>Dinas Pekerjaan Umum, Penataan Ruang, Perumahan dan Kawasan Permukiman</v>
          </cell>
          <cell r="O594" t="str">
            <v>Narmada</v>
          </cell>
          <cell r="Q594">
            <v>118812000</v>
          </cell>
        </row>
        <row r="595">
          <cell r="B595" t="str">
            <v>Infrastruktur Berkelanjutan</v>
          </cell>
          <cell r="D595" t="str">
            <v>PROGRAM PENGELOLAAN SUMBER DAYA AIR (SDA)</v>
          </cell>
          <cell r="K595" t="str">
            <v>Dinas Pekerjaan Umum, Penataan Ruang, Perumahan dan Kawasan Permukiman</v>
          </cell>
          <cell r="O595" t="str">
            <v>Narmada</v>
          </cell>
          <cell r="Q595">
            <v>145640000</v>
          </cell>
        </row>
        <row r="596">
          <cell r="B596" t="str">
            <v>Infrastruktur Berkelanjutan</v>
          </cell>
          <cell r="D596" t="str">
            <v>PROGRAM PENINGKATAN PRASARANA, SARANA DAN UTILITAS UMUM (PSU)</v>
          </cell>
          <cell r="K596" t="str">
            <v>Dinas Pekerjaan Umum, Penataan Ruang, Perumahan dan Kawasan Permukiman</v>
          </cell>
          <cell r="O596" t="str">
            <v>Narmada</v>
          </cell>
          <cell r="Q596">
            <v>114399900</v>
          </cell>
        </row>
        <row r="597">
          <cell r="B597" t="str">
            <v>Infrastruktur Berkelanjutan</v>
          </cell>
          <cell r="D597" t="str">
            <v>PROGRAM PENINGKATAN PRASARANA, SARANA DAN UTILITAS UMUM (PSU)</v>
          </cell>
          <cell r="K597" t="str">
            <v>Dinas Pekerjaan Umum, Penataan Ruang, Perumahan dan Kawasan Permukiman</v>
          </cell>
          <cell r="O597" t="str">
            <v>Narmada</v>
          </cell>
          <cell r="Q597">
            <v>120000000</v>
          </cell>
        </row>
        <row r="598">
          <cell r="B598" t="str">
            <v>Infrastruktur Berkelanjutan</v>
          </cell>
          <cell r="D598" t="str">
            <v>PROGRAM PENINGKATAN PRASARANA, SARANA DAN UTILITAS UMUM (PSU)</v>
          </cell>
          <cell r="K598" t="str">
            <v>Dinas Pekerjaan Umum, Penataan Ruang, Perumahan dan Kawasan Permukiman</v>
          </cell>
          <cell r="O598" t="str">
            <v>Narmada</v>
          </cell>
          <cell r="Q598">
            <v>118812000</v>
          </cell>
        </row>
        <row r="599">
          <cell r="B599" t="str">
            <v>Infrastruktur Berkelanjutan</v>
          </cell>
          <cell r="D599" t="str">
            <v>PROGRAM PENINGKATAN PRASARANA, SARANA DAN UTILITAS UMUM (PSU)</v>
          </cell>
          <cell r="K599" t="str">
            <v>Dinas Pekerjaan Umum, Penataan Ruang, Perumahan dan Kawasan Permukiman</v>
          </cell>
          <cell r="O599" t="str">
            <v>Narmada</v>
          </cell>
          <cell r="Q599">
            <v>118500000</v>
          </cell>
        </row>
        <row r="600">
          <cell r="B600" t="str">
            <v>Agrominapolitan</v>
          </cell>
          <cell r="D600" t="str">
            <v>PROGRAM PENYEDIAAN DAN PENGEMBANGAN SARANA PERTANIAN</v>
          </cell>
          <cell r="K600" t="str">
            <v>Dinas Pertanian</v>
          </cell>
          <cell r="O600" t="str">
            <v>Narmada</v>
          </cell>
          <cell r="Q600">
            <v>200000000</v>
          </cell>
        </row>
        <row r="601">
          <cell r="B601" t="str">
            <v>Transformasi dan Kemandirian Ekonomi</v>
          </cell>
          <cell r="D601" t="str">
            <v>PROGRAM PENYELENGGARAAN JALAN</v>
          </cell>
          <cell r="K601" t="str">
            <v>Dinas Pekerjaan Umum, Penataan Ruang, Perumahan dan Kawasan Permukiman</v>
          </cell>
          <cell r="O601" t="str">
            <v>Narmada</v>
          </cell>
          <cell r="Q601">
            <v>100000000</v>
          </cell>
        </row>
        <row r="602">
          <cell r="B602" t="str">
            <v>Infrastruktur Berkelanjutan</v>
          </cell>
          <cell r="D602" t="str">
            <v>PROGRAM PENINGKATAN PRASARANA, SARANA DAN UTILITAS UMUM (PSU)</v>
          </cell>
          <cell r="K602" t="str">
            <v>Dinas Pekerjaan Umum, Penataan Ruang, Perumahan dan Kawasan Permukiman</v>
          </cell>
          <cell r="O602" t="str">
            <v>Narmada</v>
          </cell>
          <cell r="Q602">
            <v>117500000</v>
          </cell>
        </row>
        <row r="603">
          <cell r="B603" t="str">
            <v>Infrastruktur Berkelanjutan</v>
          </cell>
          <cell r="D603" t="str">
            <v>PROGRAM PENINGKATAN PRASARANA, SARANA DAN UTILITAS UMUM (PSU)</v>
          </cell>
          <cell r="K603" t="str">
            <v>Dinas Pekerjaan Umum, Penataan Ruang, Perumahan dan Kawasan Permukiman</v>
          </cell>
          <cell r="O603" t="str">
            <v>Narmada</v>
          </cell>
          <cell r="Q603">
            <v>197500000</v>
          </cell>
        </row>
        <row r="604">
          <cell r="B604" t="str">
            <v>Infrastruktur Berkelanjutan</v>
          </cell>
          <cell r="D604" t="str">
            <v>PROGRAM PENINGKATAN PRASARANA, SARANA DAN UTILITAS UMUM (PSU)</v>
          </cell>
          <cell r="K604" t="str">
            <v>Dinas Pekerjaan Umum, Penataan Ruang, Perumahan dan Kawasan Permukiman</v>
          </cell>
          <cell r="O604" t="str">
            <v>Narmada</v>
          </cell>
          <cell r="Q604">
            <v>117500000</v>
          </cell>
        </row>
        <row r="605">
          <cell r="B605" t="str">
            <v>Infrastruktur Berkelanjutan</v>
          </cell>
          <cell r="D605" t="str">
            <v>PROGRAM PENGELOLAAN DAN PENGEMBANGAN SISTEM PENYEDIAAN AIR MINUM</v>
          </cell>
          <cell r="K605" t="str">
            <v>Dinas Pekerjaan Umum, Penataan Ruang, Perumahan dan Kawasan Permukiman</v>
          </cell>
          <cell r="O605" t="str">
            <v>Narmada</v>
          </cell>
          <cell r="Q605">
            <v>150000000</v>
          </cell>
        </row>
        <row r="606">
          <cell r="B606" t="str">
            <v>Infrastruktur Berkelanjutan</v>
          </cell>
          <cell r="D606" t="str">
            <v>PROGRAM PENINGKATAN PRASARANA, SARANA DAN UTILITAS UMUM (PSU)</v>
          </cell>
          <cell r="K606" t="str">
            <v>Dinas Pekerjaan Umum, Penataan Ruang, Perumahan dan Kawasan Permukiman</v>
          </cell>
          <cell r="O606" t="str">
            <v>Narmada</v>
          </cell>
          <cell r="Q606">
            <v>117500000</v>
          </cell>
        </row>
        <row r="607">
          <cell r="B607" t="str">
            <v>Infrastruktur Berkelanjutan</v>
          </cell>
          <cell r="D607" t="str">
            <v>PROGRAM PENINGKATAN PRASARANA, SARANA DAN UTILITAS UMUM (PSU)</v>
          </cell>
          <cell r="K607" t="str">
            <v>Dinas Pekerjaan Umum, Penataan Ruang, Perumahan dan Kawasan Permukiman</v>
          </cell>
          <cell r="O607" t="str">
            <v>Narmada</v>
          </cell>
          <cell r="Q607">
            <v>98360655</v>
          </cell>
        </row>
        <row r="608">
          <cell r="B608" t="str">
            <v>Infrastruktur Berkelanjutan</v>
          </cell>
          <cell r="D608" t="str">
            <v>PROGRAM PENINGKATAN PRASARANA, SARANA DAN UTILITAS UMUM (PSU)</v>
          </cell>
          <cell r="K608" t="str">
            <v>Dinas Pekerjaan Umum, Penataan Ruang, Perumahan dan Kawasan Permukiman</v>
          </cell>
          <cell r="O608" t="str">
            <v>Narmada</v>
          </cell>
          <cell r="Q608">
            <v>118800000</v>
          </cell>
        </row>
        <row r="609">
          <cell r="B609" t="str">
            <v>Infrastruktur Berkelanjutan</v>
          </cell>
          <cell r="D609" t="str">
            <v>PROGRAM PENINGKATAN PRASARANA, SARANA DAN UTILITAS UMUM (PSU)</v>
          </cell>
          <cell r="K609" t="str">
            <v>Dinas Pekerjaan Umum, Penataan Ruang, Perumahan dan Kawasan Permukiman</v>
          </cell>
          <cell r="O609" t="str">
            <v>Narmada</v>
          </cell>
          <cell r="Q609">
            <v>120000000</v>
          </cell>
        </row>
        <row r="610">
          <cell r="B610" t="str">
            <v>Infrastruktur Berkelanjutan</v>
          </cell>
          <cell r="D610" t="str">
            <v>PROGRAM PENINGKATAN PRASARANA, SARANA DAN UTILITAS UMUM (PSU)</v>
          </cell>
          <cell r="K610" t="str">
            <v>Dinas Pekerjaan Umum, Penataan Ruang, Perumahan dan Kawasan Permukiman</v>
          </cell>
          <cell r="O610" t="str">
            <v>Narmada</v>
          </cell>
          <cell r="Q610">
            <v>118800000</v>
          </cell>
        </row>
        <row r="611">
          <cell r="B611" t="str">
            <v>Infrastruktur Berkelanjutan</v>
          </cell>
          <cell r="D611" t="str">
            <v>PROGRAM PENINGKATAN PRASARANA, SARANA DAN UTILITAS UMUM (PSU)</v>
          </cell>
          <cell r="K611" t="str">
            <v>Dinas Pekerjaan Umum, Penataan Ruang, Perumahan dan Kawasan Permukiman</v>
          </cell>
          <cell r="O611" t="str">
            <v>Narmada</v>
          </cell>
          <cell r="Q611">
            <v>142560000</v>
          </cell>
        </row>
        <row r="612">
          <cell r="B612" t="str">
            <v>Infrastruktur Berkelanjutan</v>
          </cell>
          <cell r="D612" t="str">
            <v>PROGRAM PENINGKATAN PRASARANA, SARANA DAN UTILITAS UMUM (PSU)</v>
          </cell>
          <cell r="K612" t="str">
            <v>Dinas Pekerjaan Umum, Penataan Ruang, Perumahan dan Kawasan Permukiman</v>
          </cell>
          <cell r="O612" t="str">
            <v>Narmada</v>
          </cell>
          <cell r="Q612">
            <v>78688524</v>
          </cell>
        </row>
        <row r="613">
          <cell r="B613" t="str">
            <v>Infrastruktur Berkelanjutan</v>
          </cell>
          <cell r="D613" t="str">
            <v>PROGRAM PENANGGULANGAN BENCANA</v>
          </cell>
          <cell r="K613" t="str">
            <v>Badan Penanggulangan Bencana Daerah</v>
          </cell>
          <cell r="O613" t="str">
            <v>Narmada</v>
          </cell>
          <cell r="Q613">
            <v>210000000</v>
          </cell>
        </row>
        <row r="614">
          <cell r="B614" t="str">
            <v>Infrastruktur Berkelanjutan</v>
          </cell>
          <cell r="D614" t="str">
            <v>PROGRAM PENINGKATAN PRASARANA, SARANA DAN UTILITAS UMUM (PSU)</v>
          </cell>
          <cell r="K614" t="str">
            <v>Dinas Pekerjaan Umum, Penataan Ruang, Perumahan dan Kawasan Permukiman</v>
          </cell>
          <cell r="O614" t="str">
            <v>Narmada</v>
          </cell>
          <cell r="Q614">
            <v>99000000</v>
          </cell>
        </row>
        <row r="615">
          <cell r="B615" t="str">
            <v>KECAMATAN KEDIRI</v>
          </cell>
        </row>
        <row r="616">
          <cell r="B616" t="str">
            <v>Transformasi dan Kemandirian Ekonomi</v>
          </cell>
          <cell r="D616" t="str">
            <v>PROGRAM PENINGKATAN SARANA DISTRIBUSI PERDAGANGAN</v>
          </cell>
          <cell r="K616" t="str">
            <v>Dinas Perdagangan</v>
          </cell>
          <cell r="O616" t="str">
            <v>Kediri</v>
          </cell>
          <cell r="Q616">
            <v>50000000</v>
          </cell>
        </row>
        <row r="617">
          <cell r="B617" t="str">
            <v>Infrastruktur Berkelanjutan</v>
          </cell>
          <cell r="D617" t="str">
            <v>PROGRAM PENGELOLAAN PERSAMPAHAN</v>
          </cell>
          <cell r="K617" t="str">
            <v>Dinas Lingkungan Hidup</v>
          </cell>
          <cell r="O617" t="str">
            <v>Kediri</v>
          </cell>
          <cell r="Q617">
            <v>150000000</v>
          </cell>
        </row>
        <row r="618">
          <cell r="B618" t="str">
            <v>Infrastruktur Berkelanjutan</v>
          </cell>
          <cell r="D618" t="str">
            <v>PROGRAM PENGELOLAAN PERSAMPAHAN</v>
          </cell>
          <cell r="K618" t="str">
            <v>Dinas Lingkungan Hidup</v>
          </cell>
          <cell r="O618" t="str">
            <v>Kediri</v>
          </cell>
          <cell r="Q618">
            <v>150000000</v>
          </cell>
        </row>
        <row r="619">
          <cell r="B619" t="str">
            <v>Transformasi dan Kemandirian Ekonomi</v>
          </cell>
          <cell r="D619" t="str">
            <v>PROGRAM PENGEMBANGAN UMKM</v>
          </cell>
          <cell r="K619" t="str">
            <v>Dinas Perindustrian, Koperasi, Usaha Kecil dan Menengah, dan Tenaga Kerja</v>
          </cell>
          <cell r="O619" t="str">
            <v>Kediri</v>
          </cell>
          <cell r="Q619">
            <v>40000000</v>
          </cell>
        </row>
        <row r="620">
          <cell r="B620" t="str">
            <v>Infrastruktur Berkelanjutan</v>
          </cell>
          <cell r="D620" t="str">
            <v>PROGRAM KAWASAN PERMUKIMAN</v>
          </cell>
          <cell r="K620" t="str">
            <v>Dinas Pekerjaan Umum, Penataan Ruang, Perumahan dan Kawasan Permukiman</v>
          </cell>
          <cell r="O620" t="str">
            <v>Kediri</v>
          </cell>
          <cell r="Q620">
            <v>140000000</v>
          </cell>
        </row>
        <row r="621">
          <cell r="B621" t="str">
            <v>Infrastruktur Berkelanjutan</v>
          </cell>
          <cell r="D621" t="str">
            <v>PROGRAM KAWASAN PERMUKIMAN</v>
          </cell>
          <cell r="K621" t="str">
            <v>Dinas Pekerjaan Umum, Penataan Ruang, Perumahan dan Kawasan Permukiman</v>
          </cell>
          <cell r="O621" t="str">
            <v>Kediri</v>
          </cell>
          <cell r="Q621">
            <v>140000000</v>
          </cell>
        </row>
        <row r="622">
          <cell r="B622" t="str">
            <v>Infrastruktur Berkelanjutan</v>
          </cell>
          <cell r="D622" t="str">
            <v>PROGRAM PENINGKATAN PRASARANA, SARANA DAN UTILITAS UMUM (PSU)</v>
          </cell>
          <cell r="K622" t="str">
            <v>Dinas Pekerjaan Umum, Penataan Ruang, Perumahan dan Kawasan Permukiman</v>
          </cell>
          <cell r="O622" t="str">
            <v>Kediri</v>
          </cell>
          <cell r="Q622">
            <v>120000000</v>
          </cell>
        </row>
        <row r="623">
          <cell r="B623" t="str">
            <v>Infrastruktur Berkelanjutan</v>
          </cell>
          <cell r="D623" t="str">
            <v>PROGRAM PENINGKATAN PRASARANA, SARANA DAN UTILITAS UMUM (PSU)</v>
          </cell>
          <cell r="K623" t="str">
            <v>Dinas Pekerjaan Umum, Penataan Ruang, Perumahan dan Kawasan Permukiman</v>
          </cell>
          <cell r="O623" t="str">
            <v>Kediri</v>
          </cell>
          <cell r="Q623">
            <v>110000000</v>
          </cell>
        </row>
        <row r="624">
          <cell r="B624" t="str">
            <v>Infrastruktur Berkelanjutan</v>
          </cell>
          <cell r="D624" t="str">
            <v>PROGRAM PENINGKATAN PRASARANA, SARANA DAN UTILITAS UMUM (PSU)</v>
          </cell>
          <cell r="K624" t="str">
            <v>Dinas Pekerjaan Umum, Penataan Ruang, Perumahan dan Kawasan Permukiman</v>
          </cell>
          <cell r="O624" t="str">
            <v>Kediri</v>
          </cell>
          <cell r="Q624">
            <v>100000000</v>
          </cell>
        </row>
        <row r="625">
          <cell r="B625" t="str">
            <v>Infrastruktur Berkelanjutan</v>
          </cell>
          <cell r="D625" t="str">
            <v>PROGRAM PENINGKATAN PRASARANA, SARANA DAN UTILITAS UMUM (PSU)</v>
          </cell>
          <cell r="K625" t="str">
            <v>Dinas Pekerjaan Umum, Penataan Ruang, Perumahan dan Kawasan Permukiman</v>
          </cell>
          <cell r="O625" t="str">
            <v>Kediri</v>
          </cell>
          <cell r="Q625">
            <v>100000000</v>
          </cell>
        </row>
        <row r="626">
          <cell r="B626" t="str">
            <v>Infrastruktur Berkelanjutan</v>
          </cell>
          <cell r="D626" t="str">
            <v>PROGRAM PENINGKATAN PRASARANA, SARANA DAN UTILITAS UMUM (PSU)</v>
          </cell>
          <cell r="K626" t="str">
            <v>Dinas Pekerjaan Umum, Penataan Ruang, Perumahan dan Kawasan Permukiman</v>
          </cell>
          <cell r="O626" t="str">
            <v>Kediri</v>
          </cell>
          <cell r="Q626">
            <v>100000000</v>
          </cell>
        </row>
        <row r="627">
          <cell r="B627" t="str">
            <v>Infrastruktur Berkelanjutan</v>
          </cell>
          <cell r="D627" t="str">
            <v>PROGRAM PENINGKATAN PRASARANA, SARANA DAN UTILITAS UMUM (PSU)</v>
          </cell>
          <cell r="K627" t="str">
            <v>Dinas Pekerjaan Umum, Penataan Ruang, Perumahan dan Kawasan Permukiman</v>
          </cell>
          <cell r="O627" t="str">
            <v>Kediri</v>
          </cell>
          <cell r="Q627">
            <v>100000000</v>
          </cell>
        </row>
        <row r="628">
          <cell r="B628" t="str">
            <v>Infrastruktur Berkelanjutan</v>
          </cell>
          <cell r="D628" t="str">
            <v>PROGRAM PENINGKATAN PRASARANA, SARANA DAN UTILITAS UMUM (PSU)</v>
          </cell>
          <cell r="K628" t="str">
            <v>Dinas Pekerjaan Umum, Penataan Ruang, Perumahan dan Kawasan Permukiman</v>
          </cell>
          <cell r="O628" t="str">
            <v>Kediri</v>
          </cell>
          <cell r="Q628">
            <v>100000000</v>
          </cell>
        </row>
        <row r="629">
          <cell r="B629" t="str">
            <v>Infrastruktur Berkelanjutan</v>
          </cell>
          <cell r="D629" t="str">
            <v>PROGRAM PENINGKATAN PRASARANA, SARANA DAN UTILITAS UMUM (PSU)</v>
          </cell>
          <cell r="K629" t="str">
            <v>Dinas Pekerjaan Umum, Penataan Ruang, Perumahan dan Kawasan Permukiman</v>
          </cell>
          <cell r="O629" t="str">
            <v>Kediri</v>
          </cell>
          <cell r="Q629">
            <v>100000000</v>
          </cell>
        </row>
        <row r="630">
          <cell r="B630" t="str">
            <v>Infrastruktur Berkelanjutan</v>
          </cell>
          <cell r="D630" t="str">
            <v>PROGRAM PENINGKATAN PRASARANA, SARANA DAN UTILITAS UMUM (PSU)</v>
          </cell>
          <cell r="K630" t="str">
            <v>Dinas Pekerjaan Umum, Penataan Ruang, Perumahan dan Kawasan Permukiman</v>
          </cell>
          <cell r="O630" t="str">
            <v>Kediri</v>
          </cell>
          <cell r="Q630">
            <v>100000000</v>
          </cell>
        </row>
        <row r="631">
          <cell r="B631" t="str">
            <v>Infrastruktur Berkelanjutan</v>
          </cell>
          <cell r="D631" t="str">
            <v>PROGRAM PENINGKATAN PRASARANA, SARANA DAN UTILITAS UMUM (PSU)</v>
          </cell>
          <cell r="K631" t="str">
            <v>Dinas Pekerjaan Umum, Penataan Ruang, Perumahan dan Kawasan Permukiman</v>
          </cell>
          <cell r="O631" t="str">
            <v>Kediri</v>
          </cell>
          <cell r="Q631">
            <v>100000000</v>
          </cell>
        </row>
        <row r="632">
          <cell r="B632" t="str">
            <v>Infrastruktur Berkelanjutan</v>
          </cell>
          <cell r="D632" t="str">
            <v>PROGRAM PENINGKATAN PRASARANA, SARANA DAN UTILITAS UMUM (PSU)</v>
          </cell>
          <cell r="K632" t="str">
            <v>Dinas Pekerjaan Umum, Penataan Ruang, Perumahan dan Kawasan Permukiman</v>
          </cell>
          <cell r="O632" t="str">
            <v>Kediri</v>
          </cell>
          <cell r="Q632">
            <v>100000000</v>
          </cell>
        </row>
        <row r="633">
          <cell r="B633" t="str">
            <v>Infrastruktur Berkelanjutan</v>
          </cell>
          <cell r="D633" t="str">
            <v>PROGRAM PENINGKATAN PRASARANA, SARANA DAN UTILITAS UMUM (PSU)</v>
          </cell>
          <cell r="K633" t="str">
            <v>Dinas Pekerjaan Umum, Penataan Ruang, Perumahan dan Kawasan Permukiman</v>
          </cell>
          <cell r="O633" t="str">
            <v>Kediri</v>
          </cell>
          <cell r="Q633">
            <v>100000000</v>
          </cell>
        </row>
        <row r="634">
          <cell r="B634" t="str">
            <v>Infrastruktur Berkelanjutan</v>
          </cell>
          <cell r="D634" t="str">
            <v>PROGRAM KAWASAN PERMUKIMAN</v>
          </cell>
          <cell r="K634" t="str">
            <v>Dinas Pekerjaan Umum, Penataan Ruang, Perumahan dan Kawasan Permukiman</v>
          </cell>
          <cell r="O634" t="str">
            <v>Kediri</v>
          </cell>
          <cell r="Q634">
            <v>100000000</v>
          </cell>
        </row>
        <row r="635">
          <cell r="B635" t="str">
            <v>Transformasi dan Kemandirian Ekonomi</v>
          </cell>
          <cell r="D635" t="str">
            <v>PROGRAM PENINGKATAN SARANA DISTRIBUSI PERDAGANGAN</v>
          </cell>
          <cell r="K635" t="str">
            <v>Dinas Perdagangan</v>
          </cell>
          <cell r="O635" t="str">
            <v>Kediri</v>
          </cell>
          <cell r="Q635">
            <v>100000000</v>
          </cell>
        </row>
        <row r="636">
          <cell r="B636" t="str">
            <v>Infrastruktur Berkelanjutan</v>
          </cell>
          <cell r="D636" t="str">
            <v>PROGRAM PENGELOLAAN PERSAMPAHAN</v>
          </cell>
          <cell r="K636" t="str">
            <v>Dinas Lingkungan Hidup</v>
          </cell>
          <cell r="O636" t="str">
            <v>Kediri</v>
          </cell>
          <cell r="Q636">
            <v>50000000</v>
          </cell>
        </row>
        <row r="637">
          <cell r="B637" t="str">
            <v>Infrastruktur Berkelanjutan</v>
          </cell>
          <cell r="D637" t="str">
            <v>PROGRAM PENGELOLAAN PERSAMPAHAN</v>
          </cell>
          <cell r="K637" t="str">
            <v>Dinas Lingkungan Hidup</v>
          </cell>
          <cell r="O637" t="str">
            <v>Kediri</v>
          </cell>
          <cell r="Q637">
            <v>50000000</v>
          </cell>
        </row>
        <row r="638">
          <cell r="B638" t="str">
            <v>Infrastruktur Berkelanjutan</v>
          </cell>
          <cell r="D638" t="str">
            <v>PROGRAM PENGELOLAAN PERSAMPAHAN</v>
          </cell>
          <cell r="K638" t="str">
            <v>Dinas Lingkungan Hidup</v>
          </cell>
          <cell r="O638" t="str">
            <v>Kediri</v>
          </cell>
          <cell r="Q638">
            <v>50000000</v>
          </cell>
        </row>
        <row r="639">
          <cell r="B639" t="str">
            <v>Infrastruktur Berkelanjutan</v>
          </cell>
          <cell r="D639" t="str">
            <v>PROGRAM PENGELOLAAN PERSAMPAHAN</v>
          </cell>
          <cell r="K639" t="str">
            <v>Dinas Lingkungan Hidup</v>
          </cell>
          <cell r="O639" t="str">
            <v>Kediri</v>
          </cell>
          <cell r="Q639">
            <v>50000000</v>
          </cell>
        </row>
        <row r="640">
          <cell r="B640" t="str">
            <v>Infrastruktur Berkelanjutan</v>
          </cell>
          <cell r="D640" t="str">
            <v>PROGRAM PENGELOLAAN PERSAMPAHAN</v>
          </cell>
          <cell r="K640" t="str">
            <v>Dinas Lingkungan Hidup</v>
          </cell>
          <cell r="O640" t="str">
            <v>Kediri</v>
          </cell>
          <cell r="Q640">
            <v>50000000</v>
          </cell>
        </row>
        <row r="641">
          <cell r="B641" t="str">
            <v>Transformasi dan Kemandirian Ekonomi</v>
          </cell>
          <cell r="D641" t="str">
            <v>PROGRAM PENEMPATAN TENAGA KERJA</v>
          </cell>
          <cell r="K641" t="str">
            <v>Dinas Perindustrian, Koperasi, Usaha Kecil dan Menengah, dan Tenaga Kerja</v>
          </cell>
          <cell r="O641" t="str">
            <v>Kediri</v>
          </cell>
          <cell r="Q641">
            <v>30000000</v>
          </cell>
        </row>
        <row r="642">
          <cell r="B642" t="str">
            <v>Infrastruktur Berkelanjutan</v>
          </cell>
          <cell r="D642" t="str">
            <v>PROGRAM PENYELENGGARAAN JALAN</v>
          </cell>
          <cell r="K642" t="str">
            <v>Dinas Pekerjaan Umum, Penataan Ruang, Perumahan dan Kawasan Permukiman</v>
          </cell>
          <cell r="O642" t="str">
            <v>Kediri</v>
          </cell>
          <cell r="Q642">
            <v>20000000</v>
          </cell>
        </row>
        <row r="643">
          <cell r="B643" t="str">
            <v>Infrastruktur Berkelanjutan</v>
          </cell>
          <cell r="D643" t="str">
            <v>PROGRAM PENINGKATAN PRASARANA, SARANA DAN UTILITAS UMUM (PSU)</v>
          </cell>
          <cell r="K643" t="str">
            <v>Dinas Pekerjaan Umum, Penataan Ruang, Perumahan dan Kawasan Permukiman</v>
          </cell>
          <cell r="O643" t="str">
            <v>Kediri</v>
          </cell>
          <cell r="Q643">
            <v>100000000</v>
          </cell>
        </row>
        <row r="644">
          <cell r="B644" t="str">
            <v>Infrastruktur Berkelanjutan</v>
          </cell>
          <cell r="D644" t="str">
            <v>PROGRAM PENINGKATAN PRASARANA, SARANA DAN UTILITAS UMUM (PSU)</v>
          </cell>
          <cell r="K644" t="str">
            <v>Dinas Pekerjaan Umum, Penataan Ruang, Perumahan dan Kawasan Permukiman</v>
          </cell>
          <cell r="O644" t="str">
            <v>Kediri</v>
          </cell>
          <cell r="Q644">
            <v>100000000</v>
          </cell>
        </row>
        <row r="645">
          <cell r="B645" t="str">
            <v>Infrastruktur Berkelanjutan</v>
          </cell>
          <cell r="D645" t="str">
            <v>PROGRAM PENINGKATAN PRASARANA, SARANA DAN UTILITAS UMUM (PSU)</v>
          </cell>
          <cell r="K645" t="str">
            <v>Dinas Pekerjaan Umum, Penataan Ruang, Perumahan dan Kawasan Permukiman</v>
          </cell>
          <cell r="O645" t="str">
            <v>Kediri</v>
          </cell>
          <cell r="Q645">
            <v>300000000</v>
          </cell>
        </row>
        <row r="646">
          <cell r="B646" t="str">
            <v>Infrastruktur Berkelanjutan</v>
          </cell>
          <cell r="D646" t="str">
            <v>PROGRAM PENINGKATAN PRASARANA, SARANA DAN UTILITAS UMUM (PSU)</v>
          </cell>
          <cell r="K646" t="str">
            <v>Dinas Pekerjaan Umum, Penataan Ruang, Perumahan dan Kawasan Permukiman</v>
          </cell>
          <cell r="O646" t="str">
            <v>Kediri</v>
          </cell>
          <cell r="Q646">
            <v>100000000</v>
          </cell>
        </row>
        <row r="647">
          <cell r="B647" t="str">
            <v>Transformasi Tata Kelola</v>
          </cell>
          <cell r="D647" t="str">
            <v>PROGRAM PEMERINTAHAN DAN KESEJAHTERAAN RAKYAT</v>
          </cell>
          <cell r="K647" t="str">
            <v>Sekretariat Daerah</v>
          </cell>
          <cell r="O647" t="str">
            <v>Kediri</v>
          </cell>
          <cell r="Q647">
            <v>25000000</v>
          </cell>
        </row>
        <row r="648">
          <cell r="B648" t="str">
            <v>Pembangunan SDM Unggul dan Berdaya Saing</v>
          </cell>
          <cell r="D648" t="str">
            <v>PROGRAM PENGELOLAAN PENDIDIKAN</v>
          </cell>
          <cell r="K648" t="str">
            <v>Dinas Pendidikan dan Kebudayaan</v>
          </cell>
          <cell r="O648" t="str">
            <v>Kediri</v>
          </cell>
          <cell r="Q648">
            <v>15000000</v>
          </cell>
        </row>
        <row r="649">
          <cell r="B649" t="str">
            <v>Transformasi Tata Kelola</v>
          </cell>
          <cell r="D649" t="str">
            <v>PROGRAM PENINGKATAN KETENTERAMAN DAN KETERTIBAN UMUM</v>
          </cell>
          <cell r="K649" t="str">
            <v>Satuan Polisi Pamong Praja</v>
          </cell>
          <cell r="O649" t="str">
            <v>Kediri</v>
          </cell>
          <cell r="Q649">
            <v>25889250</v>
          </cell>
        </row>
        <row r="650">
          <cell r="B650" t="str">
            <v>Transformasi Tata Kelola</v>
          </cell>
          <cell r="D650" t="str">
            <v>PROGRAM PENINGKATAN KETENTERAMAN DAN KETERTIBAN UMUM</v>
          </cell>
          <cell r="K650" t="str">
            <v>Satuan Polisi Pamong Praja</v>
          </cell>
          <cell r="O650" t="str">
            <v>Kediri</v>
          </cell>
          <cell r="Q650">
            <v>34519000</v>
          </cell>
        </row>
        <row r="651">
          <cell r="B651" t="str">
            <v>Transformasi Tata Kelola</v>
          </cell>
          <cell r="D651" t="str">
            <v>PROGRAM PENINGKATAN KETENTERAMAN DAN KETERTIBAN UMUM</v>
          </cell>
          <cell r="K651" t="str">
            <v>Satuan Polisi Pamong Praja</v>
          </cell>
          <cell r="O651" t="str">
            <v>Kediri</v>
          </cell>
          <cell r="Q651">
            <v>25889250</v>
          </cell>
        </row>
        <row r="652">
          <cell r="B652" t="str">
            <v>Infrastruktur Berkelanjutan</v>
          </cell>
          <cell r="D652" t="str">
            <v>PROGRAM PENGELOLAAN PERSAMPAHAN</v>
          </cell>
          <cell r="K652" t="str">
            <v>Dinas Lingkungan Hidup</v>
          </cell>
          <cell r="O652" t="str">
            <v>Kediri</v>
          </cell>
          <cell r="Q652">
            <v>7500000</v>
          </cell>
        </row>
        <row r="653">
          <cell r="B653" t="str">
            <v>Agrominapolitan</v>
          </cell>
          <cell r="D653" t="str">
            <v>PROGRAM PENYEDIAAN DAN PENGEMBANGAN SARANA PERTANIAN</v>
          </cell>
          <cell r="K653" t="str">
            <v>Dinas Pertanian</v>
          </cell>
          <cell r="O653" t="str">
            <v>Kediri</v>
          </cell>
          <cell r="Q653">
            <v>70000000</v>
          </cell>
        </row>
        <row r="654">
          <cell r="B654" t="str">
            <v>Agrominapolitan</v>
          </cell>
          <cell r="D654" t="str">
            <v>PROGRAM PENYEDIAAN DAN PENGEMBANGAN SARANA PERTANIAN</v>
          </cell>
          <cell r="K654" t="str">
            <v>Dinas Pertanian</v>
          </cell>
          <cell r="O654" t="str">
            <v>Kediri</v>
          </cell>
          <cell r="Q654">
            <v>30000000</v>
          </cell>
        </row>
        <row r="655">
          <cell r="B655" t="str">
            <v>Infrastruktur Berkelanjutan</v>
          </cell>
          <cell r="D655" t="str">
            <v>Program Penyelenggaraan Lalu Lintas dan Angkutan Jalan (LLAJ)</v>
          </cell>
          <cell r="K655" t="str">
            <v>Dinas Perhubungan</v>
          </cell>
          <cell r="O655" t="str">
            <v>Kediri</v>
          </cell>
          <cell r="Q655">
            <v>33500000</v>
          </cell>
        </row>
        <row r="656">
          <cell r="B656" t="str">
            <v>Infrastruktur Berkelanjutan</v>
          </cell>
          <cell r="D656" t="str">
            <v>PROGRAM PENYELENGGARAAN JALAN</v>
          </cell>
          <cell r="K656" t="str">
            <v>Dinas Pekerjaan Umum, Penataan Ruang, Perumahan dan Kawasan Permukiman</v>
          </cell>
          <cell r="O656" t="str">
            <v>Kediri</v>
          </cell>
          <cell r="Q656">
            <v>62500000</v>
          </cell>
        </row>
        <row r="657">
          <cell r="B657" t="str">
            <v>Infrastruktur Berkelanjutan</v>
          </cell>
          <cell r="D657" t="str">
            <v>PROGRAM PENINGKATAN PRASARANA, SARANA DAN UTILITAS UMUM (PSU)</v>
          </cell>
          <cell r="K657" t="str">
            <v>Dinas Pekerjaan Umum, Penataan Ruang, Perumahan dan Kawasan Permukiman</v>
          </cell>
          <cell r="O657" t="str">
            <v>Kediri</v>
          </cell>
          <cell r="Q657">
            <v>100000000</v>
          </cell>
        </row>
        <row r="658">
          <cell r="B658" t="str">
            <v>Infrastruktur Berkelanjutan</v>
          </cell>
          <cell r="D658" t="str">
            <v>PROGRAM KAWASAN PERMUKIMAN</v>
          </cell>
          <cell r="K658" t="str">
            <v>Dinas Pekerjaan Umum, Penataan Ruang, Perumahan dan Kawasan Permukiman</v>
          </cell>
          <cell r="O658" t="str">
            <v>Kediri</v>
          </cell>
          <cell r="Q658">
            <v>40000000</v>
          </cell>
        </row>
        <row r="659">
          <cell r="B659" t="str">
            <v>Infrastruktur Berkelanjutan</v>
          </cell>
          <cell r="D659" t="str">
            <v>PROGRAM PENGELOLAAN SUMBER DAYA AIR (SDA)</v>
          </cell>
          <cell r="K659" t="str">
            <v>Dinas Pekerjaan Umum, Penataan Ruang, Perumahan dan Kawasan Permukiman</v>
          </cell>
          <cell r="O659" t="str">
            <v>Kediri</v>
          </cell>
          <cell r="Q659">
            <v>70000000</v>
          </cell>
        </row>
        <row r="660">
          <cell r="B660" t="str">
            <v>Infrastruktur Berkelanjutan</v>
          </cell>
          <cell r="D660" t="str">
            <v>PROGRAM PENINGKATAN PRASARANA, SARANA DAN UTILITAS UMUM (PSU)</v>
          </cell>
          <cell r="K660" t="str">
            <v>Dinas Pekerjaan Umum, Penataan Ruang, Perumahan dan Kawasan Permukiman</v>
          </cell>
          <cell r="O660" t="str">
            <v>Kediri</v>
          </cell>
          <cell r="Q660">
            <v>100000000</v>
          </cell>
        </row>
        <row r="661">
          <cell r="B661" t="str">
            <v>Infrastruktur Berkelanjutan</v>
          </cell>
          <cell r="D661" t="str">
            <v>PROGRAM PENINGKATAN PRASARANA, SARANA DAN UTILITAS UMUM (PSU)</v>
          </cell>
          <cell r="K661" t="str">
            <v>Dinas Pekerjaan Umum, Penataan Ruang, Perumahan dan Kawasan Permukiman</v>
          </cell>
          <cell r="O661" t="str">
            <v>Kediri</v>
          </cell>
          <cell r="Q661">
            <v>130101250</v>
          </cell>
        </row>
        <row r="662">
          <cell r="B662" t="str">
            <v>Infrastruktur Berkelanjutan</v>
          </cell>
          <cell r="D662" t="str">
            <v>PROGRAM PENINGKATAN PRASARANA, SARANA DAN UTILITAS UMUM (PSU)</v>
          </cell>
          <cell r="K662" t="str">
            <v>Dinas Pekerjaan Umum, Penataan Ruang, Perumahan dan Kawasan Permukiman</v>
          </cell>
          <cell r="O662" t="str">
            <v>Kediri</v>
          </cell>
          <cell r="Q662">
            <v>130101250</v>
          </cell>
        </row>
        <row r="663">
          <cell r="B663" t="str">
            <v>Infrastruktur Berkelanjutan</v>
          </cell>
          <cell r="D663" t="str">
            <v>PROGRAM PENINGKATAN PRASARANA, SARANA DAN UTILITAS UMUM (PSU)</v>
          </cell>
          <cell r="K663" t="str">
            <v>Dinas Pekerjaan Umum, Penataan Ruang, Perumahan dan Kawasan Permukiman</v>
          </cell>
          <cell r="O663" t="str">
            <v>Kediri</v>
          </cell>
          <cell r="Q663">
            <v>100000000</v>
          </cell>
        </row>
        <row r="664">
          <cell r="B664" t="str">
            <v>Transformasi dan Kemandirian Ekonomi</v>
          </cell>
          <cell r="D664" t="str">
            <v>PROGRAM PENINGKATAN SARANA DISTRIBUSI PERDAGANGAN</v>
          </cell>
          <cell r="K664" t="str">
            <v>Dinas Perdagangan</v>
          </cell>
          <cell r="O664" t="str">
            <v>Kediri</v>
          </cell>
          <cell r="Q664">
            <v>19035000</v>
          </cell>
        </row>
        <row r="665">
          <cell r="B665" t="str">
            <v>Transformasi Tata Kelola</v>
          </cell>
          <cell r="D665" t="str">
            <v>PROGRAM PEMERINTAHAN DAN KESEJAHTERAAN RAKYAT</v>
          </cell>
          <cell r="K665" t="str">
            <v>Sekretariat Daerah</v>
          </cell>
          <cell r="O665" t="str">
            <v>Kediri</v>
          </cell>
          <cell r="Q665">
            <v>100000000</v>
          </cell>
        </row>
        <row r="666">
          <cell r="B666" t="str">
            <v>Agrominapolitan</v>
          </cell>
          <cell r="D666" t="str">
            <v>PROGRAM PENYEDIAAN DAN PENGEMBANGAN SARANA PERTANIAN</v>
          </cell>
          <cell r="K666" t="str">
            <v>Dinas Pertanian</v>
          </cell>
          <cell r="O666" t="str">
            <v>Kediri</v>
          </cell>
          <cell r="Q666">
            <v>50000000</v>
          </cell>
        </row>
        <row r="667">
          <cell r="B667" t="str">
            <v>Agrominapolitan</v>
          </cell>
          <cell r="D667" t="str">
            <v>PROGRAM PENYEDIAAN DAN PENGEMBANGAN SARANA PERTANIAN</v>
          </cell>
          <cell r="K667" t="str">
            <v>Dinas Pertanian</v>
          </cell>
          <cell r="O667" t="str">
            <v>Kediri</v>
          </cell>
          <cell r="Q667">
            <v>100000000</v>
          </cell>
        </row>
        <row r="668">
          <cell r="B668" t="str">
            <v>Agrominapolitan</v>
          </cell>
          <cell r="D668" t="str">
            <v>PROGRAM PENYEDIAAN DAN PENGEMBANGAN SARANA PERTANIAN</v>
          </cell>
          <cell r="K668" t="str">
            <v>Dinas Pertanian</v>
          </cell>
          <cell r="O668" t="str">
            <v>Kediri</v>
          </cell>
          <cell r="Q668">
            <v>44785000</v>
          </cell>
        </row>
        <row r="669">
          <cell r="B669" t="str">
            <v>Agrominapolitan</v>
          </cell>
          <cell r="D669" t="str">
            <v>PROGRAM PENYEDIAAN DAN PENGEMBANGAN SARANA PERTANIAN</v>
          </cell>
          <cell r="K669" t="str">
            <v>Dinas Pertanian</v>
          </cell>
          <cell r="O669" t="str">
            <v>Kediri</v>
          </cell>
          <cell r="Q669">
            <v>57516000</v>
          </cell>
        </row>
        <row r="670">
          <cell r="B670" t="str">
            <v>Agrominapolitan</v>
          </cell>
          <cell r="D670" t="str">
            <v>PROGRAM PENYEDIAAN DAN PENGEMBANGAN SARANA PERTANIAN</v>
          </cell>
          <cell r="K670" t="str">
            <v>Dinas Pertanian</v>
          </cell>
          <cell r="O670" t="str">
            <v>Kediri</v>
          </cell>
          <cell r="Q670">
            <v>20000000</v>
          </cell>
        </row>
        <row r="671">
          <cell r="B671" t="str">
            <v>Transformasi dan Kemandirian Ekonomi</v>
          </cell>
          <cell r="D671" t="str">
            <v>PROGRAM PERENCANAAN DAN PEMBANGUNAN INDUSTRI</v>
          </cell>
          <cell r="K671" t="str">
            <v>Dinas Perindustrian, Koperasi, Usaha Kecil dan Menengah, dan Tenaga Kerja</v>
          </cell>
          <cell r="O671" t="str">
            <v>Kediri</v>
          </cell>
          <cell r="Q671">
            <v>20000000</v>
          </cell>
        </row>
        <row r="672">
          <cell r="B672" t="str">
            <v>Transformasi dan Kemandirian Ekonomi</v>
          </cell>
          <cell r="D672" t="str">
            <v>PROGRAM PENGEMBANGAN UMKM</v>
          </cell>
          <cell r="K672" t="str">
            <v>Dinas Perindustrian, Koperasi, Usaha Kecil dan Menengah, dan Tenaga Kerja</v>
          </cell>
          <cell r="O672" t="str">
            <v>Kediri</v>
          </cell>
          <cell r="Q672">
            <v>45000000</v>
          </cell>
        </row>
        <row r="673">
          <cell r="B673" t="str">
            <v>Infrastruktur Berkelanjutan</v>
          </cell>
          <cell r="D673" t="str">
            <v>PROGRAM PENINGKATAN PRASARANA, SARANA DAN UTILITAS UMUM (PSU)</v>
          </cell>
          <cell r="K673" t="str">
            <v>Dinas Pekerjaan Umum, Penataan Ruang, Perumahan dan Kawasan Permukiman</v>
          </cell>
          <cell r="O673" t="str">
            <v>Kediri</v>
          </cell>
          <cell r="Q673">
            <v>50000000</v>
          </cell>
        </row>
        <row r="674">
          <cell r="B674" t="str">
            <v>Infrastruktur Berkelanjutan</v>
          </cell>
          <cell r="D674" t="str">
            <v>PROGRAM PENINGKATAN PRASARANA, SARANA DAN UTILITAS UMUM (PSU)</v>
          </cell>
          <cell r="K674" t="str">
            <v>Dinas Pekerjaan Umum, Penataan Ruang, Perumahan dan Kawasan Permukiman</v>
          </cell>
          <cell r="O674" t="str">
            <v>Kediri</v>
          </cell>
          <cell r="Q674">
            <v>50000000</v>
          </cell>
        </row>
        <row r="675">
          <cell r="B675" t="str">
            <v>Infrastruktur Berkelanjutan</v>
          </cell>
          <cell r="D675" t="str">
            <v>PROGRAM PENINGKATAN PRASARANA, SARANA DAN UTILITAS UMUM (PSU)</v>
          </cell>
          <cell r="K675" t="str">
            <v>Dinas Pekerjaan Umum, Penataan Ruang, Perumahan dan Kawasan Permukiman</v>
          </cell>
          <cell r="O675" t="str">
            <v>Kediri</v>
          </cell>
          <cell r="Q675">
            <v>100000000</v>
          </cell>
        </row>
        <row r="676">
          <cell r="B676" t="str">
            <v>Infrastruktur Berkelanjutan</v>
          </cell>
          <cell r="D676" t="str">
            <v>PROGRAM PENINGKATAN PRASARANA, SARANA DAN UTILITAS UMUM (PSU)</v>
          </cell>
          <cell r="K676" t="str">
            <v>Dinas Pekerjaan Umum, Penataan Ruang, Perumahan dan Kawasan Permukiman</v>
          </cell>
          <cell r="O676" t="str">
            <v>Kediri</v>
          </cell>
          <cell r="Q676">
            <v>71180000</v>
          </cell>
        </row>
        <row r="677">
          <cell r="B677" t="str">
            <v>Infrastruktur Berkelanjutan</v>
          </cell>
          <cell r="D677" t="str">
            <v>PROGRAM PENINGKATAN PRASARANA, SARANA DAN UTILITAS UMUM (PSU)</v>
          </cell>
          <cell r="K677" t="str">
            <v>Dinas Pekerjaan Umum, Penataan Ruang, Perumahan dan Kawasan Permukiman</v>
          </cell>
          <cell r="O677" t="str">
            <v>Kediri</v>
          </cell>
          <cell r="Q677">
            <v>100000000</v>
          </cell>
        </row>
        <row r="678">
          <cell r="B678" t="str">
            <v>Infrastruktur Berkelanjutan</v>
          </cell>
          <cell r="D678" t="str">
            <v>PROGRAM PENINGKATAN PRASARANA, SARANA DAN UTILITAS UMUM (PSU)</v>
          </cell>
          <cell r="K678" t="str">
            <v>Dinas Pekerjaan Umum, Penataan Ruang, Perumahan dan Kawasan Permukiman</v>
          </cell>
          <cell r="O678" t="str">
            <v>Kediri</v>
          </cell>
          <cell r="Q678">
            <v>172484000.00000003</v>
          </cell>
        </row>
        <row r="679">
          <cell r="B679" t="str">
            <v>Agrominapolitan</v>
          </cell>
          <cell r="D679" t="str">
            <v>PROGRAM PENYEDIAAN DAN PENGEMBANGAN SARANA PERTANIAN</v>
          </cell>
          <cell r="K679" t="str">
            <v>Dinas Pertanian</v>
          </cell>
          <cell r="O679" t="str">
            <v>Kediri</v>
          </cell>
          <cell r="Q679">
            <v>80000000</v>
          </cell>
        </row>
        <row r="680">
          <cell r="B680" t="str">
            <v>Agrominapolitan</v>
          </cell>
          <cell r="D680" t="str">
            <v>PROGRAM PENYEDIAAN DAN PENGEMBANGAN SARANA PERTANIAN</v>
          </cell>
          <cell r="K680" t="str">
            <v>Dinas Pertanian</v>
          </cell>
          <cell r="O680" t="str">
            <v>Kediri</v>
          </cell>
          <cell r="Q680">
            <v>90000000</v>
          </cell>
        </row>
        <row r="681">
          <cell r="B681" t="str">
            <v>Infrastruktur Berkelanjutan</v>
          </cell>
          <cell r="D681" t="str">
            <v>PROGRAM PENGELOLAAN SUMBER DAYA AIR (SDA)</v>
          </cell>
          <cell r="K681" t="str">
            <v>Dinas Pekerjaan Umum, Penataan Ruang, Perumahan dan Kawasan Permukiman</v>
          </cell>
          <cell r="O681" t="str">
            <v>Kediri</v>
          </cell>
          <cell r="Q681">
            <v>230000000</v>
          </cell>
        </row>
        <row r="682">
          <cell r="B682" t="str">
            <v>Infrastruktur Berkelanjutan</v>
          </cell>
          <cell r="D682" t="str">
            <v>PROGRAM PENGELOLAAN SUMBER DAYA AIR (SDA)</v>
          </cell>
          <cell r="K682" t="str">
            <v>Dinas Pekerjaan Umum, Penataan Ruang, Perumahan dan Kawasan Permukiman</v>
          </cell>
          <cell r="O682" t="str">
            <v>Kediri</v>
          </cell>
          <cell r="Q682">
            <v>200000000</v>
          </cell>
        </row>
        <row r="683">
          <cell r="B683" t="str">
            <v>Infrastruktur Berkelanjutan</v>
          </cell>
          <cell r="D683" t="str">
            <v>PROGRAM PENGELOLAAN DAN PENGEMBANGAN SISTEM DRAINASE</v>
          </cell>
          <cell r="K683" t="str">
            <v>Dinas Pekerjaan Umum, Penataan Ruang, Perumahan dan Kawasan Permukiman</v>
          </cell>
          <cell r="O683" t="str">
            <v>Kediri</v>
          </cell>
          <cell r="Q683">
            <v>50000000</v>
          </cell>
        </row>
        <row r="684">
          <cell r="B684" t="str">
            <v>Infrastruktur Berkelanjutan</v>
          </cell>
          <cell r="D684" t="str">
            <v>PROGRAM PENINGKATAN PRASARANA, SARANA DAN UTILITAS UMUM (PSU)</v>
          </cell>
          <cell r="K684" t="str">
            <v>Dinas Pekerjaan Umum, Penataan Ruang, Perumahan dan Kawasan Permukiman</v>
          </cell>
          <cell r="O684" t="str">
            <v>Kediri</v>
          </cell>
          <cell r="Q684">
            <v>100000000</v>
          </cell>
        </row>
        <row r="685">
          <cell r="B685" t="str">
            <v>Infrastruktur Berkelanjutan</v>
          </cell>
          <cell r="D685" t="str">
            <v>PROGRAM PENINGKATAN PRASARANA, SARANA DAN UTILITAS UMUM (PSU)</v>
          </cell>
          <cell r="K685" t="str">
            <v>Dinas Pekerjaan Umum, Penataan Ruang, Perumahan dan Kawasan Permukiman</v>
          </cell>
          <cell r="O685" t="str">
            <v>Kediri</v>
          </cell>
          <cell r="Q685">
            <v>100000000</v>
          </cell>
        </row>
        <row r="686">
          <cell r="B686" t="str">
            <v>Infrastruktur Berkelanjutan</v>
          </cell>
          <cell r="D686" t="str">
            <v>PROGRAM PENGELOLAAN DAN PENGEMBANGAN SISTEM DRAINASE</v>
          </cell>
          <cell r="K686" t="str">
            <v>Dinas Pekerjaan Umum, Penataan Ruang, Perumahan dan Kawasan Permukiman</v>
          </cell>
          <cell r="O686" t="str">
            <v>Kediri</v>
          </cell>
          <cell r="Q686">
            <v>50000000</v>
          </cell>
        </row>
        <row r="687">
          <cell r="B687" t="str">
            <v>Infrastruktur Berkelanjutan</v>
          </cell>
          <cell r="D687" t="str">
            <v>PROGRAM PENINGKATAN PRASARANA, SARANA DAN UTILITAS UMUM (PSU)</v>
          </cell>
          <cell r="K687" t="str">
            <v>Dinas Pekerjaan Umum, Penataan Ruang, Perumahan dan Kawasan Permukiman</v>
          </cell>
          <cell r="O687" t="str">
            <v>Kediri</v>
          </cell>
          <cell r="Q687">
            <v>100000000</v>
          </cell>
        </row>
        <row r="688">
          <cell r="B688" t="str">
            <v>Infrastruktur Berkelanjutan</v>
          </cell>
          <cell r="D688" t="str">
            <v>PROGRAM PENINGKATAN PRASARANA, SARANA DAN UTILITAS UMUM (PSU)</v>
          </cell>
          <cell r="K688" t="str">
            <v>Dinas Pekerjaan Umum, Penataan Ruang, Perumahan dan Kawasan Permukiman</v>
          </cell>
          <cell r="O688" t="str">
            <v>Kediri</v>
          </cell>
          <cell r="Q688">
            <v>130000000</v>
          </cell>
        </row>
        <row r="689">
          <cell r="B689" t="str">
            <v>Infrastruktur Berkelanjutan</v>
          </cell>
          <cell r="D689" t="str">
            <v>PROGRAM PENINGKATAN PRASARANA, SARANA DAN UTILITAS UMUM (PSU)</v>
          </cell>
          <cell r="K689" t="str">
            <v>Dinas Pekerjaan Umum, Penataan Ruang, Perumahan dan Kawasan Permukiman</v>
          </cell>
          <cell r="O689" t="str">
            <v>Kediri</v>
          </cell>
          <cell r="Q689">
            <v>200000000</v>
          </cell>
        </row>
        <row r="690">
          <cell r="B690" t="str">
            <v>Infrastruktur Berkelanjutan</v>
          </cell>
          <cell r="D690" t="str">
            <v>PROGRAM PENINGKATAN PRASARANA, SARANA DAN UTILITAS UMUM (PSU)</v>
          </cell>
          <cell r="K690" t="str">
            <v>Dinas Pekerjaan Umum, Penataan Ruang, Perumahan dan Kawasan Permukiman</v>
          </cell>
          <cell r="O690" t="str">
            <v>Kediri</v>
          </cell>
          <cell r="Q690">
            <v>150000000</v>
          </cell>
        </row>
        <row r="691">
          <cell r="B691" t="str">
            <v>Infrastruktur Berkelanjutan</v>
          </cell>
          <cell r="D691" t="str">
            <v>PROGRAM PENINGKATAN PRASARANA, SARANA DAN UTILITAS UMUM (PSU)</v>
          </cell>
          <cell r="K691" t="str">
            <v>Dinas Pekerjaan Umum, Penataan Ruang, Perumahan dan Kawasan Permukiman</v>
          </cell>
          <cell r="O691" t="str">
            <v>Kediri</v>
          </cell>
          <cell r="Q691">
            <v>100000000</v>
          </cell>
        </row>
        <row r="692">
          <cell r="B692" t="str">
            <v>Infrastruktur Berkelanjutan</v>
          </cell>
          <cell r="D692" t="str">
            <v>PROGRAM PENINGKATAN PRASARANA, SARANA DAN UTILITAS UMUM (PSU)</v>
          </cell>
          <cell r="K692" t="str">
            <v>Dinas Pekerjaan Umum, Penataan Ruang, Perumahan dan Kawasan Permukiman</v>
          </cell>
          <cell r="O692" t="str">
            <v>Kediri</v>
          </cell>
          <cell r="Q692">
            <v>100000000</v>
          </cell>
        </row>
        <row r="693">
          <cell r="B693" t="str">
            <v>Infrastruktur Berkelanjutan</v>
          </cell>
          <cell r="D693" t="str">
            <v>PROGRAM PENINGKATAN PRASARANA, SARANA DAN UTILITAS UMUM (PSU)</v>
          </cell>
          <cell r="K693" t="str">
            <v>Dinas Pekerjaan Umum, Penataan Ruang, Perumahan dan Kawasan Permukiman</v>
          </cell>
          <cell r="O693" t="str">
            <v>Kediri</v>
          </cell>
          <cell r="Q693">
            <v>210000000</v>
          </cell>
        </row>
        <row r="694">
          <cell r="B694" t="str">
            <v>Infrastruktur Berkelanjutan</v>
          </cell>
          <cell r="D694" t="str">
            <v>PROGRAM PENINGKATAN PRASARANA, SARANA DAN UTILITAS UMUM (PSU)</v>
          </cell>
          <cell r="K694" t="str">
            <v>Dinas Pekerjaan Umum, Penataan Ruang, Perumahan dan Kawasan Permukiman</v>
          </cell>
          <cell r="O694" t="str">
            <v>Kediri</v>
          </cell>
          <cell r="Q694">
            <v>110000000</v>
          </cell>
        </row>
        <row r="695">
          <cell r="B695" t="str">
            <v>Infrastruktur Berkelanjutan</v>
          </cell>
          <cell r="D695" t="str">
            <v>Program Penyelenggaraan Lalu Lintas dan Angkutan Jalan (LLAJ)</v>
          </cell>
          <cell r="K695" t="str">
            <v>Dinas Perhubungan</v>
          </cell>
          <cell r="O695" t="str">
            <v>Kediri</v>
          </cell>
          <cell r="Q695">
            <v>50000000</v>
          </cell>
        </row>
        <row r="696">
          <cell r="B696" t="str">
            <v>Infrastruktur Berkelanjutan</v>
          </cell>
          <cell r="D696" t="str">
            <v>Program Penyelenggaraan Lalu Lintas dan Angkutan Jalan (LLAJ)</v>
          </cell>
          <cell r="K696" t="str">
            <v>Dinas Perhubungan</v>
          </cell>
          <cell r="O696" t="str">
            <v>Kediri</v>
          </cell>
          <cell r="Q696">
            <v>100000000</v>
          </cell>
        </row>
        <row r="697">
          <cell r="B697" t="str">
            <v>Infrastruktur Berkelanjutan</v>
          </cell>
          <cell r="D697" t="str">
            <v>Program Penyelenggaraan Lalu Lintas dan Angkutan Jalan (LLAJ)</v>
          </cell>
          <cell r="K697" t="str">
            <v>Dinas Perhubungan</v>
          </cell>
          <cell r="O697" t="str">
            <v>Kediri</v>
          </cell>
          <cell r="Q697">
            <v>100000000</v>
          </cell>
        </row>
        <row r="698">
          <cell r="B698" t="str">
            <v>Infrastruktur Berkelanjutan</v>
          </cell>
          <cell r="D698" t="str">
            <v>PROGRAM PENINGKATAN PRASARANA, SARANA DAN UTILITAS UMUM (PSU)</v>
          </cell>
          <cell r="K698" t="str">
            <v>Dinas Pekerjaan Umum, Penataan Ruang, Perumahan dan Kawasan Permukiman</v>
          </cell>
          <cell r="O698" t="str">
            <v>Kediri</v>
          </cell>
          <cell r="Q698">
            <v>150000000</v>
          </cell>
        </row>
        <row r="699">
          <cell r="B699" t="str">
            <v>Infrastruktur Berkelanjutan</v>
          </cell>
          <cell r="D699" t="str">
            <v>PROGRAM PENINGKATAN PRASARANA, SARANA DAN UTILITAS UMUM (PSU)</v>
          </cell>
          <cell r="K699" t="str">
            <v>Dinas Pekerjaan Umum, Penataan Ruang, Perumahan dan Kawasan Permukiman</v>
          </cell>
          <cell r="O699" t="str">
            <v>Kediri</v>
          </cell>
          <cell r="Q699">
            <v>150000000</v>
          </cell>
        </row>
        <row r="700">
          <cell r="B700" t="str">
            <v>Infrastruktur Berkelanjutan</v>
          </cell>
          <cell r="D700" t="str">
            <v>PROGRAM PENINGKATAN PRASARANA, SARANA DAN UTILITAS UMUM (PSU)</v>
          </cell>
          <cell r="K700" t="str">
            <v>Dinas Pekerjaan Umum, Penataan Ruang, Perumahan dan Kawasan Permukiman</v>
          </cell>
          <cell r="O700" t="str">
            <v>Kediri</v>
          </cell>
          <cell r="Q700">
            <v>200000000</v>
          </cell>
        </row>
        <row r="701">
          <cell r="B701" t="str">
            <v>Infrastruktur Berkelanjutan</v>
          </cell>
          <cell r="D701" t="str">
            <v>PROGRAM PENGELOLAAN SUMBER DAYA AIR (SDA)</v>
          </cell>
          <cell r="K701" t="str">
            <v>Dinas Pekerjaan Umum, Penataan Ruang, Perumahan dan Kawasan Permukiman</v>
          </cell>
          <cell r="O701" t="str">
            <v>Kediri</v>
          </cell>
          <cell r="Q701">
            <v>150000000</v>
          </cell>
        </row>
        <row r="702">
          <cell r="B702" t="str">
            <v>Infrastruktur Berkelanjutan</v>
          </cell>
          <cell r="D702" t="str">
            <v>PROGRAM PENINGKATAN PRASARANA, SARANA DAN UTILITAS UMUM (PSU)</v>
          </cell>
          <cell r="K702" t="str">
            <v>Dinas Pekerjaan Umum, Penataan Ruang, Perumahan dan Kawasan Permukiman</v>
          </cell>
          <cell r="O702" t="str">
            <v>Kediri</v>
          </cell>
          <cell r="Q702">
            <v>100000000</v>
          </cell>
        </row>
        <row r="703">
          <cell r="B703" t="str">
            <v>Transformasi dan Kemandirian Ekonomi</v>
          </cell>
          <cell r="D703" t="str">
            <v>PROGRAM PENINGKATAN SARANA DISTRIBUSI PERDAGANGAN</v>
          </cell>
          <cell r="K703" t="str">
            <v>Dinas Perdagangan</v>
          </cell>
          <cell r="O703" t="str">
            <v>Kediri</v>
          </cell>
          <cell r="Q703">
            <v>38000000</v>
          </cell>
        </row>
        <row r="704">
          <cell r="B704" t="str">
            <v>Transformasi Tata Kelola</v>
          </cell>
          <cell r="D704" t="str">
            <v>PROGRAM PEMERINTAHAN DAN KESEJAHTERAAN RAKYAT</v>
          </cell>
          <cell r="K704" t="str">
            <v>Sekretariat Daerah</v>
          </cell>
          <cell r="O704" t="str">
            <v>Kediri</v>
          </cell>
          <cell r="Q704">
            <v>25000000</v>
          </cell>
        </row>
        <row r="705">
          <cell r="B705" t="str">
            <v>Infrastruktur Berkelanjutan</v>
          </cell>
          <cell r="D705" t="str">
            <v>PROGRAM PENGELOLAAN PERSAMPAHAN</v>
          </cell>
          <cell r="K705" t="str">
            <v>Dinas Lingkungan Hidup</v>
          </cell>
          <cell r="O705" t="str">
            <v>Kediri</v>
          </cell>
          <cell r="Q705">
            <v>50000000</v>
          </cell>
        </row>
        <row r="706">
          <cell r="B706" t="str">
            <v>Agrominapolitan</v>
          </cell>
          <cell r="D706" t="str">
            <v>PROGRAM PENYEDIAAN DAN PENGEMBANGAN SARANA PERTANIAN</v>
          </cell>
          <cell r="K706" t="str">
            <v>Dinas Pertanian</v>
          </cell>
          <cell r="O706" t="str">
            <v>Kediri</v>
          </cell>
          <cell r="Q706">
            <v>100000000</v>
          </cell>
        </row>
        <row r="707">
          <cell r="B707" t="str">
            <v>Agrominapolitan</v>
          </cell>
          <cell r="D707" t="str">
            <v>PROGRAM PENYEDIAAN DAN PENGEMBANGAN SARANA PERTANIAN</v>
          </cell>
          <cell r="K707" t="str">
            <v>Dinas Pertanian</v>
          </cell>
          <cell r="O707" t="str">
            <v>Kediri</v>
          </cell>
          <cell r="Q707">
            <v>100000000</v>
          </cell>
        </row>
        <row r="708">
          <cell r="B708" t="str">
            <v>Agrominapolitan</v>
          </cell>
          <cell r="D708" t="str">
            <v>PROGRAM PENYEDIAAN DAN PENGEMBANGAN SARANA PERTANIAN</v>
          </cell>
          <cell r="K708" t="str">
            <v>Dinas Pertanian</v>
          </cell>
          <cell r="O708" t="str">
            <v>Kediri</v>
          </cell>
          <cell r="Q708">
            <v>30000000</v>
          </cell>
        </row>
        <row r="709">
          <cell r="B709" t="str">
            <v>Infrastruktur Berkelanjutan</v>
          </cell>
          <cell r="D709" t="str">
            <v>PROGRAM PENINGKATAN PRASARANA, SARANA DAN UTILITAS UMUM (PSU)</v>
          </cell>
          <cell r="K709" t="str">
            <v>Dinas Pekerjaan Umum, Penataan Ruang, Perumahan dan Kawasan Permukiman</v>
          </cell>
          <cell r="O709" t="str">
            <v>Kediri</v>
          </cell>
          <cell r="Q709">
            <v>100000000</v>
          </cell>
        </row>
        <row r="710">
          <cell r="B710" t="str">
            <v>Infrastruktur Berkelanjutan</v>
          </cell>
          <cell r="D710" t="str">
            <v>PROGRAM PENYELENGGARAAN JALAN</v>
          </cell>
          <cell r="K710" t="str">
            <v>Dinas Pekerjaan Umum, Penataan Ruang, Perumahan dan Kawasan Permukiman</v>
          </cell>
          <cell r="O710" t="str">
            <v>Kediri</v>
          </cell>
          <cell r="Q710">
            <v>230000000</v>
          </cell>
        </row>
        <row r="711">
          <cell r="B711" t="str">
            <v>Infrastruktur Berkelanjutan</v>
          </cell>
          <cell r="D711" t="str">
            <v>PROGRAM PENGELOLAAN SUMBER DAYA AIR (SDA)</v>
          </cell>
          <cell r="K711" t="str">
            <v>Dinas Pekerjaan Umum, Penataan Ruang, Perumahan dan Kawasan Permukiman</v>
          </cell>
          <cell r="O711" t="str">
            <v>Kediri</v>
          </cell>
          <cell r="Q711">
            <v>137000000</v>
          </cell>
        </row>
        <row r="712">
          <cell r="B712" t="str">
            <v>Infrastruktur Berkelanjutan</v>
          </cell>
          <cell r="D712" t="str">
            <v>PROGRAM PENINGKATAN PRASARANA, SARANA DAN UTILITAS UMUM (PSU)</v>
          </cell>
          <cell r="K712" t="str">
            <v>Dinas Pekerjaan Umum, Penataan Ruang, Perumahan dan Kawasan Permukiman</v>
          </cell>
          <cell r="O712" t="str">
            <v>Kediri</v>
          </cell>
          <cell r="Q712">
            <v>190000000</v>
          </cell>
        </row>
        <row r="713">
          <cell r="B713" t="str">
            <v>Agrominapolitan</v>
          </cell>
          <cell r="D713" t="str">
            <v>PROGRAM PENYEDIAAN DAN PENGEMBANGAN SARANA PERTANIAN</v>
          </cell>
          <cell r="K713" t="str">
            <v>Dinas Pertanian</v>
          </cell>
          <cell r="O713" t="str">
            <v>Kediri</v>
          </cell>
          <cell r="Q713">
            <v>100000000</v>
          </cell>
        </row>
        <row r="714">
          <cell r="B714" t="str">
            <v>Infrastruktur Berkelanjutan</v>
          </cell>
          <cell r="D714" t="str">
            <v>PROGRAM PENYELENGGARAAN JALAN</v>
          </cell>
          <cell r="K714" t="str">
            <v>Dinas Pekerjaan Umum, Penataan Ruang, Perumahan dan Kawasan Permukiman</v>
          </cell>
          <cell r="O714" t="str">
            <v>Kediri</v>
          </cell>
          <cell r="Q714">
            <v>888837516</v>
          </cell>
        </row>
        <row r="715">
          <cell r="B715" t="str">
            <v>Infrastruktur Berkelanjutan</v>
          </cell>
          <cell r="D715" t="str">
            <v>PROGRAM PENGELOLAAN DAN PENGEMBANGAN SISTEM DRAINASE</v>
          </cell>
          <cell r="K715" t="str">
            <v>Dinas Pekerjaan Umum, Penataan Ruang, Perumahan dan Kawasan Permukiman</v>
          </cell>
          <cell r="O715" t="str">
            <v>Kediri</v>
          </cell>
          <cell r="Q715">
            <v>100000000</v>
          </cell>
        </row>
        <row r="716">
          <cell r="B716" t="str">
            <v>Infrastruktur Berkelanjutan</v>
          </cell>
          <cell r="D716" t="str">
            <v>PROGRAM PENINGKATAN PRASARANA, SARANA DAN UTILITAS UMUM (PSU)</v>
          </cell>
          <cell r="K716" t="str">
            <v>Dinas Pekerjaan Umum, Penataan Ruang, Perumahan dan Kawasan Permukiman</v>
          </cell>
          <cell r="O716" t="str">
            <v>Kediri</v>
          </cell>
          <cell r="Q716">
            <v>100000000</v>
          </cell>
        </row>
        <row r="717">
          <cell r="B717" t="str">
            <v>KECAMATAN LABUAPI</v>
          </cell>
        </row>
        <row r="718">
          <cell r="B718" t="str">
            <v>Transformasi Tata Kelola</v>
          </cell>
          <cell r="D718" t="str">
            <v>PROGRAM PEMERINTAHAN DAN KESEJAHTERAAN RAKYAT</v>
          </cell>
          <cell r="K718" t="str">
            <v>Sekretariat Daerah</v>
          </cell>
          <cell r="O718" t="str">
            <v>Labuapi</v>
          </cell>
          <cell r="Q718">
            <v>25000000</v>
          </cell>
        </row>
        <row r="719">
          <cell r="B719" t="str">
            <v>Transformasi Tata Kelola</v>
          </cell>
          <cell r="D719" t="str">
            <v>PROGRAM PEMERINTAHAN DAN KESEJAHTERAAN RAKYAT</v>
          </cell>
          <cell r="K719" t="str">
            <v>Sekretariat Daerah</v>
          </cell>
          <cell r="O719" t="str">
            <v>Labuapi</v>
          </cell>
          <cell r="Q719">
            <v>25000000</v>
          </cell>
        </row>
        <row r="720">
          <cell r="B720" t="str">
            <v>Transformasi Tata Kelola</v>
          </cell>
          <cell r="D720" t="str">
            <v>PROGRAM PEMERINTAHAN DAN KESEJAHTERAAN RAKYAT</v>
          </cell>
          <cell r="K720" t="str">
            <v>Sekretariat Daerah</v>
          </cell>
          <cell r="O720" t="str">
            <v>Labuapi</v>
          </cell>
          <cell r="Q720">
            <v>25000000</v>
          </cell>
        </row>
        <row r="721">
          <cell r="B721" t="str">
            <v>Transformasi Tata Kelola</v>
          </cell>
          <cell r="D721" t="str">
            <v>PROGRAM PEMERINTAHAN DAN KESEJAHTERAAN RAKYAT</v>
          </cell>
          <cell r="K721" t="str">
            <v>Sekretariat Daerah</v>
          </cell>
          <cell r="O721" t="str">
            <v>Labuapi</v>
          </cell>
          <cell r="Q721">
            <v>25000000</v>
          </cell>
        </row>
        <row r="722">
          <cell r="B722" t="str">
            <v>Transformasi Tata Kelola</v>
          </cell>
          <cell r="D722" t="str">
            <v>PROGRAM PEMERINTAHAN DAN KESEJAHTERAAN RAKYAT</v>
          </cell>
          <cell r="K722" t="str">
            <v>Sekretariat Daerah</v>
          </cell>
          <cell r="O722" t="str">
            <v>Labuapi</v>
          </cell>
          <cell r="Q722">
            <v>25000000</v>
          </cell>
        </row>
        <row r="723">
          <cell r="B723" t="str">
            <v>Transformasi Tata Kelola</v>
          </cell>
          <cell r="D723" t="str">
            <v>PROGRAM PEMERINTAHAN DAN KESEJAHTERAAN RAKYAT</v>
          </cell>
          <cell r="K723" t="str">
            <v>Sekretariat Daerah</v>
          </cell>
          <cell r="O723" t="str">
            <v>Labuapi</v>
          </cell>
          <cell r="Q723">
            <v>25000000</v>
          </cell>
        </row>
        <row r="724">
          <cell r="B724" t="str">
            <v>Transformasi Tata Kelola</v>
          </cell>
          <cell r="D724" t="str">
            <v>PROGRAM PEMERINTAHAN DAN KESEJAHTERAAN RAKYAT</v>
          </cell>
          <cell r="K724" t="str">
            <v>Sekretariat Daerah</v>
          </cell>
          <cell r="O724" t="str">
            <v>Labuapi</v>
          </cell>
          <cell r="Q724">
            <v>25000000</v>
          </cell>
        </row>
        <row r="725">
          <cell r="B725" t="str">
            <v>Transformasi Tata Kelola</v>
          </cell>
          <cell r="D725" t="str">
            <v>PROGRAM PEMERINTAHAN DAN KESEJAHTERAAN RAKYAT</v>
          </cell>
          <cell r="K725" t="str">
            <v>Sekretariat Daerah</v>
          </cell>
          <cell r="O725" t="str">
            <v>Labuapi</v>
          </cell>
          <cell r="Q725">
            <v>25000000</v>
          </cell>
        </row>
        <row r="726">
          <cell r="B726" t="str">
            <v>Transformasi Tata Kelola</v>
          </cell>
          <cell r="D726" t="str">
            <v>PROGRAM PEMERINTAHAN DAN KESEJAHTERAAN RAKYAT</v>
          </cell>
          <cell r="K726" t="str">
            <v>Sekretariat Daerah</v>
          </cell>
          <cell r="O726" t="str">
            <v>Labuapi</v>
          </cell>
          <cell r="Q726">
            <v>25000000</v>
          </cell>
        </row>
        <row r="727">
          <cell r="B727" t="str">
            <v>Transformasi Tata Kelola</v>
          </cell>
          <cell r="D727" t="str">
            <v>PROGRAM PEMERINTAHAN DAN KESEJAHTERAAN RAKYAT</v>
          </cell>
          <cell r="K727" t="str">
            <v>Sekretariat Daerah</v>
          </cell>
          <cell r="O727" t="str">
            <v>Labuapi</v>
          </cell>
          <cell r="Q727">
            <v>25000000</v>
          </cell>
        </row>
        <row r="728">
          <cell r="B728" t="str">
            <v>Transformasi Tata Kelola</v>
          </cell>
          <cell r="D728" t="str">
            <v>PROGRAM PEMERINTAHAN DAN KESEJAHTERAAN RAKYAT</v>
          </cell>
          <cell r="K728" t="str">
            <v>Sekretariat Daerah</v>
          </cell>
          <cell r="O728" t="str">
            <v>Labuapi</v>
          </cell>
          <cell r="Q728">
            <v>25000000</v>
          </cell>
        </row>
        <row r="729">
          <cell r="B729" t="str">
            <v>Transformasi Tata Kelola</v>
          </cell>
          <cell r="D729" t="str">
            <v>PROGRAM PEMERINTAHAN DAN KESEJAHTERAAN RAKYAT</v>
          </cell>
          <cell r="K729" t="str">
            <v>Sekretariat Daerah</v>
          </cell>
          <cell r="O729" t="str">
            <v>Labuapi</v>
          </cell>
          <cell r="Q729">
            <v>25000000</v>
          </cell>
        </row>
        <row r="730">
          <cell r="B730" t="str">
            <v>Transformasi Tata Kelola</v>
          </cell>
          <cell r="D730" t="str">
            <v>PROGRAM PEMERINTAHAN DAN KESEJAHTERAAN RAKYAT</v>
          </cell>
          <cell r="K730" t="str">
            <v>Sekretariat Daerah</v>
          </cell>
          <cell r="O730" t="str">
            <v>Labuapi</v>
          </cell>
          <cell r="Q730">
            <v>25000000</v>
          </cell>
        </row>
        <row r="731">
          <cell r="B731" t="str">
            <v>Transformasi Tata Kelola</v>
          </cell>
          <cell r="D731" t="str">
            <v>PROGRAM PEMERINTAHAN DAN KESEJAHTERAAN RAKYAT</v>
          </cell>
          <cell r="K731" t="str">
            <v>Sekretariat Daerah</v>
          </cell>
          <cell r="O731" t="str">
            <v>Labuapi</v>
          </cell>
          <cell r="Q731">
            <v>25000000</v>
          </cell>
        </row>
        <row r="732">
          <cell r="B732" t="str">
            <v>Agrominapolitan</v>
          </cell>
          <cell r="D732" t="str">
            <v>PROGRAM PENYEDIAAN DAN PENGEMBANGAN SARANA PERTANIAN</v>
          </cell>
          <cell r="K732" t="str">
            <v>Dinas Pertanian</v>
          </cell>
          <cell r="O732" t="str">
            <v>Labuapi</v>
          </cell>
          <cell r="Q732">
            <v>200000000</v>
          </cell>
        </row>
        <row r="733">
          <cell r="B733" t="str">
            <v>Transformasi dan Kemandirian Ekonomi</v>
          </cell>
          <cell r="D733" t="str">
            <v>PROGRAM PENGEMBANGAN UMKM</v>
          </cell>
          <cell r="K733" t="str">
            <v>Dinas Perindustrian, Koperasi, Usaha Kecil dan Menengah, dan Tenaga Kerja</v>
          </cell>
          <cell r="O733" t="str">
            <v>Labuapi</v>
          </cell>
          <cell r="Q733">
            <v>25000000</v>
          </cell>
        </row>
        <row r="734">
          <cell r="B734" t="str">
            <v>Infrastruktur Berkelanjutan</v>
          </cell>
          <cell r="D734" t="str">
            <v>Program Penyelenggaraan Lalu Lintas dan Angkutan Jalan (LLAJ)</v>
          </cell>
          <cell r="K734" t="str">
            <v>Dinas Perhubungan</v>
          </cell>
          <cell r="O734" t="str">
            <v>Labuapi</v>
          </cell>
          <cell r="Q734">
            <v>16750000</v>
          </cell>
        </row>
        <row r="735">
          <cell r="B735" t="str">
            <v>Infrastruktur Berkelanjutan</v>
          </cell>
          <cell r="D735" t="str">
            <v>Program Penyelenggaraan Lalu Lintas dan Angkutan Jalan (LLAJ)</v>
          </cell>
          <cell r="K735" t="str">
            <v>Dinas Perhubungan</v>
          </cell>
          <cell r="O735" t="str">
            <v>Labuapi</v>
          </cell>
          <cell r="Q735">
            <v>16750000</v>
          </cell>
        </row>
        <row r="736">
          <cell r="B736" t="str">
            <v>Infrastruktur Berkelanjutan</v>
          </cell>
          <cell r="D736" t="str">
            <v>Program Penyelenggaraan Lalu Lintas dan Angkutan Jalan (LLAJ)</v>
          </cell>
          <cell r="K736" t="str">
            <v>Dinas Perhubungan</v>
          </cell>
          <cell r="O736" t="str">
            <v>Labuapi</v>
          </cell>
          <cell r="Q736">
            <v>16750000</v>
          </cell>
        </row>
        <row r="737">
          <cell r="B737" t="str">
            <v>Infrastruktur Berkelanjutan</v>
          </cell>
          <cell r="D737" t="str">
            <v>Program Penyelenggaraan Lalu Lintas dan Angkutan Jalan (LLAJ)</v>
          </cell>
          <cell r="K737" t="str">
            <v>Dinas Perhubungan</v>
          </cell>
          <cell r="O737" t="str">
            <v>Labuapi</v>
          </cell>
          <cell r="Q737">
            <v>16750000</v>
          </cell>
        </row>
        <row r="738">
          <cell r="B738" t="str">
            <v>Infrastruktur Berkelanjutan</v>
          </cell>
          <cell r="D738" t="str">
            <v>Program Penyelenggaraan Lalu Lintas dan Angkutan Jalan (LLAJ)</v>
          </cell>
          <cell r="K738" t="str">
            <v>Dinas Perhubungan</v>
          </cell>
          <cell r="O738" t="str">
            <v>Labuapi</v>
          </cell>
          <cell r="Q738">
            <v>16750000</v>
          </cell>
        </row>
        <row r="739">
          <cell r="B739" t="str">
            <v>Infrastruktur Berkelanjutan</v>
          </cell>
          <cell r="D739" t="str">
            <v>Program Penyelenggaraan Lalu Lintas dan Angkutan Jalan (LLAJ)</v>
          </cell>
          <cell r="K739" t="str">
            <v>Dinas Perhubungan</v>
          </cell>
          <cell r="O739" t="str">
            <v>Labuapi</v>
          </cell>
          <cell r="Q739">
            <v>16750000</v>
          </cell>
        </row>
        <row r="740">
          <cell r="B740" t="str">
            <v>Infrastruktur Berkelanjutan</v>
          </cell>
          <cell r="D740" t="str">
            <v>Program Penyelenggaraan Lalu Lintas dan Angkutan Jalan (LLAJ)</v>
          </cell>
          <cell r="K740" t="str">
            <v>Dinas Perhubungan</v>
          </cell>
          <cell r="O740" t="str">
            <v>Labuapi</v>
          </cell>
          <cell r="Q740">
            <v>16750000</v>
          </cell>
        </row>
        <row r="741">
          <cell r="B741" t="str">
            <v>Infrastruktur Berkelanjutan</v>
          </cell>
          <cell r="D741" t="str">
            <v>PROGRAM PENINGKATAN PRASARANA, SARANA DAN UTILITAS UMUM (PSU)</v>
          </cell>
          <cell r="K741" t="str">
            <v>Dinas Pekerjaan Umum, Penataan Ruang, Perumahan dan Kawasan Permukiman</v>
          </cell>
          <cell r="O741" t="str">
            <v>Labuapi</v>
          </cell>
          <cell r="Q741">
            <v>17760000</v>
          </cell>
        </row>
        <row r="742">
          <cell r="B742" t="str">
            <v>Infrastruktur Berkelanjutan</v>
          </cell>
          <cell r="D742" t="str">
            <v>PROGRAM PENINGKATAN PRASARANA, SARANA DAN UTILITAS UMUM (PSU)</v>
          </cell>
          <cell r="K742" t="str">
            <v>Dinas Pekerjaan Umum, Penataan Ruang, Perumahan dan Kawasan Permukiman</v>
          </cell>
          <cell r="O742" t="str">
            <v>Labuapi</v>
          </cell>
          <cell r="Q742">
            <v>35520000</v>
          </cell>
        </row>
        <row r="743">
          <cell r="B743" t="str">
            <v>Infrastruktur Berkelanjutan</v>
          </cell>
          <cell r="D743" t="str">
            <v>PROGRAM PENINGKATAN PRASARANA, SARANA DAN UTILITAS UMUM (PSU)</v>
          </cell>
          <cell r="K743" t="str">
            <v>Dinas Pekerjaan Umum, Penataan Ruang, Perumahan dan Kawasan Permukiman</v>
          </cell>
          <cell r="O743" t="str">
            <v>Labuapi</v>
          </cell>
          <cell r="Q743">
            <v>59200000</v>
          </cell>
        </row>
        <row r="744">
          <cell r="B744" t="str">
            <v>Infrastruktur Berkelanjutan</v>
          </cell>
          <cell r="D744" t="str">
            <v>PROGRAM PENINGKATAN PRASARANA, SARANA DAN UTILITAS UMUM (PSU)</v>
          </cell>
          <cell r="K744" t="str">
            <v>Dinas Pekerjaan Umum, Penataan Ruang, Perumahan dan Kawasan Permukiman</v>
          </cell>
          <cell r="O744" t="str">
            <v>Labuapi</v>
          </cell>
          <cell r="Q744">
            <v>59200000</v>
          </cell>
        </row>
        <row r="745">
          <cell r="B745" t="str">
            <v>Infrastruktur Berkelanjutan</v>
          </cell>
          <cell r="D745" t="str">
            <v>PROGRAM PENINGKATAN PRASARANA, SARANA DAN UTILITAS UMUM (PSU)</v>
          </cell>
          <cell r="K745" t="str">
            <v>Dinas Pekerjaan Umum, Penataan Ruang, Perumahan dan Kawasan Permukiman</v>
          </cell>
          <cell r="O745" t="str">
            <v>Labuapi</v>
          </cell>
          <cell r="Q745">
            <v>177600000</v>
          </cell>
        </row>
        <row r="746">
          <cell r="B746" t="str">
            <v>Infrastruktur Berkelanjutan</v>
          </cell>
          <cell r="D746" t="str">
            <v>PROGRAM PENINGKATAN PRASARANA, SARANA DAN UTILITAS UMUM (PSU)</v>
          </cell>
          <cell r="K746" t="str">
            <v>Dinas Pekerjaan Umum, Penataan Ruang, Perumahan dan Kawasan Permukiman</v>
          </cell>
          <cell r="O746" t="str">
            <v>Labuapi</v>
          </cell>
          <cell r="Q746">
            <v>59200000</v>
          </cell>
        </row>
        <row r="747">
          <cell r="B747" t="str">
            <v>Transformasi dan Kemandirian Ekonomi</v>
          </cell>
          <cell r="D747" t="str">
            <v>PROGRAM PENINGKATAN SARANA DISTRIBUSI PERDAGANGAN</v>
          </cell>
          <cell r="K747" t="str">
            <v>Dinas Perdagangan</v>
          </cell>
          <cell r="O747" t="str">
            <v>Labuapi</v>
          </cell>
          <cell r="Q747">
            <v>8000000</v>
          </cell>
        </row>
        <row r="748">
          <cell r="B748" t="str">
            <v>Transformasi Tata Kelola</v>
          </cell>
          <cell r="D748" t="str">
            <v>PROGRAM PEMBINAAN DAN PENGEMBANGAN KETAHANAN EKONOMI, SOSIAL, DAN BUDAYA</v>
          </cell>
          <cell r="K748" t="str">
            <v>Badan Kesatuan Bangsa dan Politik</v>
          </cell>
          <cell r="O748" t="str">
            <v>Labuapi</v>
          </cell>
          <cell r="Q748">
            <v>4625000</v>
          </cell>
        </row>
        <row r="749">
          <cell r="B749" t="str">
            <v>Infrastruktur Berkelanjutan</v>
          </cell>
          <cell r="D749" t="str">
            <v>PROGRAM PENANGGULANGAN BENCANA</v>
          </cell>
          <cell r="K749" t="str">
            <v>Badan Penanggulangan Bencana Daerah</v>
          </cell>
          <cell r="O749" t="str">
            <v>Labuapi</v>
          </cell>
          <cell r="Q749">
            <v>25000000</v>
          </cell>
        </row>
        <row r="750">
          <cell r="B750" t="str">
            <v>Ketahanan Sosial</v>
          </cell>
          <cell r="D750" t="str">
            <v>PROGRAM REHABILITASI SOSIAL</v>
          </cell>
          <cell r="K750" t="str">
            <v>Dinas Sosial, Pemberdayaan Perempuan, dan Perlindungan Anak</v>
          </cell>
          <cell r="O750" t="str">
            <v>Labuapi</v>
          </cell>
          <cell r="Q750">
            <v>46161000</v>
          </cell>
        </row>
        <row r="751">
          <cell r="B751" t="str">
            <v>Agrominapolitan</v>
          </cell>
          <cell r="D751" t="str">
            <v>PROGRAM PENYEDIAAN DAN PENGEMBANGAN SARANA PERTANIAN</v>
          </cell>
          <cell r="K751" t="str">
            <v>Dinas Pertanian</v>
          </cell>
          <cell r="O751" t="str">
            <v>Labuapi</v>
          </cell>
          <cell r="Q751">
            <v>168000000</v>
          </cell>
        </row>
        <row r="752">
          <cell r="B752" t="str">
            <v>Agrominapolitan</v>
          </cell>
          <cell r="D752" t="str">
            <v>PROGRAM PENYULUHAN PERTANIAN</v>
          </cell>
          <cell r="K752" t="str">
            <v>Dinas Pertanian</v>
          </cell>
          <cell r="O752" t="str">
            <v>Labuapi</v>
          </cell>
          <cell r="Q752">
            <v>30000000</v>
          </cell>
        </row>
        <row r="753">
          <cell r="B753" t="str">
            <v>Transformasi dan Kemandirian Ekonomi</v>
          </cell>
          <cell r="D753" t="str">
            <v>PROGRAM PENEMPATAN TENAGA KERJA</v>
          </cell>
          <cell r="K753" t="str">
            <v>Dinas Perindustrian, Koperasi, Usaha Kecil dan Menengah, dan Tenaga Kerja</v>
          </cell>
          <cell r="O753" t="str">
            <v>Labuapi</v>
          </cell>
          <cell r="Q753">
            <v>16000000</v>
          </cell>
        </row>
        <row r="754">
          <cell r="B754" t="str">
            <v>Transformasi dan Kemandirian Ekonomi</v>
          </cell>
          <cell r="D754" t="str">
            <v>PROGRAM PENEMPATAN TENAGA KERJA</v>
          </cell>
          <cell r="K754" t="str">
            <v>Dinas Perindustrian, Koperasi, Usaha Kecil dan Menengah, dan Tenaga Kerja</v>
          </cell>
          <cell r="O754" t="str">
            <v>Labuapi</v>
          </cell>
          <cell r="Q754">
            <v>23000000</v>
          </cell>
        </row>
        <row r="755">
          <cell r="B755" t="str">
            <v>Transformasi dan Kemandirian Ekonomi</v>
          </cell>
          <cell r="D755" t="str">
            <v>PROGRAM PENGEMBANGAN UMKM</v>
          </cell>
          <cell r="K755" t="str">
            <v>Dinas Perindustrian, Koperasi, Usaha Kecil dan Menengah, dan Tenaga Kerja</v>
          </cell>
          <cell r="O755" t="str">
            <v>Labuapi</v>
          </cell>
          <cell r="Q755">
            <v>5000000</v>
          </cell>
        </row>
        <row r="756">
          <cell r="B756" t="str">
            <v>Infrastruktur Berkelanjutan</v>
          </cell>
          <cell r="D756" t="str">
            <v>Program Penyelenggaraan Lalu Lintas dan Angkutan Jalan (LLAJ)</v>
          </cell>
          <cell r="K756" t="str">
            <v>Dinas Perhubungan</v>
          </cell>
          <cell r="O756" t="str">
            <v>Labuapi</v>
          </cell>
          <cell r="Q756">
            <v>16750000</v>
          </cell>
        </row>
        <row r="757">
          <cell r="B757" t="str">
            <v>Infrastruktur Berkelanjutan</v>
          </cell>
          <cell r="D757" t="str">
            <v>Program Penyelenggaraan Lalu Lintas dan Angkutan Jalan (LLAJ)</v>
          </cell>
          <cell r="K757" t="str">
            <v>Dinas Perhubungan</v>
          </cell>
          <cell r="O757" t="str">
            <v>Labuapi</v>
          </cell>
          <cell r="Q757">
            <v>16750000</v>
          </cell>
        </row>
        <row r="758">
          <cell r="B758" t="str">
            <v>Infrastruktur Berkelanjutan</v>
          </cell>
          <cell r="D758" t="str">
            <v>Program Penyelenggaraan Lalu Lintas dan Angkutan Jalan (LLAJ)</v>
          </cell>
          <cell r="K758" t="str">
            <v>Dinas Perhubungan</v>
          </cell>
          <cell r="O758" t="str">
            <v>Labuapi</v>
          </cell>
          <cell r="Q758">
            <v>16750000</v>
          </cell>
        </row>
        <row r="759">
          <cell r="B759" t="str">
            <v>Infrastruktur Berkelanjutan</v>
          </cell>
          <cell r="D759" t="str">
            <v>PROGRAM PENINGKATAN PRASARANA, SARANA DAN UTILITAS UMUM (PSU)</v>
          </cell>
          <cell r="K759" t="str">
            <v>Dinas Pekerjaan Umum, Penataan Ruang, Perumahan dan Kawasan Permukiman</v>
          </cell>
          <cell r="O759" t="str">
            <v>Labuapi</v>
          </cell>
          <cell r="Q759">
            <v>80200000</v>
          </cell>
        </row>
        <row r="760">
          <cell r="B760" t="str">
            <v>Infrastruktur Berkelanjutan</v>
          </cell>
          <cell r="D760" t="str">
            <v>PROGRAM PENINGKATAN PRASARANA, SARANA DAN UTILITAS UMUM (PSU)</v>
          </cell>
          <cell r="K760" t="str">
            <v>Dinas Pekerjaan Umum, Penataan Ruang, Perumahan dan Kawasan Permukiman</v>
          </cell>
          <cell r="O760" t="str">
            <v>Labuapi</v>
          </cell>
          <cell r="Q760">
            <v>80200000</v>
          </cell>
        </row>
        <row r="761">
          <cell r="B761" t="str">
            <v>Infrastruktur Berkelanjutan</v>
          </cell>
          <cell r="D761" t="str">
            <v>PROGRAM PENINGKATAN PRASARANA, SARANA DAN UTILITAS UMUM (PSU)</v>
          </cell>
          <cell r="K761" t="str">
            <v>Dinas Pekerjaan Umum, Penataan Ruang, Perumahan dan Kawasan Permukiman</v>
          </cell>
          <cell r="O761" t="str">
            <v>Labuapi</v>
          </cell>
          <cell r="Q761">
            <v>80200000</v>
          </cell>
        </row>
        <row r="762">
          <cell r="B762" t="str">
            <v>Infrastruktur Berkelanjutan</v>
          </cell>
          <cell r="D762" t="str">
            <v>PROGRAM PENINGKATAN PRASARANA, SARANA DAN UTILITAS UMUM (PSU)</v>
          </cell>
          <cell r="K762" t="str">
            <v>Dinas Pekerjaan Umum, Penataan Ruang, Perumahan dan Kawasan Permukiman</v>
          </cell>
          <cell r="O762" t="str">
            <v>Labuapi</v>
          </cell>
          <cell r="Q762">
            <v>80200000</v>
          </cell>
        </row>
        <row r="763">
          <cell r="B763" t="str">
            <v>Infrastruktur Berkelanjutan</v>
          </cell>
          <cell r="D763" t="str">
            <v>PROGRAM PENINGKATAN PRASARANA, SARANA DAN UTILITAS UMUM (PSU)</v>
          </cell>
          <cell r="K763" t="str">
            <v>Dinas Pekerjaan Umum, Penataan Ruang, Perumahan dan Kawasan Permukiman</v>
          </cell>
          <cell r="O763" t="str">
            <v>Labuapi</v>
          </cell>
          <cell r="Q763">
            <v>80200000</v>
          </cell>
        </row>
        <row r="764">
          <cell r="B764" t="str">
            <v>Infrastruktur Berkelanjutan</v>
          </cell>
          <cell r="D764" t="str">
            <v>PROGRAM PENINGKATAN PRASARANA, SARANA DAN UTILITAS UMUM (PSU)</v>
          </cell>
          <cell r="K764" t="str">
            <v>Dinas Pekerjaan Umum, Penataan Ruang, Perumahan dan Kawasan Permukiman</v>
          </cell>
          <cell r="O764" t="str">
            <v>Labuapi</v>
          </cell>
          <cell r="Q764">
            <v>80200000</v>
          </cell>
        </row>
        <row r="765">
          <cell r="B765" t="str">
            <v>Infrastruktur Berkelanjutan</v>
          </cell>
          <cell r="D765" t="str">
            <v>PROGRAM KAWASAN PERMUKIMAN</v>
          </cell>
          <cell r="K765" t="str">
            <v>Dinas Pekerjaan Umum, Penataan Ruang, Perumahan dan Kawasan Permukiman</v>
          </cell>
          <cell r="O765" t="str">
            <v>Labuapi</v>
          </cell>
          <cell r="Q765">
            <v>100000000</v>
          </cell>
        </row>
        <row r="766">
          <cell r="B766" t="str">
            <v>Transformasi dan Kemandirian Ekonomi</v>
          </cell>
          <cell r="D766" t="str">
            <v>PROGRAM PENINGKATAN SARANA DISTRIBUSI PERDAGANGAN</v>
          </cell>
          <cell r="K766" t="str">
            <v>Dinas Perdagangan</v>
          </cell>
          <cell r="O766" t="str">
            <v>Labuapi</v>
          </cell>
          <cell r="Q766">
            <v>177660000</v>
          </cell>
        </row>
        <row r="767">
          <cell r="B767" t="str">
            <v>Pembangunan SDM Unggul dan Berdaya Saing</v>
          </cell>
          <cell r="D767" t="str">
            <v>PROGRAM PENGELOLAAN PENDIDIKAN</v>
          </cell>
          <cell r="K767" t="str">
            <v>Dinas Pendidikan dan Kebudayaan</v>
          </cell>
          <cell r="O767" t="str">
            <v>Labuapi</v>
          </cell>
          <cell r="Q767">
            <v>75000000</v>
          </cell>
        </row>
        <row r="768">
          <cell r="B768" t="str">
            <v>Pembangunan SDM Unggul dan Berdaya Saing</v>
          </cell>
          <cell r="D768" t="str">
            <v>PROGRAM PENGELOLAAN PENDIDIKAN</v>
          </cell>
          <cell r="K768" t="str">
            <v>Dinas Pendidikan dan Kebudayaan</v>
          </cell>
          <cell r="O768" t="str">
            <v>Labuapi</v>
          </cell>
          <cell r="Q768">
            <v>60000000</v>
          </cell>
        </row>
        <row r="769">
          <cell r="B769" t="str">
            <v>Pembangunan SDM Unggul dan Berdaya Saing</v>
          </cell>
          <cell r="D769" t="str">
            <v>PROGRAM PEMENUHAN UPAYA KESEHATAN PERORANGAN DAN UPAYA KESEHATAN MASYARAKAT</v>
          </cell>
          <cell r="K769" t="str">
            <v>Dinas Kesehatan, Pengendalian Penduduk dan Keluarga Berencana</v>
          </cell>
          <cell r="O769" t="str">
            <v>Labuapi</v>
          </cell>
          <cell r="Q769">
            <v>98040000</v>
          </cell>
        </row>
        <row r="770">
          <cell r="B770" t="str">
            <v>Transformasi dan Kemandirian Ekonomi</v>
          </cell>
          <cell r="D770" t="str">
            <v>Program Pengembangan Kapasitas Daya Saing Keolahragaan</v>
          </cell>
          <cell r="K770" t="str">
            <v>Dinas Pariwisata, Ekonomi Kreatif, Pemuda, dan Olahraga</v>
          </cell>
          <cell r="O770" t="str">
            <v>Labuapi</v>
          </cell>
          <cell r="Q770">
            <v>125000000</v>
          </cell>
        </row>
        <row r="771">
          <cell r="B771" t="str">
            <v>Transformasi dan Kemandirian Ekonomi</v>
          </cell>
          <cell r="D771" t="str">
            <v>Program Pengembangan Kapasitas Daya Saing Keolahragaan</v>
          </cell>
          <cell r="K771" t="str">
            <v>Dinas Pariwisata, Ekonomi Kreatif, Pemuda, dan Olahraga</v>
          </cell>
          <cell r="O771" t="str">
            <v>Labuapi</v>
          </cell>
          <cell r="Q771">
            <v>50000000</v>
          </cell>
        </row>
        <row r="772">
          <cell r="B772" t="str">
            <v>Transformasi dan Kemandirian Ekonomi</v>
          </cell>
          <cell r="D772" t="str">
            <v>Program Pengembangan Kapasitas Daya Saing Keolahragaan</v>
          </cell>
          <cell r="K772" t="str">
            <v>Dinas Pariwisata, Ekonomi Kreatif, Pemuda, dan Olahraga</v>
          </cell>
          <cell r="O772" t="str">
            <v>Labuapi</v>
          </cell>
          <cell r="Q772">
            <v>40000000</v>
          </cell>
        </row>
        <row r="773">
          <cell r="B773" t="str">
            <v>Transformasi dan Kemandirian Ekonomi</v>
          </cell>
          <cell r="D773" t="str">
            <v>Program Pengembangan Kapasitas Daya Saing Keolahragaan</v>
          </cell>
          <cell r="K773" t="str">
            <v>Dinas Pariwisata, Ekonomi Kreatif, Pemuda, dan Olahraga</v>
          </cell>
          <cell r="O773" t="str">
            <v>Labuapi</v>
          </cell>
          <cell r="Q773">
            <v>40000000</v>
          </cell>
        </row>
        <row r="774">
          <cell r="B774" t="str">
            <v>Transformasi dan Kemandirian Ekonomi</v>
          </cell>
          <cell r="D774" t="str">
            <v>Program Pengembangan Kapasitas Daya Saing Keolahragaan</v>
          </cell>
          <cell r="K774" t="str">
            <v>Dinas Pariwisata, Ekonomi Kreatif, Pemuda, dan Olahraga</v>
          </cell>
          <cell r="O774" t="str">
            <v>Labuapi</v>
          </cell>
          <cell r="Q774">
            <v>50000000</v>
          </cell>
        </row>
        <row r="775">
          <cell r="B775" t="str">
            <v>Transformasi dan Kemandirian Ekonomi</v>
          </cell>
          <cell r="D775" t="str">
            <v>Program Pengembangan Kapasitas Daya Saing Keolahragaan</v>
          </cell>
          <cell r="K775" t="str">
            <v>Dinas Pariwisata, Ekonomi Kreatif, Pemuda, dan Olahraga</v>
          </cell>
          <cell r="O775" t="str">
            <v>Labuapi</v>
          </cell>
          <cell r="Q775">
            <v>25000000</v>
          </cell>
        </row>
        <row r="776">
          <cell r="B776" t="str">
            <v>Transformasi dan Kemandirian Ekonomi</v>
          </cell>
          <cell r="D776" t="str">
            <v>PROGRAM PENEMPATAN TENAGA KERJA</v>
          </cell>
          <cell r="K776" t="str">
            <v>Dinas Perindustrian, Koperasi, Usaha Kecil dan Menengah, dan Tenaga Kerja</v>
          </cell>
          <cell r="O776" t="str">
            <v>Labuapi</v>
          </cell>
          <cell r="Q776">
            <v>75000000</v>
          </cell>
        </row>
        <row r="777">
          <cell r="B777" t="str">
            <v>Infrastruktur Berkelanjutan</v>
          </cell>
          <cell r="D777" t="str">
            <v>PROGRAM PENGELOLAAN SUMBER DAYA AIR (SDA)</v>
          </cell>
          <cell r="K777" t="str">
            <v>Dinas Pekerjaan Umum, Penataan Ruang, Perumahan dan Kawasan Permukiman</v>
          </cell>
          <cell r="O777" t="str">
            <v>Labuapi</v>
          </cell>
          <cell r="Q777">
            <v>175000000</v>
          </cell>
        </row>
        <row r="778">
          <cell r="B778" t="str">
            <v>Infrastruktur Berkelanjutan</v>
          </cell>
          <cell r="D778" t="str">
            <v>PROGRAM PENGELOLAAN PERSAMPAHAN</v>
          </cell>
          <cell r="K778" t="str">
            <v>Dinas Lingkungan Hidup</v>
          </cell>
          <cell r="O778" t="str">
            <v>Labuapi</v>
          </cell>
          <cell r="Q778">
            <v>30000000</v>
          </cell>
        </row>
        <row r="779">
          <cell r="B779" t="str">
            <v>Infrastruktur Berkelanjutan</v>
          </cell>
          <cell r="D779" t="str">
            <v>PROGRAM PENGELOLAAN PERSAMPAHAN</v>
          </cell>
          <cell r="K779" t="str">
            <v>Dinas Lingkungan Hidup</v>
          </cell>
          <cell r="O779" t="str">
            <v>Labuapi</v>
          </cell>
          <cell r="Q779">
            <v>50000000</v>
          </cell>
        </row>
        <row r="780">
          <cell r="B780" t="str">
            <v>Transformasi dan Kemandirian Ekonomi</v>
          </cell>
          <cell r="D780" t="str">
            <v>PROGRAM PENINGKATAN DAYA TARIK DESTINASI PARIWISATA</v>
          </cell>
          <cell r="K780" t="str">
            <v>Dinas Pariwisata, Ekonomi Kreatif, Pemuda, dan Olahraga</v>
          </cell>
          <cell r="O780" t="str">
            <v>Labuapi</v>
          </cell>
          <cell r="Q780">
            <v>25000000</v>
          </cell>
        </row>
        <row r="781">
          <cell r="B781" t="str">
            <v>Transformasi dan Kemandirian Ekonomi</v>
          </cell>
          <cell r="D781" t="str">
            <v>PROGRAM PENINGKATAN DAYA TARIK DESTINASI PARIWISATA</v>
          </cell>
          <cell r="K781" t="str">
            <v>Dinas Pariwisata, Ekonomi Kreatif, Pemuda, dan Olahraga</v>
          </cell>
          <cell r="O781" t="str">
            <v>Labuapi</v>
          </cell>
          <cell r="Q781">
            <v>75000000</v>
          </cell>
        </row>
        <row r="782">
          <cell r="B782" t="str">
            <v>Infrastruktur Berkelanjutan</v>
          </cell>
          <cell r="D782" t="str">
            <v>Program Penyelenggaraan Lalu Lintas dan Angkutan Jalan (LLAJ)</v>
          </cell>
          <cell r="K782" t="str">
            <v>Dinas Perhubungan</v>
          </cell>
          <cell r="O782" t="str">
            <v>Labuapi</v>
          </cell>
          <cell r="Q782">
            <v>16750000</v>
          </cell>
        </row>
        <row r="783">
          <cell r="B783" t="str">
            <v>Infrastruktur Berkelanjutan</v>
          </cell>
          <cell r="D783" t="str">
            <v>Program Penyelenggaraan Lalu Lintas dan Angkutan Jalan (LLAJ)</v>
          </cell>
          <cell r="K783" t="str">
            <v>Dinas Perhubungan</v>
          </cell>
          <cell r="O783" t="str">
            <v>Labuapi</v>
          </cell>
          <cell r="Q783">
            <v>16750000</v>
          </cell>
        </row>
        <row r="784">
          <cell r="B784" t="str">
            <v>Infrastruktur Berkelanjutan</v>
          </cell>
          <cell r="D784" t="str">
            <v>Program Penyelenggaraan Lalu Lintas dan Angkutan Jalan (LLAJ)</v>
          </cell>
          <cell r="K784" t="str">
            <v>Dinas Perhubungan</v>
          </cell>
          <cell r="O784" t="str">
            <v>Labuapi</v>
          </cell>
          <cell r="Q784">
            <v>16750000</v>
          </cell>
        </row>
        <row r="785">
          <cell r="B785" t="str">
            <v>Infrastruktur Berkelanjutan</v>
          </cell>
          <cell r="D785" t="str">
            <v>Program Penyelenggaraan Lalu Lintas dan Angkutan Jalan (LLAJ)</v>
          </cell>
          <cell r="K785" t="str">
            <v>Dinas Perhubungan</v>
          </cell>
          <cell r="O785" t="str">
            <v>Labuapi</v>
          </cell>
          <cell r="Q785">
            <v>16750000</v>
          </cell>
        </row>
        <row r="786">
          <cell r="B786" t="str">
            <v>Infrastruktur Berkelanjutan</v>
          </cell>
          <cell r="D786" t="str">
            <v>Program Penyelenggaraan Lalu Lintas dan Angkutan Jalan (LLAJ)</v>
          </cell>
          <cell r="K786" t="str">
            <v>Dinas Perhubungan</v>
          </cell>
          <cell r="O786" t="str">
            <v>Labuapi</v>
          </cell>
          <cell r="Q786">
            <v>16750000</v>
          </cell>
        </row>
        <row r="787">
          <cell r="B787" t="str">
            <v>Infrastruktur Berkelanjutan</v>
          </cell>
          <cell r="D787" t="str">
            <v>Program Penyelenggaraan Lalu Lintas dan Angkutan Jalan (LLAJ)</v>
          </cell>
          <cell r="K787" t="str">
            <v>Dinas Perhubungan</v>
          </cell>
          <cell r="O787" t="str">
            <v>Labuapi</v>
          </cell>
          <cell r="Q787">
            <v>16750000</v>
          </cell>
        </row>
        <row r="788">
          <cell r="B788" t="str">
            <v>Infrastruktur Berkelanjutan</v>
          </cell>
          <cell r="D788" t="str">
            <v>Program Penyelenggaraan Lalu Lintas dan Angkutan Jalan (LLAJ)</v>
          </cell>
          <cell r="K788" t="str">
            <v>Dinas Perhubungan</v>
          </cell>
          <cell r="O788" t="str">
            <v>Labuapi</v>
          </cell>
          <cell r="Q788">
            <v>16750000</v>
          </cell>
        </row>
        <row r="789">
          <cell r="B789" t="str">
            <v>Infrastruktur Berkelanjutan</v>
          </cell>
          <cell r="D789" t="str">
            <v>Program Penyelenggaraan Lalu Lintas dan Angkutan Jalan (LLAJ)</v>
          </cell>
          <cell r="K789" t="str">
            <v>Dinas Perhubungan</v>
          </cell>
          <cell r="O789" t="str">
            <v>Labuapi</v>
          </cell>
          <cell r="Q789">
            <v>16750000</v>
          </cell>
        </row>
        <row r="790">
          <cell r="B790" t="str">
            <v>Infrastruktur Berkelanjutan</v>
          </cell>
          <cell r="D790" t="str">
            <v>Program Penyelenggaraan Lalu Lintas dan Angkutan Jalan (LLAJ)</v>
          </cell>
          <cell r="K790" t="str">
            <v>Dinas Perhubungan</v>
          </cell>
          <cell r="O790" t="str">
            <v>Labuapi</v>
          </cell>
          <cell r="Q790">
            <v>16750000</v>
          </cell>
        </row>
        <row r="791">
          <cell r="B791" t="str">
            <v>Agrominapolitan</v>
          </cell>
          <cell r="D791" t="str">
            <v>PROGRAM PENYEDIAAN DAN PENGEMBANGAN SARANA PERTANIAN</v>
          </cell>
          <cell r="K791" t="str">
            <v>Dinas Pertanian</v>
          </cell>
          <cell r="O791" t="str">
            <v>Labuapi</v>
          </cell>
          <cell r="Q791">
            <v>100000000</v>
          </cell>
        </row>
        <row r="792">
          <cell r="B792" t="str">
            <v>Agrominapolitan</v>
          </cell>
          <cell r="D792" t="str">
            <v>PROGRAM PENYEDIAAN DAN PENGEMBANGAN SARANA PERTANIAN</v>
          </cell>
          <cell r="K792" t="str">
            <v>Dinas Pertanian</v>
          </cell>
          <cell r="O792" t="str">
            <v>Labuapi</v>
          </cell>
          <cell r="Q792">
            <v>75000000</v>
          </cell>
        </row>
        <row r="793">
          <cell r="B793" t="str">
            <v>Agrominapolitan</v>
          </cell>
          <cell r="D793" t="str">
            <v>PROGRAM PENYEDIAAN DAN PENGEMBANGAN SARANA PERTANIAN</v>
          </cell>
          <cell r="K793" t="str">
            <v>Dinas Pertanian</v>
          </cell>
          <cell r="O793" t="str">
            <v>Labuapi</v>
          </cell>
          <cell r="Q793">
            <v>50000000</v>
          </cell>
        </row>
        <row r="794">
          <cell r="B794" t="str">
            <v>Agrominapolitan</v>
          </cell>
          <cell r="D794" t="str">
            <v>PROGRAM PENYEDIAAN DAN PENGEMBANGAN SARANA PERTANIAN</v>
          </cell>
          <cell r="K794" t="str">
            <v>Dinas Pertanian</v>
          </cell>
          <cell r="O794" t="str">
            <v>Labuapi</v>
          </cell>
          <cell r="Q794">
            <v>150000000</v>
          </cell>
        </row>
        <row r="795">
          <cell r="B795" t="str">
            <v>Agrominapolitan</v>
          </cell>
          <cell r="D795" t="str">
            <v>PROGRAM PENYEDIAAN DAN PENGEMBANGAN SARANA PERTANIAN</v>
          </cell>
          <cell r="K795" t="str">
            <v>Dinas Pertanian</v>
          </cell>
          <cell r="O795" t="str">
            <v>Labuapi</v>
          </cell>
          <cell r="Q795">
            <v>100000000</v>
          </cell>
        </row>
        <row r="796">
          <cell r="B796" t="str">
            <v>Agrominapolitan</v>
          </cell>
          <cell r="D796" t="str">
            <v>PROGRAM PENYEDIAAN DAN PENGEMBANGAN SARANA PERTANIAN</v>
          </cell>
          <cell r="K796" t="str">
            <v>Dinas Pertanian</v>
          </cell>
          <cell r="O796" t="str">
            <v>Labuapi</v>
          </cell>
          <cell r="Q796">
            <v>100000000</v>
          </cell>
        </row>
        <row r="797">
          <cell r="B797" t="str">
            <v>Agrominapolitan</v>
          </cell>
          <cell r="D797" t="str">
            <v>PROGRAM PENYEDIAAN DAN PENGEMBANGAN SARANA PERTANIAN</v>
          </cell>
          <cell r="K797" t="str">
            <v>Dinas Pertanian</v>
          </cell>
          <cell r="O797" t="str">
            <v>Labuapi</v>
          </cell>
          <cell r="Q797">
            <v>100000000</v>
          </cell>
        </row>
        <row r="798">
          <cell r="B798" t="str">
            <v>Agrominapolitan</v>
          </cell>
          <cell r="D798" t="str">
            <v>PROGRAM PENYEDIAAN DAN PENGEMBANGAN SARANA PERTANIAN</v>
          </cell>
          <cell r="K798" t="str">
            <v>Dinas Pertanian</v>
          </cell>
          <cell r="O798" t="str">
            <v>Labuapi</v>
          </cell>
          <cell r="Q798">
            <v>100000000</v>
          </cell>
        </row>
        <row r="799">
          <cell r="B799" t="str">
            <v>Agrominapolitan</v>
          </cell>
          <cell r="D799" t="str">
            <v>PROGRAM PENYEDIAAN DAN PENGEMBANGAN SARANA PERTANIAN</v>
          </cell>
          <cell r="K799" t="str">
            <v>Dinas Pertanian</v>
          </cell>
          <cell r="O799" t="str">
            <v>Labuapi</v>
          </cell>
          <cell r="Q799">
            <v>75000000</v>
          </cell>
        </row>
        <row r="800">
          <cell r="B800" t="str">
            <v>Infrastruktur Berkelanjutan</v>
          </cell>
          <cell r="D800" t="str">
            <v>PROGRAM PENINGKATAN PRASARANA, SARANA DAN UTILITAS UMUM (PSU)</v>
          </cell>
          <cell r="K800" t="str">
            <v>Dinas Pekerjaan Umum, Penataan Ruang, Perumahan dan Kawasan Permukiman</v>
          </cell>
          <cell r="O800" t="str">
            <v>Labuapi</v>
          </cell>
          <cell r="Q800">
            <v>76200000</v>
          </cell>
        </row>
        <row r="801">
          <cell r="B801" t="str">
            <v>Infrastruktur Berkelanjutan</v>
          </cell>
          <cell r="D801" t="str">
            <v>PROGRAM PENINGKATAN PRASARANA, SARANA DAN UTILITAS UMUM (PSU)</v>
          </cell>
          <cell r="K801" t="str">
            <v>Dinas Pekerjaan Umum, Penataan Ruang, Perumahan dan Kawasan Permukiman</v>
          </cell>
          <cell r="O801" t="str">
            <v>Labuapi</v>
          </cell>
          <cell r="Q801">
            <v>50800000</v>
          </cell>
        </row>
        <row r="802">
          <cell r="B802" t="str">
            <v>Infrastruktur Berkelanjutan</v>
          </cell>
          <cell r="D802" t="str">
            <v>PROGRAM PENGELOLAAN DAN PENGEMBANGAN SISTEM DRAINASE</v>
          </cell>
          <cell r="K802" t="str">
            <v>Dinas Pekerjaan Umum, Penataan Ruang, Perumahan dan Kawasan Permukiman</v>
          </cell>
          <cell r="O802" t="str">
            <v>Labuapi</v>
          </cell>
          <cell r="Q802">
            <v>75000000</v>
          </cell>
        </row>
        <row r="803">
          <cell r="B803" t="str">
            <v>Infrastruktur Berkelanjutan</v>
          </cell>
          <cell r="D803" t="str">
            <v>PROGRAM PENINGKATAN PRASARANA, SARANA DAN UTILITAS UMUM (PSU)</v>
          </cell>
          <cell r="K803" t="str">
            <v>Dinas Pekerjaan Umum, Penataan Ruang, Perumahan dan Kawasan Permukiman</v>
          </cell>
          <cell r="O803" t="str">
            <v>Labuapi</v>
          </cell>
          <cell r="Q803">
            <v>75000000</v>
          </cell>
        </row>
        <row r="804">
          <cell r="B804" t="str">
            <v>Infrastruktur Berkelanjutan</v>
          </cell>
          <cell r="D804" t="str">
            <v>PROGRAM PENINGKATAN PRASARANA, SARANA DAN UTILITAS UMUM (PSU)</v>
          </cell>
          <cell r="K804" t="str">
            <v>Dinas Pekerjaan Umum, Penataan Ruang, Perumahan dan Kawasan Permukiman</v>
          </cell>
          <cell r="O804" t="str">
            <v>Labuapi</v>
          </cell>
          <cell r="Q804">
            <v>76200000</v>
          </cell>
        </row>
        <row r="805">
          <cell r="B805" t="str">
            <v>Infrastruktur Berkelanjutan</v>
          </cell>
          <cell r="D805" t="str">
            <v>PROGRAM PENYELENGGARAAN JALAN</v>
          </cell>
          <cell r="K805" t="str">
            <v>Dinas Pekerjaan Umum, Penataan Ruang, Perumahan dan Kawasan Permukiman</v>
          </cell>
          <cell r="O805" t="str">
            <v>Labuapi</v>
          </cell>
          <cell r="Q805">
            <v>245729760</v>
          </cell>
        </row>
        <row r="806">
          <cell r="B806" t="str">
            <v>Infrastruktur Berkelanjutan</v>
          </cell>
          <cell r="D806" t="str">
            <v>PROGRAM PENYELENGGARAAN JALAN</v>
          </cell>
          <cell r="K806" t="str">
            <v>Dinas Pekerjaan Umum, Penataan Ruang, Perumahan dan Kawasan Permukiman</v>
          </cell>
          <cell r="O806" t="str">
            <v>Labuapi</v>
          </cell>
          <cell r="Q806">
            <v>50000000</v>
          </cell>
        </row>
        <row r="807">
          <cell r="B807" t="str">
            <v>Transformasi dan Kemandirian Ekonomi</v>
          </cell>
          <cell r="D807" t="str">
            <v>PROGRAM PENGEMBANGAN UMKM</v>
          </cell>
          <cell r="K807" t="str">
            <v>Dinas Perindustrian, Koperasi, Usaha Kecil dan Menengah, dan Tenaga Kerja</v>
          </cell>
          <cell r="O807" t="str">
            <v>Labuapi</v>
          </cell>
          <cell r="Q807">
            <v>31725000</v>
          </cell>
        </row>
        <row r="808">
          <cell r="B808" t="str">
            <v>Transformasi dan Kemandirian Ekonomi</v>
          </cell>
          <cell r="D808" t="str">
            <v>PROGRAM PENGEMBANGAN UMKM</v>
          </cell>
          <cell r="K808" t="str">
            <v>Dinas Perindustrian, Koperasi, Usaha Kecil dan Menengah, dan Tenaga Kerja</v>
          </cell>
          <cell r="O808" t="str">
            <v>Labuapi</v>
          </cell>
          <cell r="Q808">
            <v>31725000</v>
          </cell>
        </row>
        <row r="809">
          <cell r="B809" t="str">
            <v>Infrastruktur Berkelanjutan</v>
          </cell>
          <cell r="D809" t="str">
            <v>PROGRAM PENANGGULANGAN BENCANA</v>
          </cell>
          <cell r="K809" t="str">
            <v>Badan Penanggulangan Bencana Daerah</v>
          </cell>
          <cell r="O809" t="str">
            <v>Labuapi</v>
          </cell>
          <cell r="Q809">
            <v>35000000</v>
          </cell>
        </row>
        <row r="810">
          <cell r="B810" t="str">
            <v>Ketahanan Sosial</v>
          </cell>
          <cell r="D810" t="str">
            <v>PROGRAM REHABILITASI SOSIAL</v>
          </cell>
          <cell r="K810" t="str">
            <v>Dinas Sosial, Pemberdayaan Perempuan, dan Perlindungan Anak</v>
          </cell>
          <cell r="O810" t="str">
            <v>Labuapi</v>
          </cell>
          <cell r="Q810">
            <v>17460000</v>
          </cell>
        </row>
        <row r="811">
          <cell r="B811" t="str">
            <v>Transformasi Tata Kelola</v>
          </cell>
          <cell r="D811" t="str">
            <v>PROGRAM PENINGKATAN KETENTERAMAN DAN KETERTIBAN UMUM</v>
          </cell>
          <cell r="K811" t="str">
            <v>Satuan Polisi Pamong Praja</v>
          </cell>
          <cell r="O811" t="str">
            <v>Labuapi</v>
          </cell>
          <cell r="Q811">
            <v>12500000</v>
          </cell>
        </row>
        <row r="812">
          <cell r="B812" t="str">
            <v>Infrastruktur Berkelanjutan</v>
          </cell>
          <cell r="D812" t="str">
            <v>PROGRAM PENGELOLAAN PERSAMPAHAN</v>
          </cell>
          <cell r="K812" t="str">
            <v>Dinas Lingkungan Hidup</v>
          </cell>
          <cell r="O812" t="str">
            <v>Labuapi</v>
          </cell>
          <cell r="Q812">
            <v>2000000</v>
          </cell>
        </row>
        <row r="813">
          <cell r="B813" t="str">
            <v>Agrominapolitan</v>
          </cell>
          <cell r="D813" t="str">
            <v>PROGRAM PENYEDIAAN DAN PENGEMBANGAN SARANA PERTANIAN</v>
          </cell>
          <cell r="K813" t="str">
            <v>Dinas Pertanian</v>
          </cell>
          <cell r="O813" t="str">
            <v>Labuapi</v>
          </cell>
          <cell r="Q813">
            <v>22500000</v>
          </cell>
        </row>
        <row r="814">
          <cell r="B814" t="str">
            <v>Agrominapolitan</v>
          </cell>
          <cell r="D814" t="str">
            <v>PROGRAM PENYEDIAAN DAN PENGEMBANGAN SARANA PERTANIAN</v>
          </cell>
          <cell r="K814" t="str">
            <v>Dinas Pertanian</v>
          </cell>
          <cell r="O814" t="str">
            <v>Labuapi</v>
          </cell>
          <cell r="Q814">
            <v>10500000</v>
          </cell>
        </row>
        <row r="815">
          <cell r="B815" t="str">
            <v>Agrominapolitan</v>
          </cell>
          <cell r="D815" t="str">
            <v>PROGRAM PENYEDIAAN DAN PENGEMBANGAN SARANA PERTANIAN</v>
          </cell>
          <cell r="K815" t="str">
            <v>Dinas Pertanian</v>
          </cell>
          <cell r="O815" t="str">
            <v>Labuapi</v>
          </cell>
          <cell r="Q815">
            <v>10000000</v>
          </cell>
        </row>
        <row r="816">
          <cell r="B816" t="str">
            <v>Transformasi dan Kemandirian Ekonomi</v>
          </cell>
          <cell r="D816" t="str">
            <v>Program Pengembangan Kapasitas Daya Saing Keolahragaan</v>
          </cell>
          <cell r="K816" t="str">
            <v>Dinas Pariwisata, Ekonomi Kreatif, Pemuda, dan Olahraga</v>
          </cell>
          <cell r="O816" t="str">
            <v>Labuapi</v>
          </cell>
          <cell r="Q816">
            <v>22500000</v>
          </cell>
        </row>
        <row r="817">
          <cell r="B817" t="str">
            <v>Infrastruktur Berkelanjutan</v>
          </cell>
          <cell r="D817" t="str">
            <v>Program Penyelenggaraan Lalu Lintas dan Angkutan Jalan (LLAJ)</v>
          </cell>
          <cell r="K817" t="str">
            <v>Dinas Perhubungan</v>
          </cell>
          <cell r="O817" t="str">
            <v>Labuapi</v>
          </cell>
          <cell r="Q817">
            <v>167500000</v>
          </cell>
        </row>
        <row r="818">
          <cell r="B818" t="str">
            <v>Infrastruktur Berkelanjutan</v>
          </cell>
          <cell r="D818" t="str">
            <v>PROGRAM PENGELOLAAN SUMBER DAYA AIR (SDA)</v>
          </cell>
          <cell r="K818" t="str">
            <v>Dinas Pekerjaan Umum, Penataan Ruang, Perumahan dan Kawasan Permukiman</v>
          </cell>
          <cell r="O818" t="str">
            <v>Labuapi</v>
          </cell>
          <cell r="Q818">
            <v>225000000</v>
          </cell>
        </row>
        <row r="819">
          <cell r="B819" t="str">
            <v>Infrastruktur Berkelanjutan</v>
          </cell>
          <cell r="D819" t="str">
            <v>PROGRAM PENGELOLAAN SUMBER DAYA AIR (SDA)</v>
          </cell>
          <cell r="K819" t="str">
            <v>Dinas Pekerjaan Umum, Penataan Ruang, Perumahan dan Kawasan Permukiman</v>
          </cell>
          <cell r="O819" t="str">
            <v>Labuapi</v>
          </cell>
          <cell r="Q819">
            <v>200000000</v>
          </cell>
        </row>
        <row r="820">
          <cell r="B820" t="str">
            <v>Infrastruktur Berkelanjutan</v>
          </cell>
          <cell r="D820" t="str">
            <v>PROGRAM KAWASAN PERMUKIMAN</v>
          </cell>
          <cell r="K820" t="str">
            <v>Dinas Pekerjaan Umum, Penataan Ruang, Perumahan dan Kawasan Permukiman</v>
          </cell>
          <cell r="O820" t="str">
            <v>Labuapi</v>
          </cell>
          <cell r="Q820">
            <v>200000000</v>
          </cell>
        </row>
        <row r="821">
          <cell r="B821" t="str">
            <v>Transformasi dan Kemandirian Ekonomi</v>
          </cell>
          <cell r="D821" t="str">
            <v>PROGRAM PENINGKATAN DAYA TARIK DESTINASI PARIWISATA</v>
          </cell>
          <cell r="K821" t="str">
            <v>Dinas Pariwisata, Ekonomi Kreatif, Pemuda, dan Olahraga</v>
          </cell>
          <cell r="O821" t="str">
            <v>Labuapi</v>
          </cell>
          <cell r="Q821">
            <v>200000000</v>
          </cell>
        </row>
        <row r="822">
          <cell r="B822" t="str">
            <v>Transformasi dan Kemandirian Ekonomi</v>
          </cell>
          <cell r="D822" t="str">
            <v>PROGRAM PENINGKATAN DAYA TARIK DESTINASI PARIWISATA</v>
          </cell>
          <cell r="K822" t="str">
            <v>Dinas Pariwisata, Ekonomi Kreatif, Pemuda, dan Olahraga</v>
          </cell>
          <cell r="O822" t="str">
            <v>Labuapi</v>
          </cell>
          <cell r="Q822">
            <v>100000000</v>
          </cell>
        </row>
        <row r="823">
          <cell r="B823" t="str">
            <v>Infrastruktur Berkelanjutan</v>
          </cell>
          <cell r="D823" t="str">
            <v>PROGRAM PENGELOLAAN SUMBER DAYA AIR (SDA)</v>
          </cell>
          <cell r="K823" t="str">
            <v>Dinas Pekerjaan Umum, Penataan Ruang, Perumahan dan Kawasan Permukiman</v>
          </cell>
          <cell r="O823" t="str">
            <v>Labuapi</v>
          </cell>
          <cell r="Q823">
            <v>200000000</v>
          </cell>
        </row>
        <row r="824">
          <cell r="B824" t="str">
            <v>Infrastruktur Berkelanjutan</v>
          </cell>
          <cell r="D824" t="str">
            <v>PROGRAM PENGELOLAAN DAN PENGEMBANGAN SISTEM DRAINASE</v>
          </cell>
          <cell r="K824" t="str">
            <v>Dinas Pekerjaan Umum, Penataan Ruang, Perumahan dan Kawasan Permukiman</v>
          </cell>
          <cell r="O824" t="str">
            <v>Labuapi</v>
          </cell>
          <cell r="Q824">
            <v>417300000</v>
          </cell>
        </row>
        <row r="825">
          <cell r="B825" t="str">
            <v>Infrastruktur Berkelanjutan</v>
          </cell>
          <cell r="D825" t="str">
            <v>PROGRAM PENGELOLAAN DAN PENGEMBANGAN SISTEM DRAINASE</v>
          </cell>
          <cell r="K825" t="str">
            <v>Dinas Pekerjaan Umum, Penataan Ruang, Perumahan dan Kawasan Permukiman</v>
          </cell>
          <cell r="O825" t="str">
            <v>Labuapi</v>
          </cell>
          <cell r="Q825">
            <v>417300000</v>
          </cell>
        </row>
        <row r="826">
          <cell r="B826" t="str">
            <v>Pembangunan SDM Unggul dan Berdaya Saing</v>
          </cell>
          <cell r="D826" t="str">
            <v>PROGRAM PENGELOLAAN PENDIDIKAN</v>
          </cell>
          <cell r="K826" t="str">
            <v>Dinas Pendidikan dan Kebudayaan</v>
          </cell>
          <cell r="O826" t="str">
            <v>Labuapi</v>
          </cell>
          <cell r="Q826">
            <v>342708000</v>
          </cell>
        </row>
        <row r="827">
          <cell r="B827" t="str">
            <v>Infrastruktur Berkelanjutan</v>
          </cell>
          <cell r="D827" t="str">
            <v>PROGRAM PENGELOLAAN PERSAMPAHAN</v>
          </cell>
          <cell r="K827" t="str">
            <v>Dinas Lingkungan Hidup</v>
          </cell>
          <cell r="O827" t="str">
            <v>Labuapi</v>
          </cell>
          <cell r="Q827">
            <v>30000000</v>
          </cell>
        </row>
        <row r="828">
          <cell r="B828" t="str">
            <v>Infrastruktur Berkelanjutan</v>
          </cell>
          <cell r="D828" t="str">
            <v>PROGRAM PENGELOLAAN PERSAMPAHAN</v>
          </cell>
          <cell r="K828" t="str">
            <v>Dinas Lingkungan Hidup</v>
          </cell>
          <cell r="O828" t="str">
            <v>Labuapi</v>
          </cell>
          <cell r="Q828">
            <v>50000000</v>
          </cell>
        </row>
        <row r="829">
          <cell r="B829" t="str">
            <v>Agrominapolitan</v>
          </cell>
          <cell r="D829" t="str">
            <v>PROGRAM PENYEDIAAN DAN PENGEMBANGAN SARANA PERTANIAN</v>
          </cell>
          <cell r="K829" t="str">
            <v>Dinas Pertanian</v>
          </cell>
          <cell r="O829" t="str">
            <v>Labuapi</v>
          </cell>
          <cell r="Q829">
            <v>70000000</v>
          </cell>
        </row>
        <row r="830">
          <cell r="B830" t="str">
            <v>Agrominapolitan</v>
          </cell>
          <cell r="D830" t="str">
            <v>PROGRAM PENYEDIAAN DAN PENGEMBANGAN SARANA PERTANIAN</v>
          </cell>
          <cell r="K830" t="str">
            <v>Dinas Pertanian</v>
          </cell>
          <cell r="O830" t="str">
            <v>Labuapi</v>
          </cell>
          <cell r="Q830">
            <v>50000000</v>
          </cell>
        </row>
        <row r="831">
          <cell r="B831" t="str">
            <v>Transformasi dan Kemandirian Ekonomi</v>
          </cell>
          <cell r="D831" t="str">
            <v>PROGRAM PENINGKATAN DAYA TARIK DESTINASI PARIWISATA</v>
          </cell>
          <cell r="K831" t="str">
            <v>Dinas Pariwisata, Ekonomi Kreatif, Pemuda, dan Olahraga</v>
          </cell>
          <cell r="O831" t="str">
            <v>Labuapi</v>
          </cell>
          <cell r="Q831">
            <v>50000000</v>
          </cell>
        </row>
        <row r="832">
          <cell r="B832" t="str">
            <v>Transformasi dan Kemandirian Ekonomi</v>
          </cell>
          <cell r="D832" t="str">
            <v>PROGRAM PERENCANAAN DAN PEMBANGUNAN INDUSTRI</v>
          </cell>
          <cell r="K832" t="str">
            <v>Dinas Perindustrian, Koperasi, Usaha Kecil dan Menengah, dan Tenaga Kerja</v>
          </cell>
          <cell r="O832" t="str">
            <v>Labuapi</v>
          </cell>
          <cell r="Q832">
            <v>50000000</v>
          </cell>
        </row>
        <row r="833">
          <cell r="B833" t="str">
            <v>Transformasi dan Kemandirian Ekonomi</v>
          </cell>
          <cell r="D833" t="str">
            <v>PROGRAM PERENCANAAN DAN PEMBANGUNAN INDUSTRI</v>
          </cell>
          <cell r="K833" t="str">
            <v>Dinas Perindustrian, Koperasi, Usaha Kecil dan Menengah, dan Tenaga Kerja</v>
          </cell>
          <cell r="O833" t="str">
            <v>Labuapi</v>
          </cell>
          <cell r="Q833">
            <v>25000000</v>
          </cell>
        </row>
        <row r="834">
          <cell r="B834" t="str">
            <v>Infrastruktur Berkelanjutan</v>
          </cell>
          <cell r="D834" t="str">
            <v>Program Penyelenggaraan Lalu Lintas dan Angkutan Jalan (LLAJ)</v>
          </cell>
          <cell r="K834" t="str">
            <v>Dinas Perhubungan</v>
          </cell>
          <cell r="O834" t="str">
            <v>Labuapi</v>
          </cell>
          <cell r="Q834">
            <v>33500000</v>
          </cell>
        </row>
        <row r="835">
          <cell r="B835" t="str">
            <v>Infrastruktur Berkelanjutan</v>
          </cell>
          <cell r="D835" t="str">
            <v>PROGRAM PENGELOLAAN SUMBER DAYA AIR (SDA)</v>
          </cell>
          <cell r="K835" t="str">
            <v>Dinas Pekerjaan Umum, Penataan Ruang, Perumahan dan Kawasan Permukiman</v>
          </cell>
          <cell r="O835" t="str">
            <v>Labuapi</v>
          </cell>
          <cell r="Q835">
            <v>150000000</v>
          </cell>
        </row>
        <row r="836">
          <cell r="B836" t="str">
            <v>Infrastruktur Berkelanjutan</v>
          </cell>
          <cell r="D836" t="str">
            <v>PROGRAM PENGELOLAAN SUMBER DAYA AIR (SDA)</v>
          </cell>
          <cell r="K836" t="str">
            <v>Dinas Pekerjaan Umum, Penataan Ruang, Perumahan dan Kawasan Permukiman</v>
          </cell>
          <cell r="O836" t="str">
            <v>Labuapi</v>
          </cell>
          <cell r="Q836">
            <v>150000000</v>
          </cell>
        </row>
        <row r="837">
          <cell r="B837" t="str">
            <v>Transformasi Tata Kelola</v>
          </cell>
          <cell r="D837" t="str">
            <v>PROGRAM PEMERINTAHAN DAN KESEJAHTERAAN RAKYAT</v>
          </cell>
          <cell r="K837" t="str">
            <v>Sekretariat Daerah</v>
          </cell>
          <cell r="O837" t="str">
            <v>Labuapi</v>
          </cell>
          <cell r="Q837">
            <v>25000000</v>
          </cell>
        </row>
        <row r="838">
          <cell r="B838" t="str">
            <v>Pembangunan SDM Unggul dan Berdaya Saing</v>
          </cell>
          <cell r="D838" t="str">
            <v>PROGRAM PEMENUHAN UPAYA KESEHATAN PERORANGAN DAN UPAYA KESEHATAN MASYARAKAT</v>
          </cell>
          <cell r="K838" t="str">
            <v>Dinas Kesehatan, Pengendalian Penduduk dan Keluarga Berencana</v>
          </cell>
          <cell r="O838" t="str">
            <v>Labuapi</v>
          </cell>
          <cell r="Q838">
            <v>154800000</v>
          </cell>
        </row>
        <row r="839">
          <cell r="B839" t="str">
            <v>Infrastruktur Berkelanjutan</v>
          </cell>
          <cell r="D839" t="str">
            <v>PROGRAM PENGELOLAAN PERSAMPAHAN</v>
          </cell>
          <cell r="K839" t="str">
            <v>Dinas lingkungan hidup</v>
          </cell>
          <cell r="O839" t="str">
            <v>Labuapi</v>
          </cell>
          <cell r="Q839">
            <v>250000000</v>
          </cell>
        </row>
        <row r="840">
          <cell r="B840" t="str">
            <v>Agrominapolitan</v>
          </cell>
          <cell r="D840" t="str">
            <v>PROGRAM PENYEDIAAN DAN PENGEMBANGAN SARANA PERTANIAN</v>
          </cell>
          <cell r="K840" t="str">
            <v>Dinas Pertanian</v>
          </cell>
          <cell r="O840" t="str">
            <v>Labuapi</v>
          </cell>
          <cell r="Q840">
            <v>30000000</v>
          </cell>
        </row>
        <row r="841">
          <cell r="B841" t="str">
            <v>Agrominapolitan</v>
          </cell>
          <cell r="D841" t="str">
            <v>PROGRAM PENYEDIAAN DAN PENGEMBANGAN SARANA PERTANIAN</v>
          </cell>
          <cell r="K841" t="str">
            <v>Dinas Pertanian</v>
          </cell>
          <cell r="O841" t="str">
            <v>Labuapi</v>
          </cell>
          <cell r="Q841">
            <v>140000000</v>
          </cell>
        </row>
        <row r="842">
          <cell r="B842" t="str">
            <v>Agrominapolitan</v>
          </cell>
          <cell r="D842" t="str">
            <v>PROGRAM PENYEDIAAN DAN PENGEMBANGAN SARANA PERTANIAN</v>
          </cell>
          <cell r="K842" t="str">
            <v>Dinas Pertanian</v>
          </cell>
          <cell r="O842" t="str">
            <v>Labuapi</v>
          </cell>
          <cell r="Q842">
            <v>50000000</v>
          </cell>
        </row>
        <row r="843">
          <cell r="B843" t="str">
            <v>Transformasi dan Kemandirian Ekonomi</v>
          </cell>
          <cell r="D843" t="str">
            <v>PROGRAM PENEMPATAN TENAGA KERJA</v>
          </cell>
          <cell r="K843" t="str">
            <v>Dinas Perindustrian, Koperasi, Usaha Kecil dan Menengah, dan Tenaga Kerja</v>
          </cell>
          <cell r="O843" t="str">
            <v>Labuapi</v>
          </cell>
          <cell r="Q843">
            <v>50000000</v>
          </cell>
        </row>
        <row r="844">
          <cell r="B844" t="str">
            <v>Transformasi dan Kemandirian Ekonomi</v>
          </cell>
          <cell r="D844" t="str">
            <v>PROGRAM PENGEMBANGAN UMKM</v>
          </cell>
          <cell r="K844" t="str">
            <v>Dinas Perindustrian, Koperasi, Usaha Kecil dan Menengah, dan Tenaga Kerja</v>
          </cell>
          <cell r="O844" t="str">
            <v>Labuapi</v>
          </cell>
          <cell r="Q844">
            <v>50000000</v>
          </cell>
        </row>
        <row r="845">
          <cell r="B845" t="str">
            <v>Infrastruktur Berkelanjutan</v>
          </cell>
          <cell r="D845" t="str">
            <v>Program Penyelenggaraan Lalu Lintas dan Angkutan Jalan (LLAJ)</v>
          </cell>
          <cell r="K845" t="str">
            <v>Dinas Perhubungan</v>
          </cell>
          <cell r="O845" t="str">
            <v>Labuapi</v>
          </cell>
          <cell r="Q845">
            <v>117250000</v>
          </cell>
        </row>
        <row r="846">
          <cell r="B846" t="str">
            <v>Infrastruktur Berkelanjutan</v>
          </cell>
          <cell r="D846" t="str">
            <v>PROGRAM KAWASAN PERMUKIMAN</v>
          </cell>
          <cell r="K846" t="str">
            <v>Dinas Pekerjaan Umum, Penataan Ruang, Perumahan dan Kawasan Permukiman</v>
          </cell>
          <cell r="O846" t="str">
            <v>Labuapi</v>
          </cell>
          <cell r="Q846">
            <v>125000000</v>
          </cell>
        </row>
        <row r="847">
          <cell r="B847" t="str">
            <v>Agrominapolitan</v>
          </cell>
          <cell r="D847" t="str">
            <v>PROGRAM PENYEDIAAN DAN PENGEMBANGAN SARANA PERTANIAN</v>
          </cell>
          <cell r="K847" t="str">
            <v>Dinas Pertanian</v>
          </cell>
          <cell r="O847" t="str">
            <v>Labuapi</v>
          </cell>
          <cell r="Q847">
            <v>150000000</v>
          </cell>
        </row>
        <row r="848">
          <cell r="B848" t="str">
            <v>Agrominapolitan</v>
          </cell>
          <cell r="D848" t="str">
            <v>PROGRAM PENYEDIAAN DAN PENGEMBANGAN SARANA PERTANIAN</v>
          </cell>
          <cell r="K848" t="str">
            <v>Dinas Pertanian</v>
          </cell>
          <cell r="O848" t="str">
            <v>Labuapi</v>
          </cell>
          <cell r="Q848">
            <v>100000000</v>
          </cell>
        </row>
        <row r="849">
          <cell r="B849" t="str">
            <v>Agrominapolitan</v>
          </cell>
          <cell r="D849" t="str">
            <v>PROGRAM PENYEDIAAN DAN PENGEMBANGAN SARANA PERTANIAN</v>
          </cell>
          <cell r="K849" t="str">
            <v>Dinas Pertanian</v>
          </cell>
          <cell r="O849" t="str">
            <v>Labuapi</v>
          </cell>
          <cell r="Q849">
            <v>100000000</v>
          </cell>
        </row>
        <row r="850">
          <cell r="B850" t="str">
            <v>Agrominapolitan</v>
          </cell>
          <cell r="D850" t="str">
            <v>PROGRAM PENYEDIAAN DAN PENGEMBANGAN SARANA PERTANIAN</v>
          </cell>
          <cell r="K850" t="str">
            <v>Dinas Pertanian</v>
          </cell>
          <cell r="O850" t="str">
            <v>Labuapi</v>
          </cell>
          <cell r="Q850">
            <v>100000000</v>
          </cell>
        </row>
        <row r="851">
          <cell r="B851" t="str">
            <v>Agrominapolitan</v>
          </cell>
          <cell r="D851" t="str">
            <v>PROGRAM PENYEDIAAN DAN PENGEMBANGAN SARANA PERTANIAN</v>
          </cell>
          <cell r="K851" t="str">
            <v>Dinas Pertanian</v>
          </cell>
          <cell r="O851" t="str">
            <v>Labuapi</v>
          </cell>
          <cell r="Q851">
            <v>100000000</v>
          </cell>
        </row>
        <row r="852">
          <cell r="B852" t="str">
            <v>Agrominapolitan</v>
          </cell>
          <cell r="D852" t="str">
            <v>PROGRAM PENYEDIAAN DAN PENGEMBANGAN SARANA PERTANIAN</v>
          </cell>
          <cell r="K852" t="str">
            <v>Dinas Pertanian</v>
          </cell>
          <cell r="O852" t="str">
            <v>Labuapi</v>
          </cell>
          <cell r="Q852">
            <v>100000000</v>
          </cell>
        </row>
        <row r="853">
          <cell r="B853" t="str">
            <v>Infrastruktur Berkelanjutan</v>
          </cell>
          <cell r="D853" t="str">
            <v>PROGRAM KAWASAN PERMUKIMAN</v>
          </cell>
          <cell r="K853" t="str">
            <v>Dinas Pekerjaan Umum, Penataan Ruang, Perumahan dan Kawasan Permukiman</v>
          </cell>
          <cell r="O853" t="str">
            <v>Labuapi</v>
          </cell>
          <cell r="Q853">
            <v>175000000</v>
          </cell>
        </row>
        <row r="854">
          <cell r="B854" t="str">
            <v>Infrastruktur Berkelanjutan</v>
          </cell>
          <cell r="D854" t="str">
            <v>PROGRAM KAWASAN PERMUKIMAN</v>
          </cell>
          <cell r="K854" t="str">
            <v>Dinas Pekerjaan Umum, Penataan Ruang, Perumahan dan Kawasan Permukiman</v>
          </cell>
          <cell r="O854" t="str">
            <v>Labuapi</v>
          </cell>
          <cell r="Q854">
            <v>175000000</v>
          </cell>
        </row>
        <row r="855">
          <cell r="B855" t="str">
            <v>Transformasi dan Kemandirian Ekonomi</v>
          </cell>
          <cell r="D855" t="str">
            <v>PROGRAM PENINGKATAN SARANA DISTRIBUSI PERDAGANGAN</v>
          </cell>
          <cell r="K855" t="str">
            <v>Dinas Perdagangan</v>
          </cell>
          <cell r="O855" t="str">
            <v>Labuapi</v>
          </cell>
          <cell r="Q855">
            <v>50760000</v>
          </cell>
        </row>
        <row r="856">
          <cell r="B856" t="str">
            <v>Agrominapolitan</v>
          </cell>
          <cell r="D856" t="str">
            <v>PROGRAM PENINGKATAN DIVERSIFIKASI DAN KETAHANAN PANGAN MASYARAKAT</v>
          </cell>
          <cell r="K856" t="str">
            <v>Dinas Kelautan, Perikanan, dan Ketahanan Pangan</v>
          </cell>
          <cell r="O856" t="str">
            <v>Labuapi</v>
          </cell>
          <cell r="Q856">
            <v>60000000</v>
          </cell>
        </row>
        <row r="857">
          <cell r="B857" t="str">
            <v>Transformasi Tata Kelola</v>
          </cell>
          <cell r="D857" t="str">
            <v>PROGRAM PEMBINAAN DAN PENGEMBANGAN KETAHANAN EKONOMI, SOSIAL, DAN BUDAYA</v>
          </cell>
          <cell r="K857" t="str">
            <v>Badan Kesatuan Bangsa dan Politik</v>
          </cell>
          <cell r="O857" t="str">
            <v>Labuapi</v>
          </cell>
          <cell r="Q857">
            <v>14800000</v>
          </cell>
        </row>
        <row r="858">
          <cell r="B858" t="str">
            <v>Infrastruktur Berkelanjutan</v>
          </cell>
          <cell r="D858" t="str">
            <v>PROGRAM PENGELOLAAN PERSAMPAHAN</v>
          </cell>
          <cell r="K858" t="str">
            <v>Dinas Lingkungan Hidup</v>
          </cell>
          <cell r="O858" t="str">
            <v>Labuapi</v>
          </cell>
          <cell r="Q858">
            <v>50000000</v>
          </cell>
        </row>
        <row r="859">
          <cell r="B859" t="str">
            <v>Agrominapolitan</v>
          </cell>
          <cell r="D859" t="str">
            <v>PROGRAM PENYEDIAAN DAN PENGEMBANGAN SARANA PERTANIAN</v>
          </cell>
          <cell r="K859" t="str">
            <v>Dinas Pertanian</v>
          </cell>
          <cell r="O859" t="str">
            <v>Labuapi</v>
          </cell>
          <cell r="Q859">
            <v>65000000</v>
          </cell>
        </row>
        <row r="860">
          <cell r="B860" t="str">
            <v>Infrastruktur Berkelanjutan</v>
          </cell>
          <cell r="D860" t="str">
            <v>Program Penyelenggaraan Lalu Lintas dan Angkutan Jalan (LLAJ)</v>
          </cell>
          <cell r="K860" t="str">
            <v>Dinas Perhubungan</v>
          </cell>
          <cell r="O860" t="str">
            <v>Labuapi</v>
          </cell>
          <cell r="Q860">
            <v>67000000</v>
          </cell>
        </row>
        <row r="861">
          <cell r="B861" t="str">
            <v>Infrastruktur Berkelanjutan</v>
          </cell>
          <cell r="D861" t="str">
            <v>PROGRAM PENINGKATAN PRASARANA, SARANA DAN UTILITAS UMUM (PSU)</v>
          </cell>
          <cell r="K861" t="str">
            <v>Dinas Pekerjaan Umum, Penataan Ruang, Perumahan dan Kawasan Permukiman</v>
          </cell>
          <cell r="O861" t="str">
            <v>Labuapi</v>
          </cell>
          <cell r="Q861">
            <v>98400000</v>
          </cell>
        </row>
        <row r="862">
          <cell r="B862" t="str">
            <v>Infrastruktur Berkelanjutan</v>
          </cell>
          <cell r="D862" t="str">
            <v>PROGRAM KAWASAN PERMUKIMAN</v>
          </cell>
          <cell r="K862" t="str">
            <v>Dinas Pekerjaan Umum, Penataan Ruang, Perumahan dan Kawasan Permukiman</v>
          </cell>
          <cell r="O862" t="str">
            <v>Labuapi</v>
          </cell>
          <cell r="Q862">
            <v>100000000</v>
          </cell>
        </row>
        <row r="863">
          <cell r="B863" t="str">
            <v>Infrastruktur Berkelanjutan</v>
          </cell>
          <cell r="D863" t="str">
            <v>PROGRAM PENGELOLAAN SUMBER DAYA AIR (SDA)</v>
          </cell>
          <cell r="K863" t="str">
            <v>Dinas Pekerjaan Umum, Penataan Ruang, Perumahan dan Kawasan Permukiman</v>
          </cell>
          <cell r="O863" t="str">
            <v>Labuapi</v>
          </cell>
          <cell r="Q863">
            <v>120000000</v>
          </cell>
        </row>
        <row r="864">
          <cell r="B864" t="str">
            <v>Infrastruktur Berkelanjutan</v>
          </cell>
          <cell r="D864" t="str">
            <v>PROGRAM PENGELOLAAN DAN PENGEMBANGAN SISTEM DRAINASE</v>
          </cell>
          <cell r="K864" t="str">
            <v>Dinas Pekerjaan Umum, Penataan Ruang, Perumahan dan Kawasan Permukiman</v>
          </cell>
          <cell r="O864" t="str">
            <v>Labuapi</v>
          </cell>
          <cell r="Q864">
            <v>80000000</v>
          </cell>
        </row>
        <row r="865">
          <cell r="B865" t="str">
            <v>Infrastruktur Berkelanjutan</v>
          </cell>
          <cell r="D865" t="str">
            <v>PROGRAM PENINGKATAN PRASARANA, SARANA DAN UTILITAS UMUM (PSU)</v>
          </cell>
          <cell r="K865" t="str">
            <v>Dinas Pekerjaan Umum, Penataan Ruang, Perumahan dan Kawasan Permukiman</v>
          </cell>
          <cell r="O865" t="str">
            <v>Labuapi</v>
          </cell>
          <cell r="Q865">
            <v>123000000</v>
          </cell>
        </row>
        <row r="866">
          <cell r="B866" t="str">
            <v>Infrastruktur Berkelanjutan</v>
          </cell>
          <cell r="D866" t="str">
            <v>PROGRAM PENYELENGGARAAN JALAN</v>
          </cell>
          <cell r="K866" t="str">
            <v>Dinas Pekerjaan Umum, Penataan Ruang, Perumahan dan Kawasan Permukiman</v>
          </cell>
          <cell r="O866" t="str">
            <v>Labuapi</v>
          </cell>
          <cell r="Q866">
            <v>150000000</v>
          </cell>
        </row>
        <row r="867">
          <cell r="B867" t="str">
            <v>Pembangunan SDM Unggul dan Berdaya Saing</v>
          </cell>
          <cell r="D867" t="str">
            <v>PROGRAM PEMENUHAN UPAYA KESEHATAN PERORANGAN DAN UPAYA KESEHATAN MASYARAKAT</v>
          </cell>
          <cell r="K867" t="str">
            <v>Dinas Kesehatan, Pengendalian Penduduk dan Keluarga Berencana</v>
          </cell>
          <cell r="O867" t="str">
            <v>Labuapi</v>
          </cell>
          <cell r="Q867">
            <v>500000000</v>
          </cell>
        </row>
        <row r="868">
          <cell r="B868" t="str">
            <v>Agrominapolitan</v>
          </cell>
          <cell r="D868" t="str">
            <v>PROGRAM PENYEDIAAN DAN PENGEMBANGAN SARANA PERTANIAN</v>
          </cell>
          <cell r="K868" t="str">
            <v>Dinas Pertanian</v>
          </cell>
          <cell r="O868" t="str">
            <v>Labuapi</v>
          </cell>
          <cell r="Q868">
            <v>45000000</v>
          </cell>
        </row>
        <row r="869">
          <cell r="B869" t="str">
            <v>Agrominapolitan</v>
          </cell>
          <cell r="D869" t="str">
            <v>PROGRAM PENYEDIAAN DAN PENGEMBANGAN SARANA PERTANIAN</v>
          </cell>
          <cell r="K869" t="str">
            <v>Dinas Pertanian</v>
          </cell>
          <cell r="O869" t="str">
            <v>Labuapi</v>
          </cell>
          <cell r="Q869">
            <v>10000000</v>
          </cell>
        </row>
        <row r="870">
          <cell r="B870" t="str">
            <v>Infrastruktur Berkelanjutan</v>
          </cell>
          <cell r="D870" t="str">
            <v>Program Penyelenggaraan Lalu Lintas dan Angkutan Jalan (LLAJ)</v>
          </cell>
          <cell r="K870" t="str">
            <v>Dinas Perhubungan</v>
          </cell>
          <cell r="O870" t="str">
            <v>Labuapi</v>
          </cell>
          <cell r="Q870">
            <v>16750000</v>
          </cell>
        </row>
        <row r="871">
          <cell r="B871" t="str">
            <v>Infrastruktur Berkelanjutan</v>
          </cell>
          <cell r="D871" t="str">
            <v>Program Penyelenggaraan Lalu Lintas dan Angkutan Jalan (LLAJ)</v>
          </cell>
          <cell r="K871" t="str">
            <v>Dinas Perhubungan</v>
          </cell>
          <cell r="O871" t="str">
            <v>Labuapi</v>
          </cell>
          <cell r="Q871">
            <v>16750000</v>
          </cell>
        </row>
        <row r="872">
          <cell r="B872" t="str">
            <v>Infrastruktur Berkelanjutan</v>
          </cell>
          <cell r="D872" t="str">
            <v>Program Penyelenggaraan Lalu Lintas dan Angkutan Jalan (LLAJ)</v>
          </cell>
          <cell r="K872" t="str">
            <v>Dinas Perhubungan</v>
          </cell>
          <cell r="O872" t="str">
            <v>Labuapi</v>
          </cell>
          <cell r="Q872">
            <v>16750000</v>
          </cell>
        </row>
        <row r="873">
          <cell r="B873" t="str">
            <v>Infrastruktur Berkelanjutan</v>
          </cell>
          <cell r="D873" t="str">
            <v>Program Penyelenggaraan Lalu Lintas dan Angkutan Jalan (LLAJ)</v>
          </cell>
          <cell r="K873" t="str">
            <v>Dinas Perhubungan</v>
          </cell>
          <cell r="O873" t="str">
            <v>Labuapi</v>
          </cell>
          <cell r="Q873">
            <v>16750000</v>
          </cell>
        </row>
        <row r="874">
          <cell r="B874" t="str">
            <v>Infrastruktur Berkelanjutan</v>
          </cell>
          <cell r="D874" t="str">
            <v>PROGRAM KAWASAN PERMUKIMAN</v>
          </cell>
          <cell r="K874" t="str">
            <v>Dinas Pekerjaan Umum, Penataan Ruang, Perumahan dan Kawasan Permukiman</v>
          </cell>
          <cell r="O874" t="str">
            <v>Labuapi</v>
          </cell>
          <cell r="Q874">
            <v>75000000</v>
          </cell>
        </row>
        <row r="875">
          <cell r="B875" t="str">
            <v>Infrastruktur Berkelanjutan</v>
          </cell>
          <cell r="D875" t="str">
            <v>PROGRAM PENINGKATAN PRASARANA, SARANA DAN UTILITAS UMUM (PSU)</v>
          </cell>
          <cell r="K875" t="str">
            <v>Dinas Pekerjaan Umum, Penataan Ruang, Perumahan dan Kawasan Permukiman</v>
          </cell>
          <cell r="O875" t="str">
            <v>Labuapi</v>
          </cell>
          <cell r="Q875">
            <v>102960000</v>
          </cell>
        </row>
        <row r="876">
          <cell r="B876" t="str">
            <v>Infrastruktur Berkelanjutan</v>
          </cell>
          <cell r="D876" t="str">
            <v>PROGRAM PENINGKATAN PRASARANA, SARANA DAN UTILITAS UMUM (PSU)</v>
          </cell>
          <cell r="K876" t="str">
            <v>Dinas Pekerjaan Umum, Penataan Ruang, Perumahan dan Kawasan Permukiman</v>
          </cell>
          <cell r="O876" t="str">
            <v>Labuapi</v>
          </cell>
          <cell r="Q876">
            <v>101600000</v>
          </cell>
        </row>
        <row r="877">
          <cell r="B877" t="str">
            <v>Infrastruktur Berkelanjutan</v>
          </cell>
          <cell r="D877" t="str">
            <v>PROGRAM KAWASAN PERMUKIMAN</v>
          </cell>
          <cell r="K877" t="str">
            <v>Dinas Pekerjaan Umum, Penataan Ruang, Perumahan dan Kawasan Permukiman</v>
          </cell>
          <cell r="O877" t="str">
            <v>Labuapi</v>
          </cell>
          <cell r="Q877">
            <v>75000000</v>
          </cell>
        </row>
        <row r="878">
          <cell r="B878" t="str">
            <v>Infrastruktur Berkelanjutan</v>
          </cell>
          <cell r="D878" t="str">
            <v>PROGRAM PENINGKATAN PRASARANA, SARANA DAN UTILITAS UMUM (PSU)</v>
          </cell>
          <cell r="K878" t="str">
            <v>Dinas Pekerjaan Umum, Penataan Ruang, Perumahan dan Kawasan Permukiman</v>
          </cell>
          <cell r="O878" t="str">
            <v>Labuapi</v>
          </cell>
          <cell r="Q878">
            <v>25400000</v>
          </cell>
        </row>
        <row r="879">
          <cell r="B879" t="str">
            <v>Infrastruktur Berkelanjutan</v>
          </cell>
          <cell r="D879" t="str">
            <v>PROGRAM PENYELENGGARAAN JALAN</v>
          </cell>
          <cell r="K879" t="str">
            <v>Dinas Pekerjaan Umum, Penataan Ruang, Perumahan dan Kawasan Permukiman</v>
          </cell>
          <cell r="O879" t="str">
            <v>Labuapi</v>
          </cell>
          <cell r="Q879">
            <v>150000000</v>
          </cell>
        </row>
        <row r="880">
          <cell r="B880" t="str">
            <v>Infrastruktur Berkelanjutan</v>
          </cell>
          <cell r="D880" t="str">
            <v>PROGRAM KAWASAN PERMUKIMAN</v>
          </cell>
          <cell r="K880" t="str">
            <v>Dinas Pekerjaan Umum, Penataan Ruang, Perumahan dan Kawasan Permukiman</v>
          </cell>
          <cell r="O880" t="str">
            <v>Labuapi</v>
          </cell>
          <cell r="Q880">
            <v>50000000</v>
          </cell>
        </row>
        <row r="881">
          <cell r="B881" t="str">
            <v>Transformasi dan Kemandirian Ekonomi</v>
          </cell>
          <cell r="D881" t="str">
            <v>PROGRAM PENINGKATAN SARANA DISTRIBUSI PERDAGANGAN</v>
          </cell>
          <cell r="K881" t="str">
            <v>Dinas Perdagangan</v>
          </cell>
          <cell r="O881" t="str">
            <v>Labuapi</v>
          </cell>
          <cell r="Q881">
            <v>50000000</v>
          </cell>
        </row>
        <row r="882">
          <cell r="B882" t="str">
            <v>Infrastruktur Berkelanjutan</v>
          </cell>
          <cell r="D882" t="str">
            <v>PROGRAM PENGELOLAAN SUMBER DAYA AIR (SDA)</v>
          </cell>
          <cell r="K882" t="str">
            <v>Dinas Pekerjaan Umum, Penataan Ruang, Perumahan dan Kawasan Permukiman</v>
          </cell>
          <cell r="O882" t="str">
            <v>Labuapi</v>
          </cell>
          <cell r="Q882">
            <v>50000000</v>
          </cell>
        </row>
        <row r="883">
          <cell r="B883" t="str">
            <v>Infrastruktur Berkelanjutan</v>
          </cell>
          <cell r="D883" t="str">
            <v>PROGRAM KAWASAN PERMUKIMAN</v>
          </cell>
          <cell r="K883" t="str">
            <v>Dinas Pekerjaan Umum, Penataan Ruang, Perumahan dan Kawasan Permukiman</v>
          </cell>
          <cell r="O883" t="str">
            <v>Labuapi</v>
          </cell>
          <cell r="Q883">
            <v>50000000</v>
          </cell>
        </row>
        <row r="884">
          <cell r="B884" t="str">
            <v>Transformasi dan Kemandirian Ekonomi</v>
          </cell>
          <cell r="D884" t="str">
            <v>PROGRAM PENINGKATAN SARANA DISTRIBUSI PERDAGANGAN</v>
          </cell>
          <cell r="K884" t="str">
            <v>Dinas Perdagangan</v>
          </cell>
          <cell r="O884" t="str">
            <v>Labuapi</v>
          </cell>
          <cell r="Q884">
            <v>50000000</v>
          </cell>
        </row>
        <row r="885">
          <cell r="B885" t="str">
            <v>Infrastruktur Berkelanjutan</v>
          </cell>
          <cell r="D885" t="str">
            <v>PROGRAM PENGELOLAAN SUMBER DAYA AIR (SDA)</v>
          </cell>
          <cell r="K885" t="str">
            <v>Dinas Pekerjaan Umum, Penataan Ruang, Perumahan dan Kawasan Permukiman</v>
          </cell>
          <cell r="O885" t="str">
            <v>Labuapi</v>
          </cell>
          <cell r="Q885">
            <v>50000000</v>
          </cell>
        </row>
        <row r="886">
          <cell r="B886" t="str">
            <v>Infrastruktur Berkelanjutan</v>
          </cell>
          <cell r="D886" t="str">
            <v>PROGRAM KAWASAN PERMUKIMAN</v>
          </cell>
          <cell r="K886" t="str">
            <v>Dinas Pekerjaan Umum, Penataan Ruang, Perumahan dan Kawasan Permukiman</v>
          </cell>
          <cell r="O886" t="str">
            <v>Labuapi</v>
          </cell>
          <cell r="Q886">
            <v>50000000</v>
          </cell>
        </row>
        <row r="887">
          <cell r="B887" t="str">
            <v>Transformasi dan Kemandirian Ekonomi</v>
          </cell>
          <cell r="D887" t="str">
            <v>PROGRAM PENINGKATAN SARANA DISTRIBUSI PERDAGANGAN</v>
          </cell>
          <cell r="K887" t="str">
            <v>Dinas Perdagangan</v>
          </cell>
          <cell r="O887" t="str">
            <v>Labuapi</v>
          </cell>
          <cell r="Q887">
            <v>50000000</v>
          </cell>
        </row>
        <row r="888">
          <cell r="B888" t="str">
            <v>Infrastruktur Berkelanjutan</v>
          </cell>
          <cell r="D888" t="str">
            <v>PROGRAM PENGELOLAAN SUMBER DAYA AIR (SDA)</v>
          </cell>
          <cell r="K888" t="str">
            <v>Dinas Pekerjaan Umum, Penataan Ruang, Perumahan dan Kawasan Permukiman</v>
          </cell>
          <cell r="O888" t="str">
            <v>Labuapi</v>
          </cell>
          <cell r="Q888">
            <v>50000000</v>
          </cell>
        </row>
        <row r="889">
          <cell r="B889" t="str">
            <v>Infrastruktur Berkelanjutan</v>
          </cell>
          <cell r="D889" t="str">
            <v>PROGRAM KAWASAN PERMUKIMAN</v>
          </cell>
          <cell r="K889" t="str">
            <v>Dinas Pekerjaan Umum, Penataan Ruang, Perumahan dan Kawasan Permukiman</v>
          </cell>
          <cell r="O889" t="str">
            <v>Labuapi</v>
          </cell>
          <cell r="Q889">
            <v>50000000</v>
          </cell>
        </row>
        <row r="890">
          <cell r="B890" t="str">
            <v>Transformasi dan Kemandirian Ekonomi</v>
          </cell>
          <cell r="D890" t="str">
            <v>PROGRAM PENINGKATAN SARANA DISTRIBUSI PERDAGANGAN</v>
          </cell>
          <cell r="K890" t="str">
            <v>Dinas Perdagangan</v>
          </cell>
          <cell r="O890" t="str">
            <v>Labuapi</v>
          </cell>
          <cell r="Q890">
            <v>50000000</v>
          </cell>
        </row>
        <row r="891">
          <cell r="B891" t="str">
            <v>Infrastruktur Berkelanjutan</v>
          </cell>
          <cell r="D891" t="str">
            <v>PROGRAM PENGELOLAAN SUMBER DAYA AIR (SDA)</v>
          </cell>
          <cell r="K891" t="str">
            <v>Dinas Pekerjaan Umum, Penataan Ruang, Perumahan dan Kawasan Permukiman</v>
          </cell>
          <cell r="O891" t="str">
            <v>Labuapi</v>
          </cell>
          <cell r="Q891">
            <v>50000000</v>
          </cell>
        </row>
        <row r="892">
          <cell r="B892" t="str">
            <v>Infrastruktur Berkelanjutan</v>
          </cell>
          <cell r="D892" t="str">
            <v>PROGRAM KAWASAN PERMUKIMAN</v>
          </cell>
          <cell r="K892" t="str">
            <v>Dinas Pekerjaan Umum, Penataan Ruang, Perumahan dan Kawasan Permukiman</v>
          </cell>
          <cell r="O892" t="str">
            <v>Labuapi</v>
          </cell>
          <cell r="Q892">
            <v>50000000</v>
          </cell>
        </row>
        <row r="893">
          <cell r="B893" t="str">
            <v>Transformasi dan Kemandirian Ekonomi</v>
          </cell>
          <cell r="D893" t="str">
            <v>PROGRAM PENINGKATAN SARANA DISTRIBUSI PERDAGANGAN</v>
          </cell>
          <cell r="K893" t="str">
            <v>Dinas Perdagangan</v>
          </cell>
          <cell r="O893" t="str">
            <v>Labuapi</v>
          </cell>
          <cell r="Q893">
            <v>50000000</v>
          </cell>
        </row>
        <row r="894">
          <cell r="B894" t="str">
            <v>Infrastruktur Berkelanjutan</v>
          </cell>
          <cell r="D894" t="str">
            <v>PROGRAM PENGELOLAAN SUMBER DAYA AIR (SDA)</v>
          </cell>
          <cell r="K894" t="str">
            <v>Dinas Pekerjaan Umum, Penataan Ruang, Perumahan dan Kawasan Permukiman</v>
          </cell>
          <cell r="O894" t="str">
            <v>Labuapi</v>
          </cell>
          <cell r="Q894">
            <v>50000000</v>
          </cell>
        </row>
        <row r="895">
          <cell r="B895" t="str">
            <v>Infrastruktur Berkelanjutan</v>
          </cell>
          <cell r="D895" t="str">
            <v>PROGRAM KAWASAN PERMUKIMAN</v>
          </cell>
          <cell r="K895" t="str">
            <v>Dinas Pekerjaan Umum, Penataan Ruang, Perumahan dan Kawasan Permukiman</v>
          </cell>
          <cell r="O895" t="str">
            <v>Labuapi</v>
          </cell>
          <cell r="Q895">
            <v>50000000</v>
          </cell>
        </row>
        <row r="896">
          <cell r="B896" t="str">
            <v>Infrastruktur Berkelanjutan</v>
          </cell>
          <cell r="D896" t="str">
            <v>Program Penyelenggaraan Lalu Lintas dan Angkutan Jalan (LLAJ)</v>
          </cell>
          <cell r="K896" t="str">
            <v>Dinas Perhubungan</v>
          </cell>
          <cell r="O896" t="str">
            <v>Labuapi</v>
          </cell>
          <cell r="Q896">
            <v>50250000</v>
          </cell>
        </row>
        <row r="897">
          <cell r="B897" t="str">
            <v>Infrastruktur Berkelanjutan</v>
          </cell>
          <cell r="D897" t="str">
            <v>PROGRAM KAWASAN PERMUKIMAN</v>
          </cell>
          <cell r="K897" t="str">
            <v>Dinas Pekerjaan Umum, Penataan Ruang, Perumahan dan Kawasan Permukiman</v>
          </cell>
          <cell r="O897" t="str">
            <v>Labuapi</v>
          </cell>
          <cell r="Q897">
            <v>50000000</v>
          </cell>
        </row>
        <row r="898">
          <cell r="B898" t="str">
            <v>Infrastruktur Berkelanjutan</v>
          </cell>
          <cell r="D898" t="str">
            <v>PROGRAM PENGELOLAAN DAN PENGEMBANGAN SISTEM DRAINASE</v>
          </cell>
          <cell r="K898" t="str">
            <v>Dinas Pekerjaan Umum, Penataan Ruang, Perumahan dan Kawasan Permukiman</v>
          </cell>
          <cell r="O898" t="str">
            <v>Labuapi</v>
          </cell>
          <cell r="Q898">
            <v>50000000</v>
          </cell>
        </row>
        <row r="899">
          <cell r="B899" t="str">
            <v>Infrastruktur Berkelanjutan</v>
          </cell>
          <cell r="D899" t="str">
            <v>PROGRAM PENGELOLAAN SUMBER DAYA AIR (SDA)</v>
          </cell>
          <cell r="K899" t="str">
            <v>Dinas Pekerjaan Umum, Penataan Ruang, Perumahan dan Kawasan Permukiman</v>
          </cell>
          <cell r="O899" t="str">
            <v>Labuapi</v>
          </cell>
          <cell r="Q899">
            <v>50000000</v>
          </cell>
        </row>
        <row r="900">
          <cell r="B900" t="str">
            <v>Transformasi dan Kemandirian Ekonomi</v>
          </cell>
          <cell r="D900" t="str">
            <v>PROGRAM PENINGKATAN SARANA DISTRIBUSI PERDAGANGAN</v>
          </cell>
          <cell r="K900" t="str">
            <v>Dinas Perdagangan</v>
          </cell>
          <cell r="O900" t="str">
            <v>Labuapi</v>
          </cell>
          <cell r="Q900">
            <v>50000000</v>
          </cell>
        </row>
        <row r="901">
          <cell r="B901" t="str">
            <v>Infrastruktur Berkelanjutan</v>
          </cell>
          <cell r="D901" t="str">
            <v>PROGRAM KAWASAN PERMUKIMAN</v>
          </cell>
          <cell r="K901" t="str">
            <v>Dinas Pekerjaan Umum, Penataan Ruang, Perumahan dan Kawasan Permukiman</v>
          </cell>
          <cell r="O901" t="str">
            <v>Labuapi</v>
          </cell>
          <cell r="Q901">
            <v>50000000</v>
          </cell>
        </row>
        <row r="902">
          <cell r="B902" t="str">
            <v>Infrastruktur Berkelanjutan</v>
          </cell>
          <cell r="D902" t="str">
            <v>PROGRAM PENGELOLAAN SUMBER DAYA AIR (SDA)</v>
          </cell>
          <cell r="K902" t="str">
            <v>Dinas Pekerjaan Umum, Penataan Ruang, Perumahan dan Kawasan Permukiman</v>
          </cell>
          <cell r="O902" t="str">
            <v>Labuapi</v>
          </cell>
          <cell r="Q902">
            <v>50000000</v>
          </cell>
        </row>
        <row r="903">
          <cell r="B903" t="str">
            <v>Transformasi dan Kemandirian Ekonomi</v>
          </cell>
          <cell r="D903" t="str">
            <v>PROGRAM PENINGKATAN SARANA DISTRIBUSI PERDAGANGAN</v>
          </cell>
          <cell r="K903" t="str">
            <v>Dinas Perdagangan</v>
          </cell>
          <cell r="O903" t="str">
            <v>Labuapi</v>
          </cell>
          <cell r="Q903">
            <v>50000000</v>
          </cell>
        </row>
        <row r="904">
          <cell r="B904" t="str">
            <v>Infrastruktur Berkelanjutan</v>
          </cell>
          <cell r="D904" t="str">
            <v>PROGRAM KAWASAN PERMUKIMAN</v>
          </cell>
          <cell r="K904" t="str">
            <v>Dinas Pekerjaan Umum, Penataan Ruang, Perumahan dan Kawasan Permukiman</v>
          </cell>
          <cell r="O904" t="str">
            <v>Labuapi</v>
          </cell>
          <cell r="Q904">
            <v>50000000</v>
          </cell>
        </row>
        <row r="905">
          <cell r="B905" t="str">
            <v>KECAMATAN KURIPAN</v>
          </cell>
        </row>
        <row r="906">
          <cell r="B906" t="str">
            <v>Transformasi dan Kemandirian Ekonomi</v>
          </cell>
          <cell r="D906" t="str">
            <v>PROGRAM PENINGKATAN SARANA DISTRIBUSI PERDAGANGAN</v>
          </cell>
          <cell r="K906" t="str">
            <v>Dinas Perdagangan</v>
          </cell>
          <cell r="O906" t="str">
            <v>Kuripan</v>
          </cell>
          <cell r="Q906">
            <v>63450000</v>
          </cell>
        </row>
        <row r="907">
          <cell r="B907" t="str">
            <v>Pembangunan SDM Unggul dan Berdaya Saing</v>
          </cell>
          <cell r="D907" t="str">
            <v>PROGRAM PENGELOLAAN PENDIDIKAN</v>
          </cell>
          <cell r="K907" t="str">
            <v>Dinas Pendidikan dan Kebudayaan</v>
          </cell>
          <cell r="O907" t="str">
            <v>Kuripan</v>
          </cell>
          <cell r="Q907">
            <v>222290000</v>
          </cell>
        </row>
        <row r="908">
          <cell r="B908" t="str">
            <v>Transformasi Tata Kelola</v>
          </cell>
          <cell r="D908" t="str">
            <v>PROGRAM PENINGKATAN KETENTERAMAN DAN KETERTIBAN UMUM</v>
          </cell>
          <cell r="K908" t="str">
            <v>Satuan Polisi Pamong Praja</v>
          </cell>
          <cell r="O908" t="str">
            <v>Kuripan</v>
          </cell>
          <cell r="Q908">
            <v>17282000</v>
          </cell>
        </row>
        <row r="909">
          <cell r="B909" t="str">
            <v>Transformasi Tata Kelola</v>
          </cell>
          <cell r="D909" t="str">
            <v>PROGRAM PENINGKATAN KETENTERAMAN DAN KETERTIBAN UMUM</v>
          </cell>
          <cell r="K909" t="str">
            <v>Satuan Polisi Pamong Praja</v>
          </cell>
          <cell r="O909" t="str">
            <v>Kuripan</v>
          </cell>
          <cell r="Q909">
            <v>17282000</v>
          </cell>
        </row>
        <row r="910">
          <cell r="B910" t="str">
            <v>Transformasi Tata Kelola</v>
          </cell>
          <cell r="D910" t="str">
            <v>PROGRAM PENINGKATAN KETENTERAMAN DAN KETERTIBAN UMUM</v>
          </cell>
          <cell r="K910" t="str">
            <v>Satuan Polisi Pamong Praja</v>
          </cell>
          <cell r="O910" t="str">
            <v>Kuripan</v>
          </cell>
          <cell r="Q910">
            <v>17282000</v>
          </cell>
        </row>
        <row r="911">
          <cell r="B911" t="str">
            <v>Transformasi Tata Kelola</v>
          </cell>
          <cell r="D911" t="str">
            <v>PROGRAM PENINGKATAN KETENTERAMAN DAN KETERTIBAN UMUM</v>
          </cell>
          <cell r="K911" t="str">
            <v>Satuan Polisi Pamong Praja</v>
          </cell>
          <cell r="O911" t="str">
            <v>Kuripan</v>
          </cell>
          <cell r="Q911">
            <v>8641000</v>
          </cell>
        </row>
        <row r="912">
          <cell r="B912" t="str">
            <v>Transformasi Tata Kelola</v>
          </cell>
          <cell r="D912" t="str">
            <v>PROGRAM PENINGKATAN KETENTERAMAN DAN KETERTIBAN UMUM</v>
          </cell>
          <cell r="K912" t="str">
            <v>Satuan Polisi Pamong Praja</v>
          </cell>
          <cell r="O912" t="str">
            <v>Kuripan</v>
          </cell>
          <cell r="Q912">
            <v>8641000</v>
          </cell>
        </row>
        <row r="913">
          <cell r="B913" t="str">
            <v>Transformasi Tata Kelola</v>
          </cell>
          <cell r="D913" t="str">
            <v>PROGRAM PENINGKATAN KETENTERAMAN DAN KETERTIBAN UMUM</v>
          </cell>
          <cell r="K913" t="str">
            <v>Satuan Polisi Pamong Praja</v>
          </cell>
          <cell r="O913" t="str">
            <v>Kuripan</v>
          </cell>
          <cell r="Q913">
            <v>8641000</v>
          </cell>
        </row>
        <row r="914">
          <cell r="B914" t="str">
            <v>Transformasi Tata Kelola</v>
          </cell>
          <cell r="D914" t="str">
            <v>PROGRAM PENINGKATAN KETENTERAMAN DAN KETERTIBAN UMUM</v>
          </cell>
          <cell r="K914" t="str">
            <v>Satuan Polisi Pamong Praja</v>
          </cell>
          <cell r="O914" t="str">
            <v>Kuripan</v>
          </cell>
          <cell r="Q914">
            <v>8641000</v>
          </cell>
        </row>
        <row r="915">
          <cell r="B915" t="str">
            <v>Agrominapolitan</v>
          </cell>
          <cell r="D915" t="str">
            <v>PROGRAM PENYEDIAAN DAN PENGEMBANGAN SARANA PERTANIAN</v>
          </cell>
          <cell r="K915" t="str">
            <v>Dinas Pertanian</v>
          </cell>
          <cell r="O915" t="str">
            <v>Kuripan</v>
          </cell>
          <cell r="Q915">
            <v>90000000</v>
          </cell>
        </row>
        <row r="916">
          <cell r="B916" t="str">
            <v>Transformasi dan Kemandirian Ekonomi</v>
          </cell>
          <cell r="D916" t="str">
            <v>Program Pengembangan Kapasitas Daya Saing Keolahragaan</v>
          </cell>
          <cell r="K916" t="str">
            <v>Dinas Pariwisata, Ekonomi Kreatif, Pemuda, dan Olahraga</v>
          </cell>
          <cell r="O916" t="str">
            <v>Kuripan</v>
          </cell>
          <cell r="Q916">
            <v>45850000</v>
          </cell>
        </row>
        <row r="917">
          <cell r="B917" t="str">
            <v>Transformasi dan Kemandirian Ekonomi</v>
          </cell>
          <cell r="D917" t="str">
            <v>PROGRAM PENGEMBANGAN UMKM</v>
          </cell>
          <cell r="K917" t="str">
            <v>Dinas Perindustrian, Koperasi, Usaha Kecil dan Menengah, dan Tenaga Kerja</v>
          </cell>
          <cell r="O917" t="str">
            <v>Kuripan</v>
          </cell>
          <cell r="Q917">
            <v>40000000</v>
          </cell>
        </row>
        <row r="918">
          <cell r="B918" t="str">
            <v>Infrastruktur Berkelanjutan</v>
          </cell>
          <cell r="D918" t="str">
            <v>PROGRAM PENINGKATAN PRASARANA, SARANA DAN UTILITAS UMUM (PSU)</v>
          </cell>
          <cell r="K918" t="str">
            <v>Dinas Pekerjaan Umum, Penataan Ruang, Perumahan dan Kawasan Permukiman</v>
          </cell>
          <cell r="O918" t="str">
            <v>Kuripan</v>
          </cell>
          <cell r="Q918">
            <v>82000000</v>
          </cell>
        </row>
        <row r="919">
          <cell r="B919" t="str">
            <v>Infrastruktur Berkelanjutan</v>
          </cell>
          <cell r="D919" t="str">
            <v>PROGRAM PENINGKATAN PRASARANA, SARANA DAN UTILITAS UMUM (PSU)</v>
          </cell>
          <cell r="K919" t="str">
            <v>Dinas Pekerjaan Umum, Penataan Ruang, Perumahan dan Kawasan Permukiman</v>
          </cell>
          <cell r="O919" t="str">
            <v>Kuripan</v>
          </cell>
          <cell r="Q919">
            <v>246000000</v>
          </cell>
        </row>
        <row r="920">
          <cell r="B920" t="str">
            <v>Infrastruktur Berkelanjutan</v>
          </cell>
          <cell r="D920" t="str">
            <v>PROGRAM PENINGKATAN PRASARANA, SARANA DAN UTILITAS UMUM (PSU)</v>
          </cell>
          <cell r="K920" t="str">
            <v>Dinas Pekerjaan Umum, Penataan Ruang, Perumahan dan Kawasan Permukiman</v>
          </cell>
          <cell r="O920" t="str">
            <v>Kuripan</v>
          </cell>
          <cell r="Q920">
            <v>68000000</v>
          </cell>
        </row>
        <row r="921">
          <cell r="B921" t="str">
            <v>Infrastruktur Berkelanjutan</v>
          </cell>
          <cell r="D921" t="str">
            <v>PROGRAM PENINGKATAN PRASARANA, SARANA DAN UTILITAS UMUM (PSU)</v>
          </cell>
          <cell r="K921" t="str">
            <v>Dinas Pekerjaan Umum, Penataan Ruang, Perumahan dan Kawasan Permukiman</v>
          </cell>
          <cell r="O921" t="str">
            <v>Kuripan</v>
          </cell>
          <cell r="Q921">
            <v>56000000</v>
          </cell>
        </row>
        <row r="922">
          <cell r="B922" t="str">
            <v>Transformasi dan Kemandirian Ekonomi</v>
          </cell>
          <cell r="D922" t="str">
            <v>PROGRAM PENGEMBANGAN UMKM</v>
          </cell>
          <cell r="K922" t="str">
            <v>Dinas Perindustrian, Koperasi, Usaha Kecil dan Menengah, dan Tenaga Kerja</v>
          </cell>
          <cell r="O922" t="str">
            <v>Kuripan</v>
          </cell>
          <cell r="Q922">
            <v>30000000</v>
          </cell>
        </row>
        <row r="923">
          <cell r="B923" t="str">
            <v>Infrastruktur Berkelanjutan</v>
          </cell>
          <cell r="D923" t="str">
            <v>PROGRAM PENGELOLAAN DAN PENGEMBANGAN SISTEM DRAINASE</v>
          </cell>
          <cell r="K923" t="str">
            <v>Dinas Pekerjaan Umum, Penataan Ruang, Perumahan dan Kawasan Permukiman</v>
          </cell>
          <cell r="O923" t="str">
            <v>Kuripan</v>
          </cell>
          <cell r="Q923">
            <v>113500000</v>
          </cell>
        </row>
        <row r="924">
          <cell r="B924" t="str">
            <v>Infrastruktur Berkelanjutan</v>
          </cell>
          <cell r="D924" t="str">
            <v>PROGRAM PENGELOLAAN DAN PENGEMBANGAN SISTEM DRAINASE</v>
          </cell>
          <cell r="K924" t="str">
            <v>Dinas Pekerjaan Umum, Penataan Ruang, Perumahan dan Kawasan Permukiman</v>
          </cell>
          <cell r="O924" t="str">
            <v>Kuripan</v>
          </cell>
          <cell r="Q924">
            <v>113500000</v>
          </cell>
        </row>
        <row r="925">
          <cell r="B925" t="str">
            <v>Infrastruktur Berkelanjutan</v>
          </cell>
          <cell r="D925" t="str">
            <v>PROGRAM KAWASAN PERMUKIMAN</v>
          </cell>
          <cell r="K925" t="str">
            <v>Dinas Pekerjaan Umum, Penataan Ruang, Perumahan dan Kawasan Permukiman</v>
          </cell>
          <cell r="O925" t="str">
            <v>Kuripan</v>
          </cell>
          <cell r="Q925">
            <v>75000000</v>
          </cell>
        </row>
        <row r="926">
          <cell r="B926" t="str">
            <v>Infrastruktur Berkelanjutan</v>
          </cell>
          <cell r="D926" t="str">
            <v>PROGRAM PENINGKATAN PRASARANA, SARANA DAN UTILITAS UMUM (PSU)</v>
          </cell>
          <cell r="K926" t="str">
            <v>Dinas Pekerjaan Umum, Penataan Ruang, Perumahan dan Kawasan Permukiman</v>
          </cell>
          <cell r="O926" t="str">
            <v>Kuripan</v>
          </cell>
          <cell r="Q926">
            <v>113500000</v>
          </cell>
        </row>
        <row r="927">
          <cell r="B927" t="str">
            <v>Infrastruktur Berkelanjutan</v>
          </cell>
          <cell r="D927" t="str">
            <v>PROGRAM PENINGKATAN PRASARANA, SARANA DAN UTILITAS UMUM (PSU)</v>
          </cell>
          <cell r="K927" t="str">
            <v>Dinas Pekerjaan Umum, Penataan Ruang, Perumahan dan Kawasan Permukiman</v>
          </cell>
          <cell r="O927" t="str">
            <v>Kuripan</v>
          </cell>
          <cell r="Q927">
            <v>113500000</v>
          </cell>
        </row>
        <row r="928">
          <cell r="B928" t="str">
            <v>Infrastruktur Berkelanjutan</v>
          </cell>
          <cell r="D928" t="str">
            <v>PROGRAM KAWASAN PERMUKIMAN</v>
          </cell>
          <cell r="K928" t="str">
            <v>Dinas Pekerjaan Umum, Penataan Ruang, Perumahan dan Kawasan Permukiman</v>
          </cell>
          <cell r="O928" t="str">
            <v>Kuripan</v>
          </cell>
          <cell r="Q928">
            <v>75000000</v>
          </cell>
        </row>
        <row r="929">
          <cell r="B929" t="str">
            <v>Infrastruktur Berkelanjutan</v>
          </cell>
          <cell r="D929" t="str">
            <v>PROGRAM KAWASAN PERMUKIMAN</v>
          </cell>
          <cell r="K929" t="str">
            <v>Dinas Pekerjaan Umum, Penataan Ruang, Perumahan dan Kawasan Permukiman</v>
          </cell>
          <cell r="O929" t="str">
            <v>Kuripan</v>
          </cell>
          <cell r="Q929">
            <v>75000000</v>
          </cell>
        </row>
        <row r="930">
          <cell r="B930" t="str">
            <v>Infrastruktur Berkelanjutan</v>
          </cell>
          <cell r="D930" t="str">
            <v>PROGRAM PENINGKATAN PRASARANA, SARANA DAN UTILITAS UMUM (PSU)</v>
          </cell>
          <cell r="K930" t="str">
            <v>Dinas Pekerjaan Umum, Penataan Ruang, Perumahan dan Kawasan Permukiman</v>
          </cell>
          <cell r="O930" t="str">
            <v>Kuripan</v>
          </cell>
          <cell r="Q930">
            <v>113500000</v>
          </cell>
        </row>
        <row r="931">
          <cell r="B931" t="str">
            <v>Infrastruktur Berkelanjutan</v>
          </cell>
          <cell r="D931" t="str">
            <v>PROGRAM PENINGKATAN PRASARANA, SARANA DAN UTILITAS UMUM (PSU)</v>
          </cell>
          <cell r="K931" t="str">
            <v>Dinas Pekerjaan Umum, Penataan Ruang, Perumahan dan Kawasan Permukiman</v>
          </cell>
          <cell r="O931" t="str">
            <v>Kuripan</v>
          </cell>
          <cell r="Q931">
            <v>102500000</v>
          </cell>
        </row>
        <row r="932">
          <cell r="B932" t="str">
            <v>Infrastruktur Berkelanjutan</v>
          </cell>
          <cell r="D932" t="str">
            <v>PROGRAM KAWASAN PERMUKIMAN</v>
          </cell>
          <cell r="K932" t="str">
            <v>Dinas Pekerjaan Umum, Penataan Ruang, Perumahan dan Kawasan Permukiman</v>
          </cell>
          <cell r="O932" t="str">
            <v>Kuripan</v>
          </cell>
          <cell r="Q932">
            <v>75000000</v>
          </cell>
        </row>
        <row r="933">
          <cell r="B933" t="str">
            <v>Infrastruktur Berkelanjutan</v>
          </cell>
          <cell r="D933" t="str">
            <v>PROGRAM PENANGGULANGAN BENCANA</v>
          </cell>
          <cell r="K933" t="str">
            <v>Badan Penanggulangan Bencana Daerah</v>
          </cell>
          <cell r="O933" t="str">
            <v>Kuripan</v>
          </cell>
          <cell r="Q933">
            <v>50000000</v>
          </cell>
        </row>
        <row r="934">
          <cell r="B934" t="str">
            <v>Pembangunan SDM Unggul dan Berdaya Saing</v>
          </cell>
          <cell r="D934" t="str">
            <v>PROGRAM PENGELOLAAN PENDIDIKAN</v>
          </cell>
          <cell r="K934" t="str">
            <v>Dinas Pendidikan dan Kebudayaan</v>
          </cell>
          <cell r="O934" t="str">
            <v>Kuripan</v>
          </cell>
          <cell r="Q934">
            <v>50000000</v>
          </cell>
        </row>
        <row r="935">
          <cell r="B935" t="str">
            <v>Agrominapolitan</v>
          </cell>
          <cell r="D935" t="str">
            <v>PROGRAM PENYEDIAAN DAN PENGEMBANGAN SARANA PERTANIAN</v>
          </cell>
          <cell r="K935" t="str">
            <v>Dinas Pertanian</v>
          </cell>
          <cell r="O935" t="str">
            <v>Kuripan</v>
          </cell>
          <cell r="Q935">
            <v>30000000</v>
          </cell>
        </row>
        <row r="936">
          <cell r="B936" t="str">
            <v>Transformasi dan Kemandirian Ekonomi</v>
          </cell>
          <cell r="D936" t="str">
            <v>PROGRAM PENGEMBANGAN UMKM</v>
          </cell>
          <cell r="K936" t="str">
            <v>Dinas Perindustrian, Koperasi, Usaha Kecil dan Menengah, dan Tenaga Kerja</v>
          </cell>
          <cell r="O936" t="str">
            <v>Kuripan</v>
          </cell>
          <cell r="Q936">
            <v>50000000</v>
          </cell>
        </row>
        <row r="937">
          <cell r="B937" t="str">
            <v>Transformasi dan Kemandirian Ekonomi</v>
          </cell>
          <cell r="D937" t="str">
            <v>PROGRAM PENGEMBANGAN UMKM</v>
          </cell>
          <cell r="K937" t="str">
            <v>Dinas Perindustrian, Koperasi, Usaha Kecil dan Menengah, dan Tenaga Kerja</v>
          </cell>
          <cell r="O937" t="str">
            <v>Kuripan</v>
          </cell>
          <cell r="Q937">
            <v>45000000</v>
          </cell>
        </row>
        <row r="938">
          <cell r="B938" t="str">
            <v>Infrastruktur Berkelanjutan</v>
          </cell>
          <cell r="D938" t="str">
            <v>PROGRAM PENGELOLAAN DAN PENGEMBANGAN SISTEM DRAINASE</v>
          </cell>
          <cell r="K938" t="str">
            <v>Dinas Pekerjaan Umum, Penataan Ruang, Perumahan dan Kawasan Permukiman</v>
          </cell>
          <cell r="O938" t="str">
            <v>Kuripan</v>
          </cell>
          <cell r="Q938">
            <v>100000000</v>
          </cell>
        </row>
        <row r="939">
          <cell r="B939" t="str">
            <v>Infrastruktur Berkelanjutan</v>
          </cell>
          <cell r="D939" t="str">
            <v>PROGRAM PENINGKATAN PRASARANA, SARANA DAN UTILITAS UMUM (PSU)</v>
          </cell>
          <cell r="K939" t="str">
            <v>Dinas Pekerjaan Umum, Penataan Ruang, Perumahan dan Kawasan Permukiman</v>
          </cell>
          <cell r="O939" t="str">
            <v>Kuripan</v>
          </cell>
          <cell r="Q939">
            <v>100000000</v>
          </cell>
        </row>
        <row r="940">
          <cell r="B940" t="str">
            <v>Infrastruktur Berkelanjutan</v>
          </cell>
          <cell r="D940" t="str">
            <v>PROGRAM PENGELOLAAN DAN PENGEMBANGAN SISTEM DRAINASE</v>
          </cell>
          <cell r="K940" t="str">
            <v>Dinas Pekerjaan Umum, Penataan Ruang, Perumahan dan Kawasan Permukiman</v>
          </cell>
          <cell r="O940" t="str">
            <v>Kuripan</v>
          </cell>
          <cell r="Q940">
            <v>100000000</v>
          </cell>
        </row>
        <row r="941">
          <cell r="B941" t="str">
            <v>Infrastruktur Berkelanjutan</v>
          </cell>
          <cell r="D941" t="str">
            <v>PROGRAM PENINGKATAN PRASARANA, SARANA DAN UTILITAS UMUM (PSU)</v>
          </cell>
          <cell r="K941" t="str">
            <v>Dinas Pekerjaan Umum, Penataan Ruang, Perumahan dan Kawasan Permukiman</v>
          </cell>
          <cell r="O941" t="str">
            <v>Kuripan</v>
          </cell>
          <cell r="Q941">
            <v>100000000</v>
          </cell>
        </row>
        <row r="942">
          <cell r="B942" t="str">
            <v>Infrastruktur Berkelanjutan</v>
          </cell>
          <cell r="D942" t="str">
            <v>PROGRAM KAWASAN PERMUKIMAN</v>
          </cell>
          <cell r="K942" t="str">
            <v>Dinas Pekerjaan Umum, Penataan Ruang, Perumahan dan Kawasan Permukiman</v>
          </cell>
          <cell r="O942" t="str">
            <v>Kuripan</v>
          </cell>
          <cell r="Q942">
            <v>75000000</v>
          </cell>
        </row>
        <row r="943">
          <cell r="B943" t="str">
            <v>Infrastruktur Berkelanjutan</v>
          </cell>
          <cell r="D943" t="str">
            <v>PROGRAM PENINGKATAN PRASARANA, SARANA DAN UTILITAS UMUM (PSU)</v>
          </cell>
          <cell r="K943" t="str">
            <v>Dinas Pekerjaan Umum, Penataan Ruang, Perumahan dan Kawasan Permukiman</v>
          </cell>
          <cell r="O943" t="str">
            <v>Kuripan</v>
          </cell>
          <cell r="Q943">
            <v>100000000</v>
          </cell>
        </row>
        <row r="944">
          <cell r="B944" t="str">
            <v>Infrastruktur Berkelanjutan</v>
          </cell>
          <cell r="D944" t="str">
            <v>PROGRAM PENGELOLAAN DAN PENGEMBANGAN SISTEM DRAINASE</v>
          </cell>
          <cell r="K944" t="str">
            <v>Dinas Pekerjaan Umum, Penataan Ruang, Perumahan dan Kawasan Permukiman</v>
          </cell>
          <cell r="O944" t="str">
            <v>Kuripan</v>
          </cell>
          <cell r="Q944">
            <v>100000000</v>
          </cell>
        </row>
        <row r="945">
          <cell r="B945" t="str">
            <v>Infrastruktur Berkelanjutan</v>
          </cell>
          <cell r="D945" t="str">
            <v>PROGRAM PENINGKATAN PRASARANA, SARANA DAN UTILITAS UMUM (PSU)</v>
          </cell>
          <cell r="K945" t="str">
            <v>Dinas Pekerjaan Umum, Penataan Ruang, Perumahan dan Kawasan Permukiman</v>
          </cell>
          <cell r="O945" t="str">
            <v>Kuripan</v>
          </cell>
          <cell r="Q945">
            <v>100000000</v>
          </cell>
        </row>
        <row r="946">
          <cell r="B946" t="str">
            <v>Transformasi Tata Kelola</v>
          </cell>
          <cell r="D946" t="str">
            <v>PROGRAM PENINGKATAN KETENTERAMAN DAN KETERTIBAN UMUM</v>
          </cell>
          <cell r="K946" t="str">
            <v>Satuan Polisi Pamong Praja</v>
          </cell>
          <cell r="O946" t="str">
            <v>Kuripan</v>
          </cell>
          <cell r="Q946">
            <v>8489000</v>
          </cell>
        </row>
        <row r="947">
          <cell r="B947" t="str">
            <v>Infrastruktur Berkelanjutan</v>
          </cell>
          <cell r="D947" t="str">
            <v>PROGRAM PENGELOLAAN PERSAMPAHAN</v>
          </cell>
          <cell r="K947" t="str">
            <v>Dinas Lingkungan Hidup</v>
          </cell>
          <cell r="O947" t="str">
            <v>Kuripan</v>
          </cell>
          <cell r="Q947">
            <v>50000000</v>
          </cell>
        </row>
        <row r="948">
          <cell r="B948" t="str">
            <v>Agrominapolitan</v>
          </cell>
          <cell r="D948" t="str">
            <v>PROGRAM PENYEDIAAN DAN PENGEMBANGAN SARANA PERTANIAN</v>
          </cell>
          <cell r="K948" t="str">
            <v>Dinas Pertanian</v>
          </cell>
          <cell r="O948" t="str">
            <v>Kuripan</v>
          </cell>
          <cell r="Q948">
            <v>40000000</v>
          </cell>
        </row>
        <row r="949">
          <cell r="B949" t="str">
            <v>Agrominapolitan</v>
          </cell>
          <cell r="D949" t="str">
            <v>PROGRAM PENYEDIAAN DAN PENGEMBANGAN SARANA PERTANIAN</v>
          </cell>
          <cell r="K949" t="str">
            <v>Dinas Pertanian</v>
          </cell>
          <cell r="O949" t="str">
            <v>Kuripan</v>
          </cell>
          <cell r="Q949">
            <v>45000000</v>
          </cell>
        </row>
        <row r="950">
          <cell r="B950" t="str">
            <v>Agrominapolitan</v>
          </cell>
          <cell r="D950" t="str">
            <v>PROGRAM PENYEDIAAN DAN PENGEMBANGAN SARANA PERTANIAN</v>
          </cell>
          <cell r="K950" t="str">
            <v>Dinas Pertanian</v>
          </cell>
          <cell r="O950" t="str">
            <v>Kuripan</v>
          </cell>
          <cell r="Q950">
            <v>100000000</v>
          </cell>
        </row>
        <row r="951">
          <cell r="B951" t="str">
            <v>Agrominapolitan</v>
          </cell>
          <cell r="D951" t="str">
            <v>PROGRAM PENYEDIAAN DAN PENGEMBANGAN SARANA PERTANIAN</v>
          </cell>
          <cell r="K951" t="str">
            <v>Dinas Pertanian</v>
          </cell>
          <cell r="O951" t="str">
            <v>Kuripan</v>
          </cell>
          <cell r="Q951">
            <v>100000000</v>
          </cell>
        </row>
        <row r="952">
          <cell r="B952" t="str">
            <v>Transformasi dan Kemandirian Ekonomi</v>
          </cell>
          <cell r="D952" t="str">
            <v>PROGRAM PENGEMBANGAN UMKM</v>
          </cell>
          <cell r="K952" t="str">
            <v>Dinas Perindustrian, Koperasi, Usaha Kecil dan Menengah, dan Tenaga Kerja</v>
          </cell>
          <cell r="O952" t="str">
            <v>Kuripan</v>
          </cell>
          <cell r="Q952">
            <v>20000000</v>
          </cell>
        </row>
        <row r="953">
          <cell r="B953" t="str">
            <v>Transformasi dan Kemandirian Ekonomi</v>
          </cell>
          <cell r="D953" t="str">
            <v>PROGRAM PENGEMBANGAN UMKM</v>
          </cell>
          <cell r="K953" t="str">
            <v>Dinas Perindustrian, Koperasi, Usaha Kecil dan Menengah, dan Tenaga Kerja</v>
          </cell>
          <cell r="O953" t="str">
            <v>Kuripan</v>
          </cell>
          <cell r="Q953">
            <v>55000000</v>
          </cell>
        </row>
        <row r="954">
          <cell r="B954" t="str">
            <v>Transformasi dan Kemandirian Ekonomi</v>
          </cell>
          <cell r="D954" t="str">
            <v>PROGRAM PENGEMBANGAN UMKM</v>
          </cell>
          <cell r="K954" t="str">
            <v>Dinas Perindustrian, Koperasi, Usaha Kecil dan Menengah, dan Tenaga Kerja</v>
          </cell>
          <cell r="O954" t="str">
            <v>Kuripan</v>
          </cell>
          <cell r="Q954">
            <v>100000000</v>
          </cell>
        </row>
        <row r="955">
          <cell r="B955" t="str">
            <v>Transformasi dan Kemandirian Ekonomi</v>
          </cell>
          <cell r="D955" t="str">
            <v>PROGRAM PENGEMBANGAN UMKM</v>
          </cell>
          <cell r="K955" t="str">
            <v>Dinas Perindustrian, Koperasi, Usaha Kecil dan Menengah, dan Tenaga Kerja</v>
          </cell>
          <cell r="O955" t="str">
            <v>Kuripan</v>
          </cell>
          <cell r="Q955">
            <v>20100000</v>
          </cell>
        </row>
        <row r="956">
          <cell r="B956" t="str">
            <v>Transformasi dan Kemandirian Ekonomi</v>
          </cell>
          <cell r="D956" t="str">
            <v>PROGRAM PENGEMBANGAN UMKM</v>
          </cell>
          <cell r="K956" t="str">
            <v>Dinas Perindustrian, Koperasi, Usaha Kecil dan Menengah, dan Tenaga Kerja</v>
          </cell>
          <cell r="O956" t="str">
            <v>Kuripan</v>
          </cell>
          <cell r="Q956">
            <v>19700000</v>
          </cell>
        </row>
        <row r="957">
          <cell r="B957" t="str">
            <v>Transformasi dan Kemandirian Ekonomi</v>
          </cell>
          <cell r="D957" t="str">
            <v>PROGRAM PENGEMBANGAN UMKM</v>
          </cell>
          <cell r="K957" t="str">
            <v>Dinas Perindustrian, Koperasi, Usaha Kecil dan Menengah, dan Tenaga Kerja</v>
          </cell>
          <cell r="O957" t="str">
            <v>Kuripan</v>
          </cell>
          <cell r="Q957">
            <v>20000000</v>
          </cell>
        </row>
        <row r="958">
          <cell r="B958" t="str">
            <v>Transformasi dan Kemandirian Ekonomi</v>
          </cell>
          <cell r="D958" t="str">
            <v>PROGRAM PENGEMBANGAN UMKM</v>
          </cell>
          <cell r="K958" t="str">
            <v>Dinas Perindustrian, Koperasi, Usaha Kecil dan Menengah, dan Tenaga Kerja</v>
          </cell>
          <cell r="O958" t="str">
            <v>Kuripan</v>
          </cell>
          <cell r="Q958">
            <v>20100000</v>
          </cell>
        </row>
        <row r="959">
          <cell r="B959" t="str">
            <v>Transformasi dan Kemandirian Ekonomi</v>
          </cell>
          <cell r="D959" t="str">
            <v>PROGRAM PENGEMBANGAN UMKM</v>
          </cell>
          <cell r="K959" t="str">
            <v>Dinas Perindustrian, Koperasi, Usaha Kecil dan Menengah, dan Tenaga Kerja</v>
          </cell>
          <cell r="O959" t="str">
            <v>Kuripan</v>
          </cell>
          <cell r="Q959">
            <v>20100000</v>
          </cell>
        </row>
        <row r="960">
          <cell r="B960" t="str">
            <v>Transformasi dan Kemandirian Ekonomi</v>
          </cell>
          <cell r="D960" t="str">
            <v>PROGRAM PENGEMBANGAN UMKM</v>
          </cell>
          <cell r="K960" t="str">
            <v>Dinas Perindustrian, Koperasi, Usaha Kecil dan Menengah, dan Tenaga Kerja</v>
          </cell>
          <cell r="O960" t="str">
            <v>Kuripan</v>
          </cell>
          <cell r="Q960">
            <v>21511000</v>
          </cell>
        </row>
        <row r="961">
          <cell r="B961" t="str">
            <v>Transformasi dan Kemandirian Ekonomi</v>
          </cell>
          <cell r="D961" t="str">
            <v>PROGRAM PENGEMBANGAN UMKM</v>
          </cell>
          <cell r="K961" t="str">
            <v>Dinas Perindustrian, Koperasi, Usaha Kecil dan Menengah, dan Tenaga Kerja</v>
          </cell>
          <cell r="O961" t="str">
            <v>Kuripan</v>
          </cell>
          <cell r="Q961">
            <v>60000000</v>
          </cell>
        </row>
        <row r="962">
          <cell r="B962" t="str">
            <v>Transformasi dan Kemandirian Ekonomi</v>
          </cell>
          <cell r="D962" t="str">
            <v>PROGRAM PENEMPATAN TENAGA KERJA</v>
          </cell>
          <cell r="K962" t="str">
            <v>Dinas Perindustrian, Koperasi, Usaha Kecil dan Menengah, dan Tenaga Kerja</v>
          </cell>
          <cell r="O962" t="str">
            <v>Kuripan</v>
          </cell>
          <cell r="Q962">
            <v>27800000</v>
          </cell>
        </row>
        <row r="963">
          <cell r="B963" t="str">
            <v>Transformasi dan Kemandirian Ekonomi</v>
          </cell>
          <cell r="D963" t="str">
            <v>PROGRAM PENEMPATAN TENAGA KERJA</v>
          </cell>
          <cell r="K963" t="str">
            <v>Dinas Perindustrian, Koperasi, Usaha Kecil dan Menengah, dan Tenaga Kerja</v>
          </cell>
          <cell r="O963" t="str">
            <v>Kuripan</v>
          </cell>
          <cell r="Q963">
            <v>10000000</v>
          </cell>
        </row>
        <row r="964">
          <cell r="B964" t="str">
            <v>Transformasi dan Kemandirian Ekonomi</v>
          </cell>
          <cell r="D964" t="str">
            <v>PROGRAM PENEMPATAN TENAGA KERJA</v>
          </cell>
          <cell r="K964" t="str">
            <v>Dinas Perindustrian, Koperasi, Usaha Kecil dan Menengah, dan Tenaga Kerja</v>
          </cell>
          <cell r="O964" t="str">
            <v>Kuripan</v>
          </cell>
          <cell r="Q964">
            <v>37200000</v>
          </cell>
        </row>
        <row r="965">
          <cell r="B965" t="str">
            <v>Transformasi dan Kemandirian Ekonomi</v>
          </cell>
          <cell r="D965" t="str">
            <v>PROGRAM PENEMPATAN TENAGA KERJA</v>
          </cell>
          <cell r="K965" t="str">
            <v>Dinas Perindustrian, Koperasi, Usaha Kecil dan Menengah, dan Tenaga Kerja</v>
          </cell>
          <cell r="O965" t="str">
            <v>Kuripan</v>
          </cell>
          <cell r="Q965">
            <v>25000000</v>
          </cell>
        </row>
        <row r="966">
          <cell r="B966" t="str">
            <v>Infrastruktur Berkelanjutan</v>
          </cell>
          <cell r="D966" t="str">
            <v>PROGRAM PENGELOLAAN DAN PENGEMBANGAN SISTEM DRAINASE</v>
          </cell>
          <cell r="K966" t="str">
            <v>Dinas Pekerjaan Umum, Penataan Ruang, Perumahan dan Kawasan Permukiman</v>
          </cell>
          <cell r="O966" t="str">
            <v>Kuripan</v>
          </cell>
          <cell r="Q966">
            <v>100000000</v>
          </cell>
        </row>
        <row r="967">
          <cell r="B967" t="str">
            <v>Infrastruktur Berkelanjutan</v>
          </cell>
          <cell r="D967" t="str">
            <v>PROGRAM PENINGKATAN PRASARANA, SARANA DAN UTILITAS UMUM (PSU)</v>
          </cell>
          <cell r="K967" t="str">
            <v>Dinas Pekerjaan Umum, Penataan Ruang, Perumahan dan Kawasan Permukiman</v>
          </cell>
          <cell r="O967" t="str">
            <v>Kuripan</v>
          </cell>
          <cell r="Q967">
            <v>100000000</v>
          </cell>
        </row>
        <row r="968">
          <cell r="B968" t="str">
            <v>Infrastruktur Berkelanjutan</v>
          </cell>
          <cell r="D968" t="str">
            <v>PROGRAM PENINGKATAN PRASARANA, SARANA DAN UTILITAS UMUM (PSU)</v>
          </cell>
          <cell r="K968" t="str">
            <v>Dinas Pekerjaan Umum, Penataan Ruang, Perumahan dan Kawasan Permukiman</v>
          </cell>
          <cell r="O968" t="str">
            <v>Kuripan</v>
          </cell>
          <cell r="Q968">
            <v>100000000</v>
          </cell>
        </row>
        <row r="969">
          <cell r="B969" t="str">
            <v>Infrastruktur Berkelanjutan</v>
          </cell>
          <cell r="D969" t="str">
            <v>PROGRAM PENINGKATAN PRASARANA, SARANA DAN UTILITAS UMUM (PSU)</v>
          </cell>
          <cell r="K969" t="str">
            <v>Dinas Pekerjaan Umum, Penataan Ruang, Perumahan dan Kawasan Permukiman</v>
          </cell>
          <cell r="O969" t="str">
            <v>Kuripan</v>
          </cell>
          <cell r="Q969">
            <v>100000000</v>
          </cell>
        </row>
        <row r="970">
          <cell r="B970" t="str">
            <v>Infrastruktur Berkelanjutan</v>
          </cell>
          <cell r="D970" t="str">
            <v>PROGRAM PENINGKATAN PRASARANA, SARANA DAN UTILITAS UMUM (PSU)</v>
          </cell>
          <cell r="K970" t="str">
            <v>Dinas Pekerjaan Umum, Penataan Ruang, Perumahan dan Kawasan Permukiman</v>
          </cell>
          <cell r="O970" t="str">
            <v>Kuripan</v>
          </cell>
          <cell r="Q970">
            <v>100000000</v>
          </cell>
        </row>
        <row r="971">
          <cell r="B971" t="str">
            <v>Transformasi dan Kemandirian Ekonomi</v>
          </cell>
          <cell r="D971" t="str">
            <v>PROGRAM PENINGKATAN DAYA TARIK DESTINASI PARIWISATA</v>
          </cell>
          <cell r="K971" t="str">
            <v>Dinas Pariwisata, Ekonomi Kreatif, Pemuda, dan Olahraga</v>
          </cell>
          <cell r="O971" t="str">
            <v>Kuripan</v>
          </cell>
          <cell r="Q971">
            <v>50000000</v>
          </cell>
        </row>
        <row r="972">
          <cell r="B972" t="str">
            <v>Transformasi dan Kemandirian Ekonomi</v>
          </cell>
          <cell r="D972" t="str">
            <v>PROGRAM PENINGKATAN DAYA TARIK DESTINASI PARIWISATA</v>
          </cell>
          <cell r="K972" t="str">
            <v>Dinas Pariwisata, Ekonomi Kreatif, Pemuda, dan Olahraga</v>
          </cell>
          <cell r="O972" t="str">
            <v>Kuripan</v>
          </cell>
          <cell r="Q972">
            <v>100000000</v>
          </cell>
        </row>
        <row r="973">
          <cell r="B973" t="str">
            <v>Transformasi dan Kemandirian Ekonomi</v>
          </cell>
          <cell r="D973" t="str">
            <v>PROGRAM PENINGKATAN DAYA TARIK DESTINASI PARIWISATA</v>
          </cell>
          <cell r="K973" t="str">
            <v>Dinas Pariwisata, Ekonomi Kreatif, Pemuda, dan Olahraga</v>
          </cell>
          <cell r="O973" t="str">
            <v>Kuripan</v>
          </cell>
          <cell r="Q973">
            <v>50000000</v>
          </cell>
        </row>
        <row r="974">
          <cell r="B974" t="str">
            <v>Transformasi dan Kemandirian Ekonomi</v>
          </cell>
          <cell r="D974" t="str">
            <v>PROGRAM PENINGKATAN DAYA TARIK DESTINASI PARIWISATA</v>
          </cell>
          <cell r="K974" t="str">
            <v>Dinas Pariwisata, Ekonomi Kreatif, Pemuda, dan Olahraga</v>
          </cell>
          <cell r="O974" t="str">
            <v>Kuripan</v>
          </cell>
          <cell r="Q974">
            <v>50000000</v>
          </cell>
        </row>
        <row r="975">
          <cell r="B975" t="str">
            <v>Infrastruktur Berkelanjutan</v>
          </cell>
          <cell r="D975" t="str">
            <v>PROGRAM PENINGKATAN PRASARANA, SARANA DAN UTILITAS UMUM (PSU)</v>
          </cell>
          <cell r="K975" t="str">
            <v>Dinas Pekerjaan Umum, Penataan Ruang, Perumahan dan Kawasan Permukiman</v>
          </cell>
          <cell r="O975" t="str">
            <v>Kuripan</v>
          </cell>
          <cell r="Q975">
            <v>100000000</v>
          </cell>
        </row>
        <row r="976">
          <cell r="B976" t="str">
            <v>Infrastruktur Berkelanjutan</v>
          </cell>
          <cell r="D976" t="str">
            <v>PROGRAM PENINGKATAN PRASARANA, SARANA DAN UTILITAS UMUM (PSU)</v>
          </cell>
          <cell r="K976" t="str">
            <v>Dinas Pekerjaan Umum, Penataan Ruang, Perumahan dan Kawasan Permukiman</v>
          </cell>
          <cell r="O976" t="str">
            <v>Kuripan</v>
          </cell>
          <cell r="Q976">
            <v>98400000</v>
          </cell>
        </row>
        <row r="977">
          <cell r="B977" t="str">
            <v>Infrastruktur Berkelanjutan</v>
          </cell>
          <cell r="D977" t="str">
            <v>PROGRAM PENINGKATAN PRASARANA, SARANA DAN UTILITAS UMUM (PSU)</v>
          </cell>
          <cell r="K977" t="str">
            <v>Dinas Pekerjaan Umum, Penataan Ruang, Perumahan dan Kawasan Permukiman</v>
          </cell>
          <cell r="O977" t="str">
            <v>Kuripan</v>
          </cell>
          <cell r="Q977">
            <v>100000000</v>
          </cell>
        </row>
        <row r="978">
          <cell r="B978" t="str">
            <v>Infrastruktur Berkelanjutan</v>
          </cell>
          <cell r="D978" t="str">
            <v>PROGRAM PENINGKATAN PRASARANA, SARANA DAN UTILITAS UMUM (PSU)</v>
          </cell>
          <cell r="K978" t="str">
            <v>Dinas Pekerjaan Umum, Penataan Ruang, Perumahan dan Kawasan Permukiman</v>
          </cell>
          <cell r="O978" t="str">
            <v>Kuripan</v>
          </cell>
          <cell r="Q978">
            <v>171705000</v>
          </cell>
        </row>
        <row r="979">
          <cell r="B979" t="str">
            <v>Infrastruktur Berkelanjutan</v>
          </cell>
          <cell r="D979" t="str">
            <v>PROGRAM PENINGKATAN PRASARANA, SARANA DAN UTILITAS UMUM (PSU)</v>
          </cell>
          <cell r="K979" t="str">
            <v>Dinas Pekerjaan Umum, Penataan Ruang, Perumahan dan Kawasan Permukiman</v>
          </cell>
          <cell r="O979" t="str">
            <v>Kuripan</v>
          </cell>
          <cell r="Q979">
            <v>53946000</v>
          </cell>
        </row>
        <row r="980">
          <cell r="B980" t="str">
            <v>Infrastruktur Berkelanjutan</v>
          </cell>
          <cell r="D980" t="str">
            <v>PROGRAM PENINGKATAN PRASARANA, SARANA DAN UTILITAS UMUM (PSU)</v>
          </cell>
          <cell r="K980" t="str">
            <v>Dinas Pekerjaan Umum, Penataan Ruang, Perumahan dan Kawasan Permukiman</v>
          </cell>
          <cell r="O980" t="str">
            <v>Kuripan</v>
          </cell>
          <cell r="Q980">
            <v>50949000</v>
          </cell>
        </row>
        <row r="981">
          <cell r="B981" t="str">
            <v>Transformasi dan Kemandirian Ekonomi</v>
          </cell>
          <cell r="D981" t="str">
            <v>PROGRAM PENINGKATAN PRASARANA, SARANA DAN UTILITAS UMUM (PSU)</v>
          </cell>
          <cell r="K981" t="str">
            <v>Dinas Pekerjaan Umum, Penataan Ruang, Perumahan dan Kawasan Permukiman</v>
          </cell>
          <cell r="O981" t="str">
            <v>Kuripan</v>
          </cell>
          <cell r="Q981">
            <v>175000000</v>
          </cell>
        </row>
        <row r="982">
          <cell r="B982" t="str">
            <v>Transformasi Tata Kelola</v>
          </cell>
          <cell r="D982" t="str">
            <v>PROGRAM PEMERINTAHAN DAN KESEJAHTERAAN RAKYAT</v>
          </cell>
          <cell r="K982" t="str">
            <v>Sekretariat Daerah</v>
          </cell>
          <cell r="O982" t="str">
            <v>Kuripan</v>
          </cell>
          <cell r="Q982">
            <v>8400000</v>
          </cell>
        </row>
        <row r="983">
          <cell r="B983" t="str">
            <v>Transformasi Tata Kelola</v>
          </cell>
          <cell r="D983" t="str">
            <v>PROGRAM PEMERINTAHAN DAN KESEJAHTERAAN RAKYAT</v>
          </cell>
          <cell r="K983" t="str">
            <v>Sekretariat Daerah</v>
          </cell>
          <cell r="O983" t="str">
            <v>Kuripan</v>
          </cell>
          <cell r="Q983">
            <v>8400000</v>
          </cell>
        </row>
        <row r="984">
          <cell r="B984" t="str">
            <v>Transformasi Tata Kelola</v>
          </cell>
          <cell r="D984" t="str">
            <v>PROGRAM PEMERINTAHAN DAN KESEJAHTERAAN RAKYAT</v>
          </cell>
          <cell r="K984" t="str">
            <v>Sekretariat Daerah</v>
          </cell>
          <cell r="O984" t="str">
            <v>Kuripan</v>
          </cell>
          <cell r="Q984">
            <v>8400000</v>
          </cell>
        </row>
        <row r="985">
          <cell r="B985" t="str">
            <v>Transformasi Tata Kelola</v>
          </cell>
          <cell r="D985" t="str">
            <v>PROGRAM PEMERINTAHAN DAN KESEJAHTERAAN RAKYAT</v>
          </cell>
          <cell r="K985" t="str">
            <v>Sekretariat Daerah</v>
          </cell>
          <cell r="O985" t="str">
            <v>Kuripan</v>
          </cell>
          <cell r="Q985">
            <v>8400000</v>
          </cell>
        </row>
        <row r="986">
          <cell r="B986" t="str">
            <v>Transformasi Tata Kelola</v>
          </cell>
          <cell r="D986" t="str">
            <v>PROGRAM PEMERINTAHAN DAN KESEJAHTERAAN RAKYAT</v>
          </cell>
          <cell r="K986" t="str">
            <v>Sekretariat Daerah</v>
          </cell>
          <cell r="O986" t="str">
            <v>Kuripan</v>
          </cell>
          <cell r="Q986">
            <v>8400000</v>
          </cell>
        </row>
        <row r="987">
          <cell r="B987" t="str">
            <v>Transformasi Tata Kelola</v>
          </cell>
          <cell r="D987" t="str">
            <v>PROGRAM PEMERINTAHAN DAN KESEJAHTERAAN RAKYAT</v>
          </cell>
          <cell r="K987" t="str">
            <v>Sekretariat Daerah</v>
          </cell>
          <cell r="O987" t="str">
            <v>Kuripan</v>
          </cell>
          <cell r="Q987">
            <v>8400000</v>
          </cell>
        </row>
        <row r="988">
          <cell r="B988" t="str">
            <v>Transformasi Tata Kelola</v>
          </cell>
          <cell r="D988" t="str">
            <v>PROGRAM PEMERINTAHAN DAN KESEJAHTERAAN RAKYAT</v>
          </cell>
          <cell r="K988" t="str">
            <v>Sekretariat Daerah</v>
          </cell>
          <cell r="O988" t="str">
            <v>Kuripan</v>
          </cell>
          <cell r="Q988">
            <v>8400000</v>
          </cell>
        </row>
        <row r="989">
          <cell r="B989" t="str">
            <v>Transformasi Tata Kelola</v>
          </cell>
          <cell r="D989" t="str">
            <v>PROGRAM PEMERINTAHAN DAN KESEJAHTERAAN RAKYAT</v>
          </cell>
          <cell r="K989" t="str">
            <v>Sekretariat Daerah</v>
          </cell>
          <cell r="O989" t="str">
            <v>Kuripan</v>
          </cell>
          <cell r="Q989">
            <v>8400000</v>
          </cell>
        </row>
        <row r="990">
          <cell r="B990" t="str">
            <v>Transformasi Tata Kelola</v>
          </cell>
          <cell r="D990" t="str">
            <v>PROGRAM PEMERINTAHAN DAN KESEJAHTERAAN RAKYAT</v>
          </cell>
          <cell r="K990" t="str">
            <v>Sekretariat Daerah</v>
          </cell>
          <cell r="O990" t="str">
            <v>Kuripan</v>
          </cell>
          <cell r="Q990">
            <v>8400000</v>
          </cell>
        </row>
        <row r="991">
          <cell r="B991" t="str">
            <v>Infrastruktur Berkelanjutan</v>
          </cell>
          <cell r="D991" t="str">
            <v>PROGRAM PENANGGULANGAN BENCANA</v>
          </cell>
          <cell r="K991" t="str">
            <v>Badan Penanggulangan Bencana Daerah</v>
          </cell>
          <cell r="O991" t="str">
            <v>Kuripan</v>
          </cell>
          <cell r="Q991">
            <v>75000000</v>
          </cell>
        </row>
        <row r="992">
          <cell r="B992" t="str">
            <v>Pembangunan SDM Unggul dan Berdaya Saing</v>
          </cell>
          <cell r="D992" t="str">
            <v>PROGRAM PENGELOLAAN PENDIDIKAN</v>
          </cell>
          <cell r="K992" t="str">
            <v>Dinas Pendidikan dan Kebudayaan</v>
          </cell>
          <cell r="O992" t="str">
            <v>Kuripan</v>
          </cell>
          <cell r="Q992">
            <v>38500000</v>
          </cell>
        </row>
        <row r="993">
          <cell r="B993" t="str">
            <v>Transformasi Tata Kelola</v>
          </cell>
          <cell r="D993" t="str">
            <v>PROGRAM PENINGKATAN KETENTERAMAN DAN KETERTIBAN UMUM</v>
          </cell>
          <cell r="K993" t="str">
            <v>Satuan Polisi Pamong Praja</v>
          </cell>
          <cell r="O993" t="str">
            <v>Kuripan</v>
          </cell>
          <cell r="Q993">
            <v>8658000</v>
          </cell>
        </row>
        <row r="994">
          <cell r="B994" t="str">
            <v>Transformasi Tata Kelola</v>
          </cell>
          <cell r="D994" t="str">
            <v>PROGRAM PENINGKATAN KETENTERAMAN DAN KETERTIBAN UMUM</v>
          </cell>
          <cell r="K994" t="str">
            <v>Satuan Polisi Pamong Praja</v>
          </cell>
          <cell r="O994" t="str">
            <v>Kuripan</v>
          </cell>
          <cell r="Q994">
            <v>8658000</v>
          </cell>
        </row>
        <row r="995">
          <cell r="B995" t="str">
            <v>Transformasi Tata Kelola</v>
          </cell>
          <cell r="D995" t="str">
            <v>PROGRAM PENINGKATAN KETENTERAMAN DAN KETERTIBAN UMUM</v>
          </cell>
          <cell r="K995" t="str">
            <v>Satuan Polisi Pamong Praja</v>
          </cell>
          <cell r="O995" t="str">
            <v>Kuripan</v>
          </cell>
          <cell r="Q995">
            <v>8658000</v>
          </cell>
        </row>
        <row r="996">
          <cell r="B996" t="str">
            <v>Transformasi Tata Kelola</v>
          </cell>
          <cell r="D996" t="str">
            <v>PROGRAM PENINGKATAN KETENTERAMAN DAN KETERTIBAN UMUM</v>
          </cell>
          <cell r="K996" t="str">
            <v>Satuan Polisi Pamong Praja</v>
          </cell>
          <cell r="O996" t="str">
            <v>Kuripan</v>
          </cell>
          <cell r="Q996">
            <v>8658000</v>
          </cell>
        </row>
        <row r="997">
          <cell r="B997" t="str">
            <v>Transformasi Tata Kelola</v>
          </cell>
          <cell r="D997" t="str">
            <v>PROGRAM PENINGKATAN KETENTERAMAN DAN KETERTIBAN UMUM</v>
          </cell>
          <cell r="K997" t="str">
            <v>Satuan Polisi Pamong Praja</v>
          </cell>
          <cell r="O997" t="str">
            <v>Kuripan</v>
          </cell>
          <cell r="Q997">
            <v>8658000</v>
          </cell>
        </row>
        <row r="998">
          <cell r="B998" t="str">
            <v>Transformasi Tata Kelola</v>
          </cell>
          <cell r="D998" t="str">
            <v>PROGRAM PENINGKATAN KETENTERAMAN DAN KETERTIBAN UMUM</v>
          </cell>
          <cell r="K998" t="str">
            <v>Satuan Polisi Pamong Praja</v>
          </cell>
          <cell r="O998" t="str">
            <v>Kuripan</v>
          </cell>
          <cell r="Q998">
            <v>8658000</v>
          </cell>
        </row>
        <row r="999">
          <cell r="B999" t="str">
            <v>Transformasi Tata Kelola</v>
          </cell>
          <cell r="D999" t="str">
            <v>PROGRAM PENINGKATAN KETENTERAMAN DAN KETERTIBAN UMUM</v>
          </cell>
          <cell r="K999" t="str">
            <v>Satuan Polisi Pamong Praja</v>
          </cell>
          <cell r="O999" t="str">
            <v>Kuripan</v>
          </cell>
          <cell r="Q999">
            <v>8658000</v>
          </cell>
        </row>
        <row r="1000">
          <cell r="B1000" t="str">
            <v>Transformasi Tata Kelola</v>
          </cell>
          <cell r="D1000" t="str">
            <v>PROGRAM PENINGKATAN KETENTERAMAN DAN KETERTIBAN UMUM</v>
          </cell>
          <cell r="K1000" t="str">
            <v>Satuan Polisi Pamong Praja</v>
          </cell>
          <cell r="O1000" t="str">
            <v>Kuripan</v>
          </cell>
          <cell r="Q1000">
            <v>8658000</v>
          </cell>
        </row>
        <row r="1001">
          <cell r="B1001" t="str">
            <v>Transformasi Tata Kelola</v>
          </cell>
          <cell r="D1001" t="str">
            <v>PROGRAM PENINGKATAN KETENTERAMAN DAN KETERTIBAN UMUM</v>
          </cell>
          <cell r="K1001" t="str">
            <v>Satuan Polisi Pamong Praja</v>
          </cell>
          <cell r="O1001" t="str">
            <v>Kuripan</v>
          </cell>
          <cell r="Q1001">
            <v>8658000</v>
          </cell>
        </row>
        <row r="1002">
          <cell r="B1002" t="str">
            <v>Transformasi dan Kemandirian Ekonomi</v>
          </cell>
          <cell r="D1002" t="str">
            <v>PROGRAM PENGEMBANGAN UMKM</v>
          </cell>
          <cell r="K1002" t="str">
            <v>Dinas Perindustrian, Koperasi, Usaha Kecil dan Menengah, dan Tenaga Kerja</v>
          </cell>
          <cell r="O1002" t="str">
            <v>Kuripan</v>
          </cell>
          <cell r="Q1002">
            <v>25000000</v>
          </cell>
        </row>
        <row r="1003">
          <cell r="B1003" t="str">
            <v>Infrastruktur Berkelanjutan</v>
          </cell>
          <cell r="D1003" t="str">
            <v>PROGRAM PENGELOLAAN DAN PENGEMBANGAN SISTEM DRAINASE</v>
          </cell>
          <cell r="K1003" t="str">
            <v>Dinas Pekerjaan Umum, Penataan Ruang, Perumahan dan Kawasan Permukiman</v>
          </cell>
          <cell r="O1003" t="str">
            <v>Kuripan</v>
          </cell>
          <cell r="Q1003">
            <v>75000000</v>
          </cell>
        </row>
        <row r="1004">
          <cell r="B1004" t="str">
            <v>Infrastruktur Berkelanjutan</v>
          </cell>
          <cell r="D1004" t="str">
            <v>PROGRAM PENINGKATAN PRASARANA, SARANA DAN UTILITAS UMUM (PSU)</v>
          </cell>
          <cell r="K1004" t="str">
            <v>Dinas Pekerjaan Umum, Penataan Ruang, Perumahan dan Kawasan Permukiman</v>
          </cell>
          <cell r="O1004" t="str">
            <v>Kuripan</v>
          </cell>
          <cell r="Q1004">
            <v>88800000</v>
          </cell>
        </row>
        <row r="1005">
          <cell r="B1005" t="str">
            <v>Infrastruktur Berkelanjutan</v>
          </cell>
          <cell r="D1005" t="str">
            <v>PROGRAM PENINGKATAN PRASARANA, SARANA DAN UTILITAS UMUM (PSU)</v>
          </cell>
          <cell r="K1005" t="str">
            <v>Dinas Pekerjaan Umum, Penataan Ruang, Perumahan dan Kawasan Permukiman</v>
          </cell>
          <cell r="O1005" t="str">
            <v>Kuripan</v>
          </cell>
          <cell r="Q1005">
            <v>85000000</v>
          </cell>
        </row>
        <row r="1006">
          <cell r="B1006" t="str">
            <v>Infrastruktur Berkelanjutan</v>
          </cell>
          <cell r="D1006" t="str">
            <v>PROGRAM PENINGKATAN PRASARANA, SARANA DAN UTILITAS UMUM (PSU)</v>
          </cell>
          <cell r="K1006" t="str">
            <v>Dinas Pekerjaan Umum, Penataan Ruang, Perumahan dan Kawasan Permukiman</v>
          </cell>
          <cell r="O1006" t="str">
            <v>Kuripan</v>
          </cell>
          <cell r="Q1006">
            <v>65000000</v>
          </cell>
        </row>
        <row r="1007">
          <cell r="B1007" t="str">
            <v>Infrastruktur Berkelanjutan</v>
          </cell>
          <cell r="D1007" t="str">
            <v>PROGRAM PENINGKATAN PRASARANA, SARANA DAN UTILITAS UMUM (PSU)</v>
          </cell>
          <cell r="K1007" t="str">
            <v>Dinas Pekerjaan Umum, Penataan Ruang, Perumahan dan Kawasan Permukiman</v>
          </cell>
          <cell r="O1007" t="str">
            <v>Kuripan</v>
          </cell>
          <cell r="Q1007">
            <v>80000000</v>
          </cell>
        </row>
        <row r="1008">
          <cell r="B1008" t="str">
            <v>Infrastruktur Berkelanjutan</v>
          </cell>
          <cell r="D1008" t="str">
            <v>PROGRAM PENYELENGGARAAN JALAN</v>
          </cell>
          <cell r="K1008" t="str">
            <v>Dinas Pekerjaan Umum, Penataan Ruang, Perumahan dan Kawasan Permukiman</v>
          </cell>
          <cell r="O1008" t="str">
            <v>Kuripan</v>
          </cell>
          <cell r="Q1008">
            <v>314178000</v>
          </cell>
        </row>
        <row r="1009">
          <cell r="B1009" t="str">
            <v>KECAMATAN GERUNG</v>
          </cell>
        </row>
        <row r="1010">
          <cell r="B1010" t="str">
            <v>Transformasi Tata Kelola</v>
          </cell>
          <cell r="D1010" t="str">
            <v>PROGRAM PEMERINTAHAN DAN KESEJAHTERAAN RAKYAT</v>
          </cell>
          <cell r="K1010" t="str">
            <v>Sekretariat Daerah</v>
          </cell>
          <cell r="O1010" t="str">
            <v>Gerung</v>
          </cell>
          <cell r="Q1010">
            <v>15000000</v>
          </cell>
        </row>
        <row r="1011">
          <cell r="B1011" t="str">
            <v>Sejahtera dari Desa</v>
          </cell>
          <cell r="D1011" t="str">
            <v>PROGRAM PEMBERDAYAAN LEMBAGA KEMASYARAKATAN, LEMBAGA ADAT DAN MASYARAKAT HUKUM ADAT</v>
          </cell>
          <cell r="K1011" t="str">
            <v>Dinas Pemberdayaan Masyarakat dan Desa</v>
          </cell>
          <cell r="O1011" t="str">
            <v>Gerung</v>
          </cell>
          <cell r="Q1011">
            <v>6475000</v>
          </cell>
        </row>
        <row r="1012">
          <cell r="B1012" t="str">
            <v>Pembangunan SDM Unggul dan Berdaya Saing</v>
          </cell>
          <cell r="D1012" t="str">
            <v>PROGRAM PENGELOLAAN PENDIDIKAN</v>
          </cell>
          <cell r="K1012" t="str">
            <v>Dinas Pendidikan dan Kebudayaan</v>
          </cell>
          <cell r="O1012" t="str">
            <v>Gerung</v>
          </cell>
          <cell r="Q1012">
            <v>31625000</v>
          </cell>
        </row>
        <row r="1013">
          <cell r="B1013" t="str">
            <v>Pembangunan SDM Unggul dan Berdaya Saing</v>
          </cell>
          <cell r="D1013" t="str">
            <v>PROGRAM PENGEMBANGAN KEBUDAYAAN</v>
          </cell>
          <cell r="K1013" t="str">
            <v>Dinas Pendidikan dan Kebudayaan</v>
          </cell>
          <cell r="O1013" t="str">
            <v>Gerung</v>
          </cell>
          <cell r="Q1013">
            <v>100000000</v>
          </cell>
        </row>
        <row r="1014">
          <cell r="B1014" t="str">
            <v>Ketahanan Sosial</v>
          </cell>
          <cell r="D1014" t="str">
            <v>PROGRAM REHABILITASI SOSIAL</v>
          </cell>
          <cell r="K1014" t="str">
            <v>Dinas Sosial, Pemberdayaan Perempuan, dan Perlindungan Anak</v>
          </cell>
          <cell r="O1014" t="str">
            <v>Gerung</v>
          </cell>
          <cell r="Q1014">
            <v>421000</v>
          </cell>
        </row>
        <row r="1015">
          <cell r="B1015" t="str">
            <v>Ketahanan Sosial</v>
          </cell>
          <cell r="D1015" t="str">
            <v>PROGRAM REHABILITASI SOSIAL</v>
          </cell>
          <cell r="K1015" t="str">
            <v>Dinas Sosial, Pemberdayaan Perempuan, dan Perlindungan Anak</v>
          </cell>
          <cell r="O1015" t="str">
            <v>Gerung</v>
          </cell>
          <cell r="Q1015">
            <v>2700000</v>
          </cell>
        </row>
        <row r="1016">
          <cell r="B1016" t="str">
            <v>Ketahanan Sosial</v>
          </cell>
          <cell r="D1016" t="str">
            <v>PROGRAM REHABILITASI SOSIAL</v>
          </cell>
          <cell r="K1016" t="str">
            <v>Dinas Sosial, Pemberdayaan Perempuan, dan Perlindungan Anak</v>
          </cell>
          <cell r="O1016" t="str">
            <v>Gerung</v>
          </cell>
          <cell r="Q1016">
            <v>409000</v>
          </cell>
        </row>
        <row r="1017">
          <cell r="B1017" t="str">
            <v>Ketahanan Sosial</v>
          </cell>
          <cell r="D1017" t="str">
            <v>PROGRAM REHABILITASI SOSIAL</v>
          </cell>
          <cell r="K1017" t="str">
            <v>Dinas Sosial, Pemberdayaan Perempuan, dan Perlindungan Anak</v>
          </cell>
          <cell r="O1017" t="str">
            <v>Gerung</v>
          </cell>
          <cell r="Q1017">
            <v>2910000</v>
          </cell>
        </row>
        <row r="1018">
          <cell r="B1018" t="str">
            <v>Ketahanan Sosial</v>
          </cell>
          <cell r="D1018" t="str">
            <v>PROGRAM REHABILITASI SOSIAL</v>
          </cell>
          <cell r="K1018" t="str">
            <v>Dinas Sosial, Pemberdayaan Perempuan, dan Perlindungan Anak</v>
          </cell>
          <cell r="O1018" t="str">
            <v>Gerung</v>
          </cell>
          <cell r="Q1018">
            <v>2910000</v>
          </cell>
        </row>
        <row r="1019">
          <cell r="B1019" t="str">
            <v>Ketahanan Sosial</v>
          </cell>
          <cell r="D1019" t="str">
            <v>Program Pemberdayaan Sosial</v>
          </cell>
          <cell r="K1019" t="str">
            <v>Dinas Sosial, Pemberdayaan Perempuan, dan Perlindungan Anak</v>
          </cell>
          <cell r="O1019" t="str">
            <v>Gerung</v>
          </cell>
          <cell r="Q1019">
            <v>10000000</v>
          </cell>
        </row>
        <row r="1020">
          <cell r="B1020" t="str">
            <v>Ketahanan Sosial</v>
          </cell>
          <cell r="D1020" t="str">
            <v>Program Pemberdayaan Sosial</v>
          </cell>
          <cell r="K1020" t="str">
            <v>Dinas Sosial, Pemberdayaan Perempuan, dan Perlindungan Anak</v>
          </cell>
          <cell r="O1020" t="str">
            <v>Gerung</v>
          </cell>
          <cell r="Q1020">
            <v>10000000</v>
          </cell>
        </row>
        <row r="1021">
          <cell r="B1021" t="str">
            <v>Ketahanan Sosial</v>
          </cell>
          <cell r="D1021" t="str">
            <v>Program Pemberdayaan Sosial</v>
          </cell>
          <cell r="K1021" t="str">
            <v>Dinas Sosial, Pemberdayaan Perempuan, dan Perlindungan Anak</v>
          </cell>
          <cell r="O1021" t="str">
            <v>Gerung</v>
          </cell>
          <cell r="Q1021">
            <v>10000000</v>
          </cell>
        </row>
        <row r="1022">
          <cell r="B1022" t="str">
            <v>Ketahanan Sosial</v>
          </cell>
          <cell r="D1022" t="str">
            <v>Program Pemberdayaan Sosial</v>
          </cell>
          <cell r="K1022" t="str">
            <v>Dinas Sosial, Pemberdayaan Perempuan, dan Perlindungan Anak</v>
          </cell>
          <cell r="O1022" t="str">
            <v>Gerung</v>
          </cell>
          <cell r="Q1022">
            <v>10000000</v>
          </cell>
        </row>
        <row r="1023">
          <cell r="B1023" t="str">
            <v>Ketahanan Sosial</v>
          </cell>
          <cell r="D1023" t="str">
            <v>Program Pemberdayaan Sosial</v>
          </cell>
          <cell r="K1023" t="str">
            <v>Dinas Sosial, Pemberdayaan Perempuan, dan Perlindungan Anak</v>
          </cell>
          <cell r="O1023" t="str">
            <v>Gerung</v>
          </cell>
          <cell r="Q1023">
            <v>10000000</v>
          </cell>
        </row>
        <row r="1024">
          <cell r="B1024" t="str">
            <v>Ketahanan Sosial</v>
          </cell>
          <cell r="D1024" t="str">
            <v>Program Pemberdayaan Sosial</v>
          </cell>
          <cell r="K1024" t="str">
            <v>Dinas Sosial, Pemberdayaan Perempuan, dan Perlindungan Anak</v>
          </cell>
          <cell r="O1024" t="str">
            <v>Gerung</v>
          </cell>
          <cell r="Q1024">
            <v>10000000</v>
          </cell>
        </row>
        <row r="1025">
          <cell r="B1025" t="str">
            <v>Ketahanan Sosial</v>
          </cell>
          <cell r="D1025" t="str">
            <v>Program Pemberdayaan Sosial</v>
          </cell>
          <cell r="K1025" t="str">
            <v>Dinas Sosial, Pemberdayaan Perempuan, dan Perlindungan Anak</v>
          </cell>
          <cell r="O1025" t="str">
            <v>Gerung</v>
          </cell>
          <cell r="Q1025">
            <v>10000000</v>
          </cell>
        </row>
        <row r="1026">
          <cell r="B1026" t="str">
            <v>Ketahanan Sosial</v>
          </cell>
          <cell r="D1026" t="str">
            <v>Program Pemberdayaan Sosial</v>
          </cell>
          <cell r="K1026" t="str">
            <v>Dinas Sosial, Pemberdayaan Perempuan, dan Perlindungan Anak</v>
          </cell>
          <cell r="O1026" t="str">
            <v>Gerung</v>
          </cell>
          <cell r="Q1026">
            <v>10000000</v>
          </cell>
        </row>
        <row r="1027">
          <cell r="B1027" t="str">
            <v>Ketahanan Sosial</v>
          </cell>
          <cell r="D1027" t="str">
            <v>Program Pemberdayaan Sosial</v>
          </cell>
          <cell r="K1027" t="str">
            <v>Dinas Sosial, Pemberdayaan Perempuan, dan Perlindungan Anak</v>
          </cell>
          <cell r="O1027" t="str">
            <v>Gerung</v>
          </cell>
          <cell r="Q1027">
            <v>10000000</v>
          </cell>
        </row>
        <row r="1028">
          <cell r="B1028" t="str">
            <v>Ketahanan Sosial</v>
          </cell>
          <cell r="D1028" t="str">
            <v>Program Pemberdayaan Sosial</v>
          </cell>
          <cell r="K1028" t="str">
            <v>Dinas Sosial, Pemberdayaan Perempuan, dan Perlindungan Anak</v>
          </cell>
          <cell r="O1028" t="str">
            <v>Gerung</v>
          </cell>
          <cell r="Q1028">
            <v>10000000</v>
          </cell>
        </row>
        <row r="1029">
          <cell r="B1029" t="str">
            <v>Ketahanan Sosial</v>
          </cell>
          <cell r="D1029" t="str">
            <v>PROGRAM PEMERINTAHAN DAN KESEJAHTERAAN RAKYAT</v>
          </cell>
          <cell r="K1029" t="str">
            <v>Sekretariat Daerah</v>
          </cell>
          <cell r="O1029" t="str">
            <v>Gerung</v>
          </cell>
          <cell r="Q1029">
            <v>10000000</v>
          </cell>
        </row>
        <row r="1030">
          <cell r="B1030" t="str">
            <v>Ketahanan Sosial</v>
          </cell>
          <cell r="D1030" t="str">
            <v>Program Pemberdayaan Sosial</v>
          </cell>
          <cell r="K1030" t="str">
            <v>Dinas Sosial, Pemberdayaan Perempuan, dan Perlindungan Anak</v>
          </cell>
          <cell r="O1030" t="str">
            <v>Gerung</v>
          </cell>
          <cell r="Q1030">
            <v>10000000</v>
          </cell>
        </row>
        <row r="1031">
          <cell r="B1031" t="str">
            <v>Infrastruktur Berkelanjutan</v>
          </cell>
          <cell r="D1031" t="str">
            <v>PROGRAM PENGELOLAAN PERSAMPAHAN</v>
          </cell>
          <cell r="K1031" t="str">
            <v>Dinas Lingkungan Hidup</v>
          </cell>
          <cell r="O1031" t="str">
            <v>Gerung</v>
          </cell>
          <cell r="Q1031">
            <v>125000000</v>
          </cell>
        </row>
        <row r="1032">
          <cell r="B1032" t="str">
            <v>Infrastruktur Berkelanjutan</v>
          </cell>
          <cell r="D1032" t="str">
            <v>PROGRAM PENGELOLAAN PERSAMPAHAN</v>
          </cell>
          <cell r="K1032" t="str">
            <v>Dinas Lingkungan Hidup</v>
          </cell>
          <cell r="O1032" t="str">
            <v>Gerung</v>
          </cell>
          <cell r="Q1032">
            <v>125000000</v>
          </cell>
        </row>
        <row r="1033">
          <cell r="B1033" t="str">
            <v>Infrastruktur Berkelanjutan</v>
          </cell>
          <cell r="D1033" t="str">
            <v>PROGRAM PENGELOLAAN PERSAMPAHAN</v>
          </cell>
          <cell r="K1033" t="str">
            <v>Dinas Lingkungan Hidup</v>
          </cell>
          <cell r="O1033" t="str">
            <v>Gerung</v>
          </cell>
          <cell r="Q1033">
            <v>50000000</v>
          </cell>
        </row>
        <row r="1034">
          <cell r="B1034" t="str">
            <v>Infrastruktur Berkelanjutan</v>
          </cell>
          <cell r="D1034" t="str">
            <v>PROGRAM PENGELOLAAN PERSAMPAHAN</v>
          </cell>
          <cell r="K1034" t="str">
            <v>Dinas Lingkungan Hidup</v>
          </cell>
          <cell r="O1034" t="str">
            <v>Gerung</v>
          </cell>
          <cell r="Q1034">
            <v>50000000</v>
          </cell>
        </row>
        <row r="1035">
          <cell r="B1035" t="str">
            <v>Infrastruktur Berkelanjutan</v>
          </cell>
          <cell r="D1035" t="str">
            <v>PROGRAM PENGELOLAAN PERSAMPAHAN</v>
          </cell>
          <cell r="K1035" t="str">
            <v>Dinas Lingkungan Hidup</v>
          </cell>
          <cell r="O1035" t="str">
            <v>Gerung</v>
          </cell>
          <cell r="Q1035">
            <v>380000000</v>
          </cell>
        </row>
        <row r="1036">
          <cell r="B1036" t="str">
            <v>Infrastruktur Berkelanjutan</v>
          </cell>
          <cell r="D1036" t="str">
            <v>PROGRAM PENGELOLAAN PERSAMPAHAN</v>
          </cell>
          <cell r="K1036" t="str">
            <v>Dinas Lingkungan Hidup</v>
          </cell>
          <cell r="O1036" t="str">
            <v>Gerung</v>
          </cell>
          <cell r="Q1036">
            <v>40000000</v>
          </cell>
        </row>
        <row r="1037">
          <cell r="B1037" t="str">
            <v>Infrastruktur Berkelanjutan</v>
          </cell>
          <cell r="D1037" t="str">
            <v>PROGRAM PENGELOLAAN PERSAMPAHAN</v>
          </cell>
          <cell r="K1037" t="str">
            <v>Dinas Lingkungan Hidup</v>
          </cell>
          <cell r="O1037" t="str">
            <v>Gerung</v>
          </cell>
          <cell r="Q1037">
            <v>40000000</v>
          </cell>
        </row>
        <row r="1038">
          <cell r="B1038" t="str">
            <v>Infrastruktur Berkelanjutan</v>
          </cell>
          <cell r="D1038" t="str">
            <v>PROGRAM PENGELOLAAN PERSAMPAHAN</v>
          </cell>
          <cell r="K1038" t="str">
            <v>Dinas Lingkungan Hidup</v>
          </cell>
          <cell r="O1038" t="str">
            <v>Gerung</v>
          </cell>
          <cell r="Q1038">
            <v>40000000</v>
          </cell>
        </row>
        <row r="1039">
          <cell r="B1039" t="str">
            <v>Infrastruktur Berkelanjutan</v>
          </cell>
          <cell r="D1039" t="str">
            <v>PROGRAM PENGELOLAAN PERSAMPAHAN</v>
          </cell>
          <cell r="K1039" t="str">
            <v>Dinas Lingkungan Hidup</v>
          </cell>
          <cell r="O1039" t="str">
            <v>Gerung</v>
          </cell>
          <cell r="Q1039">
            <v>40000000</v>
          </cell>
        </row>
        <row r="1040">
          <cell r="B1040" t="str">
            <v>Infrastruktur Berkelanjutan</v>
          </cell>
          <cell r="D1040" t="str">
            <v>PROGRAM PENGELOLAAN PERSAMPAHAN</v>
          </cell>
          <cell r="K1040" t="str">
            <v>Dinas Lingkungan Hidup</v>
          </cell>
          <cell r="O1040" t="str">
            <v>Gerung</v>
          </cell>
          <cell r="Q1040">
            <v>40000000</v>
          </cell>
        </row>
        <row r="1041">
          <cell r="B1041" t="str">
            <v>Infrastruktur Berkelanjutan</v>
          </cell>
          <cell r="D1041" t="str">
            <v>PROGRAM PENGELOLAAN PERSAMPAHAN</v>
          </cell>
          <cell r="K1041" t="str">
            <v>Dinas Lingkungan Hidup</v>
          </cell>
          <cell r="O1041" t="str">
            <v>Gerung</v>
          </cell>
          <cell r="Q1041">
            <v>40000000</v>
          </cell>
        </row>
        <row r="1042">
          <cell r="B1042" t="str">
            <v>Infrastruktur Berkelanjutan</v>
          </cell>
          <cell r="D1042" t="str">
            <v>PROGRAM PENGELOLAAN PERSAMPAHAN</v>
          </cell>
          <cell r="K1042" t="str">
            <v>Dinas Lingkungan Hidup</v>
          </cell>
          <cell r="O1042" t="str">
            <v>Gerung</v>
          </cell>
          <cell r="Q1042">
            <v>40000000</v>
          </cell>
        </row>
        <row r="1043">
          <cell r="B1043" t="str">
            <v>Infrastruktur Berkelanjutan</v>
          </cell>
          <cell r="D1043" t="str">
            <v>PROGRAM PENGELOLAAN PERSAMPAHAN</v>
          </cell>
          <cell r="K1043" t="str">
            <v>Dinas Lingkungan Hidup</v>
          </cell>
          <cell r="O1043" t="str">
            <v>Gerung</v>
          </cell>
          <cell r="Q1043">
            <v>40000000</v>
          </cell>
        </row>
        <row r="1044">
          <cell r="B1044" t="str">
            <v>Infrastruktur Berkelanjutan</v>
          </cell>
          <cell r="D1044" t="str">
            <v>PROGRAM PENGELOLAAN PERSAMPAHAN</v>
          </cell>
          <cell r="K1044" t="str">
            <v>Dinas Lingkungan Hidup</v>
          </cell>
          <cell r="O1044" t="str">
            <v>Gerung</v>
          </cell>
          <cell r="Q1044">
            <v>40000000</v>
          </cell>
        </row>
        <row r="1045">
          <cell r="B1045" t="str">
            <v>Infrastruktur Berkelanjutan</v>
          </cell>
          <cell r="D1045" t="str">
            <v>PROGRAM PENGELOLAAN PERSAMPAHAN</v>
          </cell>
          <cell r="K1045" t="str">
            <v>Dinas Lingkungan Hidup</v>
          </cell>
          <cell r="O1045" t="str">
            <v>Gerung</v>
          </cell>
          <cell r="Q1045">
            <v>40000000</v>
          </cell>
        </row>
        <row r="1046">
          <cell r="B1046" t="str">
            <v>Infrastruktur Berkelanjutan</v>
          </cell>
          <cell r="D1046" t="str">
            <v>PROGRAM PENGELOLAAN PERSAMPAHAN</v>
          </cell>
          <cell r="K1046" t="str">
            <v>Dinas Lingkungan Hidup</v>
          </cell>
          <cell r="O1046" t="str">
            <v>Gerung</v>
          </cell>
          <cell r="Q1046">
            <v>250000000</v>
          </cell>
        </row>
        <row r="1047">
          <cell r="B1047" t="str">
            <v>Infrastruktur Berkelanjutan</v>
          </cell>
          <cell r="D1047" t="str">
            <v>PROGRAM PENGELOLAAN PERSAMPAHAN</v>
          </cell>
          <cell r="K1047" t="str">
            <v>Dinas Lingkungan Hidup</v>
          </cell>
          <cell r="O1047" t="str">
            <v>Gerung</v>
          </cell>
          <cell r="Q1047">
            <v>250000000</v>
          </cell>
        </row>
        <row r="1048">
          <cell r="B1048" t="str">
            <v>Agrominapolitan</v>
          </cell>
          <cell r="D1048" t="str">
            <v>PROGRAM PENYEDIAAN DAN PENGEMBANGAN SARANA PERTANIAN</v>
          </cell>
          <cell r="K1048" t="str">
            <v>Dinas Pertanian</v>
          </cell>
          <cell r="O1048" t="str">
            <v>Gerung</v>
          </cell>
          <cell r="Q1048">
            <v>200000000</v>
          </cell>
        </row>
        <row r="1049">
          <cell r="B1049" t="str">
            <v>Agrominapolitan</v>
          </cell>
          <cell r="D1049" t="str">
            <v>PROGRAM PENYEDIAAN DAN PENGEMBANGAN SARANA PERTANIAN</v>
          </cell>
          <cell r="K1049" t="str">
            <v>Dinas Pertanian</v>
          </cell>
          <cell r="O1049" t="str">
            <v>Gerung</v>
          </cell>
          <cell r="Q1049">
            <v>74000000</v>
          </cell>
        </row>
        <row r="1050">
          <cell r="B1050" t="str">
            <v>Agrominapolitan</v>
          </cell>
          <cell r="D1050" t="str">
            <v>PROGRAM PENYEDIAAN DAN PENGEMBANGAN SARANA PERTANIAN</v>
          </cell>
          <cell r="K1050" t="str">
            <v>Dinas Pertanian</v>
          </cell>
          <cell r="O1050" t="str">
            <v>Gerung</v>
          </cell>
          <cell r="Q1050">
            <v>135000000</v>
          </cell>
        </row>
        <row r="1051">
          <cell r="B1051" t="str">
            <v>Agrominapolitan</v>
          </cell>
          <cell r="D1051" t="str">
            <v>PROGRAM PENYEDIAAN DAN PENGEMBANGAN SARANA PERTANIAN</v>
          </cell>
          <cell r="K1051" t="str">
            <v>Dinas Pertanian</v>
          </cell>
          <cell r="O1051" t="str">
            <v>Gerung</v>
          </cell>
          <cell r="Q1051">
            <v>71523000</v>
          </cell>
        </row>
        <row r="1052">
          <cell r="B1052" t="str">
            <v>Agrominapolitan</v>
          </cell>
          <cell r="D1052" t="str">
            <v>PROGRAM PENYEDIAAN DAN PENGEMBANGAN SARANA PERTANIAN</v>
          </cell>
          <cell r="K1052" t="str">
            <v>Dinas Pertanian</v>
          </cell>
          <cell r="O1052" t="str">
            <v>Gerung</v>
          </cell>
          <cell r="Q1052">
            <v>1000000000</v>
          </cell>
        </row>
        <row r="1053">
          <cell r="B1053" t="str">
            <v>Agrominapolitan</v>
          </cell>
          <cell r="D1053" t="str">
            <v>PROGRAM PENYEDIAAN DAN PENGEMBANGAN SARANA PERTANIAN</v>
          </cell>
          <cell r="K1053" t="str">
            <v>Dinas Pertanian</v>
          </cell>
          <cell r="O1053" t="str">
            <v>Gerung</v>
          </cell>
          <cell r="Q1053">
            <v>100000000</v>
          </cell>
        </row>
        <row r="1054">
          <cell r="B1054" t="str">
            <v>Agrominapolitan</v>
          </cell>
          <cell r="D1054" t="str">
            <v>PROGRAM PENYEDIAAN DAN PENGEMBANGAN SARANA PERTANIAN</v>
          </cell>
          <cell r="K1054" t="str">
            <v>Dinas Pertanian</v>
          </cell>
          <cell r="O1054" t="str">
            <v>Gerung</v>
          </cell>
          <cell r="Q1054">
            <v>100000000</v>
          </cell>
        </row>
        <row r="1055">
          <cell r="B1055" t="str">
            <v>Agrominapolitan</v>
          </cell>
          <cell r="D1055" t="str">
            <v>PROGRAM PENYEDIAAN DAN PENGEMBANGAN SARANA PERTANIAN</v>
          </cell>
          <cell r="K1055" t="str">
            <v>Dinas Pertanian</v>
          </cell>
          <cell r="O1055" t="str">
            <v>Gerung</v>
          </cell>
          <cell r="Q1055">
            <v>50000000</v>
          </cell>
        </row>
        <row r="1056">
          <cell r="B1056" t="str">
            <v>Agrominapolitan</v>
          </cell>
          <cell r="D1056" t="str">
            <v>PROGRAM PENYEDIAAN DAN PENGEMBANGAN SARANA PERTANIAN</v>
          </cell>
          <cell r="K1056" t="str">
            <v>Dinas Pertanian</v>
          </cell>
          <cell r="O1056" t="str">
            <v>Gerung</v>
          </cell>
          <cell r="Q1056">
            <v>90000000</v>
          </cell>
        </row>
        <row r="1057">
          <cell r="B1057" t="str">
            <v>Agrominapolitan</v>
          </cell>
          <cell r="D1057" t="str">
            <v>PROGRAM PENYEDIAAN DAN PENGEMBANGAN SARANA PERTANIAN</v>
          </cell>
          <cell r="K1057" t="str">
            <v>Dinas Pertanian</v>
          </cell>
          <cell r="O1057" t="str">
            <v>Gerung</v>
          </cell>
          <cell r="Q1057">
            <v>31300000</v>
          </cell>
        </row>
        <row r="1058">
          <cell r="B1058" t="str">
            <v>Transformasi dan Kemandirian Ekonomi</v>
          </cell>
          <cell r="D1058" t="str">
            <v>PROGRAM PENGEMBANGAN UMKM</v>
          </cell>
          <cell r="K1058" t="str">
            <v>Dinas Perindustrian, Koperasi, Usaha Kecil dan Menengah, dan Tenaga Kerja</v>
          </cell>
          <cell r="O1058" t="str">
            <v>Gerung</v>
          </cell>
          <cell r="Q1058">
            <v>45000000</v>
          </cell>
        </row>
        <row r="1059">
          <cell r="B1059" t="str">
            <v>Transformasi dan Kemandirian Ekonomi</v>
          </cell>
          <cell r="D1059" t="str">
            <v>PROGRAM PENGEMBANGAN UMKM</v>
          </cell>
          <cell r="K1059" t="str">
            <v>Dinas Perindustrian, Koperasi, Usaha Kecil dan Menengah, dan Tenaga Kerja</v>
          </cell>
          <cell r="O1059" t="str">
            <v>Gerung</v>
          </cell>
          <cell r="Q1059">
            <v>10000000</v>
          </cell>
        </row>
        <row r="1060">
          <cell r="B1060" t="str">
            <v>Transformasi dan Kemandirian Ekonomi</v>
          </cell>
          <cell r="D1060" t="str">
            <v>PROGRAM PENINGKATAN SARANA DISTRIBUSI PERDAGANGAN</v>
          </cell>
          <cell r="K1060" t="str">
            <v>Dinas Perdagangan</v>
          </cell>
          <cell r="O1060" t="str">
            <v>Gerung</v>
          </cell>
          <cell r="Q1060">
            <v>10000000</v>
          </cell>
        </row>
        <row r="1061">
          <cell r="B1061" t="str">
            <v>Transformasi dan Kemandirian Ekonomi</v>
          </cell>
          <cell r="D1061" t="str">
            <v>PROGRAM PENGEMBANGAN UMKM</v>
          </cell>
          <cell r="K1061" t="str">
            <v>Dinas Perindustrian, Koperasi, Usaha Kecil dan Menengah, dan Tenaga Kerja</v>
          </cell>
          <cell r="O1061" t="str">
            <v>Gerung</v>
          </cell>
          <cell r="Q1061">
            <v>50000000</v>
          </cell>
        </row>
        <row r="1062">
          <cell r="B1062" t="str">
            <v>Transformasi dan Kemandirian Ekonomi</v>
          </cell>
          <cell r="D1062" t="str">
            <v>PROGRAM PENGEMBANGAN UMKM</v>
          </cell>
          <cell r="K1062" t="str">
            <v>Dinas Perindustrian, Koperasi, Usaha Kecil dan Menengah, dan Tenaga Kerja</v>
          </cell>
          <cell r="O1062" t="str">
            <v>Gerung</v>
          </cell>
          <cell r="Q1062">
            <v>25000000</v>
          </cell>
        </row>
        <row r="1063">
          <cell r="B1063" t="str">
            <v>Transformasi dan Kemandirian Ekonomi</v>
          </cell>
          <cell r="D1063" t="str">
            <v>PROGRAM PENGEMBANGAN UMKM</v>
          </cell>
          <cell r="K1063" t="str">
            <v>Dinas Perindustrian, Koperasi, Usaha Kecil dan Menengah, dan Tenaga Kerja</v>
          </cell>
          <cell r="O1063" t="str">
            <v>Gerung</v>
          </cell>
          <cell r="Q1063">
            <v>25000000</v>
          </cell>
        </row>
        <row r="1064">
          <cell r="B1064" t="str">
            <v>Pembangunan SDM Unggul dan Berdaya Saing</v>
          </cell>
          <cell r="D1064" t="str">
            <v>PROGRAM PENGELOLAAN PENDIDIKAN</v>
          </cell>
          <cell r="K1064" t="str">
            <v>Dinas Pendidikan dan Kebudayaan</v>
          </cell>
          <cell r="O1064" t="str">
            <v>Gerung</v>
          </cell>
          <cell r="Q1064">
            <v>27500000</v>
          </cell>
        </row>
        <row r="1065">
          <cell r="B1065" t="str">
            <v>Infrastruktur Berkelanjutan</v>
          </cell>
          <cell r="D1065" t="str">
            <v>Program Penyelenggaraan Lalu Lintas dan Angkutan Jalan (LLAJ)</v>
          </cell>
          <cell r="K1065" t="str">
            <v>Dinas Perhubungan</v>
          </cell>
          <cell r="O1065" t="str">
            <v>Gerung</v>
          </cell>
          <cell r="Q1065">
            <v>24995000</v>
          </cell>
        </row>
        <row r="1066">
          <cell r="B1066" t="str">
            <v>Infrastruktur Berkelanjutan</v>
          </cell>
          <cell r="D1066" t="str">
            <v>Program Penyelenggaraan Lalu Lintas dan Angkutan Jalan (LLAJ)</v>
          </cell>
          <cell r="K1066" t="str">
            <v>Dinas Perhubungan</v>
          </cell>
          <cell r="O1066" t="str">
            <v>Gerung</v>
          </cell>
          <cell r="Q1066">
            <v>62500000</v>
          </cell>
        </row>
        <row r="1067">
          <cell r="B1067" t="str">
            <v>Infrastruktur Berkelanjutan</v>
          </cell>
          <cell r="D1067" t="str">
            <v>PROGRAM PENINGKATAN PRASARANA, SARANA DAN UTILITAS UMUM (PSU)</v>
          </cell>
          <cell r="K1067" t="str">
            <v>Dinas Pekerjaan Umum, Penataan Ruang, Perumahan dan Kawasan Permukiman</v>
          </cell>
          <cell r="O1067" t="str">
            <v>Gerung</v>
          </cell>
          <cell r="Q1067">
            <v>150000000</v>
          </cell>
        </row>
        <row r="1068">
          <cell r="B1068" t="str">
            <v>Infrastruktur Berkelanjutan</v>
          </cell>
          <cell r="D1068" t="str">
            <v>PROGRAM PENGELOLAAN DAN PENGEMBANGAN SISTEM DRAINASE</v>
          </cell>
          <cell r="K1068" t="str">
            <v>Dinas Pekerjaan Umum, Penataan Ruang, Perumahan dan Kawasan Permukiman</v>
          </cell>
          <cell r="O1068" t="str">
            <v>Gerung</v>
          </cell>
          <cell r="Q1068">
            <v>300000000</v>
          </cell>
        </row>
        <row r="1069">
          <cell r="B1069" t="str">
            <v>Infrastruktur Berkelanjutan</v>
          </cell>
          <cell r="D1069" t="str">
            <v>PROGRAM PENGELOLAAN DAN PENGEMBANGAN SISTEM DRAINASE</v>
          </cell>
          <cell r="K1069" t="str">
            <v>Dinas Pekerjaan Umum, Penataan Ruang, Perumahan dan Kawasan Permukiman</v>
          </cell>
          <cell r="O1069" t="str">
            <v>Gerung</v>
          </cell>
          <cell r="Q1069">
            <v>100000000</v>
          </cell>
        </row>
        <row r="1070">
          <cell r="B1070" t="str">
            <v>Infrastruktur Berkelanjutan</v>
          </cell>
          <cell r="D1070" t="str">
            <v>PROGRAM PENINGKATAN PRASARANA, SARANA DAN UTILITAS UMUM (PSU)</v>
          </cell>
          <cell r="K1070" t="str">
            <v>Dinas Pekerjaan Umum, Penataan Ruang, Perumahan dan Kawasan Permukiman</v>
          </cell>
          <cell r="O1070" t="str">
            <v>Gerung</v>
          </cell>
          <cell r="Q1070">
            <v>100000000</v>
          </cell>
        </row>
        <row r="1071">
          <cell r="B1071" t="str">
            <v>Infrastruktur Berkelanjutan</v>
          </cell>
          <cell r="D1071" t="str">
            <v>PROGRAM PENGELOLAAN SUMBER DAYA AIR (SDA)</v>
          </cell>
          <cell r="K1071" t="str">
            <v>Dinas Pekerjaan Umum, Penataan Ruang, Perumahan dan Kawasan Permukiman</v>
          </cell>
          <cell r="O1071" t="str">
            <v>Gerung</v>
          </cell>
          <cell r="Q1071">
            <v>100000000</v>
          </cell>
        </row>
        <row r="1072">
          <cell r="B1072" t="str">
            <v>Infrastruktur Berkelanjutan</v>
          </cell>
          <cell r="D1072" t="str">
            <v>PROGRAM PENINGKATAN PRASARANA, SARANA DAN UTILITAS UMUM (PSU)</v>
          </cell>
          <cell r="K1072" t="str">
            <v>Dinas Pekerjaan Umum, Penataan Ruang, Perumahan dan Kawasan Permukiman</v>
          </cell>
          <cell r="O1072" t="str">
            <v>Gerung</v>
          </cell>
          <cell r="Q1072">
            <v>100000000</v>
          </cell>
        </row>
        <row r="1073">
          <cell r="B1073" t="str">
            <v>Infrastruktur Berkelanjutan</v>
          </cell>
          <cell r="D1073" t="str">
            <v>PROGRAM PENINGKATAN PRASARANA, SARANA DAN UTILITAS UMUM (PSU)</v>
          </cell>
          <cell r="K1073" t="str">
            <v>Dinas Pekerjaan Umum, Penataan Ruang, Perumahan dan Kawasan Permukiman</v>
          </cell>
          <cell r="O1073" t="str">
            <v>Gerung</v>
          </cell>
          <cell r="Q1073">
            <v>100000000</v>
          </cell>
        </row>
        <row r="1074">
          <cell r="B1074" t="str">
            <v>Infrastruktur Berkelanjutan</v>
          </cell>
          <cell r="D1074" t="str">
            <v>PROGRAM PENINGKATAN PRASARANA, SARANA DAN UTILITAS UMUM (PSU)</v>
          </cell>
          <cell r="K1074" t="str">
            <v>Dinas Pekerjaan Umum, Penataan Ruang, Perumahan dan Kawasan Permukiman</v>
          </cell>
          <cell r="O1074" t="str">
            <v>Gerung</v>
          </cell>
          <cell r="Q1074">
            <v>100000000</v>
          </cell>
        </row>
        <row r="1075">
          <cell r="B1075" t="str">
            <v>Infrastruktur Berkelanjutan</v>
          </cell>
          <cell r="D1075" t="str">
            <v>PROGRAM PENINGKATAN PRASARANA, SARANA DAN UTILITAS UMUM (PSU)</v>
          </cell>
          <cell r="K1075" t="str">
            <v>Dinas Pekerjaan Umum, Penataan Ruang, Perumahan dan Kawasan Permukiman</v>
          </cell>
          <cell r="O1075" t="str">
            <v>Gerung</v>
          </cell>
          <cell r="Q1075">
            <v>100000000</v>
          </cell>
        </row>
        <row r="1076">
          <cell r="B1076" t="str">
            <v>Infrastruktur Berkelanjutan</v>
          </cell>
          <cell r="D1076" t="str">
            <v>PROGRAM PENINGKATAN PRASARANA, SARANA DAN UTILITAS UMUM (PSU)</v>
          </cell>
          <cell r="K1076" t="str">
            <v>Dinas Pekerjaan Umum, Penataan Ruang, Perumahan dan Kawasan Permukiman</v>
          </cell>
          <cell r="O1076" t="str">
            <v>Gerung</v>
          </cell>
          <cell r="Q1076">
            <v>100000000</v>
          </cell>
        </row>
        <row r="1077">
          <cell r="B1077" t="str">
            <v>Infrastruktur Berkelanjutan</v>
          </cell>
          <cell r="D1077" t="str">
            <v>PROGRAM PENINGKATAN PRASARANA, SARANA DAN UTILITAS UMUM (PSU)</v>
          </cell>
          <cell r="K1077" t="str">
            <v>Dinas Pekerjaan Umum, Penataan Ruang, Perumahan dan Kawasan Permukiman</v>
          </cell>
          <cell r="O1077" t="str">
            <v>Gerung</v>
          </cell>
          <cell r="Q1077">
            <v>100000000</v>
          </cell>
        </row>
        <row r="1078">
          <cell r="B1078" t="str">
            <v>Infrastruktur Berkelanjutan</v>
          </cell>
          <cell r="D1078" t="str">
            <v>PROGRAM PENINGKATAN PRASARANA, SARANA DAN UTILITAS UMUM (PSU)</v>
          </cell>
          <cell r="K1078" t="str">
            <v>Dinas Pekerjaan Umum, Penataan Ruang, Perumahan dan Kawasan Permukiman</v>
          </cell>
          <cell r="O1078" t="str">
            <v>Gerung</v>
          </cell>
          <cell r="Q1078">
            <v>100000000</v>
          </cell>
        </row>
        <row r="1079">
          <cell r="B1079" t="str">
            <v>Infrastruktur Berkelanjutan</v>
          </cell>
          <cell r="D1079" t="str">
            <v>PROGRAM PENYELENGGARAAN JALAN</v>
          </cell>
          <cell r="K1079" t="str">
            <v>Dinas Pekerjaan Umum, Penataan Ruang, Perumahan dan Kawasan Permukiman</v>
          </cell>
          <cell r="O1079" t="str">
            <v>Gerung</v>
          </cell>
          <cell r="Q1079">
            <v>1000000000</v>
          </cell>
        </row>
        <row r="1080">
          <cell r="B1080" t="str">
            <v>Infrastruktur Berkelanjutan</v>
          </cell>
          <cell r="D1080" t="str">
            <v>PROGRAM PENINGKATAN PRASARANA, SARANA DAN UTILITAS UMUM (PSU)</v>
          </cell>
          <cell r="K1080" t="str">
            <v>Dinas Pekerjaan Umum, Penataan Ruang, Perumahan dan Kawasan Permukiman</v>
          </cell>
          <cell r="O1080" t="str">
            <v>Gerung</v>
          </cell>
          <cell r="Q1080">
            <v>200000000</v>
          </cell>
        </row>
        <row r="1081">
          <cell r="B1081" t="str">
            <v>Infrastruktur Berkelanjutan</v>
          </cell>
          <cell r="D1081" t="str">
            <v>PROGRAM PENINGKATAN PRASARANA, SARANA DAN UTILITAS UMUM (PSU)</v>
          </cell>
          <cell r="K1081" t="str">
            <v>Dinas Pekerjaan Umum, Penataan Ruang, Perumahan dan Kawasan Permukiman</v>
          </cell>
          <cell r="O1081" t="str">
            <v>Gerung</v>
          </cell>
          <cell r="Q1081">
            <v>200000000</v>
          </cell>
        </row>
        <row r="1082">
          <cell r="B1082" t="str">
            <v>Infrastruktur Berkelanjutan</v>
          </cell>
          <cell r="D1082" t="str">
            <v>PROGRAM PENINGKATAN PRASARANA, SARANA DAN UTILITAS UMUM (PSU)</v>
          </cell>
          <cell r="K1082" t="str">
            <v>Dinas Pekerjaan Umum, Penataan Ruang, Perumahan dan Kawasan Permukiman</v>
          </cell>
          <cell r="O1082" t="str">
            <v>Gerung</v>
          </cell>
          <cell r="Q1082">
            <v>100000000</v>
          </cell>
        </row>
        <row r="1083">
          <cell r="B1083" t="str">
            <v>Infrastruktur Berkelanjutan</v>
          </cell>
          <cell r="D1083" t="str">
            <v>PROGRAM PENINGKATAN PRASARANA, SARANA DAN UTILITAS UMUM (PSU)</v>
          </cell>
          <cell r="K1083" t="str">
            <v>Dinas Pekerjaan Umum, Penataan Ruang, Perumahan dan Kawasan Permukiman</v>
          </cell>
          <cell r="O1083" t="str">
            <v>Gerung</v>
          </cell>
          <cell r="Q1083">
            <v>49619900</v>
          </cell>
        </row>
        <row r="1084">
          <cell r="B1084" t="str">
            <v>Infrastruktur Berkelanjutan</v>
          </cell>
          <cell r="D1084" t="str">
            <v>PROGRAM PENINGKATAN PRASARANA, SARANA DAN UTILITAS UMUM (PSU)</v>
          </cell>
          <cell r="K1084" t="str">
            <v>Dinas Pekerjaan Umum, Penataan Ruang, Perumahan dan Kawasan Permukiman</v>
          </cell>
          <cell r="O1084" t="str">
            <v>Gerung</v>
          </cell>
          <cell r="Q1084">
            <v>144755100</v>
          </cell>
        </row>
        <row r="1085">
          <cell r="B1085" t="str">
            <v>Infrastruktur Berkelanjutan</v>
          </cell>
          <cell r="D1085" t="str">
            <v>PROGRAM PENINGKATAN PRASARANA, SARANA DAN UTILITAS UMUM (PSU)</v>
          </cell>
          <cell r="K1085" t="str">
            <v>Dinas Pekerjaan Umum, Penataan Ruang, Perumahan dan Kawasan Permukiman</v>
          </cell>
          <cell r="O1085" t="str">
            <v>Gerung</v>
          </cell>
          <cell r="Q1085">
            <v>200000000</v>
          </cell>
        </row>
        <row r="1086">
          <cell r="B1086" t="str">
            <v>Infrastruktur Berkelanjutan</v>
          </cell>
          <cell r="D1086" t="str">
            <v>PROGRAM PENINGKATAN PRASARANA, SARANA DAN UTILITAS UMUM (PSU)</v>
          </cell>
          <cell r="K1086" t="str">
            <v>Dinas Pekerjaan Umum, Penataan Ruang, Perumahan dan Kawasan Permukiman</v>
          </cell>
          <cell r="O1086" t="str">
            <v>Gerung</v>
          </cell>
          <cell r="Q1086">
            <v>100000000</v>
          </cell>
        </row>
        <row r="1087">
          <cell r="B1087" t="str">
            <v>Infrastruktur Berkelanjutan</v>
          </cell>
          <cell r="D1087" t="str">
            <v>PROGRAM PENINGKATAN PRASARANA, SARANA DAN UTILITAS UMUM (PSU)</v>
          </cell>
          <cell r="K1087" t="str">
            <v>Dinas Pekerjaan Umum, Penataan Ruang, Perumahan dan Kawasan Permukiman</v>
          </cell>
          <cell r="O1087" t="str">
            <v>Gerung</v>
          </cell>
          <cell r="Q1087">
            <v>100000000</v>
          </cell>
        </row>
        <row r="1088">
          <cell r="B1088" t="str">
            <v>Infrastruktur Berkelanjutan</v>
          </cell>
          <cell r="D1088" t="str">
            <v>PROGRAM PENINGKATAN PRASARANA, SARANA DAN UTILITAS UMUM (PSU)</v>
          </cell>
          <cell r="K1088" t="str">
            <v>Dinas Pekerjaan Umum, Penataan Ruang, Perumahan dan Kawasan Permukiman</v>
          </cell>
          <cell r="O1088" t="str">
            <v>Gerung</v>
          </cell>
          <cell r="Q1088">
            <v>100000000</v>
          </cell>
        </row>
        <row r="1089">
          <cell r="B1089" t="str">
            <v>Infrastruktur Berkelanjutan</v>
          </cell>
          <cell r="D1089" t="str">
            <v>PROGRAM PENINGKATAN PRASARANA, SARANA DAN UTILITAS UMUM (PSU)</v>
          </cell>
          <cell r="K1089" t="str">
            <v>Dinas Pekerjaan Umum, Penataan Ruang, Perumahan dan Kawasan Permukiman</v>
          </cell>
          <cell r="O1089" t="str">
            <v>Gerung</v>
          </cell>
          <cell r="Q1089">
            <v>100000000</v>
          </cell>
        </row>
        <row r="1090">
          <cell r="B1090" t="str">
            <v>Infrastruktur Berkelanjutan</v>
          </cell>
          <cell r="D1090" t="str">
            <v>PROGRAM PENINGKATAN PRASARANA, SARANA DAN UTILITAS UMUM (PSU)</v>
          </cell>
          <cell r="K1090" t="str">
            <v>Dinas Pekerjaan Umum, Penataan Ruang, Perumahan dan Kawasan Permukiman</v>
          </cell>
          <cell r="O1090" t="str">
            <v>Gerung</v>
          </cell>
          <cell r="Q1090">
            <v>100000000</v>
          </cell>
        </row>
        <row r="1091">
          <cell r="B1091" t="str">
            <v>Infrastruktur Berkelanjutan</v>
          </cell>
          <cell r="D1091" t="str">
            <v>PROGRAM PENINGKATAN PRASARANA, SARANA DAN UTILITAS UMUM (PSU)</v>
          </cell>
          <cell r="K1091" t="str">
            <v>Dinas Pekerjaan Umum, Penataan Ruang, Perumahan dan Kawasan Permukiman</v>
          </cell>
          <cell r="O1091" t="str">
            <v>Gerung</v>
          </cell>
          <cell r="Q1091">
            <v>100000000</v>
          </cell>
        </row>
        <row r="1092">
          <cell r="B1092" t="str">
            <v>Infrastruktur Berkelanjutan</v>
          </cell>
          <cell r="D1092" t="str">
            <v>PROGRAM PENINGKATAN PRASARANA, SARANA DAN UTILITAS UMUM (PSU)</v>
          </cell>
          <cell r="K1092" t="str">
            <v>Dinas Pekerjaan Umum, Penataan Ruang, Perumahan dan Kawasan Permukiman</v>
          </cell>
          <cell r="O1092" t="str">
            <v>Gerung</v>
          </cell>
          <cell r="Q1092">
            <v>100000000</v>
          </cell>
        </row>
        <row r="1093">
          <cell r="B1093" t="str">
            <v>Infrastruktur Berkelanjutan</v>
          </cell>
          <cell r="D1093" t="str">
            <v>PROGRAM PENINGKATAN PRASARANA, SARANA DAN UTILITAS UMUM (PSU)</v>
          </cell>
          <cell r="K1093" t="str">
            <v>Dinas Pekerjaan Umum, Penataan Ruang, Perumahan dan Kawasan Permukiman</v>
          </cell>
          <cell r="O1093" t="str">
            <v>Gerung</v>
          </cell>
          <cell r="Q1093">
            <v>100000000</v>
          </cell>
        </row>
        <row r="1094">
          <cell r="B1094" t="str">
            <v>Infrastruktur Berkelanjutan</v>
          </cell>
          <cell r="D1094" t="str">
            <v>PROGRAM PENINGKATAN PRASARANA, SARANA DAN UTILITAS UMUM (PSU)</v>
          </cell>
          <cell r="K1094" t="str">
            <v>Dinas Pekerjaan Umum, Penataan Ruang, Perumahan dan Kawasan Permukiman</v>
          </cell>
          <cell r="O1094" t="str">
            <v>Gerung</v>
          </cell>
          <cell r="Q1094">
            <v>100000000</v>
          </cell>
        </row>
        <row r="1095">
          <cell r="B1095" t="str">
            <v>Infrastruktur Berkelanjutan</v>
          </cell>
          <cell r="D1095" t="str">
            <v>PROGRAM PENINGKATAN PRASARANA, SARANA DAN UTILITAS UMUM (PSU)</v>
          </cell>
          <cell r="K1095" t="str">
            <v>Dinas Pekerjaan Umum, Penataan Ruang, Perumahan dan Kawasan Permukiman</v>
          </cell>
          <cell r="O1095" t="str">
            <v>Gerung</v>
          </cell>
          <cell r="Q1095">
            <v>100000000</v>
          </cell>
        </row>
        <row r="1096">
          <cell r="B1096" t="str">
            <v>Infrastruktur Berkelanjutan</v>
          </cell>
          <cell r="D1096" t="str">
            <v>PROGRAM PENGELOLAAN SUMBER DAYA AIR (SDA)</v>
          </cell>
          <cell r="K1096" t="str">
            <v>Dinas Pekerjaan Umum, Penataan Ruang, Perumahan dan Kawasan Permukiman</v>
          </cell>
          <cell r="O1096" t="str">
            <v>Gerung</v>
          </cell>
          <cell r="Q1096">
            <v>179985000</v>
          </cell>
        </row>
        <row r="1097">
          <cell r="B1097" t="str">
            <v>Infrastruktur Berkelanjutan</v>
          </cell>
          <cell r="D1097" t="str">
            <v>PROGRAM PENGELOLAAN SUMBER DAYA AIR (SDA)</v>
          </cell>
          <cell r="K1097" t="str">
            <v>Dinas Pekerjaan Umum, Penataan Ruang, Perumahan dan Kawasan Permukiman</v>
          </cell>
          <cell r="O1097" t="str">
            <v>Gerung</v>
          </cell>
          <cell r="Q1097">
            <v>31140000</v>
          </cell>
        </row>
        <row r="1098">
          <cell r="B1098" t="str">
            <v>Infrastruktur Berkelanjutan</v>
          </cell>
          <cell r="D1098" t="str">
            <v>PROGRAM PENINGKATAN PRASARANA, SARANA DAN UTILITAS UMUM (PSU)</v>
          </cell>
          <cell r="K1098" t="str">
            <v>Dinas Pekerjaan Umum, Penataan Ruang, Perumahan dan Kawasan Permukiman</v>
          </cell>
          <cell r="O1098" t="str">
            <v>Gerung</v>
          </cell>
          <cell r="Q1098">
            <v>139100000</v>
          </cell>
        </row>
        <row r="1099">
          <cell r="B1099" t="str">
            <v>Infrastruktur Berkelanjutan</v>
          </cell>
          <cell r="D1099" t="str">
            <v>PROGRAM PENINGKATAN PRASARANA, SARANA DAN UTILITAS UMUM (PSU)</v>
          </cell>
          <cell r="K1099" t="str">
            <v>Dinas Pekerjaan Umum, Penataan Ruang, Perumahan dan Kawasan Permukiman</v>
          </cell>
          <cell r="O1099" t="str">
            <v>Gerung</v>
          </cell>
          <cell r="Q1099">
            <v>75000000</v>
          </cell>
        </row>
        <row r="1100">
          <cell r="B1100" t="str">
            <v>Infrastruktur Berkelanjutan</v>
          </cell>
          <cell r="D1100" t="str">
            <v>PROGRAM PENGELOLAAN SUMBER DAYA AIR (SDA)</v>
          </cell>
          <cell r="K1100" t="str">
            <v>Dinas Pekerjaan Umum, Penataan Ruang, Perumahan dan Kawasan Permukiman</v>
          </cell>
          <cell r="O1100" t="str">
            <v>Gerung</v>
          </cell>
          <cell r="Q1100">
            <v>62280000</v>
          </cell>
        </row>
        <row r="1101">
          <cell r="B1101" t="str">
            <v>Infrastruktur Berkelanjutan</v>
          </cell>
          <cell r="D1101" t="str">
            <v>PROGRAM PENINGKATAN PRASARANA, SARANA DAN UTILITAS UMUM (PSU)</v>
          </cell>
          <cell r="K1101" t="str">
            <v>Dinas Pekerjaan Umum, Penataan Ruang, Perumahan dan Kawasan Permukiman</v>
          </cell>
          <cell r="O1101" t="str">
            <v>Gerung</v>
          </cell>
          <cell r="Q1101">
            <v>55000000</v>
          </cell>
        </row>
        <row r="1102">
          <cell r="B1102" t="str">
            <v>Infrastruktur Berkelanjutan</v>
          </cell>
          <cell r="D1102" t="str">
            <v>PROGRAM PENINGKATAN PRASARANA, SARANA DAN UTILITAS UMUM (PSU)</v>
          </cell>
          <cell r="K1102" t="str">
            <v>Dinas Pekerjaan Umum, Penataan Ruang, Perumahan dan Kawasan Permukiman</v>
          </cell>
          <cell r="O1102" t="str">
            <v>Gerung</v>
          </cell>
          <cell r="Q1102">
            <v>35000000</v>
          </cell>
        </row>
        <row r="1103">
          <cell r="B1103" t="str">
            <v>Infrastruktur Berkelanjutan</v>
          </cell>
          <cell r="D1103" t="str">
            <v>PROGRAM PENINGKATAN PRASARANA, SARANA DAN UTILITAS UMUM (PSU)</v>
          </cell>
          <cell r="K1103" t="str">
            <v>Dinas Pekerjaan Umum, Penataan Ruang, Perumahan dan Kawasan Permukiman</v>
          </cell>
          <cell r="O1103" t="str">
            <v>Gerung</v>
          </cell>
          <cell r="Q1103">
            <v>135000000</v>
          </cell>
        </row>
        <row r="1104">
          <cell r="B1104" t="str">
            <v>Infrastruktur Berkelanjutan</v>
          </cell>
          <cell r="D1104" t="str">
            <v>PROGRAM PENINGKATAN PRASARANA, SARANA DAN UTILITAS UMUM (PSU)</v>
          </cell>
          <cell r="K1104" t="str">
            <v>Dinas Pekerjaan Umum, Penataan Ruang, Perumahan dan Kawasan Permukiman</v>
          </cell>
          <cell r="O1104" t="str">
            <v>Gerung</v>
          </cell>
          <cell r="Q1104">
            <v>260000000</v>
          </cell>
        </row>
        <row r="1105">
          <cell r="B1105" t="str">
            <v>Infrastruktur Berkelanjutan</v>
          </cell>
          <cell r="D1105" t="str">
            <v>PROGRAM PENINGKATAN PRASARANA, SARANA DAN UTILITAS UMUM (PSU)</v>
          </cell>
          <cell r="K1105" t="str">
            <v>Dinas Pekerjaan Umum, Penataan Ruang, Perumahan dan Kawasan Permukiman</v>
          </cell>
          <cell r="O1105" t="str">
            <v>Gerung</v>
          </cell>
          <cell r="Q1105">
            <v>80000000</v>
          </cell>
        </row>
        <row r="1106">
          <cell r="B1106" t="str">
            <v>Infrastruktur Berkelanjutan</v>
          </cell>
          <cell r="D1106" t="str">
            <v>PROGRAM KAWASAN PERMUKIMAN</v>
          </cell>
          <cell r="K1106" t="str">
            <v>Dinas Pekerjaan Umum, Penataan Ruang, Perumahan dan Kawasan Permukiman</v>
          </cell>
          <cell r="O1106" t="str">
            <v>Gerung</v>
          </cell>
          <cell r="Q1106">
            <v>35000000</v>
          </cell>
        </row>
        <row r="1107">
          <cell r="B1107" t="str">
            <v>Infrastruktur Berkelanjutan</v>
          </cell>
          <cell r="D1107" t="str">
            <v>PROGRAM PENINGKATAN PRASARANA, SARANA DAN UTILITAS UMUM (PSU)</v>
          </cell>
          <cell r="K1107" t="str">
            <v>Dinas Pekerjaan Umum, Penataan Ruang, Perumahan dan Kawasan Permukiman</v>
          </cell>
          <cell r="O1107" t="str">
            <v>Gerung</v>
          </cell>
          <cell r="Q1107">
            <v>50000000</v>
          </cell>
        </row>
        <row r="1108">
          <cell r="B1108" t="str">
            <v>Infrastruktur Berkelanjutan</v>
          </cell>
          <cell r="D1108" t="str">
            <v>PROGRAM KAWASAN PERMUKIMAN</v>
          </cell>
          <cell r="K1108" t="str">
            <v>Dinas Pekerjaan Umum, Penataan Ruang, Perumahan dan Kawasan Permukiman</v>
          </cell>
          <cell r="O1108" t="str">
            <v>Gerung</v>
          </cell>
          <cell r="Q1108">
            <v>35000000</v>
          </cell>
        </row>
        <row r="1109">
          <cell r="B1109" t="str">
            <v>Infrastruktur Berkelanjutan</v>
          </cell>
          <cell r="D1109" t="str">
            <v>PROGRAM KAWASAN PERMUKIMAN</v>
          </cell>
          <cell r="K1109" t="str">
            <v>Dinas Pekerjaan Umum, Penataan Ruang, Perumahan dan Kawasan Permukiman</v>
          </cell>
          <cell r="O1109" t="str">
            <v>Gerung</v>
          </cell>
          <cell r="Q1109">
            <v>70000000</v>
          </cell>
        </row>
        <row r="1110">
          <cell r="B1110" t="str">
            <v>Infrastruktur Berkelanjutan</v>
          </cell>
          <cell r="D1110" t="str">
            <v>PROGRAM PENINGKATAN PRASARANA, SARANA DAN UTILITAS UMUM (PSU)</v>
          </cell>
          <cell r="K1110" t="str">
            <v>Dinas Pekerjaan Umum, Penataan Ruang, Perumahan dan Kawasan Permukiman</v>
          </cell>
          <cell r="O1110" t="str">
            <v>Gerung</v>
          </cell>
          <cell r="Q1110">
            <v>75000000</v>
          </cell>
        </row>
        <row r="1111">
          <cell r="B1111" t="str">
            <v>Infrastruktur Berkelanjutan</v>
          </cell>
          <cell r="D1111" t="str">
            <v>PROGRAM PENYELENGGARAAN JALAN</v>
          </cell>
          <cell r="K1111" t="str">
            <v>Dinas Pekerjaan Umum, Penataan Ruang, Perumahan dan Kawasan Permukiman</v>
          </cell>
          <cell r="O1111" t="str">
            <v>Gerung</v>
          </cell>
          <cell r="Q1111">
            <v>50000000</v>
          </cell>
        </row>
        <row r="1112">
          <cell r="B1112" t="str">
            <v>Infrastruktur Berkelanjutan</v>
          </cell>
          <cell r="D1112" t="str">
            <v>PROGRAM PENINGKATAN PRASARANA, SARANA DAN UTILITAS UMUM (PSU)</v>
          </cell>
          <cell r="K1112" t="str">
            <v>Dinas Pekerjaan Umum, Penataan Ruang, Perumahan dan Kawasan Permukiman</v>
          </cell>
          <cell r="O1112" t="str">
            <v>Gerung</v>
          </cell>
          <cell r="Q1112">
            <v>150130000</v>
          </cell>
        </row>
        <row r="1113">
          <cell r="B1113" t="str">
            <v>Infrastruktur Berkelanjutan</v>
          </cell>
          <cell r="D1113" t="str">
            <v>PROGRAM PENINGKATAN PRASARANA, SARANA DAN UTILITAS UMUM (PSU)</v>
          </cell>
          <cell r="K1113" t="str">
            <v>Dinas Pekerjaan Umum, Penataan Ruang, Perumahan dan Kawasan Permukiman</v>
          </cell>
          <cell r="O1113" t="str">
            <v>Gerung</v>
          </cell>
          <cell r="Q1113">
            <v>35000000</v>
          </cell>
        </row>
        <row r="1114">
          <cell r="B1114" t="str">
            <v>Infrastruktur Berkelanjutan</v>
          </cell>
          <cell r="D1114" t="str">
            <v>PROGRAM PENINGKATAN PRASARANA, SARANA DAN UTILITAS UMUM (PSU)</v>
          </cell>
          <cell r="K1114" t="str">
            <v>Dinas Pekerjaan Umum, Penataan Ruang, Perumahan dan Kawasan Permukiman</v>
          </cell>
          <cell r="O1114" t="str">
            <v>Gerung</v>
          </cell>
          <cell r="Q1114">
            <v>97370000</v>
          </cell>
        </row>
        <row r="1115">
          <cell r="B1115" t="str">
            <v>Infrastruktur Berkelanjutan</v>
          </cell>
          <cell r="D1115" t="str">
            <v>PROGRAM PENINGKATAN PRASARANA, SARANA DAN UTILITAS UMUM (PSU)</v>
          </cell>
          <cell r="K1115" t="str">
            <v>Dinas Pekerjaan Umum, Penataan Ruang, Perumahan dan Kawasan Permukiman</v>
          </cell>
          <cell r="O1115" t="str">
            <v>Gerung</v>
          </cell>
          <cell r="Q1115">
            <v>70000000</v>
          </cell>
        </row>
        <row r="1116">
          <cell r="B1116" t="str">
            <v>Infrastruktur Berkelanjutan</v>
          </cell>
          <cell r="D1116" t="str">
            <v>PROGRAM PENINGKATAN PRASARANA, SARANA DAN UTILITAS UMUM (PSU)</v>
          </cell>
          <cell r="K1116" t="str">
            <v>Dinas Pekerjaan Umum, Penataan Ruang, Perumahan dan Kawasan Permukiman</v>
          </cell>
          <cell r="O1116" t="str">
            <v>Gerung</v>
          </cell>
          <cell r="Q1116">
            <v>139100000</v>
          </cell>
        </row>
        <row r="1117">
          <cell r="B1117" t="str">
            <v>Infrastruktur Berkelanjutan</v>
          </cell>
          <cell r="D1117" t="str">
            <v>PROGRAM PENINGKATAN PRASARANA, SARANA DAN UTILITAS UMUM (PSU)</v>
          </cell>
          <cell r="K1117" t="str">
            <v>Dinas Pekerjaan Umum, Penataan Ruang, Perumahan dan Kawasan Permukiman</v>
          </cell>
          <cell r="O1117" t="str">
            <v>Gerung</v>
          </cell>
          <cell r="Q1117">
            <v>208650000</v>
          </cell>
        </row>
        <row r="1118">
          <cell r="B1118" t="str">
            <v>Infrastruktur Berkelanjutan</v>
          </cell>
          <cell r="D1118" t="str">
            <v>PROGRAM PENINGKATAN PRASARANA, SARANA DAN UTILITAS UMUM (PSU)</v>
          </cell>
          <cell r="K1118" t="str">
            <v>Dinas Pekerjaan Umum, Penataan Ruang, Perumahan dan Kawasan Permukiman</v>
          </cell>
          <cell r="O1118" t="str">
            <v>Gerung</v>
          </cell>
          <cell r="Q1118">
            <v>77896000</v>
          </cell>
        </row>
        <row r="1119">
          <cell r="B1119" t="str">
            <v>Infrastruktur Berkelanjutan</v>
          </cell>
          <cell r="D1119" t="str">
            <v>PROGRAM PENINGKATAN PRASARANA, SARANA DAN UTILITAS UMUM (PSU)</v>
          </cell>
          <cell r="K1119" t="str">
            <v>Dinas Pekerjaan Umum, Penataan Ruang, Perumahan dan Kawasan Permukiman</v>
          </cell>
          <cell r="O1119" t="str">
            <v>Gerung</v>
          </cell>
          <cell r="Q1119">
            <v>90000000</v>
          </cell>
        </row>
        <row r="1120">
          <cell r="B1120" t="str">
            <v>Infrastruktur Berkelanjutan</v>
          </cell>
          <cell r="D1120" t="str">
            <v>PROGRAM PENINGKATAN PRASARANA, SARANA DAN UTILITAS UMUM (PSU)</v>
          </cell>
          <cell r="K1120" t="str">
            <v>Dinas Pekerjaan Umum, Penataan Ruang, Perumahan dan Kawasan Permukiman</v>
          </cell>
          <cell r="O1120" t="str">
            <v>Gerung</v>
          </cell>
          <cell r="Q1120">
            <v>70000000</v>
          </cell>
        </row>
        <row r="1121">
          <cell r="B1121" t="str">
            <v>Infrastruktur Berkelanjutan</v>
          </cell>
          <cell r="D1121" t="str">
            <v>PROGRAM PENGELOLAAN SUMBER DAYA AIR (SDA)</v>
          </cell>
          <cell r="K1121" t="str">
            <v>Dinas Pekerjaan Umum, Penataan Ruang, Perumahan dan Kawasan Permukiman</v>
          </cell>
          <cell r="O1121" t="str">
            <v>Gerung</v>
          </cell>
          <cell r="Q1121">
            <v>66768000</v>
          </cell>
        </row>
        <row r="1122">
          <cell r="B1122" t="str">
            <v>Infrastruktur Berkelanjutan</v>
          </cell>
          <cell r="D1122" t="str">
            <v>PROGRAM PENINGKATAN PRASARANA, SARANA DAN UTILITAS UMUM (PSU)</v>
          </cell>
          <cell r="K1122" t="str">
            <v>Dinas Pekerjaan Umum, Penataan Ruang, Perumahan dan Kawasan Permukiman</v>
          </cell>
          <cell r="O1122" t="str">
            <v>Gerung</v>
          </cell>
          <cell r="Q1122">
            <v>45000000</v>
          </cell>
        </row>
        <row r="1123">
          <cell r="B1123" t="str">
            <v>Infrastruktur Berkelanjutan</v>
          </cell>
          <cell r="D1123" t="str">
            <v>PROGRAM PENINGKATAN PRASARANA, SARANA DAN UTILITAS UMUM (PSU)</v>
          </cell>
          <cell r="K1123" t="str">
            <v>Dinas Pekerjaan Umum, Penataan Ruang, Perumahan dan Kawasan Permukiman</v>
          </cell>
          <cell r="O1123" t="str">
            <v>Gerung</v>
          </cell>
          <cell r="Q1123">
            <v>100000000</v>
          </cell>
        </row>
        <row r="1124">
          <cell r="B1124" t="str">
            <v>Infrastruktur Berkelanjutan</v>
          </cell>
          <cell r="D1124" t="str">
            <v>PROGRAM PENINGKATAN PRASARANA, SARANA DAN UTILITAS UMUM (PSU)</v>
          </cell>
          <cell r="K1124" t="str">
            <v>Dinas Pekerjaan Umum, Penataan Ruang, Perumahan dan Kawasan Permukiman</v>
          </cell>
          <cell r="O1124" t="str">
            <v>Gerung</v>
          </cell>
          <cell r="Q1124">
            <v>100000000</v>
          </cell>
        </row>
        <row r="1125">
          <cell r="B1125" t="str">
            <v>Infrastruktur Berkelanjutan</v>
          </cell>
          <cell r="D1125" t="str">
            <v>PROGRAM PENINGKATAN PRASARANA, SARANA DAN UTILITAS UMUM (PSU)</v>
          </cell>
          <cell r="K1125" t="str">
            <v>Dinas Pekerjaan Umum, Penataan Ruang, Perumahan dan Kawasan Permukiman</v>
          </cell>
          <cell r="O1125" t="str">
            <v>Gerung</v>
          </cell>
          <cell r="Q1125">
            <v>100000000</v>
          </cell>
        </row>
        <row r="1126">
          <cell r="B1126" t="str">
            <v>Infrastruktur Berkelanjutan</v>
          </cell>
          <cell r="D1126" t="str">
            <v>PROGRAM PENINGKATAN PRASARANA, SARANA DAN UTILITAS UMUM (PSU)</v>
          </cell>
          <cell r="K1126" t="str">
            <v>Dinas Pekerjaan Umum, Penataan Ruang, Perumahan dan Kawasan Permukiman</v>
          </cell>
          <cell r="O1126" t="str">
            <v>Gerung</v>
          </cell>
          <cell r="Q1126">
            <v>100000000</v>
          </cell>
        </row>
        <row r="1127">
          <cell r="B1127" t="str">
            <v>Infrastruktur Berkelanjutan</v>
          </cell>
          <cell r="D1127" t="str">
            <v>PROGRAM PENINGKATAN PRASARANA, SARANA DAN UTILITAS UMUM (PSU)</v>
          </cell>
          <cell r="K1127" t="str">
            <v>Dinas Pekerjaan Umum, Penataan Ruang, Perumahan dan Kawasan Permukiman</v>
          </cell>
          <cell r="O1127" t="str">
            <v>Gerung</v>
          </cell>
          <cell r="Q1127">
            <v>100000000</v>
          </cell>
        </row>
        <row r="1128">
          <cell r="B1128" t="str">
            <v>Infrastruktur Berkelanjutan</v>
          </cell>
          <cell r="D1128" t="str">
            <v>PROGRAM PENGELOLAAN SUMBER DAYA AIR (SDA)</v>
          </cell>
          <cell r="K1128" t="str">
            <v>Dinas Pekerjaan Umum, Penataan Ruang, Perumahan dan Kawasan Permukiman</v>
          </cell>
          <cell r="O1128" t="str">
            <v>Gerung</v>
          </cell>
          <cell r="Q1128">
            <v>50000000</v>
          </cell>
        </row>
        <row r="1129">
          <cell r="B1129" t="str">
            <v>Infrastruktur Berkelanjutan</v>
          </cell>
          <cell r="D1129" t="str">
            <v>PROGRAM PENYELENGGARAAN JALAN</v>
          </cell>
          <cell r="K1129" t="str">
            <v>Dinas Pekerjaan Umum, Penataan Ruang, Perumahan dan Kawasan Permukiman</v>
          </cell>
          <cell r="O1129" t="str">
            <v>Gerung</v>
          </cell>
          <cell r="Q1129">
            <v>143525000</v>
          </cell>
        </row>
        <row r="1130">
          <cell r="B1130" t="str">
            <v>Infrastruktur Berkelanjutan</v>
          </cell>
          <cell r="D1130" t="str">
            <v>PROGRAM PENINGKATAN PRASARANA, SARANA DAN UTILITAS UMUM (PSU)</v>
          </cell>
          <cell r="K1130" t="str">
            <v>Dinas Pekerjaan Umum, Penataan Ruang, Perumahan dan Kawasan Permukiman</v>
          </cell>
          <cell r="O1130" t="str">
            <v>Gerung</v>
          </cell>
          <cell r="Q1130">
            <v>100000000</v>
          </cell>
        </row>
        <row r="1131">
          <cell r="B1131" t="str">
            <v>Infrastruktur Berkelanjutan</v>
          </cell>
          <cell r="D1131" t="str">
            <v>PROGRAM PENINGKATAN PRASARANA, SARANA DAN UTILITAS UMUM (PSU)</v>
          </cell>
          <cell r="K1131" t="str">
            <v>Dinas Pekerjaan Umum, Penataan Ruang, Perumahan dan Kawasan Permukiman</v>
          </cell>
          <cell r="O1131" t="str">
            <v>Gerung</v>
          </cell>
          <cell r="Q1131">
            <v>50000000</v>
          </cell>
        </row>
        <row r="1132">
          <cell r="B1132" t="str">
            <v>Infrastruktur Berkelanjutan</v>
          </cell>
          <cell r="D1132" t="str">
            <v>PROGRAM KAWASAN PERMUKIMAN</v>
          </cell>
          <cell r="K1132" t="str">
            <v>Dinas Pekerjaan Umum, Penataan Ruang, Perumahan dan Kawasan Permukiman</v>
          </cell>
          <cell r="O1132" t="str">
            <v>Gerung</v>
          </cell>
          <cell r="Q1132">
            <v>50000000</v>
          </cell>
        </row>
        <row r="1133">
          <cell r="B1133" t="str">
            <v>Infrastruktur Berkelanjutan</v>
          </cell>
          <cell r="D1133" t="str">
            <v>PROGRAM KAWASAN PERMUKIMAN</v>
          </cell>
          <cell r="K1133" t="str">
            <v>Dinas Pekerjaan Umum, Penataan Ruang, Perumahan dan Kawasan Permukiman</v>
          </cell>
          <cell r="O1133" t="str">
            <v>Gerung</v>
          </cell>
          <cell r="Q1133">
            <v>25000000</v>
          </cell>
        </row>
        <row r="1134">
          <cell r="B1134" t="str">
            <v>Infrastruktur Berkelanjutan</v>
          </cell>
          <cell r="D1134" t="str">
            <v>PROGRAM PENGELOLAAN DAN PENGEMBANGAN SISTEM DRAINASE</v>
          </cell>
          <cell r="K1134" t="str">
            <v>Dinas Pekerjaan Umum, Penataan Ruang, Perumahan dan Kawasan Permukiman</v>
          </cell>
          <cell r="O1134" t="str">
            <v>Gerung</v>
          </cell>
          <cell r="Q1134">
            <v>69550000</v>
          </cell>
        </row>
        <row r="1135">
          <cell r="B1135" t="str">
            <v>Infrastruktur Berkelanjutan</v>
          </cell>
          <cell r="D1135" t="str">
            <v>PROGRAM PENINGKATAN PRASARANA, SARANA DAN UTILITAS UMUM (PSU)</v>
          </cell>
          <cell r="K1135" t="str">
            <v>Dinas Pekerjaan Umum, Penataan Ruang, Perumahan dan Kawasan Permukiman</v>
          </cell>
          <cell r="O1135" t="str">
            <v>Gerung</v>
          </cell>
          <cell r="Q1135">
            <v>50000000</v>
          </cell>
        </row>
        <row r="1136">
          <cell r="B1136" t="str">
            <v>Infrastruktur Berkelanjutan</v>
          </cell>
          <cell r="D1136" t="str">
            <v>PROGRAM KAWASAN PERMUKIMAN</v>
          </cell>
          <cell r="K1136" t="str">
            <v>Dinas Pekerjaan Umum, Penataan Ruang, Perumahan dan Kawasan Permukiman</v>
          </cell>
          <cell r="O1136" t="str">
            <v>Gerung</v>
          </cell>
          <cell r="Q1136">
            <v>50000000</v>
          </cell>
        </row>
        <row r="1137">
          <cell r="B1137" t="str">
            <v>Infrastruktur Berkelanjutan</v>
          </cell>
          <cell r="D1137" t="str">
            <v>PROGRAM PENGELOLAAN DAN PENGEMBANGAN SISTEM DRAINASE</v>
          </cell>
          <cell r="K1137" t="str">
            <v>Dinas Pekerjaan Umum, Penataan Ruang, Perumahan dan Kawasan Permukiman</v>
          </cell>
          <cell r="O1137" t="str">
            <v>Gerung</v>
          </cell>
          <cell r="Q1137">
            <v>21250000</v>
          </cell>
        </row>
        <row r="1138">
          <cell r="B1138" t="str">
            <v>Infrastruktur Berkelanjutan</v>
          </cell>
          <cell r="D1138" t="str">
            <v>PROGRAM KAWASAN PERMUKIMAN</v>
          </cell>
          <cell r="K1138" t="str">
            <v>Dinas Pekerjaan Umum, Penataan Ruang, Perumahan dan Kawasan Permukiman</v>
          </cell>
          <cell r="O1138" t="str">
            <v>Gerung</v>
          </cell>
          <cell r="Q1138">
            <v>50000000</v>
          </cell>
        </row>
        <row r="1139">
          <cell r="B1139" t="str">
            <v>Infrastruktur Berkelanjutan</v>
          </cell>
          <cell r="D1139" t="str">
            <v>PROGRAM KAWASAN PERMUKIMAN</v>
          </cell>
          <cell r="K1139" t="str">
            <v>Dinas Pekerjaan Umum, Penataan Ruang, Perumahan dan Kawasan Permukiman</v>
          </cell>
          <cell r="O1139" t="str">
            <v>Gerung</v>
          </cell>
          <cell r="Q1139">
            <v>25000000</v>
          </cell>
        </row>
        <row r="1140">
          <cell r="B1140" t="str">
            <v>Infrastruktur Berkelanjutan</v>
          </cell>
          <cell r="D1140" t="str">
            <v>PROGRAM KAWASAN PERMUKIMAN</v>
          </cell>
          <cell r="K1140" t="str">
            <v>Dinas Pekerjaan Umum, Penataan Ruang, Perumahan dan Kawasan Permukiman</v>
          </cell>
          <cell r="O1140" t="str">
            <v>Gerung</v>
          </cell>
          <cell r="Q1140">
            <v>25000000</v>
          </cell>
        </row>
        <row r="1141">
          <cell r="B1141" t="str">
            <v>Infrastruktur Berkelanjutan</v>
          </cell>
          <cell r="D1141" t="str">
            <v>PROGRAM PENINGKATAN PRASARANA, SARANA DAN UTILITAS UMUM (PSU)</v>
          </cell>
          <cell r="K1141" t="str">
            <v>Dinas Pekerjaan Umum, Penataan Ruang, Perumahan dan Kawasan Permukiman</v>
          </cell>
          <cell r="O1141" t="str">
            <v>Gerung</v>
          </cell>
          <cell r="Q1141">
            <v>34000000</v>
          </cell>
        </row>
        <row r="1142">
          <cell r="B1142" t="str">
            <v>Infrastruktur Berkelanjutan</v>
          </cell>
          <cell r="D1142" t="str">
            <v>PROGRAM KAWASAN PERMUKIMAN</v>
          </cell>
          <cell r="K1142" t="str">
            <v>Dinas Pekerjaan Umum, Penataan Ruang, Perumahan dan Kawasan Permukiman</v>
          </cell>
          <cell r="O1142" t="str">
            <v>Gerung</v>
          </cell>
          <cell r="Q1142">
            <v>50000000</v>
          </cell>
        </row>
        <row r="1143">
          <cell r="B1143" t="str">
            <v>Infrastruktur Berkelanjutan</v>
          </cell>
          <cell r="D1143" t="str">
            <v>PROGRAM PENGELOLAAN DAN PENGEMBANGAN SISTEM DRAINASE</v>
          </cell>
          <cell r="K1143" t="str">
            <v>Dinas Pekerjaan Umum, Penataan Ruang, Perumahan dan Kawasan Permukiman</v>
          </cell>
          <cell r="O1143" t="str">
            <v>Gerung</v>
          </cell>
          <cell r="Q1143">
            <v>69550000</v>
          </cell>
        </row>
        <row r="1144">
          <cell r="B1144" t="str">
            <v>Infrastruktur Berkelanjutan</v>
          </cell>
          <cell r="D1144" t="str">
            <v>PROGRAM KAWASAN PERMUKIMAN</v>
          </cell>
          <cell r="K1144" t="str">
            <v>Dinas Pekerjaan Umum, Penataan Ruang, Perumahan dan Kawasan Permukiman</v>
          </cell>
          <cell r="O1144" t="str">
            <v>Gerung</v>
          </cell>
          <cell r="Q1144">
            <v>50000000</v>
          </cell>
        </row>
        <row r="1145">
          <cell r="B1145" t="str">
            <v>Infrastruktur Berkelanjutan</v>
          </cell>
          <cell r="D1145" t="str">
            <v>PROGRAM PENINGKATAN PRASARANA, SARANA DAN UTILITAS UMUM (PSU)</v>
          </cell>
          <cell r="K1145" t="str">
            <v>Dinas Pekerjaan Umum, Penataan Ruang, Perumahan dan Kawasan Permukiman</v>
          </cell>
          <cell r="O1145" t="str">
            <v>Gerung</v>
          </cell>
          <cell r="Q1145">
            <v>60000000</v>
          </cell>
        </row>
        <row r="1146">
          <cell r="B1146" t="str">
            <v>Infrastruktur Berkelanjutan</v>
          </cell>
          <cell r="D1146" t="str">
            <v>PROGRAM PENINGKATAN PRASARANA, SARANA DAN UTILITAS UMUM (PSU)</v>
          </cell>
          <cell r="K1146" t="str">
            <v>Dinas Pekerjaan Umum, Penataan Ruang, Perumahan dan Kawasan Permukiman</v>
          </cell>
          <cell r="O1146" t="str">
            <v>Gerung</v>
          </cell>
          <cell r="Q1146">
            <v>60000000</v>
          </cell>
        </row>
        <row r="1147">
          <cell r="B1147" t="str">
            <v>Infrastruktur Berkelanjutan</v>
          </cell>
          <cell r="D1147" t="str">
            <v>PROGRAM PENINGKATAN PRASARANA, SARANA DAN UTILITAS UMUM (PSU)</v>
          </cell>
          <cell r="K1147" t="str">
            <v>Dinas Pekerjaan Umum, Penataan Ruang, Perumahan dan Kawasan Permukiman</v>
          </cell>
          <cell r="O1147" t="str">
            <v>Gerung</v>
          </cell>
          <cell r="Q1147">
            <v>60000000</v>
          </cell>
        </row>
        <row r="1148">
          <cell r="B1148" t="str">
            <v>Infrastruktur Berkelanjutan</v>
          </cell>
          <cell r="D1148" t="str">
            <v>PROGRAM PENINGKATAN PRASARANA, SARANA DAN UTILITAS UMUM (PSU)</v>
          </cell>
          <cell r="K1148" t="str">
            <v>Dinas Pekerjaan Umum, Penataan Ruang, Perumahan dan Kawasan Permukiman</v>
          </cell>
          <cell r="O1148" t="str">
            <v>Gerung</v>
          </cell>
          <cell r="Q1148">
            <v>60000000</v>
          </cell>
        </row>
        <row r="1149">
          <cell r="B1149" t="str">
            <v>Infrastruktur Berkelanjutan</v>
          </cell>
          <cell r="D1149" t="str">
            <v>PROGRAM PENINGKATAN PRASARANA, SARANA DAN UTILITAS UMUM (PSU)</v>
          </cell>
          <cell r="K1149" t="str">
            <v>Dinas Pekerjaan Umum, Penataan Ruang, Perumahan dan Kawasan Permukiman</v>
          </cell>
          <cell r="O1149" t="str">
            <v>Gerung</v>
          </cell>
          <cell r="Q1149">
            <v>60000000</v>
          </cell>
        </row>
        <row r="1150">
          <cell r="B1150" t="str">
            <v>Infrastruktur Berkelanjutan</v>
          </cell>
          <cell r="D1150" t="str">
            <v>PROGRAM PENINGKATAN PRASARANA, SARANA DAN UTILITAS UMUM (PSU)</v>
          </cell>
          <cell r="K1150" t="str">
            <v>Dinas Pekerjaan Umum, Penataan Ruang, Perumahan dan Kawasan Permukiman</v>
          </cell>
          <cell r="O1150" t="str">
            <v>Gerung</v>
          </cell>
          <cell r="Q1150">
            <v>60000000</v>
          </cell>
        </row>
        <row r="1151">
          <cell r="B1151" t="str">
            <v>Infrastruktur Berkelanjutan</v>
          </cell>
          <cell r="D1151" t="str">
            <v>PROGRAM PENINGKATAN PRASARANA, SARANA DAN UTILITAS UMUM (PSU)</v>
          </cell>
          <cell r="K1151" t="str">
            <v>Dinas Pekerjaan Umum, Penataan Ruang, Perumahan dan Kawasan Permukiman</v>
          </cell>
          <cell r="O1151" t="str">
            <v>Gerung</v>
          </cell>
          <cell r="Q1151">
            <v>60000000</v>
          </cell>
        </row>
        <row r="1152">
          <cell r="B1152" t="str">
            <v>Infrastruktur Berkelanjutan</v>
          </cell>
          <cell r="D1152" t="str">
            <v>PROGRAM PENINGKATAN PRASARANA, SARANA DAN UTILITAS UMUM (PSU)</v>
          </cell>
          <cell r="K1152" t="str">
            <v>Dinas Pekerjaan Umum, Penataan Ruang, Perumahan dan Kawasan Permukiman</v>
          </cell>
          <cell r="O1152" t="str">
            <v>Gerung</v>
          </cell>
          <cell r="Q1152">
            <v>60000000</v>
          </cell>
        </row>
        <row r="1153">
          <cell r="B1153" t="str">
            <v>Infrastruktur Berkelanjutan</v>
          </cell>
          <cell r="D1153" t="str">
            <v>PROGRAM PENINGKATAN PRASARANA, SARANA DAN UTILITAS UMUM (PSU)</v>
          </cell>
          <cell r="K1153" t="str">
            <v>Dinas Pekerjaan Umum, Penataan Ruang, Perumahan dan Kawasan Permukiman</v>
          </cell>
          <cell r="O1153" t="str">
            <v>Gerung</v>
          </cell>
          <cell r="Q1153">
            <v>60000000</v>
          </cell>
        </row>
        <row r="1154">
          <cell r="B1154" t="str">
            <v>Infrastruktur Berkelanjutan</v>
          </cell>
          <cell r="D1154" t="str">
            <v>PROGRAM PENINGKATAN PRASARANA, SARANA DAN UTILITAS UMUM (PSU)</v>
          </cell>
          <cell r="K1154" t="str">
            <v>Dinas Pekerjaan Umum, Penataan Ruang, Perumahan dan Kawasan Permukiman</v>
          </cell>
          <cell r="O1154" t="str">
            <v>Gerung</v>
          </cell>
          <cell r="Q1154">
            <v>60000000</v>
          </cell>
        </row>
        <row r="1155">
          <cell r="B1155" t="str">
            <v>Infrastruktur Berkelanjutan</v>
          </cell>
          <cell r="D1155" t="str">
            <v>PROGRAM PENINGKATAN PRASARANA, SARANA DAN UTILITAS UMUM (PSU)</v>
          </cell>
          <cell r="K1155" t="str">
            <v>Dinas Pekerjaan Umum, Penataan Ruang, Perumahan dan Kawasan Permukiman</v>
          </cell>
          <cell r="O1155" t="str">
            <v>Gerung</v>
          </cell>
          <cell r="Q1155">
            <v>250000000</v>
          </cell>
        </row>
        <row r="1156">
          <cell r="B1156" t="str">
            <v>Infrastruktur Berkelanjutan</v>
          </cell>
          <cell r="D1156" t="str">
            <v>PROGRAM PENINGKATAN PRASARANA, SARANA DAN UTILITAS UMUM (PSU)</v>
          </cell>
          <cell r="K1156" t="str">
            <v>Dinas Pekerjaan Umum, Penataan Ruang, Perumahan dan Kawasan Permukiman</v>
          </cell>
          <cell r="O1156" t="str">
            <v>Gerung</v>
          </cell>
          <cell r="Q1156">
            <v>250000000</v>
          </cell>
        </row>
        <row r="1157">
          <cell r="B1157" t="str">
            <v>Transformasi dan Kemandirian Ekonomi</v>
          </cell>
          <cell r="D1157" t="str">
            <v>PROGRAM PENINGKATAN SARANA DISTRIBUSI PERDAGANGAN</v>
          </cell>
          <cell r="K1157" t="str">
            <v>Dinas Perdagangan</v>
          </cell>
          <cell r="O1157" t="str">
            <v>Gerung</v>
          </cell>
          <cell r="Q1157">
            <v>14000000</v>
          </cell>
        </row>
        <row r="1158">
          <cell r="B1158" t="str">
            <v>Transformasi dan Kemandirian Ekonomi</v>
          </cell>
          <cell r="D1158" t="str">
            <v>PROGRAM PENINGKATAN SARANA DISTRIBUSI PERDAGANGAN</v>
          </cell>
          <cell r="K1158" t="str">
            <v>Dinas Perdagangan</v>
          </cell>
          <cell r="O1158" t="str">
            <v>Gerung</v>
          </cell>
          <cell r="Q1158">
            <v>14000000</v>
          </cell>
        </row>
        <row r="1159">
          <cell r="B1159" t="str">
            <v>Transformasi dan Kemandirian Ekonomi</v>
          </cell>
          <cell r="D1159" t="str">
            <v>PROGRAM PENINGKATAN SARANA DISTRIBUSI PERDAGANGAN</v>
          </cell>
          <cell r="K1159" t="str">
            <v>Dinas Perdagangan</v>
          </cell>
          <cell r="O1159" t="str">
            <v>Gerung</v>
          </cell>
          <cell r="Q1159">
            <v>14000000</v>
          </cell>
        </row>
        <row r="1160">
          <cell r="B1160" t="str">
            <v>Transformasi dan Kemandirian Ekonomi</v>
          </cell>
          <cell r="D1160" t="str">
            <v>PROGRAM PENINGKATAN SARANA DISTRIBUSI PERDAGANGAN</v>
          </cell>
          <cell r="K1160" t="str">
            <v>Dinas Perdagangan</v>
          </cell>
          <cell r="O1160" t="str">
            <v>Gerung</v>
          </cell>
          <cell r="Q1160">
            <v>14000000</v>
          </cell>
        </row>
        <row r="1161">
          <cell r="B1161" t="str">
            <v>Transformasi dan Kemandirian Ekonomi</v>
          </cell>
          <cell r="D1161" t="str">
            <v>PROGRAM PENINGKATAN SARANA DISTRIBUSI PERDAGANGAN</v>
          </cell>
          <cell r="K1161" t="str">
            <v>Dinas Perdagangan</v>
          </cell>
          <cell r="O1161" t="str">
            <v>Gerung</v>
          </cell>
          <cell r="Q1161">
            <v>14000000</v>
          </cell>
        </row>
        <row r="1162">
          <cell r="B1162" t="str">
            <v>Transformasi dan Kemandirian Ekonomi</v>
          </cell>
          <cell r="D1162" t="str">
            <v>PROGRAM PENINGKATAN SARANA DISTRIBUSI PERDAGANGAN</v>
          </cell>
          <cell r="K1162" t="str">
            <v>Dinas Perdagangan</v>
          </cell>
          <cell r="O1162" t="str">
            <v>Gerung</v>
          </cell>
          <cell r="Q1162">
            <v>42000000</v>
          </cell>
        </row>
        <row r="1163">
          <cell r="B1163" t="str">
            <v>Transformasi dan Kemandirian Ekonomi</v>
          </cell>
          <cell r="D1163" t="str">
            <v>PROGRAM PENINGKATAN SARANA DISTRIBUSI PERDAGANGAN</v>
          </cell>
          <cell r="K1163" t="str">
            <v>Dinas Perdagangan</v>
          </cell>
          <cell r="O1163" t="str">
            <v>Gerung</v>
          </cell>
          <cell r="Q1163">
            <v>14000000</v>
          </cell>
        </row>
        <row r="1164">
          <cell r="B1164" t="str">
            <v>Transformasi dan Kemandirian Ekonomi</v>
          </cell>
          <cell r="D1164" t="str">
            <v>PROGRAM PENINGKATAN SARANA DISTRIBUSI PERDAGANGAN</v>
          </cell>
          <cell r="K1164" t="str">
            <v>Dinas Perdagangan</v>
          </cell>
          <cell r="O1164" t="str">
            <v>Gerung</v>
          </cell>
          <cell r="Q1164">
            <v>14000000</v>
          </cell>
        </row>
        <row r="1165">
          <cell r="B1165" t="str">
            <v>Transformasi dan Kemandirian Ekonomi</v>
          </cell>
          <cell r="D1165" t="str">
            <v>PROGRAM PENINGKATAN SARANA DISTRIBUSI PERDAGANGAN</v>
          </cell>
          <cell r="K1165" t="str">
            <v>Dinas Perdagangan</v>
          </cell>
          <cell r="O1165" t="str">
            <v>Gerung</v>
          </cell>
          <cell r="Q1165">
            <v>14000000</v>
          </cell>
        </row>
        <row r="1166">
          <cell r="B1166" t="str">
            <v>Infrastruktur Berkelanjutan</v>
          </cell>
          <cell r="D1166" t="str">
            <v>PROGRAM PENYELENGGARAAN JALAN</v>
          </cell>
          <cell r="K1166" t="str">
            <v>Dinas Pekerjaan Umum, Penataan Ruang, Perumahan dan Kawasan Permukiman</v>
          </cell>
          <cell r="O1166" t="str">
            <v>Gerung</v>
          </cell>
          <cell r="Q1166">
            <v>81909920</v>
          </cell>
        </row>
        <row r="1167">
          <cell r="B1167" t="str">
            <v>Infrastruktur Berkelanjutan</v>
          </cell>
          <cell r="D1167" t="str">
            <v>PROGRAM PENINGKATAN PRASARANA, SARANA DAN UTILITAS UMUM (PSU)</v>
          </cell>
          <cell r="K1167" t="str">
            <v>Dinas Pekerjaan Umum, Penataan Ruang, Perumahan dan Kawasan Permukiman</v>
          </cell>
          <cell r="O1167" t="str">
            <v>Gerung</v>
          </cell>
          <cell r="Q1167">
            <v>48000000</v>
          </cell>
        </row>
        <row r="1168">
          <cell r="B1168" t="str">
            <v>Infrastruktur Berkelanjutan</v>
          </cell>
          <cell r="D1168" t="str">
            <v>PROGRAM PENINGKATAN PRASARANA, SARANA DAN UTILITAS UMUM (PSU)</v>
          </cell>
          <cell r="K1168" t="str">
            <v>Dinas Pekerjaan Umum, Penataan Ruang, Perumahan dan Kawasan Permukiman</v>
          </cell>
          <cell r="O1168" t="str">
            <v>Gerung</v>
          </cell>
          <cell r="Q1168">
            <v>40000000</v>
          </cell>
        </row>
        <row r="1169">
          <cell r="B1169" t="str">
            <v>Infrastruktur Berkelanjutan</v>
          </cell>
          <cell r="D1169" t="str">
            <v>PROGRAM PENINGKATAN PRASARANA, SARANA DAN UTILITAS UMUM (PSU)</v>
          </cell>
          <cell r="K1169" t="str">
            <v>Dinas Pekerjaan Umum, Penataan Ruang, Perumahan dan Kawasan Permukiman</v>
          </cell>
          <cell r="O1169" t="str">
            <v>Gerung</v>
          </cell>
          <cell r="Q1169">
            <v>81909920</v>
          </cell>
        </row>
        <row r="1170">
          <cell r="B1170" t="str">
            <v>Infrastruktur Berkelanjutan</v>
          </cell>
          <cell r="D1170" t="str">
            <v>PROGRAM PENINGKATAN PRASARANA, SARANA DAN UTILITAS UMUM (PSU)</v>
          </cell>
          <cell r="K1170" t="str">
            <v>Dinas Pekerjaan Umum, Penataan Ruang, Perumahan dan Kawasan Permukiman</v>
          </cell>
          <cell r="O1170" t="str">
            <v>Gerung</v>
          </cell>
          <cell r="Q1170">
            <v>57600000</v>
          </cell>
        </row>
        <row r="1171">
          <cell r="B1171" t="str">
            <v>Infrastruktur Berkelanjutan</v>
          </cell>
          <cell r="D1171" t="str">
            <v>PROGRAM PENINGKATAN PRASARANA, SARANA DAN UTILITAS UMUM (PSU)</v>
          </cell>
          <cell r="K1171" t="str">
            <v>Dinas Pekerjaan Umum, Penataan Ruang, Perumahan dan Kawasan Permukiman</v>
          </cell>
          <cell r="O1171" t="str">
            <v>Gerung</v>
          </cell>
          <cell r="Q1171">
            <v>37200000</v>
          </cell>
        </row>
        <row r="1172">
          <cell r="B1172" t="str">
            <v>Infrastruktur Berkelanjutan</v>
          </cell>
          <cell r="D1172" t="str">
            <v>PROGRAM PENINGKATAN PRASARANA, SARANA DAN UTILITAS UMUM (PSU)</v>
          </cell>
          <cell r="K1172" t="str">
            <v>Dinas Pekerjaan Umum, Penataan Ruang, Perumahan dan Kawasan Permukiman</v>
          </cell>
          <cell r="O1172" t="str">
            <v>Gerung</v>
          </cell>
          <cell r="Q1172">
            <v>19800000</v>
          </cell>
        </row>
        <row r="1173">
          <cell r="B1173" t="str">
            <v>Infrastruktur Berkelanjutan</v>
          </cell>
          <cell r="D1173" t="str">
            <v>PROGRAM PENINGKATAN PRASARANA, SARANA DAN UTILITAS UMUM (PSU)</v>
          </cell>
          <cell r="K1173" t="str">
            <v>Dinas Pekerjaan Umum, Penataan Ruang, Perumahan dan Kawasan Permukiman</v>
          </cell>
          <cell r="O1173" t="str">
            <v>Gerung</v>
          </cell>
          <cell r="Q1173">
            <v>15600000</v>
          </cell>
        </row>
        <row r="1174">
          <cell r="B1174" t="str">
            <v>Infrastruktur Berkelanjutan</v>
          </cell>
          <cell r="D1174" t="str">
            <v>PROGRAM PENINGKATAN PRASARANA, SARANA DAN UTILITAS UMUM (PSU)</v>
          </cell>
          <cell r="K1174" t="str">
            <v>Dinas Pekerjaan Umum, Penataan Ruang, Perumahan dan Kawasan Permukiman</v>
          </cell>
          <cell r="O1174" t="str">
            <v>Gerung</v>
          </cell>
          <cell r="Q1174">
            <v>15000000</v>
          </cell>
        </row>
        <row r="1175">
          <cell r="B1175" t="str">
            <v>Infrastruktur Berkelanjutan</v>
          </cell>
          <cell r="D1175" t="str">
            <v>PROGRAM PENINGKATAN PRASARANA, SARANA DAN UTILITAS UMUM (PSU)</v>
          </cell>
          <cell r="K1175" t="str">
            <v>Dinas Pekerjaan Umum, Penataan Ruang, Perumahan dan Kawasan Permukiman</v>
          </cell>
          <cell r="O1175" t="str">
            <v>Gerung</v>
          </cell>
          <cell r="Q1175">
            <v>29400000</v>
          </cell>
        </row>
        <row r="1176">
          <cell r="B1176" t="str">
            <v>Infrastruktur Berkelanjutan</v>
          </cell>
          <cell r="D1176" t="str">
            <v>PROGRAM PENINGKATAN PRASARANA, SARANA DAN UTILITAS UMUM (PSU)</v>
          </cell>
          <cell r="K1176" t="str">
            <v>Dinas Pekerjaan Umum, Penataan Ruang, Perumahan dan Kawasan Permukiman</v>
          </cell>
          <cell r="O1176" t="str">
            <v>Gerung</v>
          </cell>
          <cell r="Q1176">
            <v>81909920</v>
          </cell>
        </row>
        <row r="1177">
          <cell r="B1177" t="str">
            <v>Infrastruktur Berkelanjutan</v>
          </cell>
          <cell r="D1177" t="str">
            <v>PROGRAM PENINGKATAN PRASARANA, SARANA DAN UTILITAS UMUM (PSU)</v>
          </cell>
          <cell r="K1177" t="str">
            <v>Dinas Pekerjaan Umum, Penataan Ruang, Perumahan dan Kawasan Permukiman</v>
          </cell>
          <cell r="O1177" t="str">
            <v>Gerung</v>
          </cell>
          <cell r="Q1177">
            <v>45000000</v>
          </cell>
        </row>
        <row r="1178">
          <cell r="B1178" t="str">
            <v>Infrastruktur Berkelanjutan</v>
          </cell>
          <cell r="D1178" t="str">
            <v>PROGRAM PENINGKATAN PRASARANA, SARANA DAN UTILITAS UMUM (PSU)</v>
          </cell>
          <cell r="K1178" t="str">
            <v>Dinas Pekerjaan Umum, Penataan Ruang, Perumahan dan Kawasan Permukiman</v>
          </cell>
          <cell r="O1178" t="str">
            <v>Gerung</v>
          </cell>
          <cell r="Q1178">
            <v>15000000</v>
          </cell>
        </row>
        <row r="1179">
          <cell r="B1179" t="str">
            <v>Infrastruktur Berkelanjutan</v>
          </cell>
          <cell r="D1179" t="str">
            <v>PROGRAM PENINGKATAN PRASARANA, SARANA DAN UTILITAS UMUM (PSU)</v>
          </cell>
          <cell r="K1179" t="str">
            <v>Dinas Pekerjaan Umum, Penataan Ruang, Perumahan dan Kawasan Permukiman</v>
          </cell>
          <cell r="O1179" t="str">
            <v>Gerung</v>
          </cell>
          <cell r="Q1179">
            <v>44400000</v>
          </cell>
        </row>
        <row r="1180">
          <cell r="B1180" t="str">
            <v>Infrastruktur Berkelanjutan</v>
          </cell>
          <cell r="D1180" t="str">
            <v>PROGRAM PENINGKATAN PRASARANA, SARANA DAN UTILITAS UMUM (PSU)</v>
          </cell>
          <cell r="K1180" t="str">
            <v>Dinas Pekerjaan Umum, Penataan Ruang, Perumahan dan Kawasan Permukiman</v>
          </cell>
          <cell r="O1180" t="str">
            <v>Gerung</v>
          </cell>
          <cell r="Q1180">
            <v>60000000</v>
          </cell>
        </row>
        <row r="1181">
          <cell r="B1181" t="str">
            <v>Infrastruktur Berkelanjutan</v>
          </cell>
          <cell r="D1181" t="str">
            <v>PROGRAM PENINGKATAN PRASARANA, SARANA DAN UTILITAS UMUM (PSU)</v>
          </cell>
          <cell r="K1181" t="str">
            <v>Dinas Pekerjaan Umum, Penataan Ruang, Perumahan dan Kawasan Permukiman</v>
          </cell>
          <cell r="O1181" t="str">
            <v>Gerung</v>
          </cell>
          <cell r="Q1181">
            <v>64000000</v>
          </cell>
        </row>
        <row r="1182">
          <cell r="B1182" t="str">
            <v>Infrastruktur Berkelanjutan</v>
          </cell>
          <cell r="D1182" t="str">
            <v>PROGRAM PENINGKATAN PRASARANA, SARANA DAN UTILITAS UMUM (PSU)</v>
          </cell>
          <cell r="K1182" t="str">
            <v>Dinas Pekerjaan Umum, Penataan Ruang, Perumahan dan Kawasan Permukiman</v>
          </cell>
          <cell r="O1182" t="str">
            <v>Gerung</v>
          </cell>
          <cell r="Q1182">
            <v>80000000</v>
          </cell>
        </row>
        <row r="1183">
          <cell r="B1183" t="str">
            <v>Infrastruktur Berkelanjutan</v>
          </cell>
          <cell r="D1183" t="str">
            <v>PROGRAM PENINGKATAN PRASARANA, SARANA DAN UTILITAS UMUM (PSU)</v>
          </cell>
          <cell r="K1183" t="str">
            <v>Dinas Pekerjaan Umum, Penataan Ruang, Perumahan dan Kawasan Permukiman</v>
          </cell>
          <cell r="O1183" t="str">
            <v>Gerung</v>
          </cell>
          <cell r="Q1183">
            <v>55200000</v>
          </cell>
        </row>
        <row r="1184">
          <cell r="B1184" t="str">
            <v>Infrastruktur Berkelanjutan</v>
          </cell>
          <cell r="D1184" t="str">
            <v>PROGRAM PENINGKATAN PRASARANA, SARANA DAN UTILITAS UMUM (PSU)</v>
          </cell>
          <cell r="K1184" t="str">
            <v>Dinas Pekerjaan Umum, Penataan Ruang, Perumahan dan Kawasan Permukiman</v>
          </cell>
          <cell r="O1184" t="str">
            <v>Gerung</v>
          </cell>
          <cell r="Q1184">
            <v>61800000</v>
          </cell>
        </row>
        <row r="1185">
          <cell r="B1185" t="str">
            <v>Infrastruktur Berkelanjutan</v>
          </cell>
          <cell r="D1185" t="str">
            <v>PROGRAM PENINGKATAN PRASARANA, SARANA DAN UTILITAS UMUM (PSU)</v>
          </cell>
          <cell r="K1185" t="str">
            <v>Dinas Pekerjaan Umum, Penataan Ruang, Perumahan dan Kawasan Permukiman</v>
          </cell>
          <cell r="O1185" t="str">
            <v>Gerung</v>
          </cell>
          <cell r="Q1185">
            <v>31200000</v>
          </cell>
        </row>
        <row r="1186">
          <cell r="B1186" t="str">
            <v>Infrastruktur Berkelanjutan</v>
          </cell>
          <cell r="D1186" t="str">
            <v>PROGRAM PENINGKATAN PRASARANA, SARANA DAN UTILITAS UMUM (PSU)</v>
          </cell>
          <cell r="K1186" t="str">
            <v>Dinas Pekerjaan Umum, Penataan Ruang, Perumahan dan Kawasan Permukiman</v>
          </cell>
          <cell r="O1186" t="str">
            <v>Gerung</v>
          </cell>
          <cell r="Q1186">
            <v>100000000</v>
          </cell>
        </row>
        <row r="1187">
          <cell r="B1187" t="str">
            <v>Infrastruktur Berkelanjutan</v>
          </cell>
          <cell r="D1187" t="str">
            <v>PROGRAM PENINGKATAN PRASARANA, SARANA DAN UTILITAS UMUM (PSU)</v>
          </cell>
          <cell r="K1187" t="str">
            <v>Dinas Pekerjaan Umum, Penataan Ruang, Perumahan dan Kawasan Permukiman</v>
          </cell>
          <cell r="O1187" t="str">
            <v>Gerung</v>
          </cell>
          <cell r="Q1187">
            <v>85000000</v>
          </cell>
        </row>
        <row r="1188">
          <cell r="B1188" t="str">
            <v>KECAMATAN LEMBAR</v>
          </cell>
        </row>
        <row r="1189">
          <cell r="B1189" t="str">
            <v>Transformasi dan Kemandirian Ekonomi</v>
          </cell>
          <cell r="D1189" t="str">
            <v>PROGRAM PENINGKATAN SARANA DISTRIBUSI PERDAGANGAN</v>
          </cell>
          <cell r="K1189" t="str">
            <v>Dinas Perdagangan</v>
          </cell>
          <cell r="O1189" t="str">
            <v>Lembar</v>
          </cell>
          <cell r="Q1189">
            <v>25380000</v>
          </cell>
        </row>
        <row r="1190">
          <cell r="B1190" t="str">
            <v>Transformasi Tata Kelola</v>
          </cell>
          <cell r="D1190" t="str">
            <v>PROGRAM PEMERINTAHAN DAN KESEJAHTERAAN RAKYAT</v>
          </cell>
          <cell r="K1190" t="str">
            <v>Sekretariat Daerah</v>
          </cell>
          <cell r="O1190" t="str">
            <v>Lembar</v>
          </cell>
          <cell r="Q1190">
            <v>25000000</v>
          </cell>
        </row>
        <row r="1191">
          <cell r="B1191" t="str">
            <v>Infrastruktur Berkelanjutan</v>
          </cell>
          <cell r="D1191" t="str">
            <v>PROGRAM PENGELOLAAN PERSAMPAHAN</v>
          </cell>
          <cell r="K1191" t="str">
            <v>Dinas Lingkungan Hidup</v>
          </cell>
          <cell r="O1191" t="str">
            <v>Lembar</v>
          </cell>
          <cell r="Q1191">
            <v>50000000</v>
          </cell>
        </row>
        <row r="1192">
          <cell r="B1192" t="str">
            <v>Agrominapolitan</v>
          </cell>
          <cell r="D1192" t="str">
            <v>PROGRAM PENYEDIAAN DAN PENGEMBANGAN SARANA PERTANIAN</v>
          </cell>
          <cell r="K1192" t="str">
            <v>Dinas Pertanian</v>
          </cell>
          <cell r="O1192" t="str">
            <v>Lembar</v>
          </cell>
          <cell r="Q1192">
            <v>95000000</v>
          </cell>
        </row>
        <row r="1193">
          <cell r="B1193" t="str">
            <v>Agrominapolitan</v>
          </cell>
          <cell r="D1193" t="str">
            <v>PROGRAM PENYEDIAAN DAN PENGEMBANGAN SARANA PERTANIAN</v>
          </cell>
          <cell r="K1193" t="str">
            <v>Dinas Pertanian</v>
          </cell>
          <cell r="O1193" t="str">
            <v>Lembar</v>
          </cell>
          <cell r="Q1193">
            <v>95000000</v>
          </cell>
        </row>
        <row r="1194">
          <cell r="B1194" t="str">
            <v>Agrominapolitan</v>
          </cell>
          <cell r="D1194" t="str">
            <v>PROGRAM PENYEDIAAN DAN PENGEMBANGAN SARANA PERTANIAN</v>
          </cell>
          <cell r="K1194" t="str">
            <v>Dinas Pertanian</v>
          </cell>
          <cell r="O1194" t="str">
            <v>Lembar</v>
          </cell>
          <cell r="Q1194">
            <v>95000000</v>
          </cell>
        </row>
        <row r="1195">
          <cell r="B1195" t="str">
            <v>Agrominapolitan</v>
          </cell>
          <cell r="D1195" t="str">
            <v>PROGRAM PENYEDIAAN DAN PENGEMBANGAN SARANA PERTANIAN</v>
          </cell>
          <cell r="K1195" t="str">
            <v>Dinas Pertanian</v>
          </cell>
          <cell r="O1195" t="str">
            <v>Lembar</v>
          </cell>
          <cell r="Q1195">
            <v>95000000</v>
          </cell>
        </row>
        <row r="1196">
          <cell r="B1196" t="str">
            <v>Agrominapolitan</v>
          </cell>
          <cell r="D1196" t="str">
            <v>PROGRAM PENYEDIAAN DAN PENGEMBANGAN SARANA PERTANIAN</v>
          </cell>
          <cell r="K1196" t="str">
            <v>Dinas Pertanian</v>
          </cell>
          <cell r="O1196" t="str">
            <v>Lembar</v>
          </cell>
          <cell r="Q1196">
            <v>30000000</v>
          </cell>
        </row>
        <row r="1197">
          <cell r="B1197" t="str">
            <v>Infrastruktur Berkelanjutan</v>
          </cell>
          <cell r="D1197" t="str">
            <v>PROGRAM PENINGKATAN PRASARANA, SARANA DAN UTILITAS UMUM (PSU)</v>
          </cell>
          <cell r="K1197" t="str">
            <v>Dinas Pekerjaan Umum, Penataan Ruang, Perumahan dan Kawasan Permukiman</v>
          </cell>
          <cell r="O1197" t="str">
            <v>Lembar</v>
          </cell>
          <cell r="Q1197">
            <v>50000000</v>
          </cell>
        </row>
        <row r="1198">
          <cell r="B1198" t="str">
            <v>Infrastruktur Berkelanjutan</v>
          </cell>
          <cell r="D1198" t="str">
            <v>PROGRAM PENINGKATAN PRASARANA, SARANA DAN UTILITAS UMUM (PSU)</v>
          </cell>
          <cell r="K1198" t="str">
            <v>Dinas Pekerjaan Umum, Penataan Ruang, Perumahan dan Kawasan Permukiman</v>
          </cell>
          <cell r="O1198" t="str">
            <v>Lembar</v>
          </cell>
          <cell r="Q1198">
            <v>31777777.5</v>
          </cell>
        </row>
        <row r="1199">
          <cell r="B1199" t="str">
            <v>Infrastruktur Berkelanjutan</v>
          </cell>
          <cell r="D1199" t="str">
            <v>PROGRAM PENGELOLAAN DAN PENGEMBANGAN SISTEM DRAINASE</v>
          </cell>
          <cell r="K1199" t="str">
            <v>Dinas Pekerjaan Umum, Penataan Ruang, Perumahan dan Kawasan Permukiman</v>
          </cell>
          <cell r="O1199" t="str">
            <v>Lembar</v>
          </cell>
          <cell r="Q1199">
            <v>85000000</v>
          </cell>
        </row>
        <row r="1200">
          <cell r="B1200" t="str">
            <v>Infrastruktur Berkelanjutan</v>
          </cell>
          <cell r="D1200" t="str">
            <v>PROGRAM PENINGKATAN PRASARANA, SARANA DAN UTILITAS UMUM (PSU)</v>
          </cell>
          <cell r="K1200" t="str">
            <v>Dinas Pekerjaan Umum, Penataan Ruang, Perumahan dan Kawasan Permukiman</v>
          </cell>
          <cell r="O1200" t="str">
            <v>Lembar</v>
          </cell>
          <cell r="Q1200">
            <v>72244443</v>
          </cell>
        </row>
        <row r="1201">
          <cell r="B1201" t="str">
            <v>Infrastruktur Berkelanjutan</v>
          </cell>
          <cell r="D1201" t="str">
            <v>PROGRAM PENINGKATAN PRASARANA, SARANA DAN UTILITAS UMUM (PSU)</v>
          </cell>
          <cell r="K1201" t="str">
            <v>Dinas Pekerjaan Umum, Penataan Ruang, Perumahan dan Kawasan Permukiman</v>
          </cell>
          <cell r="O1201" t="str">
            <v>Lembar</v>
          </cell>
          <cell r="Q1201">
            <v>88600000</v>
          </cell>
        </row>
        <row r="1202">
          <cell r="B1202" t="str">
            <v>Infrastruktur Berkelanjutan</v>
          </cell>
          <cell r="D1202" t="str">
            <v>PROGRAM PENINGKATAN PRASARANA, SARANA DAN UTILITAS UMUM (PSU)</v>
          </cell>
          <cell r="K1202" t="str">
            <v>Dinas Pekerjaan Umum, Penataan Ruang, Perumahan dan Kawasan Permukiman</v>
          </cell>
          <cell r="O1202" t="str">
            <v>Lembar</v>
          </cell>
          <cell r="Q1202">
            <v>76266600</v>
          </cell>
        </row>
        <row r="1203">
          <cell r="B1203" t="str">
            <v>Infrastruktur Berkelanjutan</v>
          </cell>
          <cell r="D1203" t="str">
            <v>PROGRAM PENINGKATAN PRASARANA, SARANA DAN UTILITAS UMUM (PSU)</v>
          </cell>
          <cell r="K1203" t="str">
            <v>Dinas Pekerjaan Umum, Penataan Ruang, Perumahan dan Kawasan Permukiman</v>
          </cell>
          <cell r="O1203" t="str">
            <v>Lembar</v>
          </cell>
          <cell r="Q1203">
            <v>85731179</v>
          </cell>
        </row>
        <row r="1204">
          <cell r="B1204" t="str">
            <v>Infrastruktur Berkelanjutan</v>
          </cell>
          <cell r="D1204" t="str">
            <v>PROGRAM PENGELOLAAN PERSAMPAHAN</v>
          </cell>
          <cell r="K1204" t="str">
            <v>Dinas Lingkungan Hidup</v>
          </cell>
          <cell r="O1204" t="str">
            <v>Lembar</v>
          </cell>
          <cell r="Q1204">
            <v>50000000</v>
          </cell>
        </row>
        <row r="1205">
          <cell r="B1205" t="str">
            <v>Infrastruktur Berkelanjutan</v>
          </cell>
          <cell r="D1205" t="str">
            <v>PROGRAM PENGELOLAAN PERSAMPAHAN</v>
          </cell>
          <cell r="K1205" t="str">
            <v>Dinas Lingkungan Hidup</v>
          </cell>
          <cell r="O1205" t="str">
            <v>Lembar</v>
          </cell>
          <cell r="Q1205">
            <v>50000000</v>
          </cell>
        </row>
        <row r="1206">
          <cell r="B1206" t="str">
            <v>Infrastruktur Berkelanjutan</v>
          </cell>
          <cell r="D1206" t="str">
            <v>PROGRAM PENGELOLAAN PERSAMPAHAN</v>
          </cell>
          <cell r="K1206" t="str">
            <v>Dinas Lingkungan Hidup</v>
          </cell>
          <cell r="O1206" t="str">
            <v>Lembar</v>
          </cell>
          <cell r="Q1206">
            <v>50000000</v>
          </cell>
        </row>
        <row r="1207">
          <cell r="B1207" t="str">
            <v>Infrastruktur Berkelanjutan</v>
          </cell>
          <cell r="D1207" t="str">
            <v>PROGRAM PENGELOLAAN PERSAMPAHAN</v>
          </cell>
          <cell r="K1207" t="str">
            <v>Dinas Lingkungan Hidup</v>
          </cell>
          <cell r="O1207" t="str">
            <v>Lembar</v>
          </cell>
          <cell r="Q1207">
            <v>50000000</v>
          </cell>
        </row>
        <row r="1208">
          <cell r="B1208" t="str">
            <v>Infrastruktur Berkelanjutan</v>
          </cell>
          <cell r="D1208" t="str">
            <v>PROGRAM PENINGKATAN PRASARANA, SARANA DAN UTILITAS UMUM (PSU)</v>
          </cell>
          <cell r="K1208" t="str">
            <v>Dinas Pekerjaan Umum, Penataan Ruang, Perumahan dan Kawasan Permukiman</v>
          </cell>
          <cell r="O1208" t="str">
            <v>Lembar</v>
          </cell>
          <cell r="Q1208">
            <v>80000000</v>
          </cell>
        </row>
        <row r="1209">
          <cell r="B1209" t="str">
            <v>Infrastruktur Berkelanjutan</v>
          </cell>
          <cell r="D1209" t="str">
            <v>PROGRAM PENYELENGGARAAN JALAN</v>
          </cell>
          <cell r="K1209" t="str">
            <v>Dinas Pekerjaan Umum, Penataan Ruang, Perumahan dan Kawasan Permukiman</v>
          </cell>
          <cell r="O1209" t="str">
            <v>Lembar</v>
          </cell>
          <cell r="Q1209">
            <v>172829517</v>
          </cell>
        </row>
        <row r="1210">
          <cell r="B1210" t="str">
            <v>Infrastruktur Berkelanjutan</v>
          </cell>
          <cell r="D1210" t="str">
            <v>PROGRAM PENGELOLAAN SUMBER DAYA AIR (SDA)</v>
          </cell>
          <cell r="K1210" t="str">
            <v>Dinas Pekerjaan Umum, Penataan Ruang, Perumahan dan Kawasan Permukiman</v>
          </cell>
          <cell r="O1210" t="str">
            <v>Lembar</v>
          </cell>
          <cell r="Q1210">
            <v>50000000</v>
          </cell>
        </row>
        <row r="1211">
          <cell r="B1211" t="str">
            <v>Infrastruktur Berkelanjutan</v>
          </cell>
          <cell r="D1211" t="str">
            <v>PROGRAM PENYELENGGARAAN JALAN</v>
          </cell>
          <cell r="K1211" t="str">
            <v>Dinas Pekerjaan Umum, Penataan Ruang, Perumahan dan Kawasan Permukiman</v>
          </cell>
          <cell r="O1211" t="str">
            <v>Lembar</v>
          </cell>
          <cell r="Q1211">
            <v>50000000</v>
          </cell>
        </row>
        <row r="1212">
          <cell r="B1212" t="str">
            <v>Infrastruktur Berkelanjutan</v>
          </cell>
          <cell r="D1212" t="str">
            <v>PROGRAM PENGELOLAAN SUMBER DAYA AIR (SDA)</v>
          </cell>
          <cell r="K1212" t="str">
            <v>Dinas Pekerjaan Umum, Penataan Ruang, Perumahan dan Kawasan Permukiman</v>
          </cell>
          <cell r="O1212" t="str">
            <v>Lembar</v>
          </cell>
          <cell r="Q1212">
            <v>100000000</v>
          </cell>
        </row>
        <row r="1213">
          <cell r="B1213" t="str">
            <v>Infrastruktur Berkelanjutan</v>
          </cell>
          <cell r="D1213" t="str">
            <v>PROGRAM PENYELENGGARAAN JALAN</v>
          </cell>
          <cell r="K1213" t="str">
            <v>Dinas Pekerjaan Umum, Penataan Ruang, Perumahan dan Kawasan Permukiman</v>
          </cell>
          <cell r="O1213" t="str">
            <v>Lembar</v>
          </cell>
          <cell r="Q1213">
            <v>30000000</v>
          </cell>
        </row>
        <row r="1214">
          <cell r="B1214" t="str">
            <v>Infrastruktur Berkelanjutan</v>
          </cell>
          <cell r="D1214" t="str">
            <v>PROGRAM PENGELOLAAN SUMBER DAYA AIR (SDA)</v>
          </cell>
          <cell r="K1214" t="str">
            <v>Dinas Pekerjaan Umum, Penataan Ruang, Perumahan dan Kawasan Permukiman</v>
          </cell>
          <cell r="O1214" t="str">
            <v>Lembar</v>
          </cell>
          <cell r="Q1214">
            <v>100000000</v>
          </cell>
        </row>
        <row r="1215">
          <cell r="B1215" t="str">
            <v>Infrastruktur Berkelanjutan</v>
          </cell>
          <cell r="D1215" t="str">
            <v>PROGRAM PENYELENGGARAAN JALAN</v>
          </cell>
          <cell r="K1215" t="str">
            <v>Dinas Pekerjaan Umum, Penataan Ruang, Perumahan dan Kawasan Permukiman</v>
          </cell>
          <cell r="O1215" t="str">
            <v>Lembar</v>
          </cell>
          <cell r="Q1215">
            <v>180000000</v>
          </cell>
        </row>
        <row r="1216">
          <cell r="B1216" t="str">
            <v>Infrastruktur Berkelanjutan</v>
          </cell>
          <cell r="D1216" t="str">
            <v>PROGRAM PENGELOLAAN SUMBER DAYA AIR (SDA)</v>
          </cell>
          <cell r="K1216" t="str">
            <v>Dinas Pekerjaan Umum, Penataan Ruang, Perumahan dan Kawasan Permukiman</v>
          </cell>
          <cell r="O1216" t="str">
            <v>Lembar</v>
          </cell>
          <cell r="Q1216">
            <v>37170483</v>
          </cell>
        </row>
        <row r="1217">
          <cell r="B1217" t="str">
            <v>Transformasi Tata Kelola</v>
          </cell>
          <cell r="D1217" t="str">
            <v>PROGRAM PEMERINTAHAN DAN KESEJAHTERAAN RAKYAT</v>
          </cell>
          <cell r="K1217" t="str">
            <v>Sekretariat Daerah</v>
          </cell>
          <cell r="O1217" t="str">
            <v>Lembar</v>
          </cell>
          <cell r="Q1217">
            <v>15000000</v>
          </cell>
        </row>
        <row r="1218">
          <cell r="B1218" t="str">
            <v>Transformasi Tata Kelola</v>
          </cell>
          <cell r="D1218" t="str">
            <v>PROGRAM PEMERINTAHAN DAN KESEJAHTERAAN RAKYAT</v>
          </cell>
          <cell r="K1218" t="str">
            <v>Sekretariat Daerah</v>
          </cell>
          <cell r="O1218" t="str">
            <v>Lembar</v>
          </cell>
          <cell r="Q1218">
            <v>15000000</v>
          </cell>
        </row>
        <row r="1219">
          <cell r="B1219" t="str">
            <v>Transformasi Tata Kelola</v>
          </cell>
          <cell r="D1219" t="str">
            <v>PROGRAM PENINGKATAN KETENTERAMAN DAN KETERTIBAN UMUM</v>
          </cell>
          <cell r="K1219" t="str">
            <v>Satuan Polisi Pamong Praja</v>
          </cell>
          <cell r="O1219" t="str">
            <v>Lembar</v>
          </cell>
          <cell r="Q1219">
            <v>9132375</v>
          </cell>
        </row>
        <row r="1220">
          <cell r="B1220" t="str">
            <v>Transformasi Tata Kelola</v>
          </cell>
          <cell r="D1220" t="str">
            <v>PROGRAM PENINGKATAN KETENTERAMAN DAN KETERTIBAN UMUM</v>
          </cell>
          <cell r="K1220" t="str">
            <v>Satuan Polisi Pamong Praja</v>
          </cell>
          <cell r="O1220" t="str">
            <v>Lembar</v>
          </cell>
          <cell r="Q1220">
            <v>9132375</v>
          </cell>
        </row>
        <row r="1221">
          <cell r="B1221" t="str">
            <v>Infrastruktur Berkelanjutan</v>
          </cell>
          <cell r="D1221" t="str">
            <v>PROGRAM PENGELOLAAN PERSAMPAHAN</v>
          </cell>
          <cell r="K1221" t="str">
            <v>Dinas Lingkungan Hidup</v>
          </cell>
          <cell r="O1221" t="str">
            <v>Lembar</v>
          </cell>
          <cell r="Q1221">
            <v>50000000</v>
          </cell>
        </row>
        <row r="1222">
          <cell r="B1222" t="str">
            <v>Infrastruktur Berkelanjutan</v>
          </cell>
          <cell r="D1222" t="str">
            <v>PROGRAM PENGELOLAAN DAN PENGEMBANGAN SISTEM DRAINASE</v>
          </cell>
          <cell r="K1222" t="str">
            <v>Dinas Pekerjaan Umum, Penataan Ruang, Perumahan dan Kawasan Permukiman</v>
          </cell>
          <cell r="O1222" t="str">
            <v>Lembar</v>
          </cell>
          <cell r="Q1222">
            <v>141760000</v>
          </cell>
        </row>
        <row r="1223">
          <cell r="B1223" t="str">
            <v>Infrastruktur Berkelanjutan</v>
          </cell>
          <cell r="D1223" t="str">
            <v>PROGRAM PENGELOLAAN DAN PENGEMBANGAN SISTEM DRAINASE</v>
          </cell>
          <cell r="K1223" t="str">
            <v>Dinas Pekerjaan Umum, Penataan Ruang, Perumahan dan Kawasan Permukiman</v>
          </cell>
          <cell r="O1223" t="str">
            <v>Lembar</v>
          </cell>
          <cell r="Q1223">
            <v>141760000</v>
          </cell>
        </row>
        <row r="1224">
          <cell r="B1224" t="str">
            <v>Infrastruktur Berkelanjutan</v>
          </cell>
          <cell r="D1224" t="str">
            <v>PROGRAM PENINGKATAN PRASARANA, SARANA DAN UTILITAS UMUM (PSU)</v>
          </cell>
          <cell r="K1224" t="str">
            <v>Dinas Pekerjaan Umum, Penataan Ruang, Perumahan dan Kawasan Permukiman</v>
          </cell>
          <cell r="O1224" t="str">
            <v>Lembar</v>
          </cell>
          <cell r="Q1224">
            <v>50154317</v>
          </cell>
        </row>
        <row r="1225">
          <cell r="B1225" t="str">
            <v>Infrastruktur Berkelanjutan</v>
          </cell>
          <cell r="D1225" t="str">
            <v>PROGRAM PENGELOLAAN SUMBER DAYA AIR (SDA)</v>
          </cell>
          <cell r="K1225" t="str">
            <v>Dinas Pekerjaan Umum, Penataan Ruang, Perumahan dan Kawasan Permukiman</v>
          </cell>
          <cell r="O1225" t="str">
            <v>Lembar</v>
          </cell>
          <cell r="Q1225">
            <v>10200000</v>
          </cell>
        </row>
        <row r="1226">
          <cell r="B1226" t="str">
            <v>Infrastruktur Berkelanjutan</v>
          </cell>
          <cell r="D1226" t="str">
            <v>PROGRAM PENINGKATAN PRASARANA, SARANA DAN UTILITAS UMUM (PSU)</v>
          </cell>
          <cell r="K1226" t="str">
            <v>Dinas Pekerjaan Umum, Penataan Ruang, Perumahan dan Kawasan Permukiman</v>
          </cell>
          <cell r="O1226" t="str">
            <v>Lembar</v>
          </cell>
          <cell r="Q1226">
            <v>61013332.799999997</v>
          </cell>
        </row>
        <row r="1227">
          <cell r="B1227" t="str">
            <v>Infrastruktur Berkelanjutan</v>
          </cell>
          <cell r="D1227" t="str">
            <v>PROGRAM PENGELOLAAN SUMBER DAYA AIR (SDA)</v>
          </cell>
          <cell r="K1227" t="str">
            <v>Dinas Pekerjaan Umum, Penataan Ruang, Perumahan dan Kawasan Permukiman</v>
          </cell>
          <cell r="O1227" t="str">
            <v>Lembar</v>
          </cell>
          <cell r="Q1227">
            <v>165000000</v>
          </cell>
        </row>
        <row r="1228">
          <cell r="B1228" t="str">
            <v>Infrastruktur Berkelanjutan</v>
          </cell>
          <cell r="D1228" t="str">
            <v>PROGRAM PENINGKATAN PRASARANA, SARANA DAN UTILITAS UMUM (PSU)</v>
          </cell>
          <cell r="K1228" t="str">
            <v>Dinas Pekerjaan Umum, Penataan Ruang, Perumahan dan Kawasan Permukiman</v>
          </cell>
          <cell r="O1228" t="str">
            <v>Lembar</v>
          </cell>
          <cell r="Q1228">
            <v>38133300</v>
          </cell>
        </row>
        <row r="1229">
          <cell r="B1229" t="str">
            <v>Infrastruktur Berkelanjutan</v>
          </cell>
          <cell r="D1229" t="str">
            <v>PROGRAM PENINGKATAN PRASARANA, SARANA DAN UTILITAS UMUM (PSU)</v>
          </cell>
          <cell r="K1229" t="str">
            <v>Dinas Pekerjaan Umum, Penataan Ruang, Perumahan dan Kawasan Permukiman</v>
          </cell>
          <cell r="O1229" t="str">
            <v>Lembar</v>
          </cell>
          <cell r="Q1229">
            <v>128470000</v>
          </cell>
        </row>
        <row r="1230">
          <cell r="B1230" t="str">
            <v>Infrastruktur Berkelanjutan</v>
          </cell>
          <cell r="D1230" t="str">
            <v>PROGRAM PENINGKATAN PRASARANA, SARANA DAN UTILITAS UMUM (PSU)</v>
          </cell>
          <cell r="K1230" t="str">
            <v>Dinas Pekerjaan Umum, Penataan Ruang, Perumahan dan Kawasan Permukiman</v>
          </cell>
          <cell r="O1230" t="str">
            <v>Lembar</v>
          </cell>
          <cell r="Q1230">
            <v>88977700</v>
          </cell>
        </row>
        <row r="1231">
          <cell r="B1231" t="str">
            <v>Infrastruktur Berkelanjutan</v>
          </cell>
          <cell r="D1231" t="str">
            <v>PROGRAM PENINGKATAN PRASARANA, SARANA DAN UTILITAS UMUM (PSU)</v>
          </cell>
          <cell r="K1231" t="str">
            <v>Dinas Pekerjaan Umum, Penataan Ruang, Perumahan dan Kawasan Permukiman</v>
          </cell>
          <cell r="O1231" t="str">
            <v>Lembar</v>
          </cell>
          <cell r="Q1231">
            <v>76266600</v>
          </cell>
        </row>
        <row r="1232">
          <cell r="B1232" t="str">
            <v>Transformasi dan Kemandirian Ekonomi</v>
          </cell>
          <cell r="D1232" t="str">
            <v>PROGRAM PENINGKATAN SARANA DISTRIBUSI PERDAGANGAN</v>
          </cell>
          <cell r="K1232" t="str">
            <v>Dinas Perdagangan</v>
          </cell>
          <cell r="O1232" t="str">
            <v>Lembar</v>
          </cell>
          <cell r="Q1232">
            <v>12690000</v>
          </cell>
        </row>
        <row r="1233">
          <cell r="B1233" t="str">
            <v>Transformasi dan Kemandirian Ekonomi</v>
          </cell>
          <cell r="D1233" t="str">
            <v>PROGRAM PENINGKATAN SARANA DISTRIBUSI PERDAGANGAN</v>
          </cell>
          <cell r="K1233" t="str">
            <v>Dinas Perdagangan</v>
          </cell>
          <cell r="O1233" t="str">
            <v>Lembar</v>
          </cell>
          <cell r="Q1233">
            <v>12690000</v>
          </cell>
        </row>
        <row r="1234">
          <cell r="B1234" t="str">
            <v>Pembangunan SDM Unggul dan Berdaya Saing</v>
          </cell>
          <cell r="D1234" t="str">
            <v>PROGRAM PENGELOLAAN PENDIDIKAN</v>
          </cell>
          <cell r="K1234" t="str">
            <v>Dinas Pendidikan dan Kebudayaan</v>
          </cell>
          <cell r="O1234" t="str">
            <v>Lembar</v>
          </cell>
          <cell r="Q1234">
            <v>100000000</v>
          </cell>
        </row>
        <row r="1235">
          <cell r="B1235" t="str">
            <v>Pembangunan SDM Unggul dan Berdaya Saing</v>
          </cell>
          <cell r="D1235" t="str">
            <v>PROGRAM PENGELOLAAN PENDIDIKAN</v>
          </cell>
          <cell r="K1235" t="str">
            <v>Dinas Pendidikan dan Kebudayaan</v>
          </cell>
          <cell r="O1235" t="str">
            <v>Lembar</v>
          </cell>
          <cell r="Q1235">
            <v>100000000</v>
          </cell>
        </row>
        <row r="1236">
          <cell r="B1236" t="str">
            <v>Pembangunan SDM Unggul dan Berdaya Saing</v>
          </cell>
          <cell r="D1236" t="str">
            <v>PROGRAM PENGELOLAAN PENDIDIKAN</v>
          </cell>
          <cell r="K1236" t="str">
            <v>Dinas Pendidikan dan Kebudayaan</v>
          </cell>
          <cell r="O1236" t="str">
            <v>Lembar</v>
          </cell>
          <cell r="Q1236">
            <v>42310000</v>
          </cell>
        </row>
        <row r="1237">
          <cell r="B1237" t="str">
            <v>Transformasi Tata Kelola</v>
          </cell>
          <cell r="D1237" t="str">
            <v>PROGRAM PENINGKATAN KETENTERAMAN DAN KETERTIBAN UMUM</v>
          </cell>
          <cell r="K1237" t="str">
            <v>Satuan Polisi Pamong Praja</v>
          </cell>
          <cell r="O1237" t="str">
            <v>Lembar</v>
          </cell>
          <cell r="Q1237">
            <v>52110000</v>
          </cell>
        </row>
        <row r="1238">
          <cell r="B1238" t="str">
            <v>Infrastruktur Berkelanjutan</v>
          </cell>
          <cell r="D1238" t="str">
            <v>PROGRAM PENGELOLAAN PERSAMPAHAN</v>
          </cell>
          <cell r="K1238" t="str">
            <v>Dinas Lingkungan Hidup</v>
          </cell>
          <cell r="O1238" t="str">
            <v>Lembar</v>
          </cell>
          <cell r="Q1238">
            <v>25000000</v>
          </cell>
        </row>
        <row r="1239">
          <cell r="B1239" t="str">
            <v>Infrastruktur Berkelanjutan</v>
          </cell>
          <cell r="D1239" t="str">
            <v>PROGRAM PENGELOLAAN PERSAMPAHAN</v>
          </cell>
          <cell r="K1239" t="str">
            <v>Dinas Lingkungan Hidup</v>
          </cell>
          <cell r="O1239" t="str">
            <v>Lembar</v>
          </cell>
          <cell r="Q1239">
            <v>50000000</v>
          </cell>
        </row>
        <row r="1240">
          <cell r="B1240" t="str">
            <v>Agrominapolitan</v>
          </cell>
          <cell r="D1240" t="str">
            <v>PROGRAM PENYEDIAAN DAN PENGEMBANGAN SARANA PERTANIAN</v>
          </cell>
          <cell r="K1240" t="str">
            <v>Dinas Pertanian</v>
          </cell>
          <cell r="O1240" t="str">
            <v>Lembar</v>
          </cell>
          <cell r="Q1240">
            <v>60000000</v>
          </cell>
        </row>
        <row r="1241">
          <cell r="B1241" t="str">
            <v>Agrominapolitan</v>
          </cell>
          <cell r="D1241" t="str">
            <v>PROGRAM PENYEDIAAN DAN PENGEMBANGAN SARANA PERTANIAN</v>
          </cell>
          <cell r="K1241" t="str">
            <v>Dinas Pertanian</v>
          </cell>
          <cell r="O1241" t="str">
            <v>Lembar</v>
          </cell>
          <cell r="Q1241">
            <v>50000000</v>
          </cell>
        </row>
        <row r="1242">
          <cell r="B1242" t="str">
            <v>Transformasi dan Kemandirian Ekonomi</v>
          </cell>
          <cell r="D1242" t="str">
            <v>Program Pengembangan Kapasitas Daya Saing Keolahragaan</v>
          </cell>
          <cell r="K1242" t="str">
            <v>Dinas Pariwisata, Ekonomi Kreatif, Pemuda, dan Olahraga</v>
          </cell>
          <cell r="O1242" t="str">
            <v>Lembar</v>
          </cell>
          <cell r="Q1242">
            <v>28000000</v>
          </cell>
        </row>
        <row r="1243">
          <cell r="B1243" t="str">
            <v>Transformasi dan Kemandirian Ekonomi</v>
          </cell>
          <cell r="D1243" t="str">
            <v>PROGRAM PENINGKATAN DAYA TARIK DESTINASI PARIWISATA</v>
          </cell>
          <cell r="K1243" t="str">
            <v>Dinas Pariwisata, Ekonomi Kreatif, Pemuda, dan Olahraga</v>
          </cell>
          <cell r="O1243" t="str">
            <v>Lembar</v>
          </cell>
          <cell r="Q1243">
            <v>20000000</v>
          </cell>
        </row>
        <row r="1244">
          <cell r="B1244" t="str">
            <v>Transformasi dan Kemandirian Ekonomi</v>
          </cell>
          <cell r="D1244" t="str">
            <v>PROGRAM PENEMPATAN TENAGA KERJA</v>
          </cell>
          <cell r="K1244" t="str">
            <v>Dinas Perindustrian, Koperasi, Usaha Kecil dan Menengah, dan Tenaga Kerja</v>
          </cell>
          <cell r="O1244" t="str">
            <v>Lembar</v>
          </cell>
          <cell r="Q1244">
            <v>45000000</v>
          </cell>
        </row>
        <row r="1245">
          <cell r="B1245" t="str">
            <v>Infrastruktur Berkelanjutan</v>
          </cell>
          <cell r="D1245" t="str">
            <v>PROGRAM PENGELOLAAN DAN PENGEMBANGAN SISTEM DRAINASE</v>
          </cell>
          <cell r="K1245" t="str">
            <v>Dinas Pekerjaan Umum, Penataan Ruang, Perumahan dan Kawasan Permukiman</v>
          </cell>
          <cell r="O1245" t="str">
            <v>Lembar</v>
          </cell>
          <cell r="Q1245">
            <v>88600000</v>
          </cell>
        </row>
        <row r="1246">
          <cell r="B1246" t="str">
            <v>Infrastruktur Berkelanjutan</v>
          </cell>
          <cell r="D1246" t="str">
            <v>PROGRAM PENINGKATAN PRASARANA, SARANA DAN UTILITAS UMUM (PSU)</v>
          </cell>
          <cell r="K1246" t="str">
            <v>Dinas Pekerjaan Umum, Penataan Ruang, Perumahan dan Kawasan Permukiman</v>
          </cell>
          <cell r="O1246" t="str">
            <v>Lembar</v>
          </cell>
          <cell r="Q1246">
            <v>88600000</v>
          </cell>
        </row>
        <row r="1247">
          <cell r="B1247" t="str">
            <v>Infrastruktur Berkelanjutan</v>
          </cell>
          <cell r="D1247" t="str">
            <v>PROGRAM PENGELOLAAN DAN PENGEMBANGAN SISTEM DRAINASE</v>
          </cell>
          <cell r="K1247" t="str">
            <v>Dinas Pekerjaan Umum, Penataan Ruang, Perumahan dan Kawasan Permukiman</v>
          </cell>
          <cell r="O1247" t="str">
            <v>Lembar</v>
          </cell>
          <cell r="Q1247">
            <v>100000000</v>
          </cell>
        </row>
        <row r="1248">
          <cell r="B1248" t="str">
            <v>Infrastruktur Berkelanjutan</v>
          </cell>
          <cell r="D1248" t="str">
            <v>PROGRAM PENYELENGGARAAN JALAN</v>
          </cell>
          <cell r="K1248" t="str">
            <v>Dinas Pekerjaan Umum, Penataan Ruang, Perumahan dan Kawasan Permukiman</v>
          </cell>
          <cell r="O1248" t="str">
            <v>Lembar</v>
          </cell>
          <cell r="Q1248">
            <v>100000000</v>
          </cell>
        </row>
        <row r="1249">
          <cell r="B1249" t="str">
            <v>Infrastruktur Berkelanjutan</v>
          </cell>
          <cell r="D1249" t="str">
            <v>PROGRAM PENGELOLAAN SUMBER DAYA AIR (SDA)</v>
          </cell>
          <cell r="K1249" t="str">
            <v>Dinas Pekerjaan Umum, Penataan Ruang, Perumahan dan Kawasan Permukiman</v>
          </cell>
          <cell r="O1249" t="str">
            <v>Lembar</v>
          </cell>
          <cell r="Q1249">
            <v>25000000</v>
          </cell>
        </row>
        <row r="1250">
          <cell r="B1250" t="str">
            <v>Infrastruktur Berkelanjutan</v>
          </cell>
          <cell r="D1250" t="str">
            <v>PROGRAM PENANGGULANGAN BENCANA</v>
          </cell>
          <cell r="K1250" t="str">
            <v>Badan Penanggulangan Bencana Daerah</v>
          </cell>
          <cell r="O1250" t="str">
            <v>Lembar</v>
          </cell>
          <cell r="Q1250">
            <v>101333000</v>
          </cell>
        </row>
        <row r="1251">
          <cell r="B1251" t="str">
            <v>Agrominapolitan</v>
          </cell>
          <cell r="D1251" t="str">
            <v>PROGRAM PENYEDIAAN DAN PENGEMBANGAN SARANA PERTANIAN</v>
          </cell>
          <cell r="K1251" t="str">
            <v>Dinas Pertanian</v>
          </cell>
          <cell r="O1251" t="str">
            <v>Lembar</v>
          </cell>
          <cell r="Q1251">
            <v>101945000</v>
          </cell>
        </row>
        <row r="1252">
          <cell r="B1252" t="str">
            <v>Infrastruktur Berkelanjutan</v>
          </cell>
          <cell r="D1252" t="str">
            <v>PROGRAM PENINGKATAN PRASARANA, SARANA DAN UTILITAS UMUM (PSU)</v>
          </cell>
          <cell r="K1252" t="str">
            <v>Dinas Pekerjaan Umum, Penataan Ruang, Perumahan dan Kawasan Permukiman</v>
          </cell>
          <cell r="O1252" t="str">
            <v>Lembar</v>
          </cell>
          <cell r="Q1252">
            <v>100000000</v>
          </cell>
        </row>
        <row r="1253">
          <cell r="B1253" t="str">
            <v>Infrastruktur Berkelanjutan</v>
          </cell>
          <cell r="D1253" t="str">
            <v>PROGRAM PENGELOLAAN SUMBER DAYA AIR (SDA)</v>
          </cell>
          <cell r="K1253" t="str">
            <v>Dinas Pekerjaan Umum, Penataan Ruang, Perumahan dan Kawasan Permukiman</v>
          </cell>
          <cell r="O1253" t="str">
            <v>Lembar</v>
          </cell>
          <cell r="Q1253">
            <v>100000000</v>
          </cell>
        </row>
        <row r="1254">
          <cell r="B1254" t="str">
            <v>Infrastruktur Berkelanjutan</v>
          </cell>
          <cell r="D1254" t="str">
            <v>PROGRAM PENINGKATAN PRASARANA, SARANA DAN UTILITAS UMUM (PSU)</v>
          </cell>
          <cell r="K1254" t="str">
            <v>Dinas Pekerjaan Umum, Penataan Ruang, Perumahan dan Kawasan Permukiman</v>
          </cell>
          <cell r="O1254" t="str">
            <v>Lembar</v>
          </cell>
          <cell r="Q1254">
            <v>100000000</v>
          </cell>
        </row>
        <row r="1255">
          <cell r="B1255" t="str">
            <v>Infrastruktur Berkelanjutan</v>
          </cell>
          <cell r="D1255" t="str">
            <v>PROGRAM PENINGKATAN PRASARANA, SARANA DAN UTILITAS UMUM (PSU)</v>
          </cell>
          <cell r="K1255" t="str">
            <v>Dinas Pekerjaan Umum, Penataan Ruang, Perumahan dan Kawasan Permukiman</v>
          </cell>
          <cell r="O1255" t="str">
            <v>Lembar</v>
          </cell>
          <cell r="Q1255">
            <v>127111000</v>
          </cell>
        </row>
        <row r="1256">
          <cell r="B1256" t="str">
            <v>Infrastruktur Berkelanjutan</v>
          </cell>
          <cell r="D1256" t="str">
            <v>PROGRAM PENINGKATAN PRASARANA, SARANA DAN UTILITAS UMUM (PSU)</v>
          </cell>
          <cell r="K1256" t="str">
            <v>Dinas Pekerjaan Umum, Penataan Ruang, Perumahan dan Kawasan Permukiman</v>
          </cell>
          <cell r="O1256" t="str">
            <v>Lembar</v>
          </cell>
          <cell r="Q1256">
            <v>75000000</v>
          </cell>
        </row>
        <row r="1257">
          <cell r="B1257" t="str">
            <v>Infrastruktur Berkelanjutan</v>
          </cell>
          <cell r="D1257" t="str">
            <v>PROGRAM PENINGKATAN PRASARANA, SARANA DAN UTILITAS UMUM (PSU)</v>
          </cell>
          <cell r="K1257" t="str">
            <v>Dinas Pekerjaan Umum, Penataan Ruang, Perumahan dan Kawasan Permukiman</v>
          </cell>
          <cell r="O1257" t="str">
            <v>Lembar</v>
          </cell>
          <cell r="Q1257">
            <v>100000000</v>
          </cell>
        </row>
        <row r="1258">
          <cell r="B1258" t="str">
            <v>Infrastruktur Berkelanjutan</v>
          </cell>
          <cell r="D1258" t="str">
            <v>PROGRAM PENINGKATAN PRASARANA, SARANA DAN UTILITAS UMUM (PSU)</v>
          </cell>
          <cell r="K1258" t="str">
            <v>Dinas Pekerjaan Umum, Penataan Ruang, Perumahan dan Kawasan Permukiman</v>
          </cell>
          <cell r="O1258" t="str">
            <v>Lembar</v>
          </cell>
          <cell r="Q1258">
            <v>100000000</v>
          </cell>
        </row>
        <row r="1259">
          <cell r="B1259" t="str">
            <v>Infrastruktur Berkelanjutan</v>
          </cell>
          <cell r="D1259" t="str">
            <v>PROGRAM PENINGKATAN PRASARANA, SARANA DAN UTILITAS UMUM (PSU)</v>
          </cell>
          <cell r="K1259" t="str">
            <v>Dinas Pekerjaan Umum, Penataan Ruang, Perumahan dan Kawasan Permukiman</v>
          </cell>
          <cell r="O1259" t="str">
            <v>Lembar</v>
          </cell>
          <cell r="Q1259">
            <v>100000000</v>
          </cell>
        </row>
        <row r="1260">
          <cell r="B1260" t="str">
            <v>Infrastruktur Berkelanjutan</v>
          </cell>
          <cell r="D1260" t="str">
            <v>PROGRAM PENINGKATAN PRASARANA, SARANA DAN UTILITAS UMUM (PSU)</v>
          </cell>
          <cell r="K1260" t="str">
            <v>Dinas Pekerjaan Umum, Penataan Ruang, Perumahan dan Kawasan Permukiman</v>
          </cell>
          <cell r="O1260" t="str">
            <v>Lembar</v>
          </cell>
          <cell r="Q1260">
            <v>107111000</v>
          </cell>
        </row>
        <row r="1261">
          <cell r="B1261" t="str">
            <v>Infrastruktur Berkelanjutan</v>
          </cell>
          <cell r="D1261" t="str">
            <v>PROGRAM PENINGKATAN PRASARANA, SARANA DAN UTILITAS UMUM (PSU)</v>
          </cell>
          <cell r="K1261" t="str">
            <v>Dinas Pekerjaan Umum, Penataan Ruang, Perumahan dan Kawasan Permukiman</v>
          </cell>
          <cell r="O1261" t="str">
            <v>Lembar</v>
          </cell>
          <cell r="Q1261">
            <v>60000000</v>
          </cell>
        </row>
        <row r="1262">
          <cell r="B1262" t="str">
            <v>Infrastruktur Berkelanjutan</v>
          </cell>
          <cell r="D1262" t="str">
            <v>PROGRAM PENGELOLAAN DAN PENGEMBANGAN SISTEM DRAINASE</v>
          </cell>
          <cell r="K1262" t="str">
            <v>Dinas Pekerjaan Umum, Penataan Ruang, Perumahan dan Kawasan Permukiman</v>
          </cell>
          <cell r="O1262" t="str">
            <v>Lembar</v>
          </cell>
          <cell r="Q1262">
            <v>127500000</v>
          </cell>
        </row>
        <row r="1263">
          <cell r="B1263" t="str">
            <v>Agrominapolitan</v>
          </cell>
          <cell r="D1263" t="str">
            <v>PROGRAM PENYEDIAAN DAN PENGEMBANGAN SARANA PERTANIAN</v>
          </cell>
          <cell r="K1263" t="str">
            <v>Dinas Pertanian</v>
          </cell>
          <cell r="O1263" t="str">
            <v>Lembar</v>
          </cell>
          <cell r="Q1263">
            <v>100000000</v>
          </cell>
        </row>
        <row r="1264">
          <cell r="B1264" t="str">
            <v>Infrastruktur Berkelanjutan</v>
          </cell>
          <cell r="D1264" t="str">
            <v>Program Penyelenggaraan Lalu Lintas dan Angkutan Jalan (LLAJ)</v>
          </cell>
          <cell r="K1264" t="str">
            <v>Dinas Perhubungan</v>
          </cell>
          <cell r="O1264" t="str">
            <v>Lembar</v>
          </cell>
          <cell r="Q1264">
            <v>33500000</v>
          </cell>
        </row>
        <row r="1265">
          <cell r="B1265" t="str">
            <v>Infrastruktur Berkelanjutan</v>
          </cell>
          <cell r="D1265" t="str">
            <v>PROGRAM PENINGKATAN PRASARANA, SARANA DAN UTILITAS UMUM (PSU)</v>
          </cell>
          <cell r="K1265" t="str">
            <v>Dinas Pekerjaan Umum, Penataan Ruang, Perumahan dan Kawasan Permukiman</v>
          </cell>
          <cell r="O1265" t="str">
            <v>Lembar</v>
          </cell>
          <cell r="Q1265">
            <v>66500000</v>
          </cell>
        </row>
        <row r="1266">
          <cell r="B1266" t="str">
            <v>Infrastruktur Berkelanjutan</v>
          </cell>
          <cell r="D1266" t="str">
            <v>PROGRAM PENGELOLAAN SUMBER DAYA AIR (SDA)</v>
          </cell>
          <cell r="K1266" t="str">
            <v>Dinas Pekerjaan Umum, Penataan Ruang, Perumahan dan Kawasan Permukiman</v>
          </cell>
          <cell r="O1266" t="str">
            <v>Lembar</v>
          </cell>
          <cell r="Q1266">
            <v>300000000</v>
          </cell>
        </row>
        <row r="1267">
          <cell r="B1267" t="str">
            <v>Infrastruktur Berkelanjutan</v>
          </cell>
          <cell r="D1267" t="str">
            <v>PROGRAM PENINGKATAN PRASARANA, SARANA DAN UTILITAS UMUM (PSU)</v>
          </cell>
          <cell r="K1267" t="str">
            <v>Dinas Pekerjaan Umum, Penataan Ruang, Perumahan dan Kawasan Permukiman</v>
          </cell>
          <cell r="O1267" t="str">
            <v>Lembar</v>
          </cell>
          <cell r="Q1267">
            <v>100000000</v>
          </cell>
        </row>
        <row r="1268">
          <cell r="B1268" t="str">
            <v>Infrastruktur Berkelanjutan</v>
          </cell>
          <cell r="D1268" t="str">
            <v>PROGRAM PENINGKATAN PRASARANA, SARANA DAN UTILITAS UMUM (PSU)</v>
          </cell>
          <cell r="K1268" t="str">
            <v>Dinas Pekerjaan Umum, Penataan Ruang, Perumahan dan Kawasan Permukiman</v>
          </cell>
          <cell r="O1268" t="str">
            <v>Lembar</v>
          </cell>
          <cell r="Q1268">
            <v>100000000</v>
          </cell>
        </row>
        <row r="1269">
          <cell r="B1269" t="str">
            <v>Infrastruktur Berkelanjutan</v>
          </cell>
          <cell r="D1269" t="str">
            <v>PROGRAM PENGELOLAAN SUMBER DAYA AIR (SDA)</v>
          </cell>
          <cell r="K1269" t="str">
            <v>Dinas Pekerjaan Umum, Penataan Ruang, Perumahan dan Kawasan Permukiman</v>
          </cell>
          <cell r="O1269" t="str">
            <v>Lembar</v>
          </cell>
          <cell r="Q1269">
            <v>100000000</v>
          </cell>
        </row>
        <row r="1270">
          <cell r="B1270" t="str">
            <v>Infrastruktur Berkelanjutan</v>
          </cell>
          <cell r="D1270" t="str">
            <v>PROGRAM PENINGKATAN PRASARANA, SARANA DAN UTILITAS UMUM (PSU)</v>
          </cell>
          <cell r="K1270" t="str">
            <v>Dinas Pekerjaan Umum, Penataan Ruang, Perumahan dan Kawasan Permukiman</v>
          </cell>
          <cell r="O1270" t="str">
            <v>Lembar</v>
          </cell>
          <cell r="Q1270">
            <v>100000000</v>
          </cell>
        </row>
        <row r="1271">
          <cell r="B1271" t="str">
            <v>Infrastruktur Berkelanjutan</v>
          </cell>
          <cell r="D1271" t="str">
            <v>PROGRAM PENINGKATAN PRASARANA, SARANA DAN UTILITAS UMUM (PSU)</v>
          </cell>
          <cell r="K1271" t="str">
            <v>Dinas Pekerjaan Umum, Penataan Ruang, Perumahan dan Kawasan Permukiman</v>
          </cell>
          <cell r="O1271" t="str">
            <v>Lembar</v>
          </cell>
          <cell r="Q1271">
            <v>100000000</v>
          </cell>
        </row>
        <row r="1272">
          <cell r="B1272" t="str">
            <v>Transformasi dan Kemandirian Ekonomi</v>
          </cell>
          <cell r="D1272" t="str">
            <v>PROGRAM PENINGKATAN SARANA DISTRIBUSI PERDAGANGAN</v>
          </cell>
          <cell r="K1272" t="str">
            <v>Dinas Perdagangan</v>
          </cell>
          <cell r="O1272" t="str">
            <v>Lembar</v>
          </cell>
          <cell r="Q1272">
            <v>20000000</v>
          </cell>
        </row>
        <row r="1273">
          <cell r="B1273" t="str">
            <v>Transformasi dan Kemandirian Ekonomi</v>
          </cell>
          <cell r="D1273" t="str">
            <v>PROGRAM PENINGKATAN SARANA DISTRIBUSI PERDAGANGAN</v>
          </cell>
          <cell r="K1273" t="str">
            <v>Dinas Perdagangan</v>
          </cell>
          <cell r="O1273" t="str">
            <v>Lembar</v>
          </cell>
          <cell r="Q1273">
            <v>70000000</v>
          </cell>
        </row>
        <row r="1274">
          <cell r="B1274" t="str">
            <v>Agrominapolitan</v>
          </cell>
          <cell r="D1274" t="str">
            <v>Program Pengolahan dan Pemasaran Hasil Perikanan</v>
          </cell>
          <cell r="K1274" t="str">
            <v>Dinas Kelautan, Perikanan, dan Ketahanan Pangan</v>
          </cell>
          <cell r="O1274" t="str">
            <v>Lembar</v>
          </cell>
          <cell r="Q1274">
            <v>25000000</v>
          </cell>
        </row>
        <row r="1275">
          <cell r="B1275" t="str">
            <v>Pembangunan SDM Unggul dan Berdaya Saing</v>
          </cell>
          <cell r="D1275" t="str">
            <v>PROGRAM PENGELOLAAN PENDIDIKAN</v>
          </cell>
          <cell r="K1275" t="str">
            <v>Dinas Pendidikan dan Kebudayaan</v>
          </cell>
          <cell r="O1275" t="str">
            <v>Lembar</v>
          </cell>
          <cell r="Q1275">
            <v>342708000</v>
          </cell>
        </row>
        <row r="1276">
          <cell r="B1276" t="str">
            <v>Transformasi Tata Kelola</v>
          </cell>
          <cell r="D1276" t="str">
            <v>PROGRAM PENINGKATAN KETENTERAMAN DAN KETERTIBAN UMUM</v>
          </cell>
          <cell r="K1276" t="str">
            <v>Satuan Polisi Pamong Praja</v>
          </cell>
          <cell r="O1276" t="str">
            <v>Lembar</v>
          </cell>
          <cell r="Q1276">
            <v>34894400</v>
          </cell>
        </row>
        <row r="1277">
          <cell r="B1277" t="str">
            <v>Infrastruktur Berkelanjutan</v>
          </cell>
          <cell r="D1277" t="str">
            <v>PROGRAM PENGELOLAAN PERSAMPAHAN</v>
          </cell>
          <cell r="K1277" t="str">
            <v>Dinas Lingkungan Hidup</v>
          </cell>
          <cell r="O1277" t="str">
            <v>Lembar</v>
          </cell>
          <cell r="Q1277">
            <v>101797600</v>
          </cell>
        </row>
        <row r="1278">
          <cell r="B1278" t="str">
            <v>Infrastruktur Berkelanjutan</v>
          </cell>
          <cell r="D1278" t="str">
            <v>PROGRAM PENGELOLAAN PERSAMPAHAN</v>
          </cell>
          <cell r="K1278" t="str">
            <v>Dinas Lingkungan Hidup</v>
          </cell>
          <cell r="O1278" t="str">
            <v>Lembar</v>
          </cell>
          <cell r="Q1278">
            <v>50000000</v>
          </cell>
        </row>
        <row r="1279">
          <cell r="B1279" t="str">
            <v>Infrastruktur Berkelanjutan</v>
          </cell>
          <cell r="D1279" t="str">
            <v>PROGRAM PENGELOLAAN PERSAMPAHAN</v>
          </cell>
          <cell r="K1279" t="str">
            <v>Dinas Lingkungan Hidup</v>
          </cell>
          <cell r="O1279" t="str">
            <v>Lembar</v>
          </cell>
          <cell r="Q1279">
            <v>50000000</v>
          </cell>
        </row>
        <row r="1280">
          <cell r="B1280" t="str">
            <v>Agrominapolitan</v>
          </cell>
          <cell r="D1280" t="str">
            <v>PROGRAM PENYEDIAAN DAN PENGEMBANGAN SARANA PERTANIAN</v>
          </cell>
          <cell r="K1280" t="str">
            <v>Dinas Pertanian</v>
          </cell>
          <cell r="O1280" t="str">
            <v>Lembar</v>
          </cell>
          <cell r="Q1280">
            <v>5000000</v>
          </cell>
        </row>
        <row r="1281">
          <cell r="B1281" t="str">
            <v>Agrominapolitan</v>
          </cell>
          <cell r="D1281" t="str">
            <v>PROGRAM PENYEDIAAN DAN PENGEMBANGAN SARANA PERTANIAN</v>
          </cell>
          <cell r="K1281" t="str">
            <v>Dinas Pertanian</v>
          </cell>
          <cell r="O1281" t="str">
            <v>Lembar</v>
          </cell>
          <cell r="Q1281">
            <v>5000000</v>
          </cell>
        </row>
        <row r="1282">
          <cell r="B1282" t="str">
            <v>Agrominapolitan</v>
          </cell>
          <cell r="D1282" t="str">
            <v>PROGRAM PENYEDIAAN DAN PENGEMBANGAN SARANA PERTANIAN</v>
          </cell>
          <cell r="K1282" t="str">
            <v>Dinas Pertanian</v>
          </cell>
          <cell r="O1282" t="str">
            <v>Lembar</v>
          </cell>
          <cell r="Q1282">
            <v>45000000</v>
          </cell>
        </row>
        <row r="1283">
          <cell r="B1283" t="str">
            <v>Agrominapolitan</v>
          </cell>
          <cell r="D1283" t="str">
            <v>PROGRAM PENYEDIAAN DAN PENGEMBANGAN SARANA PERTANIAN</v>
          </cell>
          <cell r="K1283" t="str">
            <v>Dinas Pertanian</v>
          </cell>
          <cell r="O1283" t="str">
            <v>Lembar</v>
          </cell>
          <cell r="Q1283">
            <v>5000000</v>
          </cell>
        </row>
        <row r="1284">
          <cell r="B1284" t="str">
            <v>Agrominapolitan</v>
          </cell>
          <cell r="D1284" t="str">
            <v>PROGRAM PENYEDIAAN DAN PENGEMBANGAN SARANA PERTANIAN</v>
          </cell>
          <cell r="K1284" t="str">
            <v>Dinas Pertanian</v>
          </cell>
          <cell r="O1284" t="str">
            <v>Lembar</v>
          </cell>
          <cell r="Q1284">
            <v>11000000</v>
          </cell>
        </row>
        <row r="1285">
          <cell r="B1285" t="str">
            <v>Agrominapolitan</v>
          </cell>
          <cell r="D1285" t="str">
            <v>PROGRAM PENYEDIAAN DAN PENGEMBANGAN SARANA PERTANIAN</v>
          </cell>
          <cell r="K1285" t="str">
            <v>Dinas Pertanian</v>
          </cell>
          <cell r="O1285" t="str">
            <v>Lembar</v>
          </cell>
          <cell r="Q1285">
            <v>30000000</v>
          </cell>
        </row>
        <row r="1286">
          <cell r="B1286" t="str">
            <v>Agrominapolitan</v>
          </cell>
          <cell r="D1286" t="str">
            <v>PROGRAM PENYEDIAAN DAN PENGEMBANGAN SARANA PERTANIAN</v>
          </cell>
          <cell r="K1286" t="str">
            <v>Dinas Pertanian</v>
          </cell>
          <cell r="O1286" t="str">
            <v>Lembar</v>
          </cell>
          <cell r="Q1286">
            <v>45000000</v>
          </cell>
        </row>
        <row r="1287">
          <cell r="B1287" t="str">
            <v>Agrominapolitan</v>
          </cell>
          <cell r="D1287" t="str">
            <v>PROGRAM PENYEDIAAN DAN PENGEMBANGAN SARANA PERTANIAN</v>
          </cell>
          <cell r="K1287" t="str">
            <v>Dinas Pertanian</v>
          </cell>
          <cell r="O1287" t="str">
            <v>Lembar</v>
          </cell>
          <cell r="Q1287">
            <v>15000000</v>
          </cell>
        </row>
        <row r="1288">
          <cell r="B1288" t="str">
            <v>Agrominapolitan</v>
          </cell>
          <cell r="D1288" t="str">
            <v>PROGRAM PENYEDIAAN DAN PENGEMBANGAN SARANA PERTANIAN</v>
          </cell>
          <cell r="K1288" t="str">
            <v>Dinas Pertanian</v>
          </cell>
          <cell r="O1288" t="str">
            <v>Lembar</v>
          </cell>
          <cell r="Q1288">
            <v>35000000</v>
          </cell>
        </row>
        <row r="1289">
          <cell r="B1289" t="str">
            <v>Agrominapolitan</v>
          </cell>
          <cell r="D1289" t="str">
            <v>PROGRAM PENYEDIAAN DAN PENGEMBANGAN SARANA PERTANIAN</v>
          </cell>
          <cell r="K1289" t="str">
            <v>Dinas Pertanian</v>
          </cell>
          <cell r="O1289" t="str">
            <v>Lembar</v>
          </cell>
          <cell r="Q1289">
            <v>15000000</v>
          </cell>
        </row>
        <row r="1290">
          <cell r="B1290" t="str">
            <v>Transformasi dan Kemandirian Ekonomi</v>
          </cell>
          <cell r="D1290" t="str">
            <v>PROGRAM PENEMPATAN TENAGA KERJA</v>
          </cell>
          <cell r="K1290" t="str">
            <v>Dinas Perindustrian, Koperasi, Usaha Kecil dan Menengah, dan Tenaga Kerja</v>
          </cell>
          <cell r="O1290" t="str">
            <v>Lembar</v>
          </cell>
          <cell r="Q1290">
            <v>17500000</v>
          </cell>
        </row>
        <row r="1291">
          <cell r="B1291" t="str">
            <v>Transformasi dan Kemandirian Ekonomi</v>
          </cell>
          <cell r="D1291" t="str">
            <v>PROGRAM PENGEMBANGAN UMKM</v>
          </cell>
          <cell r="K1291" t="str">
            <v>Dinas Perindustrian, Koperasi, Usaha Kecil dan Menengah, dan Tenaga Kerja</v>
          </cell>
          <cell r="O1291" t="str">
            <v>Lembar</v>
          </cell>
          <cell r="Q1291">
            <v>15000000</v>
          </cell>
        </row>
        <row r="1292">
          <cell r="B1292" t="str">
            <v>Transformasi dan Kemandirian Ekonomi</v>
          </cell>
          <cell r="D1292" t="str">
            <v>PROGRAM PENEMPATAN TENAGA KERJA</v>
          </cell>
          <cell r="K1292" t="str">
            <v>Dinas Perindustrian, Koperasi, Usaha Kecil dan Menengah, dan Tenaga Kerja</v>
          </cell>
          <cell r="O1292" t="str">
            <v>Lembar</v>
          </cell>
          <cell r="Q1292">
            <v>22000000</v>
          </cell>
        </row>
        <row r="1293">
          <cell r="B1293" t="str">
            <v>Transformasi dan Kemandirian Ekonomi</v>
          </cell>
          <cell r="D1293" t="str">
            <v>PROGRAM PENEMPATAN TENAGA KERJA</v>
          </cell>
          <cell r="K1293" t="str">
            <v>Dinas Perindustrian, Koperasi, Usaha Kecil dan Menengah, dan Tenaga Kerja</v>
          </cell>
          <cell r="O1293" t="str">
            <v>Lembar</v>
          </cell>
          <cell r="Q1293">
            <v>22000000</v>
          </cell>
        </row>
        <row r="1294">
          <cell r="B1294" t="str">
            <v>Infrastruktur Berkelanjutan</v>
          </cell>
          <cell r="D1294" t="str">
            <v>Program Penyelenggaraan Lalu Lintas dan Angkutan Jalan (LLAJ)</v>
          </cell>
          <cell r="K1294" t="str">
            <v>Dinas Perhubungan</v>
          </cell>
          <cell r="O1294" t="str">
            <v>Lembar</v>
          </cell>
          <cell r="Q1294">
            <v>33500000</v>
          </cell>
        </row>
        <row r="1295">
          <cell r="B1295" t="str">
            <v>Infrastruktur Berkelanjutan</v>
          </cell>
          <cell r="D1295" t="str">
            <v>PROGRAM PENINGKATAN PRASARANA, SARANA DAN UTILITAS UMUM (PSU)</v>
          </cell>
          <cell r="K1295" t="str">
            <v>Dinas Pekerjaan Umum, Penataan Ruang, Perumahan dan Kawasan Permukiman</v>
          </cell>
          <cell r="O1295" t="str">
            <v>Lembar</v>
          </cell>
          <cell r="Q1295">
            <v>39600000</v>
          </cell>
        </row>
        <row r="1296">
          <cell r="B1296" t="str">
            <v>Infrastruktur Berkelanjutan</v>
          </cell>
          <cell r="D1296" t="str">
            <v>PROGRAM PENINGKATAN PRASARANA, SARANA DAN UTILITAS UMUM (PSU)</v>
          </cell>
          <cell r="K1296" t="str">
            <v>Dinas Pekerjaan Umum, Penataan Ruang, Perumahan dan Kawasan Permukiman</v>
          </cell>
          <cell r="O1296" t="str">
            <v>Lembar</v>
          </cell>
          <cell r="Q1296">
            <v>45000000</v>
          </cell>
        </row>
        <row r="1297">
          <cell r="B1297" t="str">
            <v>Transformasi Tata Kelola</v>
          </cell>
          <cell r="D1297" t="str">
            <v>PROGRAM PENINGKATAN KETENTERAMAN DAN KETERTIBAN UMUM</v>
          </cell>
          <cell r="K1297" t="str">
            <v>Satuan Polisi Pamong Praja</v>
          </cell>
          <cell r="O1297" t="str">
            <v>Lembar</v>
          </cell>
          <cell r="Q1297">
            <v>8840875</v>
          </cell>
        </row>
        <row r="1298">
          <cell r="B1298" t="str">
            <v>Transformasi Tata Kelola</v>
          </cell>
          <cell r="D1298" t="str">
            <v>PROGRAM PENINGKATAN KETENTERAMAN DAN KETERTIBAN UMUM</v>
          </cell>
          <cell r="K1298" t="str">
            <v>Satuan Polisi Pamong Praja</v>
          </cell>
          <cell r="O1298" t="str">
            <v>Lembar</v>
          </cell>
          <cell r="Q1298">
            <v>8840875</v>
          </cell>
        </row>
        <row r="1299">
          <cell r="B1299" t="str">
            <v>Transformasi Tata Kelola</v>
          </cell>
          <cell r="D1299" t="str">
            <v>PROGRAM PENINGKATAN KETENTERAMAN DAN KETERTIBAN UMUM</v>
          </cell>
          <cell r="K1299" t="str">
            <v>Satuan Polisi Pamong Praja</v>
          </cell>
          <cell r="O1299" t="str">
            <v>Lembar</v>
          </cell>
          <cell r="Q1299">
            <v>8840875</v>
          </cell>
        </row>
        <row r="1300">
          <cell r="B1300" t="str">
            <v>Agrominapolitan</v>
          </cell>
          <cell r="D1300" t="str">
            <v>PROGRAM PENYEDIAAN DAN PENGEMBANGAN SARANA PERTANIAN</v>
          </cell>
          <cell r="K1300" t="str">
            <v>Dinas Pertanian</v>
          </cell>
          <cell r="O1300" t="str">
            <v>Lembar</v>
          </cell>
          <cell r="Q1300">
            <v>75000000</v>
          </cell>
        </row>
        <row r="1301">
          <cell r="B1301" t="str">
            <v>Agrominapolitan</v>
          </cell>
          <cell r="D1301" t="str">
            <v>PROGRAM PENYEDIAAN DAN PENGEMBANGAN SARANA PERTANIAN</v>
          </cell>
          <cell r="K1301" t="str">
            <v>Dinas Pertanian</v>
          </cell>
          <cell r="O1301" t="str">
            <v>Lembar</v>
          </cell>
          <cell r="Q1301">
            <v>85000000</v>
          </cell>
        </row>
        <row r="1302">
          <cell r="B1302" t="str">
            <v>Agrominapolitan</v>
          </cell>
          <cell r="D1302" t="str">
            <v>PROGRAM PENYEDIAAN DAN PENGEMBANGAN SARANA PERTANIAN</v>
          </cell>
          <cell r="K1302" t="str">
            <v>Dinas Pertanian</v>
          </cell>
          <cell r="O1302" t="str">
            <v>Lembar</v>
          </cell>
          <cell r="Q1302">
            <v>120000000</v>
          </cell>
        </row>
        <row r="1303">
          <cell r="B1303" t="str">
            <v>Agrominapolitan</v>
          </cell>
          <cell r="D1303" t="str">
            <v>PROGRAM PENYEDIAAN DAN PENGEMBANGAN SARANA PERTANIAN</v>
          </cell>
          <cell r="K1303" t="str">
            <v>Dinas Pertanian</v>
          </cell>
          <cell r="O1303" t="str">
            <v>Lembar</v>
          </cell>
          <cell r="Q1303">
            <v>90000000</v>
          </cell>
        </row>
        <row r="1304">
          <cell r="B1304" t="str">
            <v>Infrastruktur Berkelanjutan</v>
          </cell>
          <cell r="D1304" t="str">
            <v>Program Penyelenggaraan Lalu Lintas dan Angkutan Jalan (LLAJ)</v>
          </cell>
          <cell r="K1304" t="str">
            <v>Dinas Perhubungan</v>
          </cell>
          <cell r="O1304" t="str">
            <v>Lembar</v>
          </cell>
          <cell r="Q1304">
            <v>83750000</v>
          </cell>
        </row>
        <row r="1305">
          <cell r="B1305" t="str">
            <v>Infrastruktur Berkelanjutan</v>
          </cell>
          <cell r="D1305" t="str">
            <v>PROGRAM PENINGKATAN PRASARANA, SARANA DAN UTILITAS UMUM (PSU)</v>
          </cell>
          <cell r="K1305" t="str">
            <v>Dinas Pekerjaan Umum, Penataan Ruang, Perumahan dan Kawasan Permukiman</v>
          </cell>
          <cell r="O1305" t="str">
            <v>Lembar</v>
          </cell>
          <cell r="Q1305">
            <v>75000000</v>
          </cell>
        </row>
        <row r="1306">
          <cell r="B1306" t="str">
            <v>Infrastruktur Berkelanjutan</v>
          </cell>
          <cell r="D1306" t="str">
            <v>PROGRAM PENINGKATAN PRASARANA, SARANA DAN UTILITAS UMUM (PSU)</v>
          </cell>
          <cell r="K1306" t="str">
            <v>Dinas Pekerjaan Umum, Penataan Ruang, Perumahan dan Kawasan Permukiman</v>
          </cell>
          <cell r="O1306" t="str">
            <v>Lembar</v>
          </cell>
          <cell r="Q1306">
            <v>75000000</v>
          </cell>
        </row>
        <row r="1307">
          <cell r="B1307" t="str">
            <v>Infrastruktur Berkelanjutan</v>
          </cell>
          <cell r="D1307" t="str">
            <v>PROGRAM PENINGKATAN PRASARANA, SARANA DAN UTILITAS UMUM (PSU)</v>
          </cell>
          <cell r="K1307" t="str">
            <v>Dinas Pekerjaan Umum, Penataan Ruang, Perumahan dan Kawasan Permukiman</v>
          </cell>
          <cell r="O1307" t="str">
            <v>Lembar</v>
          </cell>
          <cell r="Q1307">
            <v>75000000</v>
          </cell>
        </row>
        <row r="1308">
          <cell r="B1308" t="str">
            <v>Infrastruktur Berkelanjutan</v>
          </cell>
          <cell r="D1308" t="str">
            <v>PROGRAM PENINGKATAN PRASARANA, SARANA DAN UTILITAS UMUM (PSU)</v>
          </cell>
          <cell r="K1308" t="str">
            <v>Dinas Pekerjaan Umum, Penataan Ruang, Perumahan dan Kawasan Permukiman</v>
          </cell>
          <cell r="O1308" t="str">
            <v>Lembar</v>
          </cell>
          <cell r="Q1308">
            <v>75000000</v>
          </cell>
        </row>
        <row r="1309">
          <cell r="B1309" t="str">
            <v>Infrastruktur Berkelanjutan</v>
          </cell>
          <cell r="D1309" t="str">
            <v>PROGRAM PENINGKATAN PRASARANA, SARANA DAN UTILITAS UMUM (PSU)</v>
          </cell>
          <cell r="K1309" t="str">
            <v>Dinas Pekerjaan Umum, Penataan Ruang, Perumahan dan Kawasan Permukiman</v>
          </cell>
          <cell r="O1309" t="str">
            <v>Lembar</v>
          </cell>
          <cell r="Q1309">
            <v>75000000</v>
          </cell>
        </row>
        <row r="1310">
          <cell r="B1310" t="str">
            <v>Infrastruktur Berkelanjutan</v>
          </cell>
          <cell r="D1310" t="str">
            <v>PROGRAM PENINGKATAN PRASARANA, SARANA DAN UTILITAS UMUM (PSU)</v>
          </cell>
          <cell r="K1310" t="str">
            <v>Dinas Pekerjaan Umum, Penataan Ruang, Perumahan dan Kawasan Permukiman</v>
          </cell>
          <cell r="O1310" t="str">
            <v>Lembar</v>
          </cell>
          <cell r="Q1310">
            <v>75000000</v>
          </cell>
        </row>
        <row r="1311">
          <cell r="B1311" t="str">
            <v>Infrastruktur Berkelanjutan</v>
          </cell>
          <cell r="D1311" t="str">
            <v>PROGRAM PENINGKATAN PRASARANA, SARANA DAN UTILITAS UMUM (PSU)</v>
          </cell>
          <cell r="K1311" t="str">
            <v>Dinas Pekerjaan Umum, Penataan Ruang, Perumahan dan Kawasan Permukiman</v>
          </cell>
          <cell r="O1311" t="str">
            <v>Lembar</v>
          </cell>
          <cell r="Q1311">
            <v>75000000</v>
          </cell>
        </row>
        <row r="1312">
          <cell r="B1312" t="str">
            <v>Pembangunan SDM Unggul dan Berdaya Saing</v>
          </cell>
          <cell r="D1312" t="str">
            <v>PROGRAM PENGELOLAAN PENDIDIKAN</v>
          </cell>
          <cell r="K1312" t="str">
            <v>Dinas Pendidikan dan Kebudayaan</v>
          </cell>
          <cell r="O1312" t="str">
            <v>Lembar</v>
          </cell>
          <cell r="Q1312">
            <v>70000000</v>
          </cell>
        </row>
        <row r="1313">
          <cell r="B1313" t="str">
            <v>Infrastruktur Berkelanjutan</v>
          </cell>
          <cell r="D1313" t="str">
            <v>PROGRAM PENGELOLAAN SUMBER DAYA AIR (SDA)</v>
          </cell>
          <cell r="K1313" t="str">
            <v>Dinas Pekerjaan Umum, Penataan Ruang, Perumahan dan Kawasan Permukiman</v>
          </cell>
          <cell r="O1313" t="str">
            <v>Lembar</v>
          </cell>
          <cell r="Q1313">
            <v>100000000</v>
          </cell>
        </row>
        <row r="1314">
          <cell r="B1314" t="str">
            <v>Infrastruktur Berkelanjutan</v>
          </cell>
          <cell r="D1314" t="str">
            <v>PROGRAM PENYELENGGARAAN JALAN</v>
          </cell>
          <cell r="K1314" t="str">
            <v>Dinas Pekerjaan Umum, Penataan Ruang, Perumahan dan Kawasan Permukiman</v>
          </cell>
          <cell r="O1314" t="str">
            <v>Lembar</v>
          </cell>
          <cell r="Q1314">
            <v>70000000</v>
          </cell>
        </row>
        <row r="1315">
          <cell r="B1315" t="str">
            <v>Pengentasan Pengangguran</v>
          </cell>
          <cell r="D1315" t="str">
            <v>PROGRAM PENEMPATAN TENAGA KERJA</v>
          </cell>
          <cell r="K1315" t="str">
            <v>Dinas Perindustrian, Koperasi, Usaha Kecil dan Menengah, dan Tenaga Kerja</v>
          </cell>
          <cell r="O1315" t="str">
            <v>Lembar</v>
          </cell>
          <cell r="Q1315">
            <v>30000000</v>
          </cell>
        </row>
        <row r="1316">
          <cell r="B1316" t="str">
            <v>Infrastruktur Berkelanjutan</v>
          </cell>
          <cell r="D1316" t="str">
            <v>PROGRAM PENYELENGGARAAN JALAN</v>
          </cell>
          <cell r="K1316" t="str">
            <v>Dinas Pekerjaan Umum, Penataan Ruang, Perumahan dan Kawasan Permukiman</v>
          </cell>
          <cell r="O1316" t="str">
            <v>Lembar</v>
          </cell>
          <cell r="Q1316">
            <v>100000000</v>
          </cell>
        </row>
        <row r="1317">
          <cell r="B1317" t="str">
            <v>Infrastruktur Berkelanjutan</v>
          </cell>
          <cell r="D1317" t="str">
            <v>PROGRAM PENYELENGGARAAN JALAN</v>
          </cell>
          <cell r="K1317" t="str">
            <v>Dinas Pekerjaan Umum, Penataan Ruang, Perumahan dan Kawasan Permukiman</v>
          </cell>
          <cell r="O1317" t="str">
            <v>Lembar</v>
          </cell>
          <cell r="Q1317">
            <v>100000000</v>
          </cell>
        </row>
        <row r="1318">
          <cell r="B1318" t="str">
            <v>Infrastruktur Berkelanjutan</v>
          </cell>
          <cell r="D1318" t="str">
            <v>PROGRAM PENINGKATAN PRASARANA, SARANA DAN UTILITAS UMUM (PSU)</v>
          </cell>
          <cell r="K1318" t="str">
            <v>Dinas Pekerjaan Umum, Penataan Ruang, Perumahan dan Kawasan Permukiman</v>
          </cell>
          <cell r="O1318" t="str">
            <v>Lembar</v>
          </cell>
          <cell r="Q1318">
            <v>100000000</v>
          </cell>
        </row>
        <row r="1319">
          <cell r="B1319" t="str">
            <v>Infrastruktur Berkelanjutan</v>
          </cell>
          <cell r="D1319" t="str">
            <v>PROGRAM PENYELENGGARAAN JALAN</v>
          </cell>
          <cell r="K1319" t="str">
            <v>Dinas Pekerjaan Umum, Penataan Ruang, Perumahan dan Kawasan Permukiman</v>
          </cell>
          <cell r="O1319" t="str">
            <v>Lembar</v>
          </cell>
          <cell r="Q1319">
            <v>100000000</v>
          </cell>
        </row>
        <row r="1320">
          <cell r="B1320" t="str">
            <v>Infrastruktur Berkelanjutan</v>
          </cell>
          <cell r="D1320" t="str">
            <v>PROGRAM PENINGKATAN PRASARANA, SARANA DAN UTILITAS UMUM (PSU)</v>
          </cell>
          <cell r="K1320" t="str">
            <v>Dinas Pekerjaan Umum, Penataan Ruang, Perumahan dan Kawasan Permukiman</v>
          </cell>
          <cell r="O1320" t="str">
            <v>Lembar</v>
          </cell>
          <cell r="Q1320">
            <v>100000000</v>
          </cell>
        </row>
        <row r="1321">
          <cell r="B1321" t="str">
            <v>Infrastruktur Berkelanjutan</v>
          </cell>
          <cell r="D1321" t="str">
            <v>PROGRAM PENYELENGGARAAN JALAN</v>
          </cell>
          <cell r="K1321" t="str">
            <v>Dinas Pekerjaan Umum, Penataan Ruang, Perumahan dan Kawasan Permukiman</v>
          </cell>
          <cell r="O1321" t="str">
            <v>Lembar</v>
          </cell>
          <cell r="Q1321">
            <v>100000000</v>
          </cell>
        </row>
        <row r="1322">
          <cell r="B1322" t="str">
            <v>Infrastruktur Berkelanjutan</v>
          </cell>
          <cell r="D1322" t="str">
            <v>PROGRAM PENINGKATAN PRASARANA, SARANA DAN UTILITAS UMUM (PSU)</v>
          </cell>
          <cell r="K1322" t="str">
            <v>Dinas Pekerjaan Umum, Penataan Ruang, Perumahan dan Kawasan Permukiman</v>
          </cell>
          <cell r="O1322" t="str">
            <v>Lembar</v>
          </cell>
          <cell r="Q1322">
            <v>100000000</v>
          </cell>
        </row>
        <row r="1323">
          <cell r="B1323" t="str">
            <v>Infrastruktur Berkelanjutan</v>
          </cell>
          <cell r="D1323" t="str">
            <v>PROGRAM PENINGKATAN PRASARANA, SARANA DAN UTILITAS UMUM (PSU)</v>
          </cell>
          <cell r="K1323" t="str">
            <v>Dinas Pekerjaan Umum, Penataan Ruang, Perumahan dan Kawasan Permukiman</v>
          </cell>
          <cell r="O1323" t="str">
            <v>Lembar</v>
          </cell>
          <cell r="Q1323">
            <v>100000000</v>
          </cell>
        </row>
        <row r="1324">
          <cell r="B1324" t="str">
            <v>Pembangunan SDM Unggul dan Berdaya Saing</v>
          </cell>
          <cell r="D1324" t="str">
            <v>PROGRAM PENGELOLAAN PENDIDIKAN</v>
          </cell>
          <cell r="K1324" t="str">
            <v>Dinas Pendidikan dan Kebudayaan</v>
          </cell>
          <cell r="O1324" t="str">
            <v>Lembar</v>
          </cell>
          <cell r="Q1324">
            <v>100000000</v>
          </cell>
        </row>
        <row r="1325">
          <cell r="B1325" t="str">
            <v>Infrastruktur Berkelanjutan</v>
          </cell>
          <cell r="D1325" t="str">
            <v>PROGRAM PENYELENGGARAAN JALAN</v>
          </cell>
          <cell r="K1325" t="str">
            <v>Dinas Pekerjaan Umum, Penataan Ruang, Perumahan dan Kawasan Permukiman</v>
          </cell>
          <cell r="O1325" t="str">
            <v>Lembar</v>
          </cell>
          <cell r="Q1325">
            <v>100000000</v>
          </cell>
        </row>
        <row r="1326">
          <cell r="B1326" t="str">
            <v>Agrominapolitan</v>
          </cell>
          <cell r="D1326" t="str">
            <v>PROGRAM PENYEDIAAN DAN PENGEMBANGAN SARANA PERTANIAN</v>
          </cell>
          <cell r="K1326" t="str">
            <v>Dinas Pertanian</v>
          </cell>
          <cell r="O1326" t="str">
            <v>Lembar</v>
          </cell>
          <cell r="Q1326">
            <v>45000000</v>
          </cell>
        </row>
        <row r="1327">
          <cell r="B1327" t="str">
            <v>Infrastruktur Berkelanjutan</v>
          </cell>
          <cell r="D1327" t="str">
            <v>Program Penyelenggaraan Lalu Lintas dan Angkutan Jalan (LLAJ)</v>
          </cell>
          <cell r="K1327" t="str">
            <v>Dinas Perhubungan</v>
          </cell>
          <cell r="O1327" t="str">
            <v>Lembar</v>
          </cell>
          <cell r="Q1327">
            <v>74250000</v>
          </cell>
        </row>
        <row r="1328">
          <cell r="B1328" t="str">
            <v>Infrastruktur Berkelanjutan</v>
          </cell>
          <cell r="D1328" t="str">
            <v>PROGRAM PENINGKATAN PRASARANA, SARANA DAN UTILITAS UMUM (PSU)</v>
          </cell>
          <cell r="K1328" t="str">
            <v>Dinas Pekerjaan Umum, Penataan Ruang, Perumahan dan Kawasan Permukiman</v>
          </cell>
          <cell r="O1328" t="str">
            <v>Lembar</v>
          </cell>
          <cell r="Q1328">
            <v>100000000</v>
          </cell>
        </row>
        <row r="1329">
          <cell r="B1329" t="str">
            <v>Infrastruktur Berkelanjutan</v>
          </cell>
          <cell r="D1329" t="str">
            <v>PROGRAM PENINGKATAN PRASARANA, SARANA DAN UTILITAS UMUM (PSU)</v>
          </cell>
          <cell r="K1329" t="str">
            <v>Dinas Pekerjaan Umum, Penataan Ruang, Perumahan dan Kawasan Permukiman</v>
          </cell>
          <cell r="O1329" t="str">
            <v>Lembar</v>
          </cell>
          <cell r="Q1329">
            <v>100000000</v>
          </cell>
        </row>
        <row r="1330">
          <cell r="B1330" t="str">
            <v>Infrastruktur Berkelanjutan</v>
          </cell>
          <cell r="D1330" t="str">
            <v>PROGRAM PENGELOLAAN SUMBER DAYA AIR (SDA)</v>
          </cell>
          <cell r="K1330" t="str">
            <v>Dinas Pekerjaan Umum, Penataan Ruang, Perumahan dan Kawasan Permukiman</v>
          </cell>
          <cell r="O1330" t="str">
            <v>Lembar</v>
          </cell>
          <cell r="Q1330">
            <v>100000000</v>
          </cell>
        </row>
        <row r="1331">
          <cell r="B1331" t="str">
            <v>Infrastruktur Berkelanjutan</v>
          </cell>
          <cell r="D1331" t="str">
            <v>PROGRAM PENINGKATAN PRASARANA, SARANA DAN UTILITAS UMUM (PSU)</v>
          </cell>
          <cell r="K1331" t="str">
            <v>Dinas Pekerjaan Umum, Penataan Ruang, Perumahan dan Kawasan Permukiman</v>
          </cell>
          <cell r="O1331" t="str">
            <v>Lembar</v>
          </cell>
          <cell r="Q1331">
            <v>100000000</v>
          </cell>
        </row>
        <row r="1332">
          <cell r="B1332" t="str">
            <v>Infrastruktur Berkelanjutan</v>
          </cell>
          <cell r="D1332" t="str">
            <v>PROGRAM PENGELOLAAN SUMBER DAYA AIR (SDA)</v>
          </cell>
          <cell r="K1332" t="str">
            <v>Dinas Pekerjaan Umum, Penataan Ruang, Perumahan dan Kawasan Permukiman</v>
          </cell>
          <cell r="O1332" t="str">
            <v>Lembar</v>
          </cell>
          <cell r="Q1332">
            <v>100000000</v>
          </cell>
        </row>
        <row r="1333">
          <cell r="B1333" t="str">
            <v>Infrastruktur Berkelanjutan</v>
          </cell>
          <cell r="D1333" t="str">
            <v>PROGRAM PENINGKATAN PRASARANA, SARANA DAN UTILITAS UMUM (PSU)</v>
          </cell>
          <cell r="K1333" t="str">
            <v>Dinas Pekerjaan Umum, Penataan Ruang, Perumahan dan Kawasan Permukiman</v>
          </cell>
          <cell r="O1333" t="str">
            <v>Lembar</v>
          </cell>
          <cell r="Q1333">
            <v>80750000</v>
          </cell>
        </row>
        <row r="1334">
          <cell r="B1334" t="str">
            <v>Infrastruktur Berkelanjutan</v>
          </cell>
          <cell r="D1334" t="str">
            <v>PROGRAM PENYELENGGARAAN JALAN</v>
          </cell>
          <cell r="K1334" t="str">
            <v>Dinas Pekerjaan Umum, Penataan Ruang, Perumahan dan Kawasan Permukiman</v>
          </cell>
          <cell r="O1334" t="str">
            <v>Lembar</v>
          </cell>
          <cell r="Q1334">
            <v>100000000</v>
          </cell>
        </row>
        <row r="1335">
          <cell r="B1335" t="str">
            <v>Infrastruktur Berkelanjutan</v>
          </cell>
          <cell r="D1335" t="str">
            <v>PROGRAM PENINGKATAN PRASARANA, SARANA DAN UTILITAS UMUM (PSU)</v>
          </cell>
          <cell r="K1335" t="str">
            <v>Dinas Pekerjaan Umum, Penataan Ruang, Perumahan dan Kawasan Permukiman</v>
          </cell>
          <cell r="O1335" t="str">
            <v>Lembar</v>
          </cell>
          <cell r="Q1335">
            <v>100000000</v>
          </cell>
        </row>
        <row r="1336">
          <cell r="B1336" t="str">
            <v>Infrastruktur Berkelanjutan</v>
          </cell>
          <cell r="D1336" t="str">
            <v>PROGRAM PENYELENGGARAAN JALAN</v>
          </cell>
          <cell r="K1336" t="str">
            <v>Dinas Pekerjaan Umum, Penataan Ruang, Perumahan dan Kawasan Permukiman</v>
          </cell>
          <cell r="O1336" t="str">
            <v>Lembar</v>
          </cell>
          <cell r="Q1336">
            <v>100000000</v>
          </cell>
        </row>
        <row r="1337">
          <cell r="B1337" t="str">
            <v>Infrastruktur Berkelanjutan</v>
          </cell>
          <cell r="D1337" t="str">
            <v>PROGRAM PENINGKATAN PRASARANA, SARANA DAN UTILITAS UMUM (PSU)</v>
          </cell>
          <cell r="K1337" t="str">
            <v>Dinas Pekerjaan Umum, Penataan Ruang, Perumahan dan Kawasan Permukiman</v>
          </cell>
          <cell r="O1337" t="str">
            <v>Lembar</v>
          </cell>
          <cell r="Q1337">
            <v>100000000</v>
          </cell>
        </row>
        <row r="1338">
          <cell r="B1338" t="str">
            <v>Infrastruktur Berkelanjutan</v>
          </cell>
          <cell r="D1338" t="str">
            <v>PROGRAM PENINGKATAN PRASARANA, SARANA DAN UTILITAS UMUM (PSU)</v>
          </cell>
          <cell r="K1338" t="str">
            <v>Dinas Pekerjaan Umum, Penataan Ruang, Perumahan dan Kawasan Permukiman</v>
          </cell>
          <cell r="O1338" t="str">
            <v>Lembar</v>
          </cell>
          <cell r="Q1338">
            <v>100000000</v>
          </cell>
        </row>
        <row r="1339">
          <cell r="B1339" t="str">
            <v>KECAMATAN SEKOTONG</v>
          </cell>
        </row>
        <row r="1340">
          <cell r="B1340" t="str">
            <v>Agrominapolitan</v>
          </cell>
          <cell r="D1340" t="str">
            <v>Program Pengolahan dan Pemasaran Hasil Perikanan</v>
          </cell>
          <cell r="K1340" t="str">
            <v>Dinas Kelautan, Perikanan, dan Ketahanan Pangan</v>
          </cell>
          <cell r="O1340" t="str">
            <v>Sekotong</v>
          </cell>
          <cell r="Q1340">
            <v>100000000</v>
          </cell>
        </row>
        <row r="1341">
          <cell r="B1341" t="str">
            <v>Agrominapolitan</v>
          </cell>
          <cell r="D1341" t="str">
            <v>PROGRAM PENGELOLAAN PERIKANAN TANGKAP</v>
          </cell>
          <cell r="K1341" t="str">
            <v>Dinas Kelautan, Perikanan, dan Ketahanan Pangan</v>
          </cell>
          <cell r="O1341" t="str">
            <v>Sekotong</v>
          </cell>
          <cell r="Q1341">
            <v>40000000</v>
          </cell>
        </row>
        <row r="1342">
          <cell r="B1342" t="str">
            <v>Infrastruktur Berkelanjutan</v>
          </cell>
          <cell r="D1342" t="str">
            <v>PROGRAM PENANGGULANGAN BENCANA</v>
          </cell>
          <cell r="K1342" t="str">
            <v>Badan Penanggulangan Bencana Daerah</v>
          </cell>
          <cell r="O1342" t="str">
            <v>Sekotong</v>
          </cell>
          <cell r="Q1342">
            <v>210000000</v>
          </cell>
        </row>
        <row r="1343">
          <cell r="B1343" t="str">
            <v>Infrastruktur Berkelanjutan</v>
          </cell>
          <cell r="D1343" t="str">
            <v>PROGRAM PENANGGULANGAN BENCANA</v>
          </cell>
          <cell r="K1343" t="str">
            <v>Badan Penanggulangan Bencana Daerah</v>
          </cell>
          <cell r="O1343" t="str">
            <v>Sekotong</v>
          </cell>
          <cell r="Q1343">
            <v>210000000</v>
          </cell>
        </row>
        <row r="1344">
          <cell r="B1344" t="str">
            <v>Infrastruktur Berkelanjutan</v>
          </cell>
          <cell r="D1344" t="str">
            <v>PROGRAM PENANGGULANGAN BENCANA</v>
          </cell>
          <cell r="K1344" t="str">
            <v>Badan Penanggulangan Bencana Daerah</v>
          </cell>
          <cell r="O1344" t="str">
            <v>Sekotong</v>
          </cell>
          <cell r="Q1344">
            <v>210000000</v>
          </cell>
        </row>
        <row r="1345">
          <cell r="B1345" t="str">
            <v>Infrastruktur Berkelanjutan</v>
          </cell>
          <cell r="D1345" t="str">
            <v>PROGRAM PENANGGULANGAN BENCANA</v>
          </cell>
          <cell r="K1345" t="str">
            <v>Badan Penanggulangan Bencana Daerah</v>
          </cell>
          <cell r="O1345" t="str">
            <v>Sekotong</v>
          </cell>
          <cell r="Q1345">
            <v>210000000</v>
          </cell>
        </row>
        <row r="1346">
          <cell r="B1346" t="str">
            <v>Pembangunan SDM Unggul dan Berdaya Saing</v>
          </cell>
          <cell r="D1346" t="str">
            <v>PROGRAM PENGEMBANGAN KEBUDAYAAN</v>
          </cell>
          <cell r="K1346" t="str">
            <v>Dinas Pendidikan dan Kebudayaan</v>
          </cell>
          <cell r="O1346" t="str">
            <v>Sekotong</v>
          </cell>
          <cell r="Q1346">
            <v>100000000</v>
          </cell>
        </row>
        <row r="1347">
          <cell r="B1347" t="str">
            <v>Infrastruktur Berkelanjutan</v>
          </cell>
          <cell r="D1347" t="str">
            <v>PROGRAM PENINGKATAN PRASARANA, SARANA DAN UTILITAS UMUM (PSU)</v>
          </cell>
          <cell r="K1347" t="str">
            <v>Dinas Pekerjaan Umum, Penataan Ruang, Perumahan dan Kawasan Permukiman</v>
          </cell>
          <cell r="O1347" t="str">
            <v>Sekotong</v>
          </cell>
          <cell r="Q1347">
            <v>100000000</v>
          </cell>
        </row>
        <row r="1348">
          <cell r="B1348" t="str">
            <v>Pembangunan SDM Unggul dan Berdaya Saing</v>
          </cell>
          <cell r="D1348" t="str">
            <v>PROGRAM PENGELOLAAN PENDIDIKAN</v>
          </cell>
          <cell r="K1348" t="str">
            <v>Dinas Pendidikan dan Kebudayaan</v>
          </cell>
          <cell r="O1348" t="str">
            <v>Sekotong</v>
          </cell>
          <cell r="Q1348">
            <v>100000000</v>
          </cell>
        </row>
        <row r="1349">
          <cell r="B1349" t="str">
            <v>Pembangunan SDM Unggul dan Berdaya Saing</v>
          </cell>
          <cell r="D1349" t="str">
            <v>PROGRAM PENINGKATAN PRASARANA, SARANA DAN UTILITAS UMUM (PSU)</v>
          </cell>
          <cell r="K1349" t="str">
            <v>Dinas Pekerjaan Umum, Penataan Ruang, Perumahan dan Kawasan Permukiman</v>
          </cell>
          <cell r="O1349" t="str">
            <v>Sekotong</v>
          </cell>
          <cell r="Q1349">
            <v>114300000</v>
          </cell>
        </row>
        <row r="1350">
          <cell r="B1350" t="str">
            <v>Pembangunan SDM Unggul dan Berdaya Saing</v>
          </cell>
          <cell r="D1350" t="str">
            <v>PROGRAM PENGEMBANGAN KEBUDAYAAN</v>
          </cell>
          <cell r="K1350" t="str">
            <v>Dinas Pendidikan dan Kebudayaan</v>
          </cell>
          <cell r="O1350" t="str">
            <v>Sekotong</v>
          </cell>
          <cell r="Q1350">
            <v>100000000</v>
          </cell>
        </row>
        <row r="1351">
          <cell r="B1351" t="str">
            <v>Agrominapolitan</v>
          </cell>
          <cell r="D1351" t="str">
            <v>PROGRAM PENYEDIAAN DAN PENGEMBANGAN SARANA PERTANIAN</v>
          </cell>
          <cell r="K1351" t="str">
            <v>Dinas Pertanian</v>
          </cell>
          <cell r="O1351" t="str">
            <v>Sekotong</v>
          </cell>
          <cell r="Q1351">
            <v>100000000</v>
          </cell>
        </row>
        <row r="1352">
          <cell r="B1352" t="str">
            <v>Agrominapolitan</v>
          </cell>
          <cell r="D1352" t="str">
            <v>PROGRAM PENYEDIAAN DAN PENGEMBANGAN SARANA PERTANIAN</v>
          </cell>
          <cell r="K1352" t="str">
            <v>Dinas Pertanian</v>
          </cell>
          <cell r="O1352" t="str">
            <v>Sekotong</v>
          </cell>
          <cell r="Q1352">
            <v>100000000</v>
          </cell>
        </row>
        <row r="1353">
          <cell r="B1353" t="str">
            <v>Transformasi dan Kemandirian Ekonomi</v>
          </cell>
          <cell r="D1353" t="str">
            <v>PROGRAM PENINGKATAN DAYA TARIK DESTINASI PARIWISATA</v>
          </cell>
          <cell r="K1353" t="str">
            <v>Dinas Pariwisata, Ekonomi Kreatif, Pemuda, dan Olahraga</v>
          </cell>
          <cell r="O1353" t="str">
            <v>Sekotong</v>
          </cell>
          <cell r="Q1353">
            <v>100000000</v>
          </cell>
        </row>
        <row r="1354">
          <cell r="B1354" t="str">
            <v>Transformasi dan Kemandirian Ekonomi</v>
          </cell>
          <cell r="D1354" t="str">
            <v>PROGRAM PENINGKATAN DAYA TARIK DESTINASI PARIWISATA</v>
          </cell>
          <cell r="K1354" t="str">
            <v>Dinas Pariwisata, Ekonomi Kreatif, Pemuda, dan Olahraga</v>
          </cell>
          <cell r="O1354" t="str">
            <v>Sekotong</v>
          </cell>
          <cell r="Q1354">
            <v>100000000</v>
          </cell>
        </row>
        <row r="1355">
          <cell r="B1355" t="str">
            <v>Transformasi dan Kemandirian Ekonomi</v>
          </cell>
          <cell r="D1355" t="str">
            <v>PROGRAM PENINGKATAN PRASARANA, SARANA DAN UTILITAS UMUM (PSU)</v>
          </cell>
          <cell r="K1355" t="str">
            <v>Dinas Pekerjaan Umum, Penataan Ruang, Perumahan dan Kawasan Permukiman</v>
          </cell>
          <cell r="O1355" t="str">
            <v>Sekotong</v>
          </cell>
          <cell r="Q1355">
            <v>114300000</v>
          </cell>
        </row>
        <row r="1356">
          <cell r="B1356" t="str">
            <v>Transformasi dan Kemandirian Ekonomi</v>
          </cell>
          <cell r="D1356" t="str">
            <v>PROGRAM PENINGKATAN PRASARANA, SARANA DAN UTILITAS UMUM (PSU)</v>
          </cell>
          <cell r="K1356" t="str">
            <v>Dinas Pekerjaan Umum, Penataan Ruang, Perumahan dan Kawasan Permukiman</v>
          </cell>
          <cell r="O1356" t="str">
            <v>Sekotong</v>
          </cell>
          <cell r="Q1356">
            <v>114300000</v>
          </cell>
        </row>
        <row r="1357">
          <cell r="B1357" t="str">
            <v>Transformasi dan Kemandirian Ekonomi</v>
          </cell>
          <cell r="D1357" t="str">
            <v>PROGRAM PENGEMBANGAN UMKM</v>
          </cell>
          <cell r="K1357" t="str">
            <v>Dinas Perindustrian, Koperasi, Usaha Kecil dan Menengah, dan Tenaga Kerja</v>
          </cell>
          <cell r="O1357" t="str">
            <v>Sekotong</v>
          </cell>
          <cell r="Q1357">
            <v>60000000</v>
          </cell>
        </row>
        <row r="1358">
          <cell r="B1358" t="str">
            <v>Transformasi dan Kemandirian Ekonomi</v>
          </cell>
          <cell r="D1358" t="str">
            <v>PROGRAM PENGEMBANGAN UMKM</v>
          </cell>
          <cell r="K1358" t="str">
            <v>Dinas Perindustrian, Koperasi, Usaha Kecil dan Menengah, dan Tenaga Kerja</v>
          </cell>
          <cell r="O1358" t="str">
            <v>Sekotong</v>
          </cell>
          <cell r="Q1358">
            <v>100000000</v>
          </cell>
        </row>
        <row r="1359">
          <cell r="B1359" t="str">
            <v>Infrastruktur Berkelanjutan</v>
          </cell>
          <cell r="D1359" t="str">
            <v>Program Penyelenggaraan Lalu Lintas dan Angkutan Jalan (LLAJ)</v>
          </cell>
          <cell r="K1359" t="str">
            <v>Dinas Perhubungan</v>
          </cell>
          <cell r="O1359" t="str">
            <v>Sekotong</v>
          </cell>
          <cell r="Q1359">
            <v>103950000</v>
          </cell>
        </row>
        <row r="1360">
          <cell r="B1360" t="str">
            <v>Infrastruktur Berkelanjutan</v>
          </cell>
          <cell r="D1360" t="str">
            <v>Program Penyelenggaraan Lalu Lintas dan Angkutan Jalan (LLAJ)</v>
          </cell>
          <cell r="K1360" t="str">
            <v>Dinas Perhubungan</v>
          </cell>
          <cell r="O1360" t="str">
            <v>Sekotong</v>
          </cell>
          <cell r="Q1360">
            <v>103950000</v>
          </cell>
        </row>
        <row r="1361">
          <cell r="B1361" t="str">
            <v>Infrastruktur Berkelanjutan</v>
          </cell>
          <cell r="D1361" t="str">
            <v>Program Penyelenggaraan Lalu Lintas dan Angkutan Jalan (LLAJ)</v>
          </cell>
          <cell r="K1361" t="str">
            <v>Dinas Perhubungan</v>
          </cell>
          <cell r="O1361" t="str">
            <v>Sekotong</v>
          </cell>
          <cell r="Q1361">
            <v>103950000</v>
          </cell>
        </row>
        <row r="1362">
          <cell r="B1362" t="str">
            <v>Infrastruktur Berkelanjutan</v>
          </cell>
          <cell r="D1362" t="str">
            <v>Program Penyelenggaraan Lalu Lintas dan Angkutan Jalan (LLAJ)</v>
          </cell>
          <cell r="K1362" t="str">
            <v>Dinas Perhubungan</v>
          </cell>
          <cell r="O1362" t="str">
            <v>Sekotong</v>
          </cell>
          <cell r="Q1362">
            <v>103950000</v>
          </cell>
        </row>
        <row r="1363">
          <cell r="B1363" t="str">
            <v>Infrastruktur Berkelanjutan</v>
          </cell>
          <cell r="D1363" t="str">
            <v>PROGRAM PENINGKATAN PRASARANA, SARANA DAN UTILITAS UMUM (PSU)</v>
          </cell>
          <cell r="K1363" t="str">
            <v>Dinas Pekerjaan Umum, Penataan Ruang, Perumahan dan Kawasan Permukiman</v>
          </cell>
          <cell r="O1363" t="str">
            <v>Sekotong</v>
          </cell>
          <cell r="Q1363">
            <v>114300000</v>
          </cell>
        </row>
        <row r="1364">
          <cell r="B1364" t="str">
            <v>Infrastruktur Berkelanjutan</v>
          </cell>
          <cell r="D1364" t="str">
            <v>PROGRAM PENINGKATAN PRASARANA, SARANA DAN UTILITAS UMUM (PSU)</v>
          </cell>
          <cell r="K1364" t="str">
            <v>Dinas Pekerjaan Umum, Penataan Ruang, Perumahan dan Kawasan Permukiman</v>
          </cell>
          <cell r="O1364" t="str">
            <v>Sekotong</v>
          </cell>
          <cell r="Q1364">
            <v>114300000</v>
          </cell>
        </row>
        <row r="1365">
          <cell r="B1365" t="str">
            <v>Infrastruktur Berkelanjutan</v>
          </cell>
          <cell r="D1365" t="str">
            <v>PROGRAM PENINGKATAN PRASARANA, SARANA DAN UTILITAS UMUM (PSU)</v>
          </cell>
          <cell r="K1365" t="str">
            <v>Dinas Pekerjaan Umum, Penataan Ruang, Perumahan dan Kawasan Permukiman</v>
          </cell>
          <cell r="O1365" t="str">
            <v>Sekotong</v>
          </cell>
          <cell r="Q1365">
            <v>114300000</v>
          </cell>
        </row>
        <row r="1366">
          <cell r="B1366" t="str">
            <v>Infrastruktur Berkelanjutan</v>
          </cell>
          <cell r="D1366" t="str">
            <v>PROGRAM PENGELOLAAN DAN PENGEMBANGAN SISTEM DRAINASE</v>
          </cell>
          <cell r="K1366" t="str">
            <v>Dinas Pekerjaan Umum, Penataan Ruang, Perumahan dan Kawasan Permukiman</v>
          </cell>
          <cell r="O1366" t="str">
            <v>Sekotong</v>
          </cell>
          <cell r="Q1366">
            <v>111280000</v>
          </cell>
        </row>
        <row r="1367">
          <cell r="B1367" t="str">
            <v>Infrastruktur Berkelanjutan</v>
          </cell>
          <cell r="D1367" t="str">
            <v>PROGRAM PENINGKATAN PRASARANA, SARANA DAN UTILITAS UMUM (PSU)</v>
          </cell>
          <cell r="K1367" t="str">
            <v>Dinas Pekerjaan Umum, Penataan Ruang, Perumahan dan Kawasan Permukiman</v>
          </cell>
          <cell r="O1367" t="str">
            <v>Sekotong</v>
          </cell>
          <cell r="Q1367">
            <v>114300000</v>
          </cell>
        </row>
        <row r="1368">
          <cell r="B1368" t="str">
            <v>Infrastruktur Berkelanjutan</v>
          </cell>
          <cell r="D1368" t="str">
            <v>PROGRAM PENINGKATAN PRASARANA, SARANA DAN UTILITAS UMUM (PSU)</v>
          </cell>
          <cell r="K1368" t="str">
            <v>Dinas Pekerjaan Umum, Penataan Ruang, Perumahan dan Kawasan Permukiman</v>
          </cell>
          <cell r="O1368" t="str">
            <v>Sekotong</v>
          </cell>
          <cell r="Q1368">
            <v>114300000</v>
          </cell>
        </row>
        <row r="1369">
          <cell r="B1369" t="str">
            <v>Infrastruktur Berkelanjutan</v>
          </cell>
          <cell r="D1369" t="str">
            <v>PROGRAM PENGELOLAAN DAN PENGEMBANGAN SISTEM DRAINASE</v>
          </cell>
          <cell r="K1369" t="str">
            <v>Dinas Pekerjaan Umum, Penataan Ruang, Perumahan dan Kawasan Permukiman</v>
          </cell>
          <cell r="O1369" t="str">
            <v>Sekotong</v>
          </cell>
          <cell r="Q1369">
            <v>111280000</v>
          </cell>
        </row>
        <row r="1370">
          <cell r="B1370" t="str">
            <v>Infrastruktur Berkelanjutan</v>
          </cell>
          <cell r="D1370" t="str">
            <v>PROGRAM PENINGKATAN PRASARANA, SARANA DAN UTILITAS UMUM (PSU)</v>
          </cell>
          <cell r="K1370" t="str">
            <v>Dinas Pekerjaan Umum, Penataan Ruang, Perumahan dan Kawasan Permukiman</v>
          </cell>
          <cell r="O1370" t="str">
            <v>Sekotong</v>
          </cell>
          <cell r="Q1370">
            <v>114300000</v>
          </cell>
        </row>
        <row r="1371">
          <cell r="B1371" t="str">
            <v>Infrastruktur Berkelanjutan</v>
          </cell>
          <cell r="D1371" t="str">
            <v>PROGRAM PENINGKATAN PRASARANA, SARANA DAN UTILITAS UMUM (PSU)</v>
          </cell>
          <cell r="K1371" t="str">
            <v>Dinas Pekerjaan Umum, Penataan Ruang, Perumahan dan Kawasan Permukiman</v>
          </cell>
          <cell r="O1371" t="str">
            <v>Sekotong</v>
          </cell>
          <cell r="Q1371">
            <v>114300000</v>
          </cell>
        </row>
        <row r="1372">
          <cell r="B1372" t="str">
            <v>Infrastruktur Berkelanjutan</v>
          </cell>
          <cell r="D1372" t="str">
            <v>PROGRAM PENINGKATAN PRASARANA, SARANA DAN UTILITAS UMUM (PSU)</v>
          </cell>
          <cell r="K1372" t="str">
            <v>Dinas Pekerjaan Umum, Penataan Ruang, Perumahan dan Kawasan Permukiman</v>
          </cell>
          <cell r="O1372" t="str">
            <v>Sekotong</v>
          </cell>
          <cell r="Q1372">
            <v>114300000</v>
          </cell>
        </row>
        <row r="1373">
          <cell r="B1373" t="str">
            <v>Infrastruktur Berkelanjutan</v>
          </cell>
          <cell r="D1373" t="str">
            <v>PROGRAM PENINGKATAN PRASARANA, SARANA DAN UTILITAS UMUM (PSU)</v>
          </cell>
          <cell r="K1373" t="str">
            <v>Dinas Pekerjaan Umum, Penataan Ruang, Perumahan dan Kawasan Permukiman</v>
          </cell>
          <cell r="O1373" t="str">
            <v>Sekotong</v>
          </cell>
          <cell r="Q1373">
            <v>114300000</v>
          </cell>
        </row>
        <row r="1374">
          <cell r="B1374" t="str">
            <v>Infrastruktur Berkelanjutan</v>
          </cell>
          <cell r="D1374" t="str">
            <v>PROGRAM PENINGKATAN PRASARANA, SARANA DAN UTILITAS UMUM (PSU)</v>
          </cell>
          <cell r="K1374" t="str">
            <v>Dinas Pekerjaan Umum, Penataan Ruang, Perumahan dan Kawasan Permukiman</v>
          </cell>
          <cell r="O1374" t="str">
            <v>Sekotong</v>
          </cell>
          <cell r="Q1374">
            <v>114300000</v>
          </cell>
        </row>
        <row r="1375">
          <cell r="B1375" t="str">
            <v>Infrastruktur Berkelanjutan</v>
          </cell>
          <cell r="D1375" t="str">
            <v>PROGRAM PENINGKATAN PRASARANA, SARANA DAN UTILITAS UMUM (PSU)</v>
          </cell>
          <cell r="K1375" t="str">
            <v>Dinas Pekerjaan Umum, Penataan Ruang, Perumahan dan Kawasan Permukiman</v>
          </cell>
          <cell r="O1375" t="str">
            <v>Sekotong</v>
          </cell>
          <cell r="Q1375">
            <v>190500000</v>
          </cell>
        </row>
        <row r="1376">
          <cell r="B1376" t="str">
            <v>Infrastruktur Berkelanjutan</v>
          </cell>
          <cell r="D1376" t="str">
            <v>Program Penyelenggaraan Lalu Lintas dan Angkutan Jalan (LLAJ)</v>
          </cell>
          <cell r="K1376" t="str">
            <v>Dinas Perhubungan</v>
          </cell>
          <cell r="O1376" t="str">
            <v>Sekotong</v>
          </cell>
          <cell r="Q1376">
            <v>103950000</v>
          </cell>
        </row>
        <row r="1377">
          <cell r="B1377" t="str">
            <v>Infrastruktur Berkelanjutan</v>
          </cell>
          <cell r="D1377" t="str">
            <v>PROGRAM PENINGKATAN PRASARANA, SARANA DAN UTILITAS UMUM (PSU)</v>
          </cell>
          <cell r="K1377" t="str">
            <v>Dinas Pekerjaan Umum, Penataan Ruang, Perumahan dan Kawasan Permukiman</v>
          </cell>
          <cell r="O1377" t="str">
            <v>Sekotong</v>
          </cell>
          <cell r="Q1377">
            <v>114300000</v>
          </cell>
        </row>
        <row r="1378">
          <cell r="B1378" t="str">
            <v>Infrastruktur Berkelanjutan</v>
          </cell>
          <cell r="D1378" t="str">
            <v>PROGRAM PENINGKATAN PRASARANA, SARANA DAN UTILITAS UMUM (PSU)</v>
          </cell>
          <cell r="K1378" t="str">
            <v>Dinas Pekerjaan Umum, Penataan Ruang, Perumahan dan Kawasan Permukiman</v>
          </cell>
          <cell r="O1378" t="str">
            <v>Sekotong</v>
          </cell>
          <cell r="Q1378">
            <v>114300000</v>
          </cell>
        </row>
        <row r="1379">
          <cell r="B1379" t="str">
            <v>Infrastruktur Berkelanjutan</v>
          </cell>
          <cell r="D1379" t="str">
            <v>PROGRAM PENINGKATAN PRASARANA, SARANA DAN UTILITAS UMUM (PSU)</v>
          </cell>
          <cell r="K1379" t="str">
            <v>Dinas Pekerjaan Umum, Penataan Ruang, Perumahan dan Kawasan Permukiman</v>
          </cell>
          <cell r="O1379" t="str">
            <v>Sekotong</v>
          </cell>
          <cell r="Q1379">
            <v>114300000</v>
          </cell>
        </row>
        <row r="1380">
          <cell r="B1380" t="str">
            <v>Infrastruktur Berkelanjutan</v>
          </cell>
          <cell r="D1380" t="str">
            <v>PROGRAM PENYELENGGARAAN JALAN</v>
          </cell>
          <cell r="K1380" t="str">
            <v>Dinas Pekerjaan Umum, Penataan Ruang, Perumahan dan Kawasan Permukiman</v>
          </cell>
          <cell r="O1380" t="str">
            <v>Sekotong</v>
          </cell>
          <cell r="Q1380">
            <v>114300000</v>
          </cell>
        </row>
        <row r="1381">
          <cell r="B1381" t="str">
            <v>Infrastruktur Berkelanjutan</v>
          </cell>
          <cell r="D1381" t="str">
            <v>PROGRAM PENGELOLAAN SUMBER DAYA AIR (SDA)</v>
          </cell>
          <cell r="K1381" t="str">
            <v>Dinas Pekerjaan Umum, Penataan Ruang, Perumahan dan Kawasan Permukiman</v>
          </cell>
          <cell r="O1381" t="str">
            <v>Sekotong</v>
          </cell>
          <cell r="Q1381">
            <v>114300000</v>
          </cell>
        </row>
        <row r="1382">
          <cell r="B1382" t="str">
            <v>Infrastruktur Berkelanjutan</v>
          </cell>
          <cell r="D1382" t="str">
            <v>PROGRAM PENGELOLAAN SUMBER DAYA AIR (SDA)</v>
          </cell>
          <cell r="K1382" t="str">
            <v>Dinas Pekerjaan Umum, Penataan Ruang, Perumahan dan Kawasan Permukiman</v>
          </cell>
          <cell r="O1382" t="str">
            <v>Sekotong</v>
          </cell>
          <cell r="Q1382">
            <v>114300000</v>
          </cell>
        </row>
        <row r="1383">
          <cell r="B1383" t="str">
            <v>Infrastruktur Berkelanjutan</v>
          </cell>
          <cell r="D1383" t="str">
            <v>Program Penyelenggaraan Lalu Lintas dan Angkutan Jalan (LLAJ)</v>
          </cell>
          <cell r="K1383" t="str">
            <v>Dinas Perhubungan</v>
          </cell>
          <cell r="O1383" t="str">
            <v>Sekotong</v>
          </cell>
          <cell r="Q1383">
            <v>103950000</v>
          </cell>
        </row>
        <row r="1384">
          <cell r="B1384" t="str">
            <v>Infrastruktur Berkelanjutan</v>
          </cell>
          <cell r="D1384" t="str">
            <v>PROGRAM PENYELENGGARAAN JALAN</v>
          </cell>
          <cell r="K1384" t="str">
            <v>Dinas Pekerjaan Umum, Penataan Ruang, Perumahan dan Kawasan Permukiman</v>
          </cell>
          <cell r="O1384" t="str">
            <v>Sekotong</v>
          </cell>
          <cell r="Q1384">
            <v>114300000</v>
          </cell>
        </row>
        <row r="1385">
          <cell r="B1385" t="str">
            <v>Infrastruktur Berkelanjutan</v>
          </cell>
          <cell r="D1385" t="str">
            <v>PROGRAM PENYELENGGARAAN JALAN</v>
          </cell>
          <cell r="K1385" t="str">
            <v>Dinas Pekerjaan Umum, Penataan Ruang, Perumahan dan Kawasan Permukiman</v>
          </cell>
          <cell r="O1385" t="str">
            <v>Sekotong</v>
          </cell>
          <cell r="Q1385">
            <v>114300000</v>
          </cell>
        </row>
        <row r="1386">
          <cell r="B1386" t="str">
            <v>Infrastruktur Berkelanjutan</v>
          </cell>
          <cell r="D1386" t="str">
            <v>PROGRAM PENGELOLAAN SUMBER DAYA AIR (SDA)</v>
          </cell>
          <cell r="K1386" t="str">
            <v>Dinas Pekerjaan Umum, Penataan Ruang, Perumahan dan Kawasan Permukiman</v>
          </cell>
          <cell r="O1386" t="str">
            <v>Sekotong</v>
          </cell>
          <cell r="Q1386">
            <v>114300000</v>
          </cell>
        </row>
        <row r="1387">
          <cell r="B1387" t="str">
            <v>Infrastruktur Berkelanjutan</v>
          </cell>
          <cell r="D1387" t="str">
            <v>PROGRAM PENGELOLAAN SUMBER DAYA AIR (SDA)</v>
          </cell>
          <cell r="K1387" t="str">
            <v>Dinas Pekerjaan Umum, Penataan Ruang, Perumahan dan Kawasan Permukiman</v>
          </cell>
          <cell r="O1387" t="str">
            <v>Sekotong</v>
          </cell>
          <cell r="Q1387">
            <v>111280000</v>
          </cell>
        </row>
        <row r="1388">
          <cell r="B1388" t="str">
            <v>Infrastruktur Berkelanjutan</v>
          </cell>
          <cell r="D1388" t="str">
            <v>PROGRAM PENINGKATAN PRASARANA, SARANA DAN UTILITAS UMUM (PSU)</v>
          </cell>
          <cell r="K1388" t="str">
            <v>Dinas Pekerjaan Umum, Penataan Ruang, Perumahan dan Kawasan Permukiman</v>
          </cell>
          <cell r="O1388" t="str">
            <v>Sekotong</v>
          </cell>
          <cell r="Q1388">
            <v>114300000</v>
          </cell>
        </row>
        <row r="1389">
          <cell r="B1389" t="str">
            <v>Infrastruktur Berkelanjutan</v>
          </cell>
          <cell r="D1389" t="str">
            <v>PROGRAM PENYELENGGARAAN JALAN</v>
          </cell>
          <cell r="K1389" t="str">
            <v>Dinas Pekerjaan Umum, Penataan Ruang, Perumahan dan Kawasan Permukiman</v>
          </cell>
          <cell r="O1389" t="str">
            <v>Sekotong</v>
          </cell>
          <cell r="Q1389">
            <v>114300000</v>
          </cell>
        </row>
        <row r="1390">
          <cell r="B1390" t="str">
            <v>Infrastruktur Berkelanjutan</v>
          </cell>
          <cell r="D1390" t="str">
            <v>PROGRAM PENGELOLAAN SUMBER DAYA AIR (SDA)</v>
          </cell>
          <cell r="K1390" t="str">
            <v>Dinas Pekerjaan Umum, Penataan Ruang, Perumahan dan Kawasan Permukiman</v>
          </cell>
          <cell r="O1390" t="str">
            <v>Sekotong</v>
          </cell>
          <cell r="Q1390">
            <v>114300000</v>
          </cell>
        </row>
        <row r="1391">
          <cell r="B1391" t="str">
            <v>Infrastruktur Berkelanjutan</v>
          </cell>
          <cell r="D1391" t="str">
            <v>PROGRAM PENGELOLAAN SUMBER DAYA AIR (SDA)</v>
          </cell>
          <cell r="K1391" t="str">
            <v>Dinas Pekerjaan Umum, Penataan Ruang, Perumahan dan Kawasan Permukiman</v>
          </cell>
          <cell r="O1391" t="str">
            <v>Sekotong</v>
          </cell>
          <cell r="Q1391">
            <v>111280000</v>
          </cell>
        </row>
        <row r="1392">
          <cell r="B1392" t="str">
            <v>Infrastruktur Berkelanjutan</v>
          </cell>
          <cell r="D1392" t="str">
            <v>PROGRAM PENYELENGGARAAN JALAN</v>
          </cell>
          <cell r="K1392" t="str">
            <v>Dinas Pekerjaan Umum, Penataan Ruang, Perumahan dan Kawasan Permukiman</v>
          </cell>
          <cell r="O1392" t="str">
            <v>Sekotong</v>
          </cell>
          <cell r="Q1392">
            <v>114300000</v>
          </cell>
        </row>
        <row r="1393">
          <cell r="B1393" t="str">
            <v>Infrastruktur Berkelanjutan</v>
          </cell>
          <cell r="D1393" t="str">
            <v>PROGRAM PENYELENGGARAAN JALAN</v>
          </cell>
          <cell r="K1393" t="str">
            <v>Dinas Pekerjaan Umum, Penataan Ruang, Perumahan dan Kawasan Permukiman</v>
          </cell>
          <cell r="O1393" t="str">
            <v>Sekotong</v>
          </cell>
          <cell r="Q1393">
            <v>100000000</v>
          </cell>
        </row>
        <row r="1394">
          <cell r="B1394" t="str">
            <v>Infrastruktur Berkelanjutan</v>
          </cell>
          <cell r="D1394" t="str">
            <v>PROGRAM PENINGKATAN PRASARANA, SARANA DAN UTILITAS UMUM (PSU)</v>
          </cell>
          <cell r="K1394" t="str">
            <v>Dinas Pekerjaan Umum, Penataan Ruang, Perumahan dan Kawasan Permukiman</v>
          </cell>
          <cell r="O1394" t="str">
            <v>Sekotong</v>
          </cell>
          <cell r="Q1394">
            <v>114300000</v>
          </cell>
        </row>
        <row r="1395">
          <cell r="B1395" t="str">
            <v>Infrastruktur Berkelanjutan</v>
          </cell>
          <cell r="D1395" t="str">
            <v>PROGRAM PENGELOLAAN DAN PENGEMBANGAN SISTEM DRAINASE</v>
          </cell>
          <cell r="K1395" t="str">
            <v>Dinas Pekerjaan Umum, Penataan Ruang, Perumahan dan Kawasan Permukiman</v>
          </cell>
          <cell r="O1395" t="str">
            <v>Sekotong</v>
          </cell>
          <cell r="Q1395">
            <v>111280000</v>
          </cell>
        </row>
        <row r="1396">
          <cell r="B1396" t="str">
            <v>Infrastruktur Berkelanjutan</v>
          </cell>
          <cell r="D1396" t="str">
            <v>PROGRAM PENGELOLAAN DAN PENGEMBANGAN SISTEM DRAINASE</v>
          </cell>
          <cell r="K1396" t="str">
            <v>Dinas Pekerjaan Umum, Penataan Ruang, Perumahan dan Kawasan Permukiman</v>
          </cell>
          <cell r="O1396" t="str">
            <v>Sekotong</v>
          </cell>
          <cell r="Q1396">
            <v>111280000</v>
          </cell>
        </row>
        <row r="1397">
          <cell r="B1397" t="str">
            <v>Infrastruktur Berkelanjutan</v>
          </cell>
          <cell r="D1397" t="str">
            <v>PROGRAM PENYELENGGARAAN JALAN</v>
          </cell>
          <cell r="K1397" t="str">
            <v>Dinas Pekerjaan Umum, Penataan Ruang, Perumahan dan Kawasan Permukiman</v>
          </cell>
          <cell r="O1397" t="str">
            <v>Sekotong</v>
          </cell>
          <cell r="Q1397">
            <v>114300000</v>
          </cell>
        </row>
        <row r="1398">
          <cell r="B1398" t="str">
            <v>Infrastruktur Berkelanjutan</v>
          </cell>
          <cell r="D1398" t="str">
            <v>PROGRAM PENGELOLAAN DAN PENGEMBANGAN SISTEM DRAINASE</v>
          </cell>
          <cell r="K1398" t="str">
            <v>Dinas Pekerjaan Umum, Penataan Ruang, Perumahan dan Kawasan Permukiman</v>
          </cell>
          <cell r="O1398" t="str">
            <v>Sekotong</v>
          </cell>
          <cell r="Q1398">
            <v>111280000</v>
          </cell>
        </row>
        <row r="1399">
          <cell r="B1399" t="str">
            <v>Infrastruktur Berkelanjutan</v>
          </cell>
          <cell r="D1399" t="str">
            <v>PROGRAM KAWASAN PERMUKIMAN</v>
          </cell>
          <cell r="K1399" t="str">
            <v>Dinas Pekerjaan Umum, Penataan Ruang, Perumahan dan Kawasan Permukiman</v>
          </cell>
          <cell r="O1399" t="str">
            <v>Sekotong</v>
          </cell>
          <cell r="Q1399">
            <v>105000000</v>
          </cell>
        </row>
        <row r="1400">
          <cell r="B1400" t="str">
            <v>Infrastruktur Berkelanjutan</v>
          </cell>
          <cell r="D1400" t="str">
            <v>PROGRAM PENINGKATAN PRASARANA, SARANA DAN UTILITAS UMUM (PSU)</v>
          </cell>
          <cell r="K1400" t="str">
            <v>Dinas Pekerjaan Umum, Penataan Ruang, Perumahan dan Kawasan Permukiman</v>
          </cell>
          <cell r="O1400" t="str">
            <v>Sekotong</v>
          </cell>
          <cell r="Q1400">
            <v>114300000</v>
          </cell>
        </row>
        <row r="1401">
          <cell r="B1401" t="str">
            <v>Infrastruktur Berkelanjutan</v>
          </cell>
          <cell r="D1401" t="str">
            <v>PROGRAM PENINGKATAN PRASARANA, SARANA DAN UTILITAS UMUM (PSU)</v>
          </cell>
          <cell r="K1401" t="str">
            <v>Dinas Pekerjaan Umum, Penataan Ruang, Perumahan dan Kawasan Permukiman</v>
          </cell>
          <cell r="O1401" t="str">
            <v>Sekotong</v>
          </cell>
          <cell r="Q1401">
            <v>114300000</v>
          </cell>
        </row>
        <row r="1402">
          <cell r="B1402" t="str">
            <v>Infrastruktur Berkelanjutan</v>
          </cell>
          <cell r="D1402" t="str">
            <v>PROGRAM KAWASAN PERMUKIMAN</v>
          </cell>
          <cell r="K1402" t="str">
            <v>Dinas Pekerjaan Umum, Penataan Ruang, Perumahan dan Kawasan Permukiman</v>
          </cell>
          <cell r="O1402" t="str">
            <v>Sekotong</v>
          </cell>
          <cell r="Q1402">
            <v>105000000</v>
          </cell>
        </row>
        <row r="1403">
          <cell r="B1403" t="str">
            <v>Infrastruktur Berkelanjutan</v>
          </cell>
          <cell r="D1403" t="str">
            <v>PROGRAM PENGELOLAAN DAN PENGEMBANGAN SISTEM DRAINASE</v>
          </cell>
          <cell r="K1403" t="str">
            <v>Dinas Pekerjaan Umum, Penataan Ruang, Perumahan dan Kawasan Permukiman</v>
          </cell>
          <cell r="O1403" t="str">
            <v>Sekotong</v>
          </cell>
          <cell r="Q1403">
            <v>111280000</v>
          </cell>
        </row>
        <row r="1404">
          <cell r="B1404" t="str">
            <v>Infrastruktur Berkelanjutan</v>
          </cell>
          <cell r="D1404" t="str">
            <v>PROGRAM PENGELOLAAN DAN PENGEMBANGAN SISTEM DRAINASE</v>
          </cell>
          <cell r="K1404" t="str">
            <v>Dinas Pekerjaan Umum, Penataan Ruang, Perumahan dan Kawasan Permukiman</v>
          </cell>
          <cell r="O1404" t="str">
            <v>Sekotong</v>
          </cell>
          <cell r="Q1404">
            <v>111280000</v>
          </cell>
        </row>
        <row r="1405">
          <cell r="B1405" t="str">
            <v>Infrastruktur Berkelanjutan</v>
          </cell>
          <cell r="D1405" t="str">
            <v>PROGRAM PENYELENGGARAAN JALAN</v>
          </cell>
          <cell r="K1405" t="str">
            <v>Dinas Pekerjaan Umum, Penataan Ruang, Perumahan dan Kawasan Permukiman</v>
          </cell>
          <cell r="O1405" t="str">
            <v>Sekotong</v>
          </cell>
          <cell r="Q1405">
            <v>114300000</v>
          </cell>
        </row>
        <row r="1406">
          <cell r="B1406" t="str">
            <v>Transformasi dan Kemandirian Ekonomi</v>
          </cell>
          <cell r="D1406" t="str">
            <v>PROGRAM PENINGKATAN DAYA TARIK DESTINASI PARIWISATA</v>
          </cell>
          <cell r="K1406" t="str">
            <v>Dinas Pariwisata, Ekonomi Kreatif, Pemuda, dan Olahraga</v>
          </cell>
          <cell r="O1406" t="str">
            <v>Sekotong</v>
          </cell>
          <cell r="Q1406">
            <v>200000000</v>
          </cell>
        </row>
        <row r="1407">
          <cell r="B1407" t="str">
            <v>Transformasi dan Kemandirian Ekonomi</v>
          </cell>
          <cell r="D1407" t="str">
            <v>PROGRAM PENINGKATAN DAYA TARIK DESTINASI PARIWISATA</v>
          </cell>
          <cell r="K1407" t="str">
            <v>Dinas Pariwisata, Ekonomi Kreatif, Pemuda, dan Olahraga</v>
          </cell>
          <cell r="O1407" t="str">
            <v>Sekotong</v>
          </cell>
          <cell r="Q1407">
            <v>100000000</v>
          </cell>
        </row>
        <row r="1408">
          <cell r="B1408" t="str">
            <v>Transformasi dan Kemandirian Ekonomi</v>
          </cell>
          <cell r="D1408" t="str">
            <v>PROGRAM PENINGKATAN DAYA TARIK DESTINASI PARIWISATA</v>
          </cell>
          <cell r="K1408" t="str">
            <v>Dinas Pariwisata, Ekonomi Kreatif, Pemuda, dan Olahraga</v>
          </cell>
          <cell r="O1408" t="str">
            <v>Sekotong</v>
          </cell>
          <cell r="Q1408">
            <v>100000000</v>
          </cell>
        </row>
        <row r="1409">
          <cell r="B1409" t="str">
            <v>Transformasi dan Kemandirian Ekonomi</v>
          </cell>
          <cell r="D1409" t="str">
            <v>PROGRAM PENINGKATAN DAYA TARIK DESTINASI PARIWISATA</v>
          </cell>
          <cell r="K1409" t="str">
            <v>Dinas Pariwisata, Ekonomi Kreatif, Pemuda, dan Olahraga</v>
          </cell>
          <cell r="O1409" t="str">
            <v>Sekotong</v>
          </cell>
          <cell r="Q1409">
            <v>200000000</v>
          </cell>
        </row>
        <row r="1410">
          <cell r="B1410" t="str">
            <v>Transformasi dan Kemandirian Ekonomi</v>
          </cell>
          <cell r="D1410" t="str">
            <v>PROGRAM PENINGKATAN DAYA TARIK DESTINASI PARIWISATA</v>
          </cell>
          <cell r="K1410" t="str">
            <v>Dinas Pariwisata, Ekonomi Kreatif, Pemuda, dan Olahraga</v>
          </cell>
          <cell r="O1410" t="str">
            <v>Sekotong</v>
          </cell>
          <cell r="Q1410">
            <v>200000000</v>
          </cell>
        </row>
        <row r="1411">
          <cell r="B1411" t="str">
            <v>Infrastruktur Berkelanjutan</v>
          </cell>
          <cell r="D1411" t="str">
            <v>PROGRAM PENINGKATAN PRASARANA, SARANA DAN UTILITAS UMUM (PSU)</v>
          </cell>
          <cell r="K1411" t="str">
            <v>Dinas Pekerjaan Umum, Penataan Ruang, Perumahan dan Kawasan Permukiman</v>
          </cell>
          <cell r="O1411" t="str">
            <v>Sekotong</v>
          </cell>
          <cell r="Q1411">
            <v>114300000</v>
          </cell>
        </row>
        <row r="1412">
          <cell r="B1412" t="str">
            <v>Infrastruktur Berkelanjutan</v>
          </cell>
          <cell r="D1412" t="str">
            <v>PROGRAM KAWASAN PERMUKIMAN</v>
          </cell>
          <cell r="K1412" t="str">
            <v>Dinas Pekerjaan Umum, Penataan Ruang, Perumahan dan Kawasan Permukiman</v>
          </cell>
          <cell r="O1412" t="str">
            <v>Sekotong</v>
          </cell>
          <cell r="Q1412">
            <v>105000000</v>
          </cell>
        </row>
        <row r="1413">
          <cell r="B1413" t="str">
            <v>Infrastruktur Berkelanjutan</v>
          </cell>
          <cell r="D1413" t="str">
            <v>PROGRAM KAWASAN PERMUKIMAN</v>
          </cell>
          <cell r="K1413" t="str">
            <v>Dinas Pekerjaan Umum, Penataan Ruang, Perumahan dan Kawasan Permukiman</v>
          </cell>
          <cell r="O1413" t="str">
            <v>Sekotong</v>
          </cell>
          <cell r="Q1413">
            <v>105000000</v>
          </cell>
        </row>
        <row r="1414">
          <cell r="B1414" t="str">
            <v>Infrastruktur Berkelanjutan</v>
          </cell>
          <cell r="D1414" t="str">
            <v>PROGRAM PENYELENGGARAAN JALAN</v>
          </cell>
          <cell r="K1414" t="str">
            <v>Dinas Pekerjaan Umum, Penataan Ruang, Perumahan dan Kawasan Permukiman</v>
          </cell>
          <cell r="O1414" t="str">
            <v>Sekotong</v>
          </cell>
          <cell r="Q1414">
            <v>114300000</v>
          </cell>
        </row>
        <row r="1415">
          <cell r="B1415" t="str">
            <v>Infrastruktur Berkelanjutan</v>
          </cell>
          <cell r="D1415" t="str">
            <v>PROGRAM KAWASAN PERMUKIMAN</v>
          </cell>
          <cell r="K1415" t="str">
            <v>Dinas Pekerjaan Umum, Penataan Ruang, Perumahan dan Kawasan Permukiman</v>
          </cell>
          <cell r="O1415" t="str">
            <v>Sekotong</v>
          </cell>
          <cell r="Q1415">
            <v>105000000</v>
          </cell>
        </row>
        <row r="1416">
          <cell r="B1416" t="str">
            <v>Infrastruktur Berkelanjutan</v>
          </cell>
          <cell r="D1416" t="str">
            <v>PROGRAM PENYELENGGARAAN JALAN</v>
          </cell>
          <cell r="K1416" t="str">
            <v>Dinas Pekerjaan Umum, Penataan Ruang, Perumahan dan Kawasan Permukiman</v>
          </cell>
          <cell r="O1416" t="str">
            <v>Sekotong</v>
          </cell>
          <cell r="Q1416">
            <v>114300000</v>
          </cell>
        </row>
        <row r="1417">
          <cell r="B1417" t="str">
            <v>Infrastruktur Berkelanjutan</v>
          </cell>
          <cell r="D1417" t="str">
            <v>PROGRAM PENYELENGGARAAN JALAN</v>
          </cell>
          <cell r="K1417" t="str">
            <v>Dinas Pekerjaan Umum, Penataan Ruang, Perumahan dan Kawasan Permukiman</v>
          </cell>
          <cell r="O1417" t="str">
            <v>Sekotong</v>
          </cell>
          <cell r="Q1417">
            <v>114300000</v>
          </cell>
        </row>
        <row r="1418">
          <cell r="B1418" t="str">
            <v>Infrastruktur Berkelanjutan</v>
          </cell>
          <cell r="D1418" t="str">
            <v>PROGRAM PENYELENGGARAAN JALAN</v>
          </cell>
          <cell r="K1418" t="str">
            <v>Dinas Pekerjaan Umum, Penataan Ruang, Perumahan dan Kawasan Permukiman</v>
          </cell>
          <cell r="O1418" t="str">
            <v>Sekotong</v>
          </cell>
          <cell r="Q1418">
            <v>114300000</v>
          </cell>
        </row>
        <row r="1419">
          <cell r="B1419" t="str">
            <v>Infrastruktur Berkelanjutan</v>
          </cell>
          <cell r="D1419" t="str">
            <v>PROGRAM KAWASAN PERMUKIMAN</v>
          </cell>
          <cell r="K1419" t="str">
            <v>Dinas Pekerjaan Umum, Penataan Ruang, Perumahan dan Kawasan Permukiman</v>
          </cell>
          <cell r="O1419" t="str">
            <v>Sekotong</v>
          </cell>
          <cell r="Q1419">
            <v>105000000</v>
          </cell>
        </row>
        <row r="1420">
          <cell r="B1420" t="str">
            <v>Infrastruktur Berkelanjutan</v>
          </cell>
          <cell r="D1420" t="str">
            <v>PROGRAM PENINGKATAN PRASARANA, SARANA DAN UTILITAS UMUM (PSU)</v>
          </cell>
          <cell r="K1420" t="str">
            <v>Dinas Pekerjaan Umum, Penataan Ruang, Perumahan dan Kawasan Permukiman</v>
          </cell>
          <cell r="O1420" t="str">
            <v>Sekotong</v>
          </cell>
          <cell r="Q1420">
            <v>100584000</v>
          </cell>
        </row>
        <row r="1421">
          <cell r="B1421" t="str">
            <v>Infrastruktur Berkelanjutan</v>
          </cell>
          <cell r="D1421" t="str">
            <v>PROGRAM PENINGKATAN PRASARANA, SARANA DAN UTILITAS UMUM (PSU)</v>
          </cell>
          <cell r="K1421" t="str">
            <v>Dinas Pekerjaan Umum, Penataan Ruang, Perumahan dan Kawasan Permukiman</v>
          </cell>
          <cell r="O1421" t="str">
            <v>Sekotong</v>
          </cell>
          <cell r="Q1421">
            <v>100584000</v>
          </cell>
        </row>
        <row r="1422">
          <cell r="B1422" t="str">
            <v>Infrastruktur Berkelanjutan</v>
          </cell>
          <cell r="D1422" t="str">
            <v>PROGRAM PENINGKATAN PRASARANA, SARANA DAN UTILITAS UMUM (PSU)</v>
          </cell>
          <cell r="K1422" t="str">
            <v>Dinas Pekerjaan Umum, Penataan Ruang, Perumahan dan Kawasan Permukiman</v>
          </cell>
          <cell r="O1422" t="str">
            <v>Sekotong</v>
          </cell>
          <cell r="Q1422">
            <v>100584000</v>
          </cell>
        </row>
        <row r="1423">
          <cell r="B1423" t="str">
            <v>Infrastruktur Berkelanjutan</v>
          </cell>
          <cell r="D1423" t="str">
            <v>PROGRAM PENINGKATAN PRASARANA, SARANA DAN UTILITAS UMUM (PSU)</v>
          </cell>
          <cell r="K1423" t="str">
            <v>Dinas Pekerjaan Umum, Penataan Ruang, Perumahan dan Kawasan Permukiman</v>
          </cell>
          <cell r="O1423" t="str">
            <v>Sekotong</v>
          </cell>
          <cell r="Q1423">
            <v>100584000</v>
          </cell>
        </row>
        <row r="1424">
          <cell r="B1424" t="str">
            <v>Infrastruktur Berkelanjutan</v>
          </cell>
          <cell r="D1424" t="str">
            <v>PROGRAM PENINGKATAN PRASARANA, SARANA DAN UTILITAS UMUM (PSU)</v>
          </cell>
          <cell r="K1424" t="str">
            <v>Dinas Pekerjaan Umum, Penataan Ruang, Perumahan dan Kawasan Permukiman</v>
          </cell>
          <cell r="O1424" t="str">
            <v>Sekotong</v>
          </cell>
          <cell r="Q1424">
            <v>100584000</v>
          </cell>
        </row>
        <row r="1425">
          <cell r="B1425" t="str">
            <v>Infrastruktur Berkelanjutan</v>
          </cell>
          <cell r="D1425" t="str">
            <v>PROGRAM PENGELOLAAN DAN PENGEMBANGAN SISTEM DRAINASE</v>
          </cell>
          <cell r="K1425" t="str">
            <v>Dinas Pekerjaan Umum, Penataan Ruang, Perumahan dan Kawasan Permukiman</v>
          </cell>
          <cell r="O1425" t="str">
            <v>Sekotong</v>
          </cell>
          <cell r="Q1425">
            <v>111280000</v>
          </cell>
        </row>
        <row r="1426">
          <cell r="B1426" t="str">
            <v>Infrastruktur Berkelanjutan</v>
          </cell>
          <cell r="D1426" t="str">
            <v>PROGRAM PENINGKATAN PRASARANA, SARANA DAN UTILITAS UMUM (PSU)</v>
          </cell>
          <cell r="K1426" t="str">
            <v>Dinas Pekerjaan Umum, Penataan Ruang, Perumahan dan Kawasan Permukiman</v>
          </cell>
          <cell r="O1426" t="str">
            <v>Sekotong</v>
          </cell>
          <cell r="Q1426">
            <v>100584000</v>
          </cell>
        </row>
        <row r="1427">
          <cell r="B1427" t="str">
            <v>Infrastruktur Berkelanjutan</v>
          </cell>
          <cell r="D1427" t="str">
            <v>PROGRAM PENINGKATAN PRASARANA, SARANA DAN UTILITAS UMUM (PSU)</v>
          </cell>
          <cell r="K1427" t="str">
            <v>Dinas Pekerjaan Umum, Penataan Ruang, Perumahan dan Kawasan Permukiman</v>
          </cell>
          <cell r="O1427" t="str">
            <v>Sekotong</v>
          </cell>
          <cell r="Q1427">
            <v>100584000</v>
          </cell>
        </row>
        <row r="1428">
          <cell r="B1428" t="str">
            <v>Infrastruktur Berkelanjutan</v>
          </cell>
          <cell r="D1428" t="str">
            <v>PROGRAM PENINGKATAN PRASARANA, SARANA DAN UTILITAS UMUM (PSU)</v>
          </cell>
          <cell r="K1428" t="str">
            <v>Dinas Pekerjaan Umum, Penataan Ruang, Perumahan dan Kawasan Permukiman</v>
          </cell>
          <cell r="O1428" t="str">
            <v>Sekotong</v>
          </cell>
          <cell r="Q1428">
            <v>100584000</v>
          </cell>
        </row>
        <row r="1429">
          <cell r="B1429" t="str">
            <v>Infrastruktur Berkelanjutan</v>
          </cell>
          <cell r="D1429" t="str">
            <v>PROGRAM PENINGKATAN PRASARANA, SARANA DAN UTILITAS UMUM (PSU)</v>
          </cell>
          <cell r="K1429" t="str">
            <v>Dinas Pekerjaan Umum, Penataan Ruang, Perumahan dan Kawasan Permukiman</v>
          </cell>
          <cell r="O1429" t="str">
            <v>Sekotong</v>
          </cell>
          <cell r="Q1429">
            <v>100584000</v>
          </cell>
        </row>
        <row r="1430">
          <cell r="B1430" t="str">
            <v>Infrastruktur Berkelanjutan</v>
          </cell>
          <cell r="D1430" t="str">
            <v>PROGRAM PENINGKATAN PRASARANA, SARANA DAN UTILITAS UMUM (PSU)</v>
          </cell>
          <cell r="K1430" t="str">
            <v>Dinas Pekerjaan Umum, Penataan Ruang, Perumahan dan Kawasan Permukiman</v>
          </cell>
          <cell r="O1430" t="str">
            <v>Sekotong</v>
          </cell>
          <cell r="Q1430">
            <v>100584000</v>
          </cell>
        </row>
        <row r="1431">
          <cell r="B1431" t="str">
            <v>Infrastruktur Berkelanjutan</v>
          </cell>
          <cell r="D1431" t="str">
            <v>PROGRAM PENINGKATAN PRASARANA, SARANA DAN UTILITAS UMUM (PSU)</v>
          </cell>
          <cell r="K1431" t="str">
            <v>Dinas Pekerjaan Umum, Penataan Ruang, Perumahan dan Kawasan Permukiman</v>
          </cell>
          <cell r="O1431" t="str">
            <v>Sekotong</v>
          </cell>
          <cell r="Q1431">
            <v>100584000</v>
          </cell>
        </row>
        <row r="1432">
          <cell r="B1432" t="str">
            <v>Infrastruktur Berkelanjutan</v>
          </cell>
          <cell r="D1432" t="str">
            <v>PROGRAM PENGELOLAAN DAN PENGEMBANGAN SISTEM DRAINASE</v>
          </cell>
          <cell r="K1432" t="str">
            <v>Dinas Pekerjaan Umum, Penataan Ruang, Perumahan dan Kawasan Permukiman</v>
          </cell>
          <cell r="O1432" t="str">
            <v>Sekotong</v>
          </cell>
          <cell r="Q1432">
            <v>111280000</v>
          </cell>
        </row>
        <row r="1433">
          <cell r="B1433" t="str">
            <v>Infrastruktur Berkelanjutan</v>
          </cell>
          <cell r="D1433" t="str">
            <v>PROGRAM PENINGKATAN PRASARANA, SARANA DAN UTILITAS UMUM (PSU)</v>
          </cell>
          <cell r="K1433" t="str">
            <v>Dinas Pekerjaan Umum, Penataan Ruang, Perumahan dan Kawasan Permukiman</v>
          </cell>
          <cell r="O1433" t="str">
            <v>Sekotong</v>
          </cell>
          <cell r="Q1433">
            <v>100584000</v>
          </cell>
        </row>
        <row r="1434">
          <cell r="B1434" t="str">
            <v>Infrastruktur Berkelanjutan</v>
          </cell>
          <cell r="D1434" t="str">
            <v>PROGRAM PENGELOLAAN DAN PENGEMBANGAN SISTEM DRAINASE</v>
          </cell>
          <cell r="K1434" t="str">
            <v>Dinas Pekerjaan Umum, Penataan Ruang, Perumahan dan Kawasan Permukiman</v>
          </cell>
          <cell r="O1434" t="str">
            <v>Sekotong</v>
          </cell>
          <cell r="Q1434">
            <v>111280000</v>
          </cell>
        </row>
        <row r="1435">
          <cell r="B1435" t="str">
            <v>Infrastruktur Berkelanjutan</v>
          </cell>
          <cell r="D1435" t="str">
            <v>PROGRAM PENINGKATAN PRASARANA, SARANA DAN UTILITAS UMUM (PSU)</v>
          </cell>
          <cell r="K1435" t="str">
            <v>Dinas Pekerjaan Umum, Penataan Ruang, Perumahan dan Kawasan Permukiman</v>
          </cell>
          <cell r="O1435" t="str">
            <v>Sekotong</v>
          </cell>
          <cell r="Q1435">
            <v>100584000</v>
          </cell>
        </row>
        <row r="1436">
          <cell r="B1436" t="str">
            <v>Infrastruktur Berkelanjutan</v>
          </cell>
          <cell r="D1436" t="str">
            <v>PROGRAM PENGELOLAAN DAN PENGEMBANGAN SISTEM DRAINASE</v>
          </cell>
          <cell r="K1436" t="str">
            <v>Dinas Pekerjaan Umum, Penataan Ruang, Perumahan dan Kawasan Permukiman</v>
          </cell>
          <cell r="O1436" t="str">
            <v>Sekotong</v>
          </cell>
          <cell r="Q1436">
            <v>111280000</v>
          </cell>
        </row>
        <row r="1437">
          <cell r="B1437" t="str">
            <v>Infrastruktur Berkelanjutan</v>
          </cell>
          <cell r="D1437" t="str">
            <v>PROGRAM PENGELOLAAN DAN PENGEMBANGAN SISTEM DRAINASE</v>
          </cell>
          <cell r="K1437" t="str">
            <v>Dinas Pekerjaan Umum, Penataan Ruang, Perumahan dan Kawasan Permukiman</v>
          </cell>
          <cell r="O1437" t="str">
            <v>Sekotong</v>
          </cell>
          <cell r="Q1437">
            <v>111280000</v>
          </cell>
        </row>
        <row r="1438">
          <cell r="B1438" t="str">
            <v>Infrastruktur Berkelanjutan</v>
          </cell>
          <cell r="D1438" t="str">
            <v>PROGRAM PENINGKATAN PRASARANA, SARANA DAN UTILITAS UMUM (PSU)</v>
          </cell>
          <cell r="K1438" t="str">
            <v>Dinas Pekerjaan Umum, Penataan Ruang, Perumahan dan Kawasan Permukiman</v>
          </cell>
          <cell r="O1438" t="str">
            <v>Sekotong</v>
          </cell>
          <cell r="Q1438">
            <v>100584000</v>
          </cell>
        </row>
        <row r="1439">
          <cell r="B1439" t="str">
            <v>Infrastruktur Berkelanjutan</v>
          </cell>
          <cell r="D1439" t="str">
            <v>PROGRAM PENINGKATAN PRASARANA, SARANA DAN UTILITAS UMUM (PSU)</v>
          </cell>
          <cell r="K1439" t="str">
            <v>Dinas Pekerjaan Umum, Penataan Ruang, Perumahan dan Kawasan Permukiman</v>
          </cell>
          <cell r="O1439" t="str">
            <v>Sekotong</v>
          </cell>
          <cell r="Q1439">
            <v>100584000</v>
          </cell>
        </row>
        <row r="1440">
          <cell r="B1440" t="str">
            <v>Infrastruktur Berkelanjutan</v>
          </cell>
          <cell r="D1440" t="str">
            <v>PROGRAM PENINGKATAN PRASARANA, SARANA DAN UTILITAS UMUM (PSU)</v>
          </cell>
          <cell r="K1440" t="str">
            <v>Dinas Pekerjaan Umum, Penataan Ruang, Perumahan dan Kawasan Permukiman</v>
          </cell>
          <cell r="O1440" t="str">
            <v>Sekotong</v>
          </cell>
          <cell r="Q1440">
            <v>102454000</v>
          </cell>
        </row>
        <row r="1441">
          <cell r="B1441" t="str">
            <v>Infrastruktur Berkelanjutan</v>
          </cell>
          <cell r="D1441" t="str">
            <v>PROGRAM PENGELOLAAN SUMBER DAYA AIR (SDA)</v>
          </cell>
          <cell r="K1441" t="str">
            <v>Dinas Pekerjaan Umum, Penataan Ruang, Perumahan dan Kawasan Permukiman</v>
          </cell>
          <cell r="O1441" t="str">
            <v>Sekotong</v>
          </cell>
          <cell r="Q1441">
            <v>102454000</v>
          </cell>
        </row>
        <row r="1442">
          <cell r="B1442" t="str">
            <v>Infrastruktur Berkelanjutan</v>
          </cell>
          <cell r="D1442" t="str">
            <v>PROGRAM PENINGKATAN PRASARANA, SARANA DAN UTILITAS UMUM (PSU)</v>
          </cell>
          <cell r="K1442" t="str">
            <v>Dinas Pekerjaan Umum, Penataan Ruang, Perumahan dan Kawasan Permukiman</v>
          </cell>
          <cell r="O1442" t="str">
            <v>Sekotong</v>
          </cell>
          <cell r="Q1442">
            <v>102454000</v>
          </cell>
        </row>
        <row r="1443">
          <cell r="B1443" t="str">
            <v>Infrastruktur Berkelanjutan</v>
          </cell>
          <cell r="D1443" t="str">
            <v>PROGRAM PENGELOLAAN SUMBER DAYA AIR (SDA)</v>
          </cell>
          <cell r="K1443" t="str">
            <v>Dinas Pekerjaan Umum, Penataan Ruang, Perumahan dan Kawasan Permukiman</v>
          </cell>
          <cell r="O1443" t="str">
            <v>Sekotong</v>
          </cell>
          <cell r="Q1443">
            <v>102454000</v>
          </cell>
        </row>
        <row r="1444">
          <cell r="B1444" t="str">
            <v>Infrastruktur Berkelanjutan</v>
          </cell>
          <cell r="D1444" t="str">
            <v>PROGRAM PENINGKATAN PRASARANA, SARANA DAN UTILITAS UMUM (PSU)</v>
          </cell>
          <cell r="K1444" t="str">
            <v>Dinas Pekerjaan Umum, Penataan Ruang, Perumahan dan Kawasan Permukiman</v>
          </cell>
          <cell r="O1444" t="str">
            <v>Sekotong</v>
          </cell>
          <cell r="Q1444">
            <v>100000000</v>
          </cell>
        </row>
        <row r="1445">
          <cell r="B1445" t="str">
            <v>Infrastruktur Berkelanjutan</v>
          </cell>
          <cell r="D1445" t="str">
            <v>PROGRAM PENYELENGGARAAN JALAN</v>
          </cell>
          <cell r="K1445" t="str">
            <v>Dinas Pekerjaan Umum, Penataan Ruang, Perumahan dan Kawasan Permukiman</v>
          </cell>
          <cell r="O1445" t="str">
            <v>Sekotong</v>
          </cell>
          <cell r="Q1445">
            <v>100000000</v>
          </cell>
        </row>
        <row r="1446">
          <cell r="B1446" t="str">
            <v>Infrastruktur Berkelanjutan</v>
          </cell>
          <cell r="D1446" t="str">
            <v>PROGRAM PENGELOLAAN SUMBER DAYA AIR (SDA)</v>
          </cell>
          <cell r="K1446" t="str">
            <v>Dinas Pekerjaan Umum, Penataan Ruang, Perumahan dan Kawasan Permukiman</v>
          </cell>
          <cell r="O1446" t="str">
            <v>Sekotong</v>
          </cell>
          <cell r="Q1446">
            <v>100000000</v>
          </cell>
        </row>
        <row r="1447">
          <cell r="B1447" t="str">
            <v>Infrastruktur Berkelanjutan</v>
          </cell>
          <cell r="D1447" t="str">
            <v>PROGRAM PENGELOLAAN SUMBER DAYA AIR (SDA)</v>
          </cell>
          <cell r="K1447" t="str">
            <v>Dinas Pekerjaan Umum, Penataan Ruang, Perumahan dan Kawasan Permukiman</v>
          </cell>
          <cell r="O1447" t="str">
            <v>Sekotong</v>
          </cell>
          <cell r="Q1447">
            <v>100000000</v>
          </cell>
        </row>
        <row r="1448">
          <cell r="B1448" t="str">
            <v>Infrastruktur Berkelanjutan</v>
          </cell>
          <cell r="D1448" t="str">
            <v>PROGRAM PENYELENGGARAAN JALAN</v>
          </cell>
          <cell r="K1448" t="str">
            <v>Dinas Pekerjaan Umum, Penataan Ruang, Perumahan dan Kawasan Permukiman</v>
          </cell>
          <cell r="O1448" t="str">
            <v>Sekotong</v>
          </cell>
          <cell r="Q1448">
            <v>114300000</v>
          </cell>
        </row>
        <row r="1449">
          <cell r="B1449" t="str">
            <v>Infrastruktur Berkelanjutan</v>
          </cell>
          <cell r="D1449" t="str">
            <v>PROGRAM PENINGKATAN PRASARANA, SARANA DAN UTILITAS UMUM (PSU)</v>
          </cell>
          <cell r="K1449" t="str">
            <v>Dinas Pekerjaan Umum, Penataan Ruang, Perumahan dan Kawasan Permukiman</v>
          </cell>
          <cell r="O1449" t="str">
            <v>Sekotong</v>
          </cell>
          <cell r="Q1449">
            <v>100000000</v>
          </cell>
        </row>
        <row r="1450">
          <cell r="B1450" t="str">
            <v>Infrastruktur Berkelanjutan</v>
          </cell>
          <cell r="D1450" t="str">
            <v>PROGRAM PENYELENGGARAAN JALAN</v>
          </cell>
          <cell r="K1450" t="str">
            <v>Dinas Pekerjaan Umum, Penataan Ruang, Perumahan dan Kawasan Permukiman</v>
          </cell>
          <cell r="O1450" t="str">
            <v>Sekotong</v>
          </cell>
          <cell r="Q1450">
            <v>100000000</v>
          </cell>
        </row>
        <row r="1451">
          <cell r="B1451" t="str">
            <v>Infrastruktur Berkelanjutan</v>
          </cell>
          <cell r="D1451" t="str">
            <v>PROGRAM PENGELOLAAN DAN PENGEMBANGAN SISTEM DRAINASE</v>
          </cell>
          <cell r="K1451" t="str">
            <v>Dinas Pekerjaan Umum, Penataan Ruang, Perumahan dan Kawasan Permukiman</v>
          </cell>
          <cell r="O1451" t="str">
            <v>Sekotong</v>
          </cell>
          <cell r="Q1451">
            <v>100000000</v>
          </cell>
        </row>
        <row r="1452">
          <cell r="B1452" t="str">
            <v>Infrastruktur Berkelanjutan</v>
          </cell>
          <cell r="D1452" t="str">
            <v>PROGRAM PENGELOLAAN DAN PENGEMBANGAN SISTEM DRAINASE</v>
          </cell>
          <cell r="K1452" t="str">
            <v>Dinas Pekerjaan Umum, Penataan Ruang, Perumahan dan Kawasan Permukiman</v>
          </cell>
          <cell r="O1452" t="str">
            <v>Sekotong</v>
          </cell>
          <cell r="Q1452">
            <v>100000000</v>
          </cell>
        </row>
        <row r="1453">
          <cell r="B1453" t="str">
            <v>Infrastruktur Berkelanjutan</v>
          </cell>
          <cell r="D1453" t="str">
            <v>PROGRAM PENYELENGGARAAN JALAN</v>
          </cell>
          <cell r="K1453" t="str">
            <v>Dinas Pekerjaan Umum, Penataan Ruang, Perumahan dan Kawasan Permukiman</v>
          </cell>
          <cell r="O1453" t="str">
            <v>Sekotong</v>
          </cell>
          <cell r="Q1453">
            <v>114300000</v>
          </cell>
        </row>
        <row r="1454">
          <cell r="B1454" t="str">
            <v>Infrastruktur Berkelanjutan</v>
          </cell>
          <cell r="D1454" t="str">
            <v>PROGRAM PENGELOLAAN SUMBER DAYA AIR (SDA)</v>
          </cell>
          <cell r="K1454" t="str">
            <v>Dinas Pekerjaan Umum, Penataan Ruang, Perumahan dan Kawasan Permukiman</v>
          </cell>
          <cell r="O1454" t="str">
            <v>Sekotong</v>
          </cell>
          <cell r="Q1454">
            <v>100000000</v>
          </cell>
        </row>
        <row r="1455">
          <cell r="B1455" t="str">
            <v>Infrastruktur Berkelanjutan</v>
          </cell>
          <cell r="D1455" t="str">
            <v>PROGRAM PENGELOLAAN DAN PENGEMBANGAN SISTEM DRAINASE</v>
          </cell>
          <cell r="K1455" t="str">
            <v>Dinas Pekerjaan Umum, Penataan Ruang, Perumahan dan Kawasan Permukiman</v>
          </cell>
          <cell r="O1455" t="str">
            <v>Sekotong</v>
          </cell>
          <cell r="Q1455">
            <v>100000000</v>
          </cell>
        </row>
        <row r="1456">
          <cell r="B1456" t="str">
            <v>Infrastruktur Berkelanjutan</v>
          </cell>
          <cell r="D1456" t="str">
            <v>PROGRAM PENINGKATAN PRASARANA, SARANA DAN UTILITAS UMUM (PSU)</v>
          </cell>
          <cell r="K1456" t="str">
            <v>Dinas Pekerjaan Umum, Penataan Ruang, Perumahan dan Kawasan Permukiman</v>
          </cell>
          <cell r="O1456" t="str">
            <v>Sekotong</v>
          </cell>
          <cell r="Q1456">
            <v>100000000</v>
          </cell>
        </row>
        <row r="1457">
          <cell r="B1457" t="str">
            <v>Infrastruktur Berkelanjutan</v>
          </cell>
          <cell r="D1457" t="str">
            <v>PROGRAM PENGELOLAAN SUMBER DAYA AIR (SDA)</v>
          </cell>
          <cell r="K1457" t="str">
            <v>Dinas Pekerjaan Umum, Penataan Ruang, Perumahan dan Kawasan Permukiman</v>
          </cell>
          <cell r="O1457" t="str">
            <v>Sekotong</v>
          </cell>
          <cell r="Q1457">
            <v>100000000</v>
          </cell>
        </row>
        <row r="1458">
          <cell r="B1458" t="str">
            <v>Infrastruktur Berkelanjutan</v>
          </cell>
          <cell r="D1458" t="str">
            <v>PROGRAM PENINGKATAN PRASARANA, SARANA DAN UTILITAS UMUM (PSU)</v>
          </cell>
          <cell r="K1458" t="str">
            <v>Dinas Pekerjaan Umum, Penataan Ruang, Perumahan dan Kawasan Permukiman</v>
          </cell>
          <cell r="O1458" t="str">
            <v>Sekotong</v>
          </cell>
          <cell r="Q1458">
            <v>114300000</v>
          </cell>
        </row>
        <row r="1459">
          <cell r="B1459" t="str">
            <v>Infrastruktur Berkelanjutan</v>
          </cell>
          <cell r="D1459" t="str">
            <v>PROGRAM PENINGKATAN PRASARANA, SARANA DAN UTILITAS UMUM (PSU)</v>
          </cell>
          <cell r="K1459" t="str">
            <v>Dinas Pekerjaan Umum, Penataan Ruang, Perumahan dan Kawasan Permukiman</v>
          </cell>
          <cell r="O1459" t="str">
            <v>Sekotong</v>
          </cell>
          <cell r="Q1459">
            <v>114300000</v>
          </cell>
        </row>
        <row r="1460">
          <cell r="B1460" t="str">
            <v>Infrastruktur Berkelanjutan</v>
          </cell>
          <cell r="D1460" t="str">
            <v>PROGRAM KAWASAN PERMUKIMAN</v>
          </cell>
          <cell r="K1460" t="str">
            <v>Dinas Pekerjaan Umum, Penataan Ruang, Perumahan dan Kawasan Permukiman</v>
          </cell>
          <cell r="O1460" t="str">
            <v>Sekotong</v>
          </cell>
          <cell r="Q1460">
            <v>105000000</v>
          </cell>
        </row>
        <row r="1461">
          <cell r="B1461" t="str">
            <v>Infrastruktur Berkelanjutan</v>
          </cell>
          <cell r="D1461" t="str">
            <v>PROGRAM PENINGKATAN PRASARANA, SARANA DAN UTILITAS UMUM (PSU)</v>
          </cell>
          <cell r="K1461" t="str">
            <v>Dinas Pekerjaan Umum, Penataan Ruang, Perumahan dan Kawasan Permukiman</v>
          </cell>
          <cell r="O1461" t="str">
            <v>Sekotong</v>
          </cell>
          <cell r="Q1461">
            <v>114300000</v>
          </cell>
        </row>
        <row r="1462">
          <cell r="B1462" t="str">
            <v>Infrastruktur Berkelanjutan</v>
          </cell>
          <cell r="D1462" t="str">
            <v>PROGRAM PENINGKATAN PRASARANA, SARANA DAN UTILITAS UMUM (PSU)</v>
          </cell>
          <cell r="K1462" t="str">
            <v>Dinas Pekerjaan Umum, Penataan Ruang, Perumahan dan Kawasan Permukiman</v>
          </cell>
          <cell r="O1462" t="str">
            <v>Sekotong</v>
          </cell>
          <cell r="Q1462">
            <v>114300000</v>
          </cell>
        </row>
        <row r="1463">
          <cell r="B1463" t="str">
            <v>Infrastruktur Berkelanjutan</v>
          </cell>
          <cell r="D1463" t="str">
            <v>PROGRAM KAWASAN PERMUKIMAN</v>
          </cell>
          <cell r="K1463" t="str">
            <v>Dinas Pekerjaan Umum, Penataan Ruang, Perumahan dan Kawasan Permukiman</v>
          </cell>
          <cell r="O1463" t="str">
            <v>Sekotong</v>
          </cell>
          <cell r="Q1463">
            <v>105000000</v>
          </cell>
        </row>
        <row r="1464">
          <cell r="B1464" t="str">
            <v>Infrastruktur Berkelanjutan</v>
          </cell>
          <cell r="D1464" t="str">
            <v>PROGRAM PENINGKATAN PRASARANA, SARANA DAN UTILITAS UMUM (PSU)</v>
          </cell>
          <cell r="K1464" t="str">
            <v>Dinas Pekerjaan Umum, Penataan Ruang, Perumahan dan Kawasan Permukiman</v>
          </cell>
          <cell r="O1464" t="str">
            <v>Sekotong</v>
          </cell>
          <cell r="Q1464">
            <v>114300000</v>
          </cell>
        </row>
        <row r="1465">
          <cell r="B1465" t="str">
            <v>Infrastruktur Berkelanjutan</v>
          </cell>
          <cell r="D1465" t="str">
            <v>PROGRAM KAWASAN PERMUKIMAN</v>
          </cell>
          <cell r="K1465" t="str">
            <v>Dinas Pekerjaan Umum, Penataan Ruang, Perumahan dan Kawasan Permukiman</v>
          </cell>
          <cell r="O1465" t="str">
            <v>Sekotong</v>
          </cell>
          <cell r="Q1465">
            <v>105000000</v>
          </cell>
        </row>
        <row r="1466">
          <cell r="B1466" t="str">
            <v>Infrastruktur Berkelanjutan</v>
          </cell>
          <cell r="D1466" t="str">
            <v>PROGRAM PENINGKATAN PRASARANA, SARANA DAN UTILITAS UMUM (PSU)</v>
          </cell>
          <cell r="K1466" t="str">
            <v>Dinas Pekerjaan Umum, Penataan Ruang, Perumahan dan Kawasan Permukiman</v>
          </cell>
          <cell r="O1466" t="str">
            <v>Sekotong</v>
          </cell>
          <cell r="Q1466">
            <v>114300000</v>
          </cell>
        </row>
        <row r="1467">
          <cell r="B1467" t="str">
            <v>Infrastruktur Berkelanjutan</v>
          </cell>
          <cell r="D1467" t="str">
            <v>PROGRAM PENINGKATAN PRASARANA, SARANA DAN UTILITAS UMUM (PSU)</v>
          </cell>
          <cell r="K1467" t="str">
            <v>Dinas Pekerjaan Umum, Penataan Ruang, Perumahan dan Kawasan Permukiman</v>
          </cell>
          <cell r="O1467" t="str">
            <v>Sekotong</v>
          </cell>
          <cell r="Q1467">
            <v>114300000</v>
          </cell>
        </row>
        <row r="1468">
          <cell r="B1468" t="str">
            <v>Infrastruktur Berkelanjutan</v>
          </cell>
          <cell r="D1468" t="str">
            <v>PROGRAM KAWASAN PERMUKIMAN</v>
          </cell>
          <cell r="K1468" t="str">
            <v>Dinas Pekerjaan Umum, Penataan Ruang, Perumahan dan Kawasan Permukiman</v>
          </cell>
          <cell r="O1468" t="str">
            <v>Sekotong</v>
          </cell>
          <cell r="Q1468">
            <v>105000000</v>
          </cell>
        </row>
        <row r="1469">
          <cell r="B1469" t="str">
            <v>Infrastruktur Berkelanjutan</v>
          </cell>
          <cell r="D1469" t="str">
            <v>PROGRAM PENINGKATAN PRASARANA, SARANA DAN UTILITAS UMUM (PSU)</v>
          </cell>
          <cell r="K1469" t="str">
            <v>Dinas Pekerjaan Umum, Penataan Ruang, Perumahan dan Kawasan Permukiman</v>
          </cell>
          <cell r="O1469" t="str">
            <v>Sekotong</v>
          </cell>
          <cell r="Q1469">
            <v>114300000</v>
          </cell>
        </row>
        <row r="1470">
          <cell r="B1470" t="str">
            <v>Infrastruktur Berkelanjutan</v>
          </cell>
          <cell r="D1470" t="str">
            <v>PROGRAM PENINGKATAN PRASARANA, SARANA DAN UTILITAS UMUM (PSU)</v>
          </cell>
          <cell r="K1470" t="str">
            <v>Dinas Pekerjaan Umum, Penataan Ruang, Perumahan dan Kawasan Permukiman</v>
          </cell>
          <cell r="O1470" t="str">
            <v>Sekotong</v>
          </cell>
          <cell r="Q1470">
            <v>114300000</v>
          </cell>
        </row>
        <row r="1471">
          <cell r="B1471" t="str">
            <v>Infrastruktur Berkelanjutan</v>
          </cell>
          <cell r="D1471" t="str">
            <v>PROGRAM PENINGKATAN PRASARANA, SARANA DAN UTILITAS UMUM (PSU)</v>
          </cell>
          <cell r="K1471" t="str">
            <v>Dinas Pekerjaan Umum, Penataan Ruang, Perumahan dan Kawasan Permukiman</v>
          </cell>
          <cell r="O1471" t="str">
            <v>Sekotong</v>
          </cell>
          <cell r="Q1471">
            <v>114300000</v>
          </cell>
        </row>
        <row r="1472">
          <cell r="B1472" t="str">
            <v>Infrastruktur Berkelanjutan</v>
          </cell>
          <cell r="D1472" t="str">
            <v>PROGRAM PENYELENGGARAAN JALAN</v>
          </cell>
          <cell r="K1472" t="str">
            <v>Dinas Pekerjaan Umum, Penataan Ruang, Perumahan dan Kawasan Permukiman</v>
          </cell>
          <cell r="O1472" t="str">
            <v>Sekotong</v>
          </cell>
          <cell r="Q1472">
            <v>114300000</v>
          </cell>
        </row>
        <row r="1473">
          <cell r="B1473" t="str">
            <v>Infrastruktur Berkelanjutan</v>
          </cell>
          <cell r="D1473" t="str">
            <v>PROGRAM PENGELOLAAN DAN PENGEMBANGAN SISTEM DRAINASE</v>
          </cell>
          <cell r="K1473" t="str">
            <v>Dinas Pekerjaan Umum, Penataan Ruang, Perumahan dan Kawasan Permukiman</v>
          </cell>
          <cell r="O1473" t="str">
            <v>Sekotong</v>
          </cell>
          <cell r="Q1473">
            <v>111280000</v>
          </cell>
        </row>
        <row r="1474">
          <cell r="B1474" t="str">
            <v>Infrastruktur Berkelanjutan</v>
          </cell>
          <cell r="D1474" t="str">
            <v>PROGRAM PENINGKATAN PRASARANA, SARANA DAN UTILITAS UMUM (PSU)</v>
          </cell>
          <cell r="K1474" t="str">
            <v>Dinas Pekerjaan Umum, Penataan Ruang, Perumahan dan Kawasan Permukiman</v>
          </cell>
          <cell r="O1474" t="str">
            <v>Sekotong</v>
          </cell>
          <cell r="Q1474">
            <v>114300000</v>
          </cell>
        </row>
        <row r="1475">
          <cell r="B1475" t="str">
            <v>Infrastruktur Berkelanjutan</v>
          </cell>
          <cell r="D1475" t="str">
            <v>PROGRAM PENINGKATAN PRASARANA, SARANA DAN UTILITAS UMUM (PSU)</v>
          </cell>
          <cell r="K1475" t="str">
            <v>Dinas Pekerjaan Umum, Penataan Ruang, Perumahan dan Kawasan Permukiman</v>
          </cell>
          <cell r="O1475" t="str">
            <v>Sekotong</v>
          </cell>
          <cell r="Q1475">
            <v>114300000</v>
          </cell>
        </row>
        <row r="1476">
          <cell r="B1476" t="str">
            <v>Infrastruktur Berkelanjutan</v>
          </cell>
          <cell r="D1476" t="str">
            <v>PROGRAM PENINGKATAN PRASARANA, SARANA DAN UTILITAS UMUM (PSU)</v>
          </cell>
          <cell r="K1476" t="str">
            <v>Dinas Pekerjaan Umum, Penataan Ruang, Perumahan dan Kawasan Permukiman</v>
          </cell>
          <cell r="O1476" t="str">
            <v>Sekotong</v>
          </cell>
          <cell r="Q1476">
            <v>114300000</v>
          </cell>
        </row>
        <row r="1477">
          <cell r="B1477" t="str">
            <v>Infrastruktur Berkelanjutan</v>
          </cell>
          <cell r="D1477" t="str">
            <v>PROGRAM PENINGKATAN PRASARANA, SARANA DAN UTILITAS UMUM (PSU)</v>
          </cell>
          <cell r="K1477" t="str">
            <v>Dinas Pekerjaan Umum, Penataan Ruang, Perumahan dan Kawasan Permukiman</v>
          </cell>
          <cell r="O1477" t="str">
            <v>Sekotong</v>
          </cell>
          <cell r="Q1477">
            <v>114300000</v>
          </cell>
        </row>
        <row r="1478">
          <cell r="B1478" t="str">
            <v>Infrastruktur Berkelanjutan</v>
          </cell>
          <cell r="D1478" t="str">
            <v>PROGRAM KAWASAN PERMUKIMAN</v>
          </cell>
          <cell r="K1478" t="str">
            <v>Dinas Pekerjaan Umum, Penataan Ruang, Perumahan dan Kawasan Permukiman</v>
          </cell>
          <cell r="O1478" t="str">
            <v>Sekotong</v>
          </cell>
          <cell r="Q1478">
            <v>105000000</v>
          </cell>
        </row>
        <row r="1479">
          <cell r="B1479" t="str">
            <v>Infrastruktur Berkelanjutan</v>
          </cell>
          <cell r="D1479" t="str">
            <v>PROGRAM PENINGKATAN PRASARANA, SARANA DAN UTILITAS UMUM (PSU)</v>
          </cell>
          <cell r="K1479" t="str">
            <v>Dinas Pekerjaan Umum, Penataan Ruang, Perumahan dan Kawasan Permukiman</v>
          </cell>
          <cell r="O1479" t="str">
            <v>Sekotong</v>
          </cell>
          <cell r="Q1479">
            <v>114300000</v>
          </cell>
        </row>
        <row r="1480">
          <cell r="B1480" t="str">
            <v>Infrastruktur Berkelanjutan</v>
          </cell>
          <cell r="D1480" t="str">
            <v>PROGRAM PENINGKATAN PRASARANA, SARANA DAN UTILITAS UMUM (PSU)</v>
          </cell>
          <cell r="K1480" t="str">
            <v>Dinas Pekerjaan Umum, Penataan Ruang, Perumahan dan Kawasan Permukiman</v>
          </cell>
          <cell r="O1480" t="str">
            <v>Sekotong</v>
          </cell>
          <cell r="Q1480">
            <v>114300000</v>
          </cell>
        </row>
        <row r="1481">
          <cell r="B1481" t="str">
            <v>Infrastruktur Berkelanjutan</v>
          </cell>
          <cell r="D1481" t="str">
            <v>PROGRAM PENGELOLAAN SUMBER DAYA AIR (SDA)</v>
          </cell>
          <cell r="K1481" t="str">
            <v>Dinas Pekerjaan Umum, Penataan Ruang, Perumahan dan Kawasan Permukiman</v>
          </cell>
          <cell r="O1481" t="str">
            <v>Sekotong</v>
          </cell>
          <cell r="Q1481">
            <v>111280000</v>
          </cell>
        </row>
        <row r="1482">
          <cell r="B1482" t="str">
            <v>Infrastruktur Berkelanjutan</v>
          </cell>
          <cell r="D1482" t="str">
            <v>PROGRAM PENINGKATAN PRASARANA, SARANA DAN UTILITAS UMUM (PSU)</v>
          </cell>
          <cell r="K1482" t="str">
            <v>Dinas Pekerjaan Umum, Penataan Ruang, Perumahan dan Kawasan Permukiman</v>
          </cell>
          <cell r="O1482" t="str">
            <v>Sekotong</v>
          </cell>
          <cell r="Q1482">
            <v>114300000</v>
          </cell>
        </row>
        <row r="1483">
          <cell r="B1483" t="str">
            <v>Infrastruktur Berkelanjutan</v>
          </cell>
          <cell r="D1483" t="str">
            <v>PROGRAM PENINGKATAN PRASARANA, SARANA DAN UTILITAS UMUM (PSU)</v>
          </cell>
          <cell r="K1483" t="str">
            <v>Dinas Pekerjaan Umum, Penataan Ruang, Perumahan dan Kawasan Permukiman</v>
          </cell>
          <cell r="O1483" t="str">
            <v>Sekotong</v>
          </cell>
          <cell r="Q1483">
            <v>111280000</v>
          </cell>
        </row>
        <row r="1484">
          <cell r="B1484" t="str">
            <v>Infrastruktur Berkelanjutan</v>
          </cell>
          <cell r="D1484" t="str">
            <v>PROGRAM PENINGKATAN PRASARANA, SARANA DAN UTILITAS UMUM (PSU)</v>
          </cell>
          <cell r="K1484" t="str">
            <v>Dinas Pekerjaan Umum, Penataan Ruang, Perumahan dan Kawasan Permukiman</v>
          </cell>
          <cell r="O1484" t="str">
            <v>Sekotong</v>
          </cell>
          <cell r="Q1484">
            <v>114300000</v>
          </cell>
        </row>
        <row r="1485">
          <cell r="B1485" t="str">
            <v>Infrastruktur Berkelanjutan</v>
          </cell>
          <cell r="D1485" t="str">
            <v>PROGRAM PENINGKATAN PRASARANA, SARANA DAN UTILITAS UMUM (PSU)</v>
          </cell>
          <cell r="K1485" t="str">
            <v>Dinas Pekerjaan Umum, Penataan Ruang, Perumahan dan Kawasan Permukiman</v>
          </cell>
          <cell r="O1485" t="str">
            <v>Sekotong</v>
          </cell>
          <cell r="Q1485">
            <v>111280000</v>
          </cell>
        </row>
        <row r="1486">
          <cell r="B1486" t="str">
            <v>Infrastruktur Berkelanjutan</v>
          </cell>
          <cell r="D1486" t="str">
            <v>PROGRAM PENINGKATAN PRASARANA, SARANA DAN UTILITAS UMUM (PSU)</v>
          </cell>
          <cell r="K1486" t="str">
            <v>Dinas Pekerjaan Umum, Penataan Ruang, Perumahan dan Kawasan Permukiman</v>
          </cell>
          <cell r="O1486" t="str">
            <v>Sekotong</v>
          </cell>
          <cell r="Q1486">
            <v>114300000</v>
          </cell>
        </row>
        <row r="1487">
          <cell r="B1487" t="str">
            <v>Infrastruktur Berkelanjutan</v>
          </cell>
          <cell r="D1487" t="str">
            <v>PROGRAM PENINGKATAN PRASARANA, SARANA DAN UTILITAS UMUM (PSU)</v>
          </cell>
          <cell r="K1487" t="str">
            <v>Dinas Pekerjaan Umum, Penataan Ruang, Perumahan dan Kawasan Permukiman</v>
          </cell>
          <cell r="O1487" t="str">
            <v>Sekotong</v>
          </cell>
          <cell r="Q1487">
            <v>111280000</v>
          </cell>
        </row>
        <row r="1488">
          <cell r="B1488" t="str">
            <v>Infrastruktur Berkelanjutan</v>
          </cell>
          <cell r="D1488" t="str">
            <v>PROGRAM PENINGKATAN PRASARANA, SARANA DAN UTILITAS UMUM (PSU)</v>
          </cell>
          <cell r="K1488" t="str">
            <v>Dinas Pekerjaan Umum, Penataan Ruang, Perumahan dan Kawasan Permukiman</v>
          </cell>
          <cell r="O1488" t="str">
            <v>Sekotong</v>
          </cell>
          <cell r="Q1488">
            <v>111280000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1456"/>
  <sheetViews>
    <sheetView zoomScale="85" zoomScaleNormal="85" workbookViewId="0">
      <pane xSplit="1" ySplit="5" topLeftCell="B65" activePane="bottomRight" state="frozen"/>
      <selection pane="topRight" activeCell="B1" sqref="B1"/>
      <selection pane="bottomLeft" activeCell="A6" sqref="A6"/>
      <selection pane="bottomRight" activeCell="C70" sqref="C70"/>
    </sheetView>
  </sheetViews>
  <sheetFormatPr defaultRowHeight="14.5" x14ac:dyDescent="0.35"/>
  <cols>
    <col min="1" max="1" width="9" customWidth="1"/>
    <col min="2" max="3" width="30.1796875" customWidth="1"/>
    <col min="4" max="4" width="38.6328125" customWidth="1"/>
    <col min="5" max="6" width="30.1796875" customWidth="1"/>
    <col min="7" max="7" width="20.1796875" customWidth="1"/>
    <col min="8" max="8" width="16.453125" customWidth="1"/>
    <col min="9" max="9" width="11.36328125" customWidth="1"/>
    <col min="10" max="10" width="14.453125" customWidth="1"/>
    <col min="11" max="11" width="41" style="65" customWidth="1"/>
    <col min="12" max="12" width="10.1796875" customWidth="1"/>
    <col min="13" max="13" width="14.81640625" style="65" customWidth="1"/>
    <col min="14" max="14" width="12" customWidth="1"/>
    <col min="15" max="15" width="25.453125" style="348" customWidth="1"/>
    <col min="16" max="16" width="33.1796875" customWidth="1"/>
    <col min="17" max="17" width="15.54296875" customWidth="1"/>
  </cols>
  <sheetData>
    <row r="3" spans="1:16" x14ac:dyDescent="0.35">
      <c r="A3" s="410" t="s">
        <v>0</v>
      </c>
      <c r="B3" s="410" t="s">
        <v>1</v>
      </c>
      <c r="C3" s="410" t="s">
        <v>2</v>
      </c>
      <c r="D3" s="410" t="s">
        <v>3</v>
      </c>
      <c r="E3" s="409" t="s">
        <v>4</v>
      </c>
      <c r="F3" s="410" t="s">
        <v>5</v>
      </c>
      <c r="G3" s="410" t="s">
        <v>6</v>
      </c>
      <c r="H3" s="410"/>
      <c r="I3" s="414" t="s">
        <v>7</v>
      </c>
      <c r="J3" s="416" t="s">
        <v>8</v>
      </c>
      <c r="K3" s="410" t="s">
        <v>9</v>
      </c>
      <c r="L3" s="410" t="s">
        <v>10</v>
      </c>
      <c r="M3" s="410" t="s">
        <v>11</v>
      </c>
      <c r="N3" s="409" t="s">
        <v>12</v>
      </c>
      <c r="O3" s="409"/>
      <c r="P3" s="410" t="s">
        <v>13</v>
      </c>
    </row>
    <row r="4" spans="1:16" x14ac:dyDescent="0.35">
      <c r="A4" s="410"/>
      <c r="B4" s="410"/>
      <c r="C4" s="410"/>
      <c r="D4" s="410"/>
      <c r="E4" s="409"/>
      <c r="F4" s="410"/>
      <c r="G4" s="1" t="s">
        <v>14</v>
      </c>
      <c r="H4" s="1" t="s">
        <v>15</v>
      </c>
      <c r="I4" s="415"/>
      <c r="J4" s="417"/>
      <c r="K4" s="410"/>
      <c r="L4" s="410"/>
      <c r="M4" s="410"/>
      <c r="N4" s="2" t="s">
        <v>16</v>
      </c>
      <c r="O4" s="3" t="s">
        <v>17</v>
      </c>
      <c r="P4" s="410"/>
    </row>
    <row r="5" spans="1:16" x14ac:dyDescent="0.35">
      <c r="A5" s="4">
        <v>1</v>
      </c>
      <c r="B5" s="4">
        <v>2</v>
      </c>
      <c r="C5" s="4">
        <v>3</v>
      </c>
      <c r="D5" s="4">
        <v>4</v>
      </c>
      <c r="E5" s="4">
        <v>5</v>
      </c>
      <c r="F5" s="4">
        <v>6</v>
      </c>
      <c r="G5" s="4">
        <v>7</v>
      </c>
      <c r="H5" s="4">
        <v>8</v>
      </c>
      <c r="I5" s="4">
        <v>9</v>
      </c>
      <c r="J5" s="4">
        <v>10</v>
      </c>
      <c r="K5" s="4">
        <v>11</v>
      </c>
      <c r="L5" s="4">
        <v>12</v>
      </c>
      <c r="M5" s="4">
        <v>13</v>
      </c>
      <c r="N5" s="4">
        <v>14</v>
      </c>
      <c r="O5" s="5">
        <v>15</v>
      </c>
      <c r="P5" s="4">
        <v>16</v>
      </c>
    </row>
    <row r="6" spans="1:16" ht="29" x14ac:dyDescent="0.35">
      <c r="A6" s="6">
        <f t="shared" ref="A6:A15" si="0">A5+1</f>
        <v>2</v>
      </c>
      <c r="B6" s="7" t="s">
        <v>18</v>
      </c>
      <c r="C6" s="7" t="s">
        <v>19</v>
      </c>
      <c r="D6" s="7" t="s">
        <v>20</v>
      </c>
      <c r="E6" s="7" t="s">
        <v>21</v>
      </c>
      <c r="F6" s="7" t="s">
        <v>22</v>
      </c>
      <c r="G6" s="7" t="s">
        <v>23</v>
      </c>
      <c r="H6" s="7" t="s">
        <v>24</v>
      </c>
      <c r="I6" s="7" t="s">
        <v>25</v>
      </c>
      <c r="J6" s="8">
        <v>100000000</v>
      </c>
      <c r="K6" s="6" t="s">
        <v>26</v>
      </c>
      <c r="L6" s="7">
        <v>2799328</v>
      </c>
      <c r="M6" s="6" t="s">
        <v>27</v>
      </c>
      <c r="N6" s="7" t="s">
        <v>28</v>
      </c>
      <c r="O6" s="10">
        <v>210000000</v>
      </c>
      <c r="P6" s="7" t="s">
        <v>29</v>
      </c>
    </row>
    <row r="7" spans="1:16" ht="29" x14ac:dyDescent="0.35">
      <c r="A7" s="6">
        <f t="shared" si="0"/>
        <v>3</v>
      </c>
      <c r="B7" s="7" t="s">
        <v>18</v>
      </c>
      <c r="C7" s="7" t="s">
        <v>19</v>
      </c>
      <c r="D7" s="7" t="s">
        <v>20</v>
      </c>
      <c r="E7" s="7" t="s">
        <v>21</v>
      </c>
      <c r="F7" s="7" t="s">
        <v>30</v>
      </c>
      <c r="G7" s="7" t="s">
        <v>23</v>
      </c>
      <c r="H7" s="7" t="s">
        <v>31</v>
      </c>
      <c r="I7" s="7" t="s">
        <v>25</v>
      </c>
      <c r="J7" s="8">
        <v>100000000</v>
      </c>
      <c r="K7" s="6" t="s">
        <v>26</v>
      </c>
      <c r="L7" s="7">
        <v>2799328</v>
      </c>
      <c r="M7" s="6" t="s">
        <v>27</v>
      </c>
      <c r="N7" s="7" t="s">
        <v>28</v>
      </c>
      <c r="O7" s="10">
        <v>210000000</v>
      </c>
      <c r="P7" s="7" t="s">
        <v>29</v>
      </c>
    </row>
    <row r="8" spans="1:16" ht="29" x14ac:dyDescent="0.35">
      <c r="A8" s="6">
        <f t="shared" si="0"/>
        <v>4</v>
      </c>
      <c r="B8" s="7" t="s">
        <v>18</v>
      </c>
      <c r="C8" s="7" t="s">
        <v>19</v>
      </c>
      <c r="D8" s="7" t="s">
        <v>20</v>
      </c>
      <c r="E8" s="7" t="s">
        <v>32</v>
      </c>
      <c r="F8" s="7" t="s">
        <v>33</v>
      </c>
      <c r="G8" s="7" t="s">
        <v>34</v>
      </c>
      <c r="H8" s="7">
        <f>H3</f>
        <v>0</v>
      </c>
      <c r="I8" s="7" t="s">
        <v>35</v>
      </c>
      <c r="J8" s="11">
        <v>7500000</v>
      </c>
      <c r="K8" s="6" t="s">
        <v>26</v>
      </c>
      <c r="L8" s="7"/>
      <c r="M8" s="6" t="s">
        <v>27</v>
      </c>
      <c r="N8" s="7" t="s">
        <v>28</v>
      </c>
      <c r="O8" s="10">
        <v>35000000</v>
      </c>
      <c r="P8" s="7" t="s">
        <v>36</v>
      </c>
    </row>
    <row r="9" spans="1:16" ht="43.5" x14ac:dyDescent="0.35">
      <c r="A9" s="6">
        <f t="shared" si="0"/>
        <v>5</v>
      </c>
      <c r="B9" s="7" t="s">
        <v>18</v>
      </c>
      <c r="C9" s="7" t="s">
        <v>37</v>
      </c>
      <c r="D9" s="7" t="s">
        <v>20</v>
      </c>
      <c r="E9" s="7" t="s">
        <v>38</v>
      </c>
      <c r="F9" s="7" t="s">
        <v>39</v>
      </c>
      <c r="G9" s="6" t="s">
        <v>40</v>
      </c>
      <c r="H9" s="6" t="s">
        <v>41</v>
      </c>
      <c r="I9" s="6">
        <v>1</v>
      </c>
      <c r="J9" s="12">
        <v>200000000</v>
      </c>
      <c r="K9" s="6" t="s">
        <v>26</v>
      </c>
      <c r="L9" s="6">
        <v>2934710</v>
      </c>
      <c r="M9" s="6" t="s">
        <v>27</v>
      </c>
      <c r="N9" s="6">
        <v>1</v>
      </c>
      <c r="O9" s="13">
        <v>210000000</v>
      </c>
      <c r="P9" s="9" t="s">
        <v>42</v>
      </c>
    </row>
    <row r="10" spans="1:16" ht="43.5" x14ac:dyDescent="0.35">
      <c r="A10" s="6">
        <f t="shared" si="0"/>
        <v>6</v>
      </c>
      <c r="B10" s="7" t="s">
        <v>18</v>
      </c>
      <c r="C10" s="7" t="s">
        <v>19</v>
      </c>
      <c r="D10" s="7" t="s">
        <v>20</v>
      </c>
      <c r="E10" s="7" t="s">
        <v>43</v>
      </c>
      <c r="F10" s="7"/>
      <c r="G10" s="7" t="s">
        <v>44</v>
      </c>
      <c r="H10" s="7" t="s">
        <v>45</v>
      </c>
      <c r="I10" s="7" t="s">
        <v>35</v>
      </c>
      <c r="J10" s="7">
        <v>5000000</v>
      </c>
      <c r="K10" s="6" t="s">
        <v>26</v>
      </c>
      <c r="L10" s="7">
        <v>2932750</v>
      </c>
      <c r="M10" s="6" t="s">
        <v>46</v>
      </c>
      <c r="N10" s="14" t="s">
        <v>28</v>
      </c>
      <c r="O10" s="10">
        <v>25000000</v>
      </c>
      <c r="P10" s="7"/>
    </row>
    <row r="11" spans="1:16" ht="29" x14ac:dyDescent="0.35">
      <c r="A11" s="6">
        <f t="shared" si="0"/>
        <v>7</v>
      </c>
      <c r="B11" s="7" t="s">
        <v>18</v>
      </c>
      <c r="C11" s="7" t="s">
        <v>19</v>
      </c>
      <c r="D11" s="7" t="s">
        <v>20</v>
      </c>
      <c r="E11" s="7" t="s">
        <v>47</v>
      </c>
      <c r="F11" s="7" t="s">
        <v>48</v>
      </c>
      <c r="G11" s="7" t="s">
        <v>49</v>
      </c>
      <c r="H11" s="7" t="s">
        <v>49</v>
      </c>
      <c r="I11" s="7" t="s">
        <v>35</v>
      </c>
      <c r="J11" s="7">
        <v>7500000</v>
      </c>
      <c r="K11" s="6" t="s">
        <v>26</v>
      </c>
      <c r="L11" s="7">
        <v>2819724</v>
      </c>
      <c r="M11" s="6" t="s">
        <v>46</v>
      </c>
      <c r="N11" s="14" t="s">
        <v>28</v>
      </c>
      <c r="O11" s="10">
        <v>35000000</v>
      </c>
      <c r="P11" s="7"/>
    </row>
    <row r="12" spans="1:16" ht="43.5" x14ac:dyDescent="0.35">
      <c r="A12" s="6" t="e">
        <f>#REF!+1</f>
        <v>#REF!</v>
      </c>
      <c r="B12" s="7" t="s">
        <v>18</v>
      </c>
      <c r="C12" s="7" t="s">
        <v>19</v>
      </c>
      <c r="D12" s="7" t="s">
        <v>20</v>
      </c>
      <c r="E12" s="7" t="s">
        <v>50</v>
      </c>
      <c r="F12" s="7" t="s">
        <v>51</v>
      </c>
      <c r="G12" s="6" t="s">
        <v>52</v>
      </c>
      <c r="H12" s="6" t="s">
        <v>53</v>
      </c>
      <c r="I12" s="6" t="s">
        <v>54</v>
      </c>
      <c r="J12" s="15">
        <v>100000000</v>
      </c>
      <c r="K12" s="6" t="s">
        <v>26</v>
      </c>
      <c r="L12" s="6">
        <v>2966626</v>
      </c>
      <c r="M12" s="6" t="s">
        <v>55</v>
      </c>
      <c r="N12" s="16" t="s">
        <v>56</v>
      </c>
      <c r="O12" s="17">
        <v>210000000</v>
      </c>
      <c r="P12" s="9" t="s">
        <v>57</v>
      </c>
    </row>
    <row r="13" spans="1:16" ht="43.5" x14ac:dyDescent="0.35">
      <c r="A13" s="6" t="e">
        <f t="shared" si="0"/>
        <v>#REF!</v>
      </c>
      <c r="B13" s="7" t="s">
        <v>18</v>
      </c>
      <c r="C13" s="7" t="s">
        <v>19</v>
      </c>
      <c r="D13" s="7" t="s">
        <v>20</v>
      </c>
      <c r="E13" s="7" t="s">
        <v>50</v>
      </c>
      <c r="F13" s="7" t="s">
        <v>58</v>
      </c>
      <c r="G13" s="16" t="s">
        <v>59</v>
      </c>
      <c r="H13" s="16" t="s">
        <v>60</v>
      </c>
      <c r="I13" s="16" t="s">
        <v>61</v>
      </c>
      <c r="J13" s="18">
        <v>100000000</v>
      </c>
      <c r="K13" s="6" t="s">
        <v>26</v>
      </c>
      <c r="L13" s="16" t="s">
        <v>62</v>
      </c>
      <c r="M13" s="6" t="s">
        <v>55</v>
      </c>
      <c r="N13" s="16" t="s">
        <v>56</v>
      </c>
      <c r="O13" s="17">
        <v>210000000</v>
      </c>
      <c r="P13" s="19" t="s">
        <v>63</v>
      </c>
    </row>
    <row r="14" spans="1:16" ht="43.5" x14ac:dyDescent="0.35">
      <c r="A14" s="6" t="e">
        <f t="shared" si="0"/>
        <v>#REF!</v>
      </c>
      <c r="B14" s="7" t="s">
        <v>18</v>
      </c>
      <c r="C14" s="7" t="s">
        <v>19</v>
      </c>
      <c r="D14" s="7" t="s">
        <v>20</v>
      </c>
      <c r="E14" s="7" t="s">
        <v>50</v>
      </c>
      <c r="F14" s="7" t="s">
        <v>64</v>
      </c>
      <c r="G14" s="16" t="s">
        <v>59</v>
      </c>
      <c r="H14" s="16" t="s">
        <v>65</v>
      </c>
      <c r="I14" s="16" t="s">
        <v>61</v>
      </c>
      <c r="J14" s="18">
        <v>100000000</v>
      </c>
      <c r="K14" s="6" t="s">
        <v>26</v>
      </c>
      <c r="L14" s="16" t="s">
        <v>62</v>
      </c>
      <c r="M14" s="6" t="s">
        <v>55</v>
      </c>
      <c r="N14" s="16" t="s">
        <v>56</v>
      </c>
      <c r="O14" s="17">
        <v>210000000</v>
      </c>
      <c r="P14" s="19" t="s">
        <v>63</v>
      </c>
    </row>
    <row r="15" spans="1:16" ht="43.5" x14ac:dyDescent="0.35">
      <c r="A15" s="20" t="e">
        <f t="shared" si="0"/>
        <v>#REF!</v>
      </c>
      <c r="B15" s="21" t="s">
        <v>18</v>
      </c>
      <c r="C15" s="21" t="s">
        <v>19</v>
      </c>
      <c r="D15" s="21" t="s">
        <v>20</v>
      </c>
      <c r="E15" s="21" t="s">
        <v>50</v>
      </c>
      <c r="F15" s="21" t="s">
        <v>66</v>
      </c>
      <c r="G15" s="22" t="s">
        <v>59</v>
      </c>
      <c r="H15" s="22" t="s">
        <v>67</v>
      </c>
      <c r="I15" s="22" t="s">
        <v>61</v>
      </c>
      <c r="J15" s="23">
        <v>100000000</v>
      </c>
      <c r="K15" s="20" t="s">
        <v>26</v>
      </c>
      <c r="L15" s="22" t="s">
        <v>62</v>
      </c>
      <c r="M15" s="20" t="s">
        <v>55</v>
      </c>
      <c r="N15" s="22" t="s">
        <v>56</v>
      </c>
      <c r="O15" s="24">
        <v>210000000</v>
      </c>
      <c r="P15" s="25" t="s">
        <v>63</v>
      </c>
    </row>
    <row r="16" spans="1:16" ht="43.5" x14ac:dyDescent="0.35">
      <c r="A16" s="26">
        <v>15</v>
      </c>
      <c r="B16" s="27" t="s">
        <v>18</v>
      </c>
      <c r="C16" s="27" t="s">
        <v>19</v>
      </c>
      <c r="D16" s="27" t="s">
        <v>20</v>
      </c>
      <c r="E16" s="27" t="s">
        <v>50</v>
      </c>
      <c r="F16" s="28"/>
      <c r="G16" s="26" t="s">
        <v>68</v>
      </c>
      <c r="H16" s="26" t="s">
        <v>69</v>
      </c>
      <c r="I16" s="28"/>
      <c r="J16" s="28"/>
      <c r="K16" s="126" t="s">
        <v>26</v>
      </c>
      <c r="L16" s="28"/>
      <c r="M16" s="126" t="s">
        <v>27</v>
      </c>
      <c r="N16" s="26" t="s">
        <v>56</v>
      </c>
      <c r="O16" s="30">
        <v>210000000</v>
      </c>
      <c r="P16" s="31" t="s">
        <v>70</v>
      </c>
    </row>
    <row r="17" spans="1:16" ht="24" x14ac:dyDescent="0.35">
      <c r="A17" s="32">
        <v>1</v>
      </c>
      <c r="B17" s="32" t="s">
        <v>71</v>
      </c>
      <c r="C17" s="32" t="s">
        <v>72</v>
      </c>
      <c r="D17" s="32" t="s">
        <v>73</v>
      </c>
      <c r="E17" s="32" t="s">
        <v>74</v>
      </c>
      <c r="F17" s="32" t="s">
        <v>75</v>
      </c>
      <c r="G17" s="32" t="s">
        <v>76</v>
      </c>
      <c r="H17" s="32" t="s">
        <v>76</v>
      </c>
      <c r="I17" s="32" t="s">
        <v>77</v>
      </c>
      <c r="J17" s="33">
        <v>50000000</v>
      </c>
      <c r="K17" s="32" t="s">
        <v>78</v>
      </c>
      <c r="L17" s="32">
        <v>2818477</v>
      </c>
      <c r="M17" s="32" t="s">
        <v>79</v>
      </c>
      <c r="N17" s="34">
        <v>8</v>
      </c>
      <c r="O17" s="33">
        <v>50760000</v>
      </c>
      <c r="P17" s="32"/>
    </row>
    <row r="18" spans="1:16" ht="24" x14ac:dyDescent="0.35">
      <c r="A18" s="32">
        <v>2</v>
      </c>
      <c r="B18" s="32" t="s">
        <v>71</v>
      </c>
      <c r="C18" s="32" t="s">
        <v>72</v>
      </c>
      <c r="D18" s="32" t="s">
        <v>73</v>
      </c>
      <c r="E18" s="32" t="s">
        <v>80</v>
      </c>
      <c r="F18" s="32" t="s">
        <v>81</v>
      </c>
      <c r="G18" s="32" t="s">
        <v>82</v>
      </c>
      <c r="H18" s="32" t="s">
        <v>83</v>
      </c>
      <c r="I18" s="32" t="s">
        <v>84</v>
      </c>
      <c r="J18" s="33">
        <v>200000000</v>
      </c>
      <c r="K18" s="32" t="s">
        <v>78</v>
      </c>
      <c r="L18" s="32">
        <v>2817507</v>
      </c>
      <c r="M18" s="32" t="s">
        <v>79</v>
      </c>
      <c r="N18" s="34">
        <v>32</v>
      </c>
      <c r="O18" s="33">
        <v>203040000</v>
      </c>
      <c r="P18" s="32"/>
    </row>
    <row r="19" spans="1:16" ht="24" x14ac:dyDescent="0.35">
      <c r="A19" s="32">
        <v>3</v>
      </c>
      <c r="B19" s="32" t="s">
        <v>71</v>
      </c>
      <c r="C19" s="32" t="s">
        <v>72</v>
      </c>
      <c r="D19" s="32" t="s">
        <v>73</v>
      </c>
      <c r="E19" s="32" t="s">
        <v>85</v>
      </c>
      <c r="F19" s="32" t="s">
        <v>86</v>
      </c>
      <c r="G19" s="32" t="s">
        <v>87</v>
      </c>
      <c r="H19" s="35" t="s">
        <v>88</v>
      </c>
      <c r="I19" s="32" t="s">
        <v>89</v>
      </c>
      <c r="J19" s="33">
        <v>20000000</v>
      </c>
      <c r="K19" s="32" t="s">
        <v>78</v>
      </c>
      <c r="L19" s="32">
        <v>3299586</v>
      </c>
      <c r="M19" s="32" t="s">
        <v>79</v>
      </c>
      <c r="N19" s="34">
        <v>3</v>
      </c>
      <c r="O19" s="33">
        <v>20000000</v>
      </c>
      <c r="P19" s="32" t="s">
        <v>90</v>
      </c>
    </row>
    <row r="20" spans="1:16" ht="24" x14ac:dyDescent="0.35">
      <c r="A20" s="32">
        <v>4</v>
      </c>
      <c r="B20" s="32" t="s">
        <v>71</v>
      </c>
      <c r="C20" s="32" t="s">
        <v>72</v>
      </c>
      <c r="D20" s="32" t="s">
        <v>73</v>
      </c>
      <c r="E20" s="32" t="s">
        <v>99</v>
      </c>
      <c r="F20" s="32" t="s">
        <v>92</v>
      </c>
      <c r="G20" s="32" t="s">
        <v>93</v>
      </c>
      <c r="H20" s="32" t="s">
        <v>94</v>
      </c>
      <c r="I20" s="32" t="s">
        <v>95</v>
      </c>
      <c r="J20" s="33">
        <v>18000000</v>
      </c>
      <c r="K20" s="32" t="s">
        <v>78</v>
      </c>
      <c r="L20" s="32">
        <v>3299071</v>
      </c>
      <c r="M20" s="32" t="s">
        <v>97</v>
      </c>
      <c r="N20" s="32">
        <v>3</v>
      </c>
      <c r="O20" s="33">
        <f>N20*6345000</f>
        <v>19035000</v>
      </c>
      <c r="P20" s="32" t="s">
        <v>98</v>
      </c>
    </row>
    <row r="21" spans="1:16" ht="24" x14ac:dyDescent="0.35">
      <c r="A21" s="32">
        <v>5</v>
      </c>
      <c r="B21" s="32" t="s">
        <v>71</v>
      </c>
      <c r="C21" s="32" t="s">
        <v>72</v>
      </c>
      <c r="D21" s="32" t="s">
        <v>73</v>
      </c>
      <c r="E21" s="32" t="s">
        <v>99</v>
      </c>
      <c r="F21" s="32" t="s">
        <v>100</v>
      </c>
      <c r="G21" s="36" t="s">
        <v>101</v>
      </c>
      <c r="H21" s="36" t="s">
        <v>102</v>
      </c>
      <c r="I21" s="36" t="s">
        <v>103</v>
      </c>
      <c r="J21" s="33">
        <v>50000000</v>
      </c>
      <c r="K21" s="32" t="s">
        <v>78</v>
      </c>
      <c r="L21" s="32">
        <v>3299835</v>
      </c>
      <c r="M21" s="32" t="s">
        <v>97</v>
      </c>
      <c r="N21" s="32">
        <v>8</v>
      </c>
      <c r="O21" s="33">
        <v>50760000</v>
      </c>
      <c r="P21" s="32" t="s">
        <v>104</v>
      </c>
    </row>
    <row r="22" spans="1:16" ht="24" x14ac:dyDescent="0.35">
      <c r="A22" s="32">
        <v>6</v>
      </c>
      <c r="B22" s="37" t="s">
        <v>71</v>
      </c>
      <c r="C22" s="37" t="s">
        <v>72</v>
      </c>
      <c r="D22" s="37" t="s">
        <v>73</v>
      </c>
      <c r="E22" s="37" t="s">
        <v>105</v>
      </c>
      <c r="F22" s="37" t="s">
        <v>106</v>
      </c>
      <c r="G22" s="37" t="s">
        <v>107</v>
      </c>
      <c r="H22" s="37" t="s">
        <v>108</v>
      </c>
      <c r="I22" s="37" t="s">
        <v>35</v>
      </c>
      <c r="J22" s="38">
        <v>100000000</v>
      </c>
      <c r="K22" s="37" t="s">
        <v>78</v>
      </c>
      <c r="L22" s="37">
        <v>2792437</v>
      </c>
      <c r="M22" s="37" t="s">
        <v>109</v>
      </c>
      <c r="N22" s="39">
        <v>7</v>
      </c>
      <c r="O22" s="40">
        <v>100000000</v>
      </c>
      <c r="P22" s="41" t="s">
        <v>110</v>
      </c>
    </row>
    <row r="23" spans="1:16" ht="24" x14ac:dyDescent="0.35">
      <c r="A23" s="32">
        <v>7</v>
      </c>
      <c r="B23" s="37" t="s">
        <v>71</v>
      </c>
      <c r="C23" s="37" t="s">
        <v>72</v>
      </c>
      <c r="D23" s="37" t="s">
        <v>73</v>
      </c>
      <c r="E23" s="37" t="s">
        <v>85</v>
      </c>
      <c r="F23" s="37" t="s">
        <v>111</v>
      </c>
      <c r="G23" s="37" t="s">
        <v>112</v>
      </c>
      <c r="H23" s="37" t="s">
        <v>113</v>
      </c>
      <c r="I23" s="37" t="s">
        <v>114</v>
      </c>
      <c r="J23" s="38">
        <v>300000000</v>
      </c>
      <c r="K23" s="37" t="s">
        <v>78</v>
      </c>
      <c r="L23" s="37">
        <v>2952867</v>
      </c>
      <c r="M23" s="37" t="s">
        <v>109</v>
      </c>
      <c r="N23" s="39">
        <v>21</v>
      </c>
      <c r="O23" s="40">
        <v>315000000</v>
      </c>
      <c r="P23" s="41" t="s">
        <v>110</v>
      </c>
    </row>
    <row r="24" spans="1:16" ht="24" x14ac:dyDescent="0.35">
      <c r="A24" s="32">
        <v>8</v>
      </c>
      <c r="B24" s="35" t="s">
        <v>71</v>
      </c>
      <c r="C24" s="35" t="s">
        <v>72</v>
      </c>
      <c r="D24" s="35" t="s">
        <v>73</v>
      </c>
      <c r="E24" s="35" t="s">
        <v>85</v>
      </c>
      <c r="F24" s="35" t="s">
        <v>115</v>
      </c>
      <c r="G24" s="35" t="s">
        <v>116</v>
      </c>
      <c r="H24" s="35" t="s">
        <v>117</v>
      </c>
      <c r="I24" s="35" t="s">
        <v>118</v>
      </c>
      <c r="J24" s="42">
        <v>15000000</v>
      </c>
      <c r="K24" s="35" t="s">
        <v>78</v>
      </c>
      <c r="L24" s="35">
        <v>2921906</v>
      </c>
      <c r="M24" s="35" t="s">
        <v>109</v>
      </c>
      <c r="N24" s="34">
        <v>2</v>
      </c>
      <c r="O24" s="33">
        <v>14690000</v>
      </c>
      <c r="P24" s="32" t="s">
        <v>119</v>
      </c>
    </row>
    <row r="25" spans="1:16" ht="24" x14ac:dyDescent="0.35">
      <c r="A25" s="32">
        <v>9</v>
      </c>
      <c r="B25" s="35" t="s">
        <v>71</v>
      </c>
      <c r="C25" s="35" t="s">
        <v>72</v>
      </c>
      <c r="D25" s="35" t="s">
        <v>73</v>
      </c>
      <c r="E25" s="35" t="s">
        <v>85</v>
      </c>
      <c r="F25" s="35" t="s">
        <v>115</v>
      </c>
      <c r="G25" s="35" t="s">
        <v>116</v>
      </c>
      <c r="H25" s="35" t="s">
        <v>120</v>
      </c>
      <c r="I25" s="35" t="s">
        <v>118</v>
      </c>
      <c r="J25" s="42">
        <v>15000000</v>
      </c>
      <c r="K25" s="35" t="s">
        <v>78</v>
      </c>
      <c r="L25" s="35">
        <v>2921825</v>
      </c>
      <c r="M25" s="35" t="s">
        <v>109</v>
      </c>
      <c r="N25" s="34">
        <v>2</v>
      </c>
      <c r="O25" s="33">
        <v>14690000</v>
      </c>
      <c r="P25" s="32" t="s">
        <v>119</v>
      </c>
    </row>
    <row r="26" spans="1:16" ht="24" x14ac:dyDescent="0.35">
      <c r="A26" s="32">
        <v>10</v>
      </c>
      <c r="B26" s="41" t="s">
        <v>71</v>
      </c>
      <c r="C26" s="41" t="s">
        <v>72</v>
      </c>
      <c r="D26" s="41" t="s">
        <v>73</v>
      </c>
      <c r="E26" s="41" t="s">
        <v>121</v>
      </c>
      <c r="F26" s="41" t="s">
        <v>22</v>
      </c>
      <c r="G26" s="41" t="s">
        <v>23</v>
      </c>
      <c r="H26" s="41" t="s">
        <v>24</v>
      </c>
      <c r="I26" s="43" t="s">
        <v>122</v>
      </c>
      <c r="J26" s="40">
        <v>10000000</v>
      </c>
      <c r="K26" s="41" t="s">
        <v>78</v>
      </c>
      <c r="L26" s="41">
        <v>3307589</v>
      </c>
      <c r="M26" s="41" t="s">
        <v>27</v>
      </c>
      <c r="N26" s="41">
        <v>12</v>
      </c>
      <c r="O26" s="40">
        <v>76140000</v>
      </c>
      <c r="P26" s="41" t="s">
        <v>123</v>
      </c>
    </row>
    <row r="27" spans="1:16" ht="24" x14ac:dyDescent="0.35">
      <c r="A27" s="32">
        <v>11</v>
      </c>
      <c r="B27" s="41" t="s">
        <v>71</v>
      </c>
      <c r="C27" s="41" t="s">
        <v>72</v>
      </c>
      <c r="D27" s="41" t="s">
        <v>73</v>
      </c>
      <c r="E27" s="41" t="s">
        <v>121</v>
      </c>
      <c r="F27" s="41" t="s">
        <v>124</v>
      </c>
      <c r="G27" s="41" t="s">
        <v>23</v>
      </c>
      <c r="H27" s="41" t="s">
        <v>125</v>
      </c>
      <c r="I27" s="43" t="s">
        <v>126</v>
      </c>
      <c r="J27" s="40">
        <v>10000000</v>
      </c>
      <c r="K27" s="41" t="s">
        <v>78</v>
      </c>
      <c r="L27" s="41">
        <v>3307611</v>
      </c>
      <c r="M27" s="41" t="s">
        <v>27</v>
      </c>
      <c r="N27" s="41">
        <v>15</v>
      </c>
      <c r="O27" s="40">
        <f>15*6345000</f>
        <v>95175000</v>
      </c>
      <c r="P27" s="41" t="s">
        <v>123</v>
      </c>
    </row>
    <row r="28" spans="1:16" ht="24" x14ac:dyDescent="0.35">
      <c r="A28" s="32">
        <v>12</v>
      </c>
      <c r="B28" s="32" t="s">
        <v>71</v>
      </c>
      <c r="C28" s="32" t="s">
        <v>72</v>
      </c>
      <c r="D28" s="32" t="s">
        <v>73</v>
      </c>
      <c r="E28" s="32" t="s">
        <v>121</v>
      </c>
      <c r="F28" s="32" t="s">
        <v>30</v>
      </c>
      <c r="G28" s="32" t="s">
        <v>23</v>
      </c>
      <c r="H28" s="32" t="s">
        <v>31</v>
      </c>
      <c r="I28" s="44" t="s">
        <v>122</v>
      </c>
      <c r="J28" s="45">
        <v>10000000</v>
      </c>
      <c r="K28" s="32" t="s">
        <v>78</v>
      </c>
      <c r="L28" s="32">
        <v>3245837</v>
      </c>
      <c r="M28" s="32" t="s">
        <v>27</v>
      </c>
      <c r="N28" s="32">
        <v>2</v>
      </c>
      <c r="O28" s="33">
        <f>2*6345000</f>
        <v>12690000</v>
      </c>
      <c r="P28" s="32" t="s">
        <v>123</v>
      </c>
    </row>
    <row r="29" spans="1:16" ht="24" x14ac:dyDescent="0.35">
      <c r="A29" s="32">
        <v>13</v>
      </c>
      <c r="B29" s="41" t="s">
        <v>71</v>
      </c>
      <c r="C29" s="41" t="s">
        <v>72</v>
      </c>
      <c r="D29" s="41" t="s">
        <v>73</v>
      </c>
      <c r="E29" s="41" t="s">
        <v>121</v>
      </c>
      <c r="F29" s="41" t="s">
        <v>127</v>
      </c>
      <c r="G29" s="41" t="s">
        <v>23</v>
      </c>
      <c r="H29" s="41" t="s">
        <v>128</v>
      </c>
      <c r="I29" s="41" t="s">
        <v>129</v>
      </c>
      <c r="J29" s="40">
        <v>10000000</v>
      </c>
      <c r="K29" s="41" t="s">
        <v>78</v>
      </c>
      <c r="L29" s="41">
        <v>3307634</v>
      </c>
      <c r="M29" s="41" t="s">
        <v>27</v>
      </c>
      <c r="N29" s="41">
        <v>12</v>
      </c>
      <c r="O29" s="40">
        <v>76140000</v>
      </c>
      <c r="P29" s="41" t="s">
        <v>123</v>
      </c>
    </row>
    <row r="30" spans="1:16" ht="24" x14ac:dyDescent="0.35">
      <c r="A30" s="32">
        <v>14</v>
      </c>
      <c r="B30" s="32" t="s">
        <v>71</v>
      </c>
      <c r="C30" s="32" t="s">
        <v>72</v>
      </c>
      <c r="D30" s="32" t="s">
        <v>73</v>
      </c>
      <c r="E30" s="32" t="s">
        <v>121</v>
      </c>
      <c r="F30" s="32"/>
      <c r="G30" s="32" t="s">
        <v>130</v>
      </c>
      <c r="H30" s="32" t="s">
        <v>131</v>
      </c>
      <c r="I30" s="32" t="s">
        <v>129</v>
      </c>
      <c r="J30" s="45">
        <v>25000000</v>
      </c>
      <c r="K30" s="32" t="s">
        <v>78</v>
      </c>
      <c r="L30" s="32">
        <v>3307657</v>
      </c>
      <c r="M30" s="32" t="s">
        <v>27</v>
      </c>
      <c r="N30" s="32">
        <v>4</v>
      </c>
      <c r="O30" s="33">
        <v>25380000</v>
      </c>
      <c r="P30" s="32" t="s">
        <v>123</v>
      </c>
    </row>
    <row r="31" spans="1:16" ht="24" x14ac:dyDescent="0.35">
      <c r="A31" s="32">
        <v>15</v>
      </c>
      <c r="B31" s="32" t="s">
        <v>71</v>
      </c>
      <c r="C31" s="32" t="s">
        <v>72</v>
      </c>
      <c r="D31" s="32" t="s">
        <v>73</v>
      </c>
      <c r="E31" s="32" t="s">
        <v>121</v>
      </c>
      <c r="F31" s="32"/>
      <c r="G31" s="32" t="s">
        <v>130</v>
      </c>
      <c r="H31" s="32" t="s">
        <v>132</v>
      </c>
      <c r="I31" s="32" t="s">
        <v>133</v>
      </c>
      <c r="J31" s="45">
        <v>25000000</v>
      </c>
      <c r="K31" s="32" t="s">
        <v>78</v>
      </c>
      <c r="L31" s="32">
        <v>3307667</v>
      </c>
      <c r="M31" s="32" t="s">
        <v>27</v>
      </c>
      <c r="N31" s="32">
        <v>4</v>
      </c>
      <c r="O31" s="33">
        <v>25380000</v>
      </c>
      <c r="P31" s="32" t="s">
        <v>123</v>
      </c>
    </row>
    <row r="32" spans="1:16" ht="24" x14ac:dyDescent="0.35">
      <c r="A32" s="32">
        <v>16</v>
      </c>
      <c r="B32" s="32" t="s">
        <v>71</v>
      </c>
      <c r="C32" s="32" t="s">
        <v>72</v>
      </c>
      <c r="D32" s="32" t="s">
        <v>73</v>
      </c>
      <c r="E32" s="32" t="s">
        <v>85</v>
      </c>
      <c r="F32" s="32" t="s">
        <v>134</v>
      </c>
      <c r="G32" s="32" t="s">
        <v>135</v>
      </c>
      <c r="H32" s="32" t="s">
        <v>136</v>
      </c>
      <c r="I32" s="46" t="s">
        <v>122</v>
      </c>
      <c r="J32" s="33">
        <v>100000000</v>
      </c>
      <c r="K32" s="32" t="s">
        <v>78</v>
      </c>
      <c r="L32" s="32">
        <v>2906025</v>
      </c>
      <c r="M32" s="32" t="s">
        <v>27</v>
      </c>
      <c r="N32" s="32">
        <v>16</v>
      </c>
      <c r="O32" s="33">
        <v>101520000</v>
      </c>
      <c r="P32" s="32"/>
    </row>
    <row r="33" spans="1:16" ht="24" x14ac:dyDescent="0.35">
      <c r="A33" s="32">
        <v>17</v>
      </c>
      <c r="B33" s="32" t="s">
        <v>71</v>
      </c>
      <c r="C33" s="32" t="s">
        <v>72</v>
      </c>
      <c r="D33" s="32" t="s">
        <v>73</v>
      </c>
      <c r="E33" s="32" t="s">
        <v>121</v>
      </c>
      <c r="F33" s="32" t="s">
        <v>137</v>
      </c>
      <c r="G33" s="32" t="s">
        <v>135</v>
      </c>
      <c r="H33" s="32" t="s">
        <v>138</v>
      </c>
      <c r="I33" s="32" t="s">
        <v>133</v>
      </c>
      <c r="J33" s="33">
        <v>100000000</v>
      </c>
      <c r="K33" s="32" t="s">
        <v>78</v>
      </c>
      <c r="L33" s="32">
        <v>3307681</v>
      </c>
      <c r="M33" s="32" t="s">
        <v>27</v>
      </c>
      <c r="N33" s="32">
        <v>16</v>
      </c>
      <c r="O33" s="33">
        <v>101520000</v>
      </c>
      <c r="P33" s="32"/>
    </row>
    <row r="34" spans="1:16" ht="48" x14ac:dyDescent="0.35">
      <c r="A34" s="32">
        <v>18</v>
      </c>
      <c r="B34" s="41" t="s">
        <v>71</v>
      </c>
      <c r="C34" s="41" t="s">
        <v>72</v>
      </c>
      <c r="D34" s="41" t="s">
        <v>73</v>
      </c>
      <c r="E34" s="41" t="s">
        <v>139</v>
      </c>
      <c r="F34" s="41" t="s">
        <v>140</v>
      </c>
      <c r="G34" s="41" t="s">
        <v>141</v>
      </c>
      <c r="H34" s="41" t="s">
        <v>142</v>
      </c>
      <c r="I34" s="41" t="s">
        <v>143</v>
      </c>
      <c r="J34" s="40">
        <v>30000000</v>
      </c>
      <c r="K34" s="41" t="s">
        <v>78</v>
      </c>
      <c r="L34" s="41">
        <v>3304126</v>
      </c>
      <c r="M34" s="41" t="s">
        <v>144</v>
      </c>
      <c r="N34" s="41" t="s">
        <v>145</v>
      </c>
      <c r="O34" s="40">
        <v>50000000</v>
      </c>
      <c r="P34" s="41" t="s">
        <v>146</v>
      </c>
    </row>
    <row r="35" spans="1:16" ht="24" x14ac:dyDescent="0.35">
      <c r="A35" s="32">
        <v>19</v>
      </c>
      <c r="B35" s="41" t="s">
        <v>71</v>
      </c>
      <c r="C35" s="41" t="s">
        <v>72</v>
      </c>
      <c r="D35" s="41" t="s">
        <v>73</v>
      </c>
      <c r="E35" s="41" t="s">
        <v>147</v>
      </c>
      <c r="F35" s="41" t="s">
        <v>148</v>
      </c>
      <c r="G35" s="41" t="s">
        <v>149</v>
      </c>
      <c r="H35" s="41" t="s">
        <v>150</v>
      </c>
      <c r="I35" s="41" t="s">
        <v>151</v>
      </c>
      <c r="J35" s="40">
        <v>100000000</v>
      </c>
      <c r="K35" s="41" t="s">
        <v>78</v>
      </c>
      <c r="L35" s="41">
        <v>3304037</v>
      </c>
      <c r="M35" s="41" t="s">
        <v>144</v>
      </c>
      <c r="N35" s="41">
        <v>10</v>
      </c>
      <c r="O35" s="40">
        <v>100000000</v>
      </c>
      <c r="P35" s="41" t="s">
        <v>152</v>
      </c>
    </row>
    <row r="36" spans="1:16" ht="36" x14ac:dyDescent="0.35">
      <c r="A36" s="32">
        <v>20</v>
      </c>
      <c r="B36" s="41" t="s">
        <v>71</v>
      </c>
      <c r="C36" s="41" t="s">
        <v>72</v>
      </c>
      <c r="D36" s="41" t="s">
        <v>73</v>
      </c>
      <c r="E36" s="41" t="s">
        <v>153</v>
      </c>
      <c r="F36" s="41" t="s">
        <v>140</v>
      </c>
      <c r="G36" s="41" t="s">
        <v>154</v>
      </c>
      <c r="H36" s="41" t="s">
        <v>155</v>
      </c>
      <c r="I36" s="41" t="s">
        <v>95</v>
      </c>
      <c r="J36" s="40">
        <v>20000000</v>
      </c>
      <c r="K36" s="41" t="s">
        <v>78</v>
      </c>
      <c r="L36" s="41">
        <v>3304169</v>
      </c>
      <c r="M36" s="41" t="s">
        <v>144</v>
      </c>
      <c r="N36" s="41">
        <v>3</v>
      </c>
      <c r="O36" s="40">
        <v>19035000</v>
      </c>
      <c r="P36" s="41"/>
    </row>
    <row r="37" spans="1:16" ht="36" x14ac:dyDescent="0.35">
      <c r="A37" s="32">
        <v>21</v>
      </c>
      <c r="B37" s="41" t="s">
        <v>71</v>
      </c>
      <c r="C37" s="41" t="s">
        <v>72</v>
      </c>
      <c r="D37" s="41" t="s">
        <v>73</v>
      </c>
      <c r="E37" s="41" t="s">
        <v>156</v>
      </c>
      <c r="F37" s="41" t="s">
        <v>140</v>
      </c>
      <c r="G37" s="41" t="s">
        <v>157</v>
      </c>
      <c r="H37" s="41" t="s">
        <v>158</v>
      </c>
      <c r="I37" s="41" t="s">
        <v>159</v>
      </c>
      <c r="J37" s="40">
        <v>40000000</v>
      </c>
      <c r="K37" s="41" t="s">
        <v>78</v>
      </c>
      <c r="L37" s="41">
        <v>2871327</v>
      </c>
      <c r="M37" s="41" t="s">
        <v>144</v>
      </c>
      <c r="N37" s="41">
        <v>6</v>
      </c>
      <c r="O37" s="40">
        <v>38000000</v>
      </c>
      <c r="P37" s="41"/>
    </row>
    <row r="38" spans="1:16" ht="24" x14ac:dyDescent="0.35">
      <c r="A38" s="32">
        <v>22</v>
      </c>
      <c r="B38" s="47" t="s">
        <v>71</v>
      </c>
      <c r="C38" s="47" t="s">
        <v>72</v>
      </c>
      <c r="D38" s="47" t="s">
        <v>73</v>
      </c>
      <c r="E38" s="47" t="s">
        <v>160</v>
      </c>
      <c r="F38" s="47"/>
      <c r="G38" s="47" t="s">
        <v>44</v>
      </c>
      <c r="H38" s="47" t="s">
        <v>161</v>
      </c>
      <c r="I38" s="47" t="s">
        <v>28</v>
      </c>
      <c r="J38" s="48">
        <v>8000000</v>
      </c>
      <c r="K38" s="47" t="s">
        <v>78</v>
      </c>
      <c r="L38" s="47">
        <v>2933174</v>
      </c>
      <c r="M38" s="47" t="s">
        <v>46</v>
      </c>
      <c r="N38" s="49">
        <v>1</v>
      </c>
      <c r="O38" s="48">
        <v>8000000</v>
      </c>
      <c r="P38" s="47"/>
    </row>
    <row r="39" spans="1:16" ht="24" x14ac:dyDescent="0.35">
      <c r="A39" s="32">
        <v>23</v>
      </c>
      <c r="B39" s="41" t="s">
        <v>71</v>
      </c>
      <c r="C39" s="41" t="s">
        <v>72</v>
      </c>
      <c r="D39" s="41" t="s">
        <v>73</v>
      </c>
      <c r="E39" s="41" t="s">
        <v>85</v>
      </c>
      <c r="F39" s="41"/>
      <c r="G39" s="41" t="s">
        <v>162</v>
      </c>
      <c r="H39" s="41" t="s">
        <v>163</v>
      </c>
      <c r="I39" s="41" t="s">
        <v>164</v>
      </c>
      <c r="J39" s="40">
        <v>25000000</v>
      </c>
      <c r="K39" s="41" t="s">
        <v>78</v>
      </c>
      <c r="L39" s="41">
        <v>2914087</v>
      </c>
      <c r="M39" s="41" t="s">
        <v>46</v>
      </c>
      <c r="N39" s="39">
        <v>28</v>
      </c>
      <c r="O39" s="40">
        <v>177660000</v>
      </c>
      <c r="P39" s="41" t="s">
        <v>165</v>
      </c>
    </row>
    <row r="40" spans="1:16" ht="24" x14ac:dyDescent="0.35">
      <c r="A40" s="32">
        <v>24</v>
      </c>
      <c r="B40" s="32" t="s">
        <v>71</v>
      </c>
      <c r="C40" s="32" t="s">
        <v>72</v>
      </c>
      <c r="D40" s="32" t="s">
        <v>73</v>
      </c>
      <c r="E40" s="32" t="s">
        <v>85</v>
      </c>
      <c r="F40" s="32" t="s">
        <v>166</v>
      </c>
      <c r="G40" s="32" t="s">
        <v>167</v>
      </c>
      <c r="H40" s="32" t="s">
        <v>168</v>
      </c>
      <c r="I40" s="32" t="s">
        <v>169</v>
      </c>
      <c r="J40" s="45">
        <v>50000000</v>
      </c>
      <c r="K40" s="32" t="s">
        <v>78</v>
      </c>
      <c r="L40" s="32">
        <v>2872813</v>
      </c>
      <c r="M40" s="32" t="s">
        <v>46</v>
      </c>
      <c r="N40" s="34">
        <v>8</v>
      </c>
      <c r="O40" s="33">
        <v>50760000</v>
      </c>
      <c r="P40" s="32"/>
    </row>
    <row r="41" spans="1:16" ht="24" x14ac:dyDescent="0.35">
      <c r="A41" s="32">
        <v>25</v>
      </c>
      <c r="B41" s="32" t="s">
        <v>71</v>
      </c>
      <c r="C41" s="32" t="s">
        <v>72</v>
      </c>
      <c r="D41" s="32" t="s">
        <v>73</v>
      </c>
      <c r="E41" s="32" t="s">
        <v>170</v>
      </c>
      <c r="F41" s="32" t="s">
        <v>140</v>
      </c>
      <c r="G41" s="32" t="s">
        <v>171</v>
      </c>
      <c r="H41" s="32" t="s">
        <v>172</v>
      </c>
      <c r="I41" s="32" t="s">
        <v>35</v>
      </c>
      <c r="J41" s="45">
        <v>50000000</v>
      </c>
      <c r="K41" s="32" t="s">
        <v>78</v>
      </c>
      <c r="L41" s="32">
        <v>3310300</v>
      </c>
      <c r="M41" s="32" t="s">
        <v>173</v>
      </c>
      <c r="N41" s="34">
        <v>10</v>
      </c>
      <c r="O41" s="33">
        <v>63450000</v>
      </c>
      <c r="P41" s="32" t="s">
        <v>174</v>
      </c>
    </row>
    <row r="42" spans="1:16" ht="24" x14ac:dyDescent="0.35">
      <c r="A42" s="32">
        <v>26</v>
      </c>
      <c r="B42" s="41" t="s">
        <v>71</v>
      </c>
      <c r="C42" s="41" t="s">
        <v>72</v>
      </c>
      <c r="D42" s="41" t="s">
        <v>73</v>
      </c>
      <c r="E42" s="41" t="s">
        <v>175</v>
      </c>
      <c r="F42" s="41" t="s">
        <v>176</v>
      </c>
      <c r="G42" s="41" t="s">
        <v>177</v>
      </c>
      <c r="H42" s="41" t="s">
        <v>178</v>
      </c>
      <c r="I42" s="41" t="s">
        <v>179</v>
      </c>
      <c r="J42" s="40">
        <v>25000000</v>
      </c>
      <c r="K42" s="41" t="s">
        <v>78</v>
      </c>
      <c r="L42" s="41">
        <v>3307568</v>
      </c>
      <c r="M42" s="41" t="s">
        <v>180</v>
      </c>
      <c r="N42" s="41">
        <v>4</v>
      </c>
      <c r="O42" s="40">
        <v>25380000</v>
      </c>
      <c r="P42" s="41" t="s">
        <v>123</v>
      </c>
    </row>
    <row r="43" spans="1:16" ht="24" x14ac:dyDescent="0.35">
      <c r="A43" s="32">
        <v>27</v>
      </c>
      <c r="B43" s="32" t="s">
        <v>71</v>
      </c>
      <c r="C43" s="32" t="s">
        <v>72</v>
      </c>
      <c r="D43" s="32" t="s">
        <v>73</v>
      </c>
      <c r="E43" s="32" t="s">
        <v>85</v>
      </c>
      <c r="F43" s="32" t="s">
        <v>181</v>
      </c>
      <c r="G43" s="32" t="s">
        <v>182</v>
      </c>
      <c r="H43" s="32" t="s">
        <v>183</v>
      </c>
      <c r="I43" s="32" t="s">
        <v>184</v>
      </c>
      <c r="J43" s="45">
        <v>15000000</v>
      </c>
      <c r="K43" s="32" t="s">
        <v>78</v>
      </c>
      <c r="L43" s="32">
        <v>2959853</v>
      </c>
      <c r="M43" s="32" t="s">
        <v>180</v>
      </c>
      <c r="N43" s="34">
        <v>2</v>
      </c>
      <c r="O43" s="33">
        <v>12690000</v>
      </c>
      <c r="P43" s="32"/>
    </row>
    <row r="44" spans="1:16" ht="24" x14ac:dyDescent="0.35">
      <c r="A44" s="32">
        <v>28</v>
      </c>
      <c r="B44" s="32" t="s">
        <v>71</v>
      </c>
      <c r="C44" s="32" t="s">
        <v>72</v>
      </c>
      <c r="D44" s="32" t="s">
        <v>73</v>
      </c>
      <c r="E44" s="32" t="s">
        <v>85</v>
      </c>
      <c r="F44" s="32" t="s">
        <v>181</v>
      </c>
      <c r="G44" s="32" t="s">
        <v>182</v>
      </c>
      <c r="H44" s="32" t="s">
        <v>185</v>
      </c>
      <c r="I44" s="32" t="s">
        <v>184</v>
      </c>
      <c r="J44" s="45">
        <v>15000000</v>
      </c>
      <c r="K44" s="32" t="s">
        <v>78</v>
      </c>
      <c r="L44" s="32">
        <v>2959876</v>
      </c>
      <c r="M44" s="32" t="s">
        <v>180</v>
      </c>
      <c r="N44" s="34">
        <v>2</v>
      </c>
      <c r="O44" s="33">
        <v>12690000</v>
      </c>
      <c r="P44" s="32"/>
    </row>
    <row r="45" spans="1:16" ht="24" x14ac:dyDescent="0.35">
      <c r="A45" s="32">
        <v>29</v>
      </c>
      <c r="B45" s="41" t="s">
        <v>71</v>
      </c>
      <c r="C45" s="41" t="s">
        <v>72</v>
      </c>
      <c r="D45" s="41" t="s">
        <v>73</v>
      </c>
      <c r="E45" s="41" t="s">
        <v>85</v>
      </c>
      <c r="F45" s="41" t="s">
        <v>186</v>
      </c>
      <c r="G45" s="41" t="s">
        <v>187</v>
      </c>
      <c r="H45" s="41" t="s">
        <v>188</v>
      </c>
      <c r="I45" s="41" t="s">
        <v>184</v>
      </c>
      <c r="J45" s="40">
        <v>25000000</v>
      </c>
      <c r="K45" s="41" t="s">
        <v>78</v>
      </c>
      <c r="L45" s="41">
        <v>2975266</v>
      </c>
      <c r="M45" s="41" t="s">
        <v>180</v>
      </c>
      <c r="N45" s="39">
        <v>3</v>
      </c>
      <c r="O45" s="40">
        <v>20000000</v>
      </c>
      <c r="P45" s="41" t="s">
        <v>189</v>
      </c>
    </row>
    <row r="46" spans="1:16" ht="24" x14ac:dyDescent="0.35">
      <c r="A46" s="32">
        <v>30</v>
      </c>
      <c r="B46" s="41" t="s">
        <v>71</v>
      </c>
      <c r="C46" s="41" t="s">
        <v>72</v>
      </c>
      <c r="D46" s="41" t="s">
        <v>73</v>
      </c>
      <c r="E46" s="41" t="s">
        <v>190</v>
      </c>
      <c r="F46" s="41" t="s">
        <v>176</v>
      </c>
      <c r="G46" s="41" t="s">
        <v>187</v>
      </c>
      <c r="H46" s="41" t="s">
        <v>191</v>
      </c>
      <c r="I46" s="41" t="s">
        <v>192</v>
      </c>
      <c r="J46" s="40">
        <v>67500000</v>
      </c>
      <c r="K46" s="41" t="s">
        <v>78</v>
      </c>
      <c r="L46" s="41">
        <v>3307538</v>
      </c>
      <c r="M46" s="41" t="s">
        <v>180</v>
      </c>
      <c r="N46" s="39">
        <v>7</v>
      </c>
      <c r="O46" s="40">
        <v>70000000</v>
      </c>
      <c r="P46" s="41" t="s">
        <v>193</v>
      </c>
    </row>
    <row r="47" spans="1:16" ht="24" x14ac:dyDescent="0.35">
      <c r="A47" s="32">
        <v>32</v>
      </c>
      <c r="B47" s="50" t="s">
        <v>71</v>
      </c>
      <c r="C47" s="50" t="s">
        <v>72</v>
      </c>
      <c r="D47" s="50" t="s">
        <v>73</v>
      </c>
      <c r="E47" s="50"/>
      <c r="F47" s="50"/>
      <c r="G47" s="50" t="s">
        <v>76</v>
      </c>
      <c r="H47" s="50" t="s">
        <v>194</v>
      </c>
      <c r="I47" s="50" t="s">
        <v>77</v>
      </c>
      <c r="J47" s="51">
        <v>50000000</v>
      </c>
      <c r="K47" s="50" t="s">
        <v>78</v>
      </c>
      <c r="L47" s="50"/>
      <c r="M47" s="52" t="s">
        <v>79</v>
      </c>
      <c r="N47" s="52">
        <v>9</v>
      </c>
      <c r="O47" s="53">
        <f>6345000*N47</f>
        <v>57105000</v>
      </c>
      <c r="P47" s="50" t="s">
        <v>195</v>
      </c>
    </row>
    <row r="48" spans="1:16" ht="24" x14ac:dyDescent="0.35">
      <c r="A48" s="32">
        <v>33</v>
      </c>
      <c r="B48" s="54" t="s">
        <v>71</v>
      </c>
      <c r="C48" s="54" t="s">
        <v>72</v>
      </c>
      <c r="D48" s="54" t="s">
        <v>73</v>
      </c>
      <c r="E48" s="55" t="s">
        <v>196</v>
      </c>
      <c r="F48" s="55" t="s">
        <v>124</v>
      </c>
      <c r="G48" s="54" t="s">
        <v>23</v>
      </c>
      <c r="H48" s="54" t="s">
        <v>125</v>
      </c>
      <c r="I48" s="54" t="s">
        <v>151</v>
      </c>
      <c r="J48" s="56">
        <v>10000000</v>
      </c>
      <c r="K48" s="54" t="s">
        <v>197</v>
      </c>
      <c r="L48" s="54">
        <v>2798523</v>
      </c>
      <c r="M48" s="54" t="s">
        <v>27</v>
      </c>
      <c r="N48" s="54">
        <v>15</v>
      </c>
      <c r="O48" s="56">
        <v>100000000</v>
      </c>
      <c r="P48" s="54" t="s">
        <v>198</v>
      </c>
    </row>
    <row r="49" spans="1:16" ht="24" x14ac:dyDescent="0.35">
      <c r="A49" s="32">
        <v>34</v>
      </c>
      <c r="B49" s="54" t="s">
        <v>71</v>
      </c>
      <c r="C49" s="54" t="s">
        <v>72</v>
      </c>
      <c r="D49" s="54" t="s">
        <v>73</v>
      </c>
      <c r="E49" s="55" t="s">
        <v>199</v>
      </c>
      <c r="F49" s="55"/>
      <c r="G49" s="54" t="s">
        <v>49</v>
      </c>
      <c r="H49" s="54" t="s">
        <v>200</v>
      </c>
      <c r="I49" s="54" t="s">
        <v>201</v>
      </c>
      <c r="J49" s="56">
        <v>30000000</v>
      </c>
      <c r="K49" s="54" t="s">
        <v>197</v>
      </c>
      <c r="L49" s="54">
        <v>2818868</v>
      </c>
      <c r="M49" s="54" t="s">
        <v>46</v>
      </c>
      <c r="N49" s="57">
        <v>5</v>
      </c>
      <c r="O49" s="56">
        <v>31725000</v>
      </c>
      <c r="P49" s="54" t="s">
        <v>202</v>
      </c>
    </row>
    <row r="50" spans="1:16" ht="24" x14ac:dyDescent="0.35">
      <c r="A50" s="32">
        <v>35</v>
      </c>
      <c r="B50" s="58" t="s">
        <v>71</v>
      </c>
      <c r="C50" s="58" t="s">
        <v>72</v>
      </c>
      <c r="D50" s="58" t="s">
        <v>73</v>
      </c>
      <c r="E50" s="59" t="s">
        <v>203</v>
      </c>
      <c r="F50" s="59" t="s">
        <v>204</v>
      </c>
      <c r="G50" s="58" t="s">
        <v>205</v>
      </c>
      <c r="H50" s="58" t="s">
        <v>206</v>
      </c>
      <c r="I50" s="58"/>
      <c r="J50" s="60"/>
      <c r="K50" s="54" t="s">
        <v>197</v>
      </c>
      <c r="L50" s="58">
        <v>2938366</v>
      </c>
      <c r="M50" s="58" t="s">
        <v>79</v>
      </c>
      <c r="N50" s="60">
        <v>15</v>
      </c>
      <c r="O50" s="60">
        <v>100000000</v>
      </c>
      <c r="P50" s="61" t="s">
        <v>207</v>
      </c>
    </row>
    <row r="51" spans="1:16" ht="24" x14ac:dyDescent="0.35">
      <c r="A51" s="32">
        <v>36</v>
      </c>
      <c r="B51" s="54" t="s">
        <v>71</v>
      </c>
      <c r="C51" s="54" t="s">
        <v>72</v>
      </c>
      <c r="D51" s="54" t="s">
        <v>73</v>
      </c>
      <c r="E51" s="55" t="s">
        <v>91</v>
      </c>
      <c r="F51" s="55" t="s">
        <v>92</v>
      </c>
      <c r="G51" s="54" t="s">
        <v>208</v>
      </c>
      <c r="H51" s="54" t="s">
        <v>94</v>
      </c>
      <c r="I51" s="54" t="s">
        <v>95</v>
      </c>
      <c r="J51" s="56">
        <v>18000000</v>
      </c>
      <c r="K51" s="54" t="s">
        <v>197</v>
      </c>
      <c r="L51" s="54">
        <v>2960802</v>
      </c>
      <c r="M51" s="32" t="s">
        <v>97</v>
      </c>
      <c r="N51" s="54">
        <v>2</v>
      </c>
      <c r="O51" s="56">
        <v>15000000</v>
      </c>
      <c r="P51" s="54" t="s">
        <v>207</v>
      </c>
    </row>
    <row r="52" spans="1:16" ht="24" x14ac:dyDescent="0.35">
      <c r="A52" s="32">
        <v>37</v>
      </c>
      <c r="B52" s="62" t="s">
        <v>71</v>
      </c>
      <c r="C52" s="62" t="s">
        <v>72</v>
      </c>
      <c r="D52" s="62" t="s">
        <v>73</v>
      </c>
      <c r="E52" s="62"/>
      <c r="F52" s="63"/>
      <c r="G52" s="62" t="s">
        <v>209</v>
      </c>
      <c r="H52" s="62" t="s">
        <v>210</v>
      </c>
      <c r="I52" s="63"/>
      <c r="J52" s="64"/>
      <c r="K52" s="63" t="s">
        <v>78</v>
      </c>
      <c r="L52" s="63"/>
      <c r="M52" s="63" t="s">
        <v>46</v>
      </c>
      <c r="N52" s="63">
        <v>8</v>
      </c>
      <c r="O52" s="64">
        <v>50000000</v>
      </c>
      <c r="P52" s="62" t="s">
        <v>211</v>
      </c>
    </row>
    <row r="53" spans="1:16" ht="24" x14ac:dyDescent="0.35">
      <c r="A53" s="32">
        <v>38</v>
      </c>
      <c r="B53" s="62" t="s">
        <v>71</v>
      </c>
      <c r="C53" s="62" t="s">
        <v>72</v>
      </c>
      <c r="D53" s="62" t="s">
        <v>73</v>
      </c>
      <c r="E53" s="62"/>
      <c r="F53" s="63"/>
      <c r="G53" s="62" t="s">
        <v>209</v>
      </c>
      <c r="H53" s="62" t="s">
        <v>212</v>
      </c>
      <c r="I53" s="63"/>
      <c r="J53" s="64"/>
      <c r="K53" s="63" t="s">
        <v>78</v>
      </c>
      <c r="L53" s="63"/>
      <c r="M53" s="63" t="s">
        <v>46</v>
      </c>
      <c r="N53" s="63">
        <v>8</v>
      </c>
      <c r="O53" s="64">
        <v>50000000</v>
      </c>
      <c r="P53" s="62" t="s">
        <v>211</v>
      </c>
    </row>
    <row r="54" spans="1:16" ht="24" x14ac:dyDescent="0.35">
      <c r="A54" s="32">
        <v>39</v>
      </c>
      <c r="B54" s="62" t="s">
        <v>71</v>
      </c>
      <c r="C54" s="62" t="s">
        <v>72</v>
      </c>
      <c r="D54" s="62" t="s">
        <v>73</v>
      </c>
      <c r="E54" s="62"/>
      <c r="F54" s="63"/>
      <c r="G54" s="62" t="s">
        <v>209</v>
      </c>
      <c r="H54" s="62" t="s">
        <v>213</v>
      </c>
      <c r="I54" s="63"/>
      <c r="J54" s="64"/>
      <c r="K54" s="63" t="s">
        <v>78</v>
      </c>
      <c r="L54" s="63"/>
      <c r="M54" s="63" t="s">
        <v>46</v>
      </c>
      <c r="N54" s="63">
        <v>8</v>
      </c>
      <c r="O54" s="64">
        <v>50000000</v>
      </c>
      <c r="P54" s="62" t="s">
        <v>211</v>
      </c>
    </row>
    <row r="55" spans="1:16" ht="24" x14ac:dyDescent="0.35">
      <c r="A55" s="32">
        <v>40</v>
      </c>
      <c r="B55" s="62" t="s">
        <v>71</v>
      </c>
      <c r="C55" s="62" t="s">
        <v>72</v>
      </c>
      <c r="D55" s="62" t="s">
        <v>73</v>
      </c>
      <c r="E55" s="62"/>
      <c r="F55" s="63"/>
      <c r="G55" s="62" t="s">
        <v>209</v>
      </c>
      <c r="H55" s="62" t="s">
        <v>214</v>
      </c>
      <c r="I55" s="63"/>
      <c r="J55" s="64"/>
      <c r="K55" s="63" t="s">
        <v>78</v>
      </c>
      <c r="L55" s="63"/>
      <c r="M55" s="63" t="s">
        <v>46</v>
      </c>
      <c r="N55" s="63">
        <v>8</v>
      </c>
      <c r="O55" s="64">
        <v>50000000</v>
      </c>
      <c r="P55" s="62" t="s">
        <v>211</v>
      </c>
    </row>
    <row r="56" spans="1:16" ht="24" x14ac:dyDescent="0.35">
      <c r="A56" s="32">
        <v>41</v>
      </c>
      <c r="B56" s="62" t="s">
        <v>71</v>
      </c>
      <c r="C56" s="62" t="s">
        <v>72</v>
      </c>
      <c r="D56" s="62" t="s">
        <v>73</v>
      </c>
      <c r="E56" s="62"/>
      <c r="F56" s="63"/>
      <c r="G56" s="62" t="s">
        <v>209</v>
      </c>
      <c r="H56" s="62" t="s">
        <v>215</v>
      </c>
      <c r="I56" s="63"/>
      <c r="J56" s="64"/>
      <c r="K56" s="63" t="s">
        <v>78</v>
      </c>
      <c r="L56" s="63"/>
      <c r="M56" s="63" t="s">
        <v>46</v>
      </c>
      <c r="N56" s="63">
        <v>8</v>
      </c>
      <c r="O56" s="64">
        <v>50000000</v>
      </c>
      <c r="P56" s="62" t="s">
        <v>211</v>
      </c>
    </row>
    <row r="57" spans="1:16" ht="24" x14ac:dyDescent="0.35">
      <c r="A57" s="32">
        <v>42</v>
      </c>
      <c r="B57" s="62" t="s">
        <v>71</v>
      </c>
      <c r="C57" s="62" t="s">
        <v>72</v>
      </c>
      <c r="D57" s="62" t="s">
        <v>73</v>
      </c>
      <c r="E57" s="62"/>
      <c r="F57" s="63"/>
      <c r="G57" s="62" t="s">
        <v>209</v>
      </c>
      <c r="H57" s="62" t="s">
        <v>216</v>
      </c>
      <c r="I57" s="63"/>
      <c r="J57" s="64"/>
      <c r="K57" s="63" t="s">
        <v>78</v>
      </c>
      <c r="L57" s="63"/>
      <c r="M57" s="63" t="s">
        <v>46</v>
      </c>
      <c r="N57" s="63">
        <v>8</v>
      </c>
      <c r="O57" s="64">
        <v>50000000</v>
      </c>
      <c r="P57" s="62" t="s">
        <v>211</v>
      </c>
    </row>
    <row r="58" spans="1:16" ht="24" x14ac:dyDescent="0.35">
      <c r="A58" s="32">
        <v>43</v>
      </c>
      <c r="B58" s="62" t="s">
        <v>71</v>
      </c>
      <c r="C58" s="62" t="s">
        <v>72</v>
      </c>
      <c r="D58" s="62" t="s">
        <v>73</v>
      </c>
      <c r="E58" s="62"/>
      <c r="F58" s="63"/>
      <c r="G58" s="62" t="s">
        <v>209</v>
      </c>
      <c r="H58" s="62" t="s">
        <v>217</v>
      </c>
      <c r="I58" s="63"/>
      <c r="J58" s="64"/>
      <c r="K58" s="63" t="s">
        <v>78</v>
      </c>
      <c r="L58" s="63"/>
      <c r="M58" s="63" t="s">
        <v>46</v>
      </c>
      <c r="N58" s="63">
        <v>8</v>
      </c>
      <c r="O58" s="64">
        <v>50000000</v>
      </c>
      <c r="P58" s="62" t="s">
        <v>211</v>
      </c>
    </row>
    <row r="59" spans="1:16" ht="24" x14ac:dyDescent="0.35">
      <c r="A59" s="65">
        <v>44</v>
      </c>
      <c r="B59" s="66" t="s">
        <v>71</v>
      </c>
      <c r="C59" s="66" t="s">
        <v>72</v>
      </c>
      <c r="D59" s="66" t="s">
        <v>73</v>
      </c>
      <c r="E59" s="66" t="s">
        <v>85</v>
      </c>
      <c r="F59" s="66" t="s">
        <v>218</v>
      </c>
      <c r="G59" s="67" t="s">
        <v>219</v>
      </c>
      <c r="H59" s="67" t="s">
        <v>220</v>
      </c>
      <c r="I59" s="67"/>
      <c r="J59" s="68"/>
      <c r="K59" s="66" t="s">
        <v>221</v>
      </c>
      <c r="L59" s="67"/>
      <c r="M59" s="67" t="s">
        <v>55</v>
      </c>
      <c r="N59" s="67">
        <v>13</v>
      </c>
      <c r="O59" s="68">
        <v>111280000</v>
      </c>
      <c r="P59" s="66" t="s">
        <v>222</v>
      </c>
    </row>
    <row r="60" spans="1:16" ht="24" x14ac:dyDescent="0.35">
      <c r="A60" s="65">
        <v>45</v>
      </c>
      <c r="B60" s="66" t="s">
        <v>71</v>
      </c>
      <c r="C60" s="66" t="s">
        <v>72</v>
      </c>
      <c r="D60" s="66" t="s">
        <v>73</v>
      </c>
      <c r="E60" s="69" t="s">
        <v>223</v>
      </c>
      <c r="F60" s="67"/>
      <c r="G60" s="67" t="s">
        <v>224</v>
      </c>
      <c r="H60" s="67" t="s">
        <v>225</v>
      </c>
      <c r="I60" s="70"/>
      <c r="J60" s="71"/>
      <c r="K60" s="66" t="s">
        <v>221</v>
      </c>
      <c r="L60" s="67"/>
      <c r="M60" s="67" t="s">
        <v>226</v>
      </c>
      <c r="N60" s="67">
        <v>3</v>
      </c>
      <c r="O60" s="68">
        <v>21250000</v>
      </c>
      <c r="P60" s="66" t="s">
        <v>227</v>
      </c>
    </row>
    <row r="61" spans="1:16" ht="24" x14ac:dyDescent="0.35">
      <c r="A61" s="65">
        <v>46</v>
      </c>
      <c r="B61" s="66" t="s">
        <v>71</v>
      </c>
      <c r="C61" s="66" t="s">
        <v>72</v>
      </c>
      <c r="D61" s="66" t="s">
        <v>73</v>
      </c>
      <c r="E61" s="72" t="s">
        <v>228</v>
      </c>
      <c r="F61" s="73" t="s">
        <v>229</v>
      </c>
      <c r="G61" s="67" t="s">
        <v>230</v>
      </c>
      <c r="H61" s="67" t="s">
        <v>231</v>
      </c>
      <c r="I61" s="67"/>
      <c r="J61" s="68"/>
      <c r="K61" s="66" t="s">
        <v>221</v>
      </c>
      <c r="L61" s="67"/>
      <c r="M61" s="67" t="s">
        <v>180</v>
      </c>
      <c r="N61" s="67">
        <v>6</v>
      </c>
      <c r="O61" s="68">
        <v>37170483</v>
      </c>
      <c r="P61" s="66" t="s">
        <v>227</v>
      </c>
    </row>
    <row r="62" spans="1:16" ht="24" x14ac:dyDescent="0.35">
      <c r="A62" s="65">
        <v>47</v>
      </c>
      <c r="B62" s="66" t="s">
        <v>71</v>
      </c>
      <c r="C62" s="66" t="s">
        <v>72</v>
      </c>
      <c r="D62" s="66" t="s">
        <v>73</v>
      </c>
      <c r="E62" s="74" t="s">
        <v>232</v>
      </c>
      <c r="F62" s="73" t="s">
        <v>229</v>
      </c>
      <c r="G62" s="67" t="s">
        <v>233</v>
      </c>
      <c r="H62" s="67" t="s">
        <v>234</v>
      </c>
      <c r="I62" s="67"/>
      <c r="J62" s="68"/>
      <c r="K62" s="66" t="s">
        <v>221</v>
      </c>
      <c r="L62" s="67"/>
      <c r="M62" s="67" t="s">
        <v>180</v>
      </c>
      <c r="N62" s="67">
        <v>6</v>
      </c>
      <c r="O62" s="68">
        <v>38133300</v>
      </c>
      <c r="P62" s="66" t="s">
        <v>227</v>
      </c>
    </row>
    <row r="63" spans="1:16" ht="24" x14ac:dyDescent="0.35">
      <c r="A63" s="65">
        <v>48</v>
      </c>
      <c r="B63" s="66" t="s">
        <v>71</v>
      </c>
      <c r="C63" s="66" t="s">
        <v>72</v>
      </c>
      <c r="D63" s="66" t="s">
        <v>73</v>
      </c>
      <c r="E63" s="74" t="s">
        <v>232</v>
      </c>
      <c r="F63" s="73" t="s">
        <v>229</v>
      </c>
      <c r="G63" s="66" t="s">
        <v>235</v>
      </c>
      <c r="H63" s="67" t="s">
        <v>234</v>
      </c>
      <c r="I63" s="67"/>
      <c r="J63" s="68"/>
      <c r="K63" s="66" t="s">
        <v>221</v>
      </c>
      <c r="L63" s="67"/>
      <c r="M63" s="67" t="s">
        <v>180</v>
      </c>
      <c r="N63" s="67">
        <v>3</v>
      </c>
      <c r="O63" s="68">
        <v>25000000</v>
      </c>
      <c r="P63" s="66" t="s">
        <v>227</v>
      </c>
    </row>
    <row r="64" spans="1:16" ht="24" x14ac:dyDescent="0.35">
      <c r="A64" s="65">
        <v>49</v>
      </c>
      <c r="B64" s="66" t="s">
        <v>71</v>
      </c>
      <c r="C64" s="66" t="s">
        <v>72</v>
      </c>
      <c r="D64" s="66" t="s">
        <v>73</v>
      </c>
      <c r="E64" s="66" t="s">
        <v>175</v>
      </c>
      <c r="F64" s="67" t="s">
        <v>236</v>
      </c>
      <c r="G64" s="67" t="s">
        <v>237</v>
      </c>
      <c r="H64" s="67" t="s">
        <v>238</v>
      </c>
      <c r="I64" s="67"/>
      <c r="J64" s="68"/>
      <c r="K64" s="66" t="s">
        <v>221</v>
      </c>
      <c r="L64" s="67"/>
      <c r="M64" s="32" t="s">
        <v>97</v>
      </c>
      <c r="N64" s="75">
        <v>3</v>
      </c>
      <c r="O64" s="68">
        <v>20000000</v>
      </c>
      <c r="P64" s="66" t="s">
        <v>227</v>
      </c>
    </row>
    <row r="65" spans="1:16" ht="29" x14ac:dyDescent="0.35">
      <c r="A65" s="16">
        <v>50</v>
      </c>
      <c r="B65" s="7"/>
      <c r="C65" s="7"/>
      <c r="D65" s="7"/>
      <c r="E65" s="7" t="s">
        <v>239</v>
      </c>
      <c r="F65" s="16"/>
      <c r="G65" s="7" t="s">
        <v>240</v>
      </c>
      <c r="H65" s="7" t="s">
        <v>241</v>
      </c>
      <c r="I65" s="16"/>
      <c r="J65" s="76"/>
      <c r="K65" s="16" t="s">
        <v>78</v>
      </c>
      <c r="L65" s="16"/>
      <c r="M65" s="16" t="s">
        <v>226</v>
      </c>
      <c r="N65" s="77">
        <v>2</v>
      </c>
      <c r="O65" s="14">
        <v>14000000</v>
      </c>
      <c r="P65" s="16" t="s">
        <v>242</v>
      </c>
    </row>
    <row r="66" spans="1:16" ht="29" x14ac:dyDescent="0.35">
      <c r="A66" s="16">
        <v>51</v>
      </c>
      <c r="B66" s="7"/>
      <c r="C66" s="7"/>
      <c r="D66" s="7"/>
      <c r="E66" s="7" t="s">
        <v>239</v>
      </c>
      <c r="F66" s="16"/>
      <c r="G66" s="7" t="s">
        <v>240</v>
      </c>
      <c r="H66" s="7" t="s">
        <v>243</v>
      </c>
      <c r="I66" s="16"/>
      <c r="J66" s="76"/>
      <c r="K66" s="16" t="s">
        <v>78</v>
      </c>
      <c r="L66" s="16"/>
      <c r="M66" s="16" t="s">
        <v>226</v>
      </c>
      <c r="N66" s="77">
        <v>2</v>
      </c>
      <c r="O66" s="14">
        <v>14000000</v>
      </c>
      <c r="P66" s="16" t="s">
        <v>242</v>
      </c>
    </row>
    <row r="67" spans="1:16" ht="29" x14ac:dyDescent="0.35">
      <c r="A67" s="16">
        <v>52</v>
      </c>
      <c r="B67" s="7"/>
      <c r="C67" s="7"/>
      <c r="D67" s="7"/>
      <c r="E67" s="7" t="s">
        <v>239</v>
      </c>
      <c r="F67" s="16"/>
      <c r="G67" s="7" t="s">
        <v>240</v>
      </c>
      <c r="H67" s="7" t="s">
        <v>244</v>
      </c>
      <c r="I67" s="16"/>
      <c r="J67" s="76"/>
      <c r="K67" s="16" t="s">
        <v>78</v>
      </c>
      <c r="L67" s="16"/>
      <c r="M67" s="16" t="s">
        <v>226</v>
      </c>
      <c r="N67" s="77">
        <v>2</v>
      </c>
      <c r="O67" s="14">
        <v>14000000</v>
      </c>
      <c r="P67" s="16" t="s">
        <v>242</v>
      </c>
    </row>
    <row r="68" spans="1:16" ht="29" x14ac:dyDescent="0.35">
      <c r="A68" s="16">
        <v>53</v>
      </c>
      <c r="B68" s="7"/>
      <c r="C68" s="7"/>
      <c r="D68" s="7"/>
      <c r="E68" s="7" t="s">
        <v>239</v>
      </c>
      <c r="F68" s="16"/>
      <c r="G68" s="7" t="s">
        <v>240</v>
      </c>
      <c r="H68" s="7" t="s">
        <v>245</v>
      </c>
      <c r="I68" s="16"/>
      <c r="J68" s="76"/>
      <c r="K68" s="16" t="s">
        <v>78</v>
      </c>
      <c r="L68" s="16"/>
      <c r="M68" s="16" t="s">
        <v>226</v>
      </c>
      <c r="N68" s="77">
        <v>2</v>
      </c>
      <c r="O68" s="14">
        <v>14000000</v>
      </c>
      <c r="P68" s="16" t="s">
        <v>242</v>
      </c>
    </row>
    <row r="69" spans="1:16" ht="29" x14ac:dyDescent="0.35">
      <c r="A69" s="16">
        <v>54</v>
      </c>
      <c r="B69" s="7"/>
      <c r="C69" s="7"/>
      <c r="D69" s="7"/>
      <c r="E69" s="7" t="s">
        <v>239</v>
      </c>
      <c r="F69" s="16"/>
      <c r="G69" s="7" t="s">
        <v>240</v>
      </c>
      <c r="H69" s="7" t="s">
        <v>246</v>
      </c>
      <c r="I69" s="16"/>
      <c r="J69" s="76"/>
      <c r="K69" s="16" t="s">
        <v>78</v>
      </c>
      <c r="L69" s="16"/>
      <c r="M69" s="16" t="s">
        <v>226</v>
      </c>
      <c r="N69" s="77">
        <v>2</v>
      </c>
      <c r="O69" s="14">
        <v>14000000</v>
      </c>
      <c r="P69" s="16" t="s">
        <v>242</v>
      </c>
    </row>
    <row r="70" spans="1:16" ht="29" x14ac:dyDescent="0.35">
      <c r="A70" s="16">
        <v>55</v>
      </c>
      <c r="B70" s="7"/>
      <c r="C70" s="7"/>
      <c r="D70" s="7"/>
      <c r="E70" s="7" t="s">
        <v>239</v>
      </c>
      <c r="F70" s="16"/>
      <c r="G70" s="7" t="s">
        <v>240</v>
      </c>
      <c r="H70" s="7" t="s">
        <v>247</v>
      </c>
      <c r="I70" s="16"/>
      <c r="J70" s="76"/>
      <c r="K70" s="16" t="s">
        <v>78</v>
      </c>
      <c r="L70" s="16"/>
      <c r="M70" s="16" t="s">
        <v>226</v>
      </c>
      <c r="N70" s="77">
        <v>6</v>
      </c>
      <c r="O70" s="14">
        <v>42000000</v>
      </c>
      <c r="P70" s="16" t="s">
        <v>242</v>
      </c>
    </row>
    <row r="71" spans="1:16" ht="29" x14ac:dyDescent="0.35">
      <c r="A71" s="16">
        <v>56</v>
      </c>
      <c r="B71" s="7"/>
      <c r="C71" s="7"/>
      <c r="D71" s="7"/>
      <c r="E71" s="7" t="s">
        <v>239</v>
      </c>
      <c r="F71" s="16"/>
      <c r="G71" s="7" t="s">
        <v>240</v>
      </c>
      <c r="H71" s="7" t="s">
        <v>248</v>
      </c>
      <c r="I71" s="16"/>
      <c r="J71" s="76"/>
      <c r="K71" s="16" t="s">
        <v>78</v>
      </c>
      <c r="L71" s="16"/>
      <c r="M71" s="16" t="s">
        <v>226</v>
      </c>
      <c r="N71" s="77">
        <v>2</v>
      </c>
      <c r="O71" s="14">
        <v>14000000</v>
      </c>
      <c r="P71" s="16" t="s">
        <v>242</v>
      </c>
    </row>
    <row r="72" spans="1:16" ht="29" x14ac:dyDescent="0.35">
      <c r="A72" s="16">
        <v>57</v>
      </c>
      <c r="B72" s="7"/>
      <c r="C72" s="7"/>
      <c r="D72" s="7"/>
      <c r="E72" s="7" t="s">
        <v>239</v>
      </c>
      <c r="F72" s="16"/>
      <c r="G72" s="7" t="s">
        <v>240</v>
      </c>
      <c r="H72" s="7" t="s">
        <v>249</v>
      </c>
      <c r="I72" s="16"/>
      <c r="J72" s="76"/>
      <c r="K72" s="16" t="s">
        <v>78</v>
      </c>
      <c r="L72" s="16"/>
      <c r="M72" s="16" t="s">
        <v>226</v>
      </c>
      <c r="N72" s="77">
        <v>2</v>
      </c>
      <c r="O72" s="14">
        <v>14000000</v>
      </c>
      <c r="P72" s="16" t="s">
        <v>242</v>
      </c>
    </row>
    <row r="73" spans="1:16" ht="29" x14ac:dyDescent="0.35">
      <c r="A73" s="16">
        <v>58</v>
      </c>
      <c r="B73" s="7"/>
      <c r="C73" s="7"/>
      <c r="D73" s="7"/>
      <c r="E73" s="7" t="s">
        <v>239</v>
      </c>
      <c r="F73" s="16"/>
      <c r="G73" s="7" t="s">
        <v>240</v>
      </c>
      <c r="H73" s="7" t="s">
        <v>250</v>
      </c>
      <c r="I73" s="16"/>
      <c r="J73" s="76"/>
      <c r="K73" s="16" t="s">
        <v>78</v>
      </c>
      <c r="L73" s="16"/>
      <c r="M73" s="16" t="s">
        <v>226</v>
      </c>
      <c r="N73" s="77">
        <v>2</v>
      </c>
      <c r="O73" s="14">
        <v>14000000</v>
      </c>
      <c r="P73" s="16" t="s">
        <v>242</v>
      </c>
    </row>
    <row r="74" spans="1:16" ht="62" x14ac:dyDescent="0.35">
      <c r="A74" s="78">
        <v>59</v>
      </c>
      <c r="B74" s="78"/>
      <c r="C74" s="78"/>
      <c r="D74" s="78"/>
      <c r="E74" s="79" t="s">
        <v>251</v>
      </c>
      <c r="F74" s="78"/>
      <c r="G74" s="80" t="s">
        <v>252</v>
      </c>
      <c r="H74" s="80" t="s">
        <v>253</v>
      </c>
      <c r="I74" s="78"/>
      <c r="J74" s="81"/>
      <c r="K74" s="78" t="s">
        <v>78</v>
      </c>
      <c r="L74" s="78"/>
      <c r="M74" s="78" t="s">
        <v>226</v>
      </c>
      <c r="N74" s="78"/>
      <c r="O74" s="81">
        <v>10000000</v>
      </c>
      <c r="P74" s="82" t="s">
        <v>254</v>
      </c>
    </row>
    <row r="75" spans="1:16" ht="29" x14ac:dyDescent="0.35">
      <c r="A75" s="6">
        <v>1</v>
      </c>
      <c r="B75" s="7" t="s">
        <v>18</v>
      </c>
      <c r="C75" s="7" t="s">
        <v>255</v>
      </c>
      <c r="D75" s="7" t="s">
        <v>256</v>
      </c>
      <c r="E75" s="7" t="s">
        <v>257</v>
      </c>
      <c r="F75" s="7" t="s">
        <v>258</v>
      </c>
      <c r="G75" s="7" t="s">
        <v>205</v>
      </c>
      <c r="H75" s="7" t="s">
        <v>259</v>
      </c>
      <c r="I75" s="7" t="s">
        <v>260</v>
      </c>
      <c r="J75" s="83">
        <v>250000000</v>
      </c>
      <c r="K75" s="6" t="s">
        <v>261</v>
      </c>
      <c r="L75" s="7">
        <v>2938293</v>
      </c>
      <c r="M75" s="6" t="s">
        <v>79</v>
      </c>
      <c r="N75" s="14" t="s">
        <v>262</v>
      </c>
      <c r="O75" s="14">
        <v>201000000</v>
      </c>
      <c r="P75" s="7" t="s">
        <v>263</v>
      </c>
    </row>
    <row r="76" spans="1:16" ht="29" x14ac:dyDescent="0.35">
      <c r="A76" s="6">
        <f t="shared" ref="A76:A139" si="1">A75+1</f>
        <v>2</v>
      </c>
      <c r="B76" s="7" t="s">
        <v>18</v>
      </c>
      <c r="C76" s="7" t="s">
        <v>255</v>
      </c>
      <c r="D76" s="7" t="s">
        <v>256</v>
      </c>
      <c r="E76" s="7" t="s">
        <v>264</v>
      </c>
      <c r="F76" s="7" t="s">
        <v>265</v>
      </c>
      <c r="G76" s="7" t="s">
        <v>266</v>
      </c>
      <c r="H76" s="7" t="s">
        <v>266</v>
      </c>
      <c r="I76" s="7"/>
      <c r="J76" s="83">
        <v>20000000</v>
      </c>
      <c r="K76" s="6" t="s">
        <v>261</v>
      </c>
      <c r="L76" s="7">
        <v>2846452</v>
      </c>
      <c r="M76" s="6" t="s">
        <v>79</v>
      </c>
      <c r="N76" s="14" t="s">
        <v>267</v>
      </c>
      <c r="O76" s="14">
        <v>83750000</v>
      </c>
      <c r="P76" s="7" t="s">
        <v>268</v>
      </c>
    </row>
    <row r="77" spans="1:16" ht="29" x14ac:dyDescent="0.35">
      <c r="A77" s="84">
        <f t="shared" si="1"/>
        <v>3</v>
      </c>
      <c r="B77" s="85" t="s">
        <v>18</v>
      </c>
      <c r="C77" s="85" t="s">
        <v>255</v>
      </c>
      <c r="D77" s="85" t="s">
        <v>256</v>
      </c>
      <c r="E77" s="85" t="s">
        <v>269</v>
      </c>
      <c r="F77" s="85" t="s">
        <v>270</v>
      </c>
      <c r="G77" s="85" t="s">
        <v>271</v>
      </c>
      <c r="H77" s="85" t="s">
        <v>272</v>
      </c>
      <c r="I77" s="85"/>
      <c r="J77" s="86"/>
      <c r="K77" s="84" t="s">
        <v>261</v>
      </c>
      <c r="L77" s="85" t="s">
        <v>273</v>
      </c>
      <c r="M77" s="32" t="s">
        <v>97</v>
      </c>
      <c r="N77" s="85" t="s">
        <v>274</v>
      </c>
      <c r="O77" s="105">
        <v>50000000</v>
      </c>
      <c r="P77" s="85" t="s">
        <v>275</v>
      </c>
    </row>
    <row r="78" spans="1:16" ht="29" x14ac:dyDescent="0.35">
      <c r="A78" s="84">
        <f t="shared" si="1"/>
        <v>4</v>
      </c>
      <c r="B78" s="85" t="s">
        <v>18</v>
      </c>
      <c r="C78" s="85" t="s">
        <v>255</v>
      </c>
      <c r="D78" s="85" t="s">
        <v>256</v>
      </c>
      <c r="E78" s="85" t="s">
        <v>276</v>
      </c>
      <c r="F78" s="85" t="s">
        <v>277</v>
      </c>
      <c r="G78" s="85" t="s">
        <v>278</v>
      </c>
      <c r="H78" s="85" t="s">
        <v>279</v>
      </c>
      <c r="I78" s="85" t="s">
        <v>280</v>
      </c>
      <c r="J78" s="88">
        <v>5000000</v>
      </c>
      <c r="K78" s="84" t="s">
        <v>261</v>
      </c>
      <c r="L78" s="85">
        <v>2978277</v>
      </c>
      <c r="M78" s="32" t="s">
        <v>97</v>
      </c>
      <c r="N78" s="85" t="s">
        <v>280</v>
      </c>
      <c r="O78" s="105">
        <v>10550000</v>
      </c>
      <c r="P78" s="85" t="s">
        <v>281</v>
      </c>
    </row>
    <row r="79" spans="1:16" ht="29" x14ac:dyDescent="0.35">
      <c r="A79" s="84">
        <f t="shared" si="1"/>
        <v>5</v>
      </c>
      <c r="B79" s="85" t="s">
        <v>18</v>
      </c>
      <c r="C79" s="85" t="s">
        <v>255</v>
      </c>
      <c r="D79" s="85" t="s">
        <v>256</v>
      </c>
      <c r="E79" s="85" t="s">
        <v>276</v>
      </c>
      <c r="F79" s="85" t="s">
        <v>282</v>
      </c>
      <c r="G79" s="85" t="s">
        <v>278</v>
      </c>
      <c r="H79" s="85" t="s">
        <v>283</v>
      </c>
      <c r="I79" s="85" t="s">
        <v>280</v>
      </c>
      <c r="J79" s="88">
        <v>5000000</v>
      </c>
      <c r="K79" s="84" t="s">
        <v>261</v>
      </c>
      <c r="L79" s="85">
        <v>2972587</v>
      </c>
      <c r="M79" s="32" t="s">
        <v>97</v>
      </c>
      <c r="N79" s="85" t="s">
        <v>280</v>
      </c>
      <c r="O79" s="105">
        <v>10550000</v>
      </c>
      <c r="P79" s="85" t="s">
        <v>281</v>
      </c>
    </row>
    <row r="80" spans="1:16" ht="43.5" x14ac:dyDescent="0.35">
      <c r="A80" s="84">
        <f t="shared" si="1"/>
        <v>6</v>
      </c>
      <c r="B80" s="85" t="s">
        <v>18</v>
      </c>
      <c r="C80" s="85" t="s">
        <v>37</v>
      </c>
      <c r="D80" s="85" t="s">
        <v>256</v>
      </c>
      <c r="E80" s="85" t="s">
        <v>284</v>
      </c>
      <c r="F80" s="85" t="s">
        <v>285</v>
      </c>
      <c r="G80" s="85" t="s">
        <v>238</v>
      </c>
      <c r="H80" s="85" t="s">
        <v>286</v>
      </c>
      <c r="I80" s="85"/>
      <c r="J80" s="86"/>
      <c r="K80" s="84" t="s">
        <v>261</v>
      </c>
      <c r="L80" s="85" t="s">
        <v>273</v>
      </c>
      <c r="M80" s="32" t="s">
        <v>97</v>
      </c>
      <c r="N80" s="85" t="s">
        <v>287</v>
      </c>
      <c r="O80" s="105">
        <v>129950000</v>
      </c>
      <c r="P80" s="85" t="s">
        <v>288</v>
      </c>
    </row>
    <row r="81" spans="1:16" ht="43.5" x14ac:dyDescent="0.35">
      <c r="A81" s="84">
        <f t="shared" si="1"/>
        <v>7</v>
      </c>
      <c r="B81" s="85" t="s">
        <v>18</v>
      </c>
      <c r="C81" s="85" t="s">
        <v>37</v>
      </c>
      <c r="D81" s="85" t="s">
        <v>256</v>
      </c>
      <c r="E81" s="85" t="s">
        <v>284</v>
      </c>
      <c r="F81" s="85" t="s">
        <v>289</v>
      </c>
      <c r="G81" s="85" t="s">
        <v>238</v>
      </c>
      <c r="H81" s="85" t="s">
        <v>290</v>
      </c>
      <c r="I81" s="85"/>
      <c r="J81" s="86"/>
      <c r="K81" s="84" t="s">
        <v>261</v>
      </c>
      <c r="L81" s="85" t="s">
        <v>273</v>
      </c>
      <c r="M81" s="32" t="s">
        <v>97</v>
      </c>
      <c r="N81" s="85" t="s">
        <v>287</v>
      </c>
      <c r="O81" s="105">
        <v>129950000</v>
      </c>
      <c r="P81" s="85" t="s">
        <v>288</v>
      </c>
    </row>
    <row r="82" spans="1:16" ht="43.5" x14ac:dyDescent="0.35">
      <c r="A82" s="84">
        <f t="shared" si="1"/>
        <v>8</v>
      </c>
      <c r="B82" s="85" t="s">
        <v>18</v>
      </c>
      <c r="C82" s="85" t="s">
        <v>255</v>
      </c>
      <c r="D82" s="85" t="s">
        <v>256</v>
      </c>
      <c r="E82" s="85" t="s">
        <v>291</v>
      </c>
      <c r="F82" s="85" t="s">
        <v>292</v>
      </c>
      <c r="G82" s="85" t="s">
        <v>101</v>
      </c>
      <c r="H82" s="85" t="s">
        <v>293</v>
      </c>
      <c r="I82" s="85" t="s">
        <v>294</v>
      </c>
      <c r="J82" s="88">
        <v>51000000</v>
      </c>
      <c r="K82" s="84" t="s">
        <v>261</v>
      </c>
      <c r="L82" s="85">
        <v>2821269</v>
      </c>
      <c r="M82" s="32" t="s">
        <v>97</v>
      </c>
      <c r="N82" s="85" t="s">
        <v>274</v>
      </c>
      <c r="O82" s="105">
        <f>16750000*3</f>
        <v>50250000</v>
      </c>
      <c r="P82" s="85" t="s">
        <v>295</v>
      </c>
    </row>
    <row r="83" spans="1:16" ht="39" x14ac:dyDescent="0.35">
      <c r="A83" s="89">
        <f t="shared" si="1"/>
        <v>9</v>
      </c>
      <c r="B83" s="90" t="s">
        <v>18</v>
      </c>
      <c r="C83" s="90" t="s">
        <v>255</v>
      </c>
      <c r="D83" s="85" t="s">
        <v>256</v>
      </c>
      <c r="E83" s="90" t="s">
        <v>296</v>
      </c>
      <c r="F83" s="90" t="s">
        <v>297</v>
      </c>
      <c r="G83" s="89" t="s">
        <v>298</v>
      </c>
      <c r="H83" s="89" t="s">
        <v>299</v>
      </c>
      <c r="I83" s="89" t="s">
        <v>35</v>
      </c>
      <c r="J83" s="91">
        <v>150000000</v>
      </c>
      <c r="K83" s="89" t="s">
        <v>261</v>
      </c>
      <c r="L83" s="89">
        <v>2942621</v>
      </c>
      <c r="M83" s="89" t="s">
        <v>109</v>
      </c>
      <c r="N83" s="93" t="s">
        <v>300</v>
      </c>
      <c r="O83" s="93">
        <v>134000000</v>
      </c>
      <c r="P83" s="87" t="s">
        <v>281</v>
      </c>
    </row>
    <row r="84" spans="1:16" ht="130.5" x14ac:dyDescent="0.35">
      <c r="A84" s="89">
        <f t="shared" si="1"/>
        <v>10</v>
      </c>
      <c r="B84" s="90" t="s">
        <v>18</v>
      </c>
      <c r="C84" s="90" t="s">
        <v>255</v>
      </c>
      <c r="D84" s="85" t="s">
        <v>256</v>
      </c>
      <c r="E84" s="90" t="s">
        <v>301</v>
      </c>
      <c r="F84" s="90" t="s">
        <v>302</v>
      </c>
      <c r="G84" s="89" t="s">
        <v>303</v>
      </c>
      <c r="H84" s="89" t="s">
        <v>304</v>
      </c>
      <c r="I84" s="89" t="s">
        <v>305</v>
      </c>
      <c r="J84" s="91">
        <v>25000000</v>
      </c>
      <c r="K84" s="89" t="s">
        <v>261</v>
      </c>
      <c r="L84" s="89">
        <v>2848845</v>
      </c>
      <c r="M84" s="89" t="s">
        <v>109</v>
      </c>
      <c r="N84" s="93" t="s">
        <v>25</v>
      </c>
      <c r="O84" s="119">
        <v>50000000</v>
      </c>
      <c r="P84" s="87" t="s">
        <v>306</v>
      </c>
    </row>
    <row r="85" spans="1:16" ht="130.5" x14ac:dyDescent="0.35">
      <c r="A85" s="96">
        <f t="shared" si="1"/>
        <v>11</v>
      </c>
      <c r="B85" s="97" t="s">
        <v>18</v>
      </c>
      <c r="C85" s="97" t="s">
        <v>255</v>
      </c>
      <c r="D85" s="98" t="s">
        <v>256</v>
      </c>
      <c r="E85" s="97" t="s">
        <v>301</v>
      </c>
      <c r="F85" s="97" t="s">
        <v>307</v>
      </c>
      <c r="G85" s="96" t="s">
        <v>308</v>
      </c>
      <c r="H85" s="96" t="s">
        <v>309</v>
      </c>
      <c r="I85" s="96" t="s">
        <v>310</v>
      </c>
      <c r="J85" s="99">
        <v>28000000</v>
      </c>
      <c r="K85" s="96" t="s">
        <v>261</v>
      </c>
      <c r="L85" s="96">
        <v>2909530</v>
      </c>
      <c r="M85" s="96" t="s">
        <v>109</v>
      </c>
      <c r="N85" s="100" t="s">
        <v>25</v>
      </c>
      <c r="O85" s="100"/>
      <c r="P85" s="101" t="s">
        <v>306</v>
      </c>
    </row>
    <row r="86" spans="1:16" ht="87" x14ac:dyDescent="0.35">
      <c r="A86" s="89">
        <f>A85+1</f>
        <v>12</v>
      </c>
      <c r="B86" s="90" t="s">
        <v>18</v>
      </c>
      <c r="C86" s="90" t="s">
        <v>255</v>
      </c>
      <c r="D86" s="85" t="s">
        <v>256</v>
      </c>
      <c r="E86" s="90" t="s">
        <v>311</v>
      </c>
      <c r="F86" s="90" t="s">
        <v>307</v>
      </c>
      <c r="G86" s="89" t="s">
        <v>308</v>
      </c>
      <c r="H86" s="89" t="s">
        <v>309</v>
      </c>
      <c r="I86" s="89" t="s">
        <v>312</v>
      </c>
      <c r="J86" s="91">
        <v>10000000</v>
      </c>
      <c r="K86" s="89" t="s">
        <v>261</v>
      </c>
      <c r="L86" s="89">
        <v>2910363</v>
      </c>
      <c r="M86" s="89" t="s">
        <v>109</v>
      </c>
      <c r="N86" s="93" t="s">
        <v>313</v>
      </c>
      <c r="O86" s="119"/>
      <c r="P86" s="87" t="s">
        <v>314</v>
      </c>
    </row>
    <row r="87" spans="1:16" ht="87" x14ac:dyDescent="0.35">
      <c r="A87" s="89">
        <f t="shared" si="1"/>
        <v>13</v>
      </c>
      <c r="B87" s="90" t="s">
        <v>18</v>
      </c>
      <c r="C87" s="90" t="s">
        <v>255</v>
      </c>
      <c r="D87" s="85" t="s">
        <v>256</v>
      </c>
      <c r="E87" s="90" t="s">
        <v>311</v>
      </c>
      <c r="F87" s="90" t="s">
        <v>315</v>
      </c>
      <c r="G87" s="89" t="s">
        <v>308</v>
      </c>
      <c r="H87" s="89" t="s">
        <v>316</v>
      </c>
      <c r="I87" s="89" t="s">
        <v>317</v>
      </c>
      <c r="J87" s="91">
        <v>100000000</v>
      </c>
      <c r="K87" s="89" t="s">
        <v>261</v>
      </c>
      <c r="L87" s="89">
        <v>2910429</v>
      </c>
      <c r="M87" s="89" t="s">
        <v>109</v>
      </c>
      <c r="N87" s="93" t="s">
        <v>313</v>
      </c>
      <c r="O87" s="119">
        <v>110000000</v>
      </c>
      <c r="P87" s="87" t="s">
        <v>314</v>
      </c>
    </row>
    <row r="88" spans="1:16" ht="72.5" x14ac:dyDescent="0.35">
      <c r="A88" s="89">
        <f t="shared" si="1"/>
        <v>14</v>
      </c>
      <c r="B88" s="90" t="s">
        <v>18</v>
      </c>
      <c r="C88" s="90" t="s">
        <v>255</v>
      </c>
      <c r="D88" s="85" t="s">
        <v>256</v>
      </c>
      <c r="E88" s="90" t="s">
        <v>318</v>
      </c>
      <c r="F88" s="90" t="s">
        <v>302</v>
      </c>
      <c r="G88" s="89" t="s">
        <v>319</v>
      </c>
      <c r="H88" s="89" t="s">
        <v>320</v>
      </c>
      <c r="I88" s="89" t="s">
        <v>321</v>
      </c>
      <c r="J88" s="91">
        <v>100000000</v>
      </c>
      <c r="K88" s="89" t="s">
        <v>261</v>
      </c>
      <c r="L88" s="89">
        <v>2915235</v>
      </c>
      <c r="M88" s="89" t="s">
        <v>109</v>
      </c>
      <c r="N88" s="93" t="s">
        <v>322</v>
      </c>
      <c r="O88" s="93">
        <v>100500000</v>
      </c>
      <c r="P88" s="87" t="s">
        <v>323</v>
      </c>
    </row>
    <row r="89" spans="1:16" ht="101.5" x14ac:dyDescent="0.35">
      <c r="A89" s="89">
        <f t="shared" si="1"/>
        <v>15</v>
      </c>
      <c r="B89" s="90" t="s">
        <v>18</v>
      </c>
      <c r="C89" s="90" t="s">
        <v>255</v>
      </c>
      <c r="D89" s="85" t="s">
        <v>256</v>
      </c>
      <c r="E89" s="90" t="s">
        <v>301</v>
      </c>
      <c r="F89" s="90" t="s">
        <v>324</v>
      </c>
      <c r="G89" s="89" t="s">
        <v>325</v>
      </c>
      <c r="H89" s="89" t="s">
        <v>326</v>
      </c>
      <c r="I89" s="89" t="s">
        <v>327</v>
      </c>
      <c r="J89" s="91">
        <v>120000000</v>
      </c>
      <c r="K89" s="89" t="s">
        <v>261</v>
      </c>
      <c r="L89" s="89">
        <v>3149918</v>
      </c>
      <c r="M89" s="89" t="s">
        <v>109</v>
      </c>
      <c r="N89" s="93" t="s">
        <v>328</v>
      </c>
      <c r="O89" s="93">
        <v>117250000</v>
      </c>
      <c r="P89" s="87" t="s">
        <v>329</v>
      </c>
    </row>
    <row r="90" spans="1:16" ht="39" x14ac:dyDescent="0.35">
      <c r="A90" s="89">
        <f t="shared" si="1"/>
        <v>16</v>
      </c>
      <c r="B90" s="90" t="s">
        <v>18</v>
      </c>
      <c r="C90" s="90" t="s">
        <v>255</v>
      </c>
      <c r="D90" s="85" t="s">
        <v>256</v>
      </c>
      <c r="E90" s="90" t="s">
        <v>301</v>
      </c>
      <c r="F90" s="90" t="s">
        <v>330</v>
      </c>
      <c r="G90" s="89" t="s">
        <v>325</v>
      </c>
      <c r="H90" s="89" t="s">
        <v>331</v>
      </c>
      <c r="I90" s="89" t="s">
        <v>327</v>
      </c>
      <c r="J90" s="91">
        <v>120000000</v>
      </c>
      <c r="K90" s="89" t="s">
        <v>261</v>
      </c>
      <c r="L90" s="89">
        <v>2871486</v>
      </c>
      <c r="M90" s="89" t="s">
        <v>109</v>
      </c>
      <c r="N90" s="93" t="s">
        <v>322</v>
      </c>
      <c r="O90" s="93">
        <v>100500000</v>
      </c>
      <c r="P90" s="87"/>
    </row>
    <row r="91" spans="1:16" ht="43.5" x14ac:dyDescent="0.35">
      <c r="A91" s="89">
        <f t="shared" si="1"/>
        <v>17</v>
      </c>
      <c r="B91" s="90" t="s">
        <v>18</v>
      </c>
      <c r="C91" s="90" t="s">
        <v>255</v>
      </c>
      <c r="D91" s="85" t="s">
        <v>256</v>
      </c>
      <c r="E91" s="90" t="s">
        <v>332</v>
      </c>
      <c r="F91" s="90" t="s">
        <v>333</v>
      </c>
      <c r="G91" s="89" t="s">
        <v>334</v>
      </c>
      <c r="H91" s="89" t="s">
        <v>335</v>
      </c>
      <c r="I91" s="89" t="s">
        <v>336</v>
      </c>
      <c r="J91" s="91">
        <v>20000000</v>
      </c>
      <c r="K91" s="89" t="s">
        <v>261</v>
      </c>
      <c r="L91" s="89">
        <v>2824567</v>
      </c>
      <c r="M91" s="89" t="s">
        <v>109</v>
      </c>
      <c r="N91" s="93" t="s">
        <v>25</v>
      </c>
      <c r="O91" s="119">
        <v>0</v>
      </c>
      <c r="P91" s="87" t="s">
        <v>337</v>
      </c>
    </row>
    <row r="92" spans="1:16" ht="43.5" x14ac:dyDescent="0.35">
      <c r="A92" s="84">
        <f t="shared" si="1"/>
        <v>18</v>
      </c>
      <c r="B92" s="85" t="s">
        <v>18</v>
      </c>
      <c r="C92" s="85" t="s">
        <v>255</v>
      </c>
      <c r="D92" s="85" t="s">
        <v>256</v>
      </c>
      <c r="E92" s="85" t="s">
        <v>296</v>
      </c>
      <c r="F92" s="85" t="s">
        <v>338</v>
      </c>
      <c r="G92" s="84" t="s">
        <v>339</v>
      </c>
      <c r="H92" s="84" t="s">
        <v>340</v>
      </c>
      <c r="I92" s="84" t="s">
        <v>341</v>
      </c>
      <c r="J92" s="94">
        <v>100000000</v>
      </c>
      <c r="K92" s="84" t="s">
        <v>261</v>
      </c>
      <c r="L92" s="84">
        <v>2935974</v>
      </c>
      <c r="M92" s="84" t="s">
        <v>27</v>
      </c>
      <c r="N92" s="84" t="s">
        <v>342</v>
      </c>
      <c r="O92" s="93">
        <v>134000000</v>
      </c>
      <c r="P92" s="87"/>
    </row>
    <row r="93" spans="1:16" ht="29" x14ac:dyDescent="0.35">
      <c r="A93" s="84">
        <f t="shared" si="1"/>
        <v>19</v>
      </c>
      <c r="B93" s="85" t="s">
        <v>18</v>
      </c>
      <c r="C93" s="85" t="s">
        <v>255</v>
      </c>
      <c r="D93" s="85" t="s">
        <v>256</v>
      </c>
      <c r="E93" s="85" t="s">
        <v>343</v>
      </c>
      <c r="F93" s="85" t="s">
        <v>344</v>
      </c>
      <c r="G93" s="84" t="s">
        <v>345</v>
      </c>
      <c r="H93" s="84" t="s">
        <v>346</v>
      </c>
      <c r="I93" s="84" t="s">
        <v>347</v>
      </c>
      <c r="J93" s="94">
        <v>30000000</v>
      </c>
      <c r="K93" s="84" t="s">
        <v>261</v>
      </c>
      <c r="L93" s="84">
        <v>2963095</v>
      </c>
      <c r="M93" s="84" t="s">
        <v>27</v>
      </c>
      <c r="N93" s="84" t="s">
        <v>348</v>
      </c>
      <c r="O93" s="119">
        <v>50000000</v>
      </c>
      <c r="P93" s="87"/>
    </row>
    <row r="94" spans="1:16" ht="29" x14ac:dyDescent="0.35">
      <c r="A94" s="84">
        <f t="shared" si="1"/>
        <v>20</v>
      </c>
      <c r="B94" s="85" t="s">
        <v>18</v>
      </c>
      <c r="C94" s="85" t="s">
        <v>255</v>
      </c>
      <c r="D94" s="85" t="s">
        <v>256</v>
      </c>
      <c r="E94" s="85" t="s">
        <v>349</v>
      </c>
      <c r="F94" s="85" t="s">
        <v>350</v>
      </c>
      <c r="G94" s="84" t="s">
        <v>351</v>
      </c>
      <c r="H94" s="84" t="s">
        <v>352</v>
      </c>
      <c r="I94" s="84" t="s">
        <v>353</v>
      </c>
      <c r="J94" s="94" t="s">
        <v>48</v>
      </c>
      <c r="K94" s="84" t="s">
        <v>261</v>
      </c>
      <c r="L94" s="84">
        <v>2959291</v>
      </c>
      <c r="M94" s="84" t="s">
        <v>27</v>
      </c>
      <c r="N94" s="84"/>
      <c r="O94" s="93">
        <v>110000000</v>
      </c>
      <c r="P94" s="85"/>
    </row>
    <row r="95" spans="1:16" ht="29" x14ac:dyDescent="0.35">
      <c r="A95" s="84">
        <f t="shared" si="1"/>
        <v>21</v>
      </c>
      <c r="B95" s="85" t="s">
        <v>18</v>
      </c>
      <c r="C95" s="85" t="s">
        <v>255</v>
      </c>
      <c r="D95" s="85" t="s">
        <v>256</v>
      </c>
      <c r="E95" s="85" t="s">
        <v>354</v>
      </c>
      <c r="F95" s="85" t="s">
        <v>355</v>
      </c>
      <c r="G95" s="85" t="s">
        <v>356</v>
      </c>
      <c r="H95" s="92" t="s">
        <v>357</v>
      </c>
      <c r="I95" s="85" t="s">
        <v>358</v>
      </c>
      <c r="J95" s="102">
        <v>35000000</v>
      </c>
      <c r="K95" s="84" t="s">
        <v>261</v>
      </c>
      <c r="L95" s="85" t="s">
        <v>359</v>
      </c>
      <c r="M95" s="84" t="s">
        <v>27</v>
      </c>
      <c r="N95" s="85" t="s">
        <v>313</v>
      </c>
      <c r="O95" s="344">
        <v>50000000</v>
      </c>
      <c r="P95" s="85"/>
    </row>
    <row r="96" spans="1:16" ht="29" x14ac:dyDescent="0.35">
      <c r="A96" s="103">
        <f t="shared" si="1"/>
        <v>22</v>
      </c>
      <c r="B96" s="85" t="s">
        <v>18</v>
      </c>
      <c r="C96" s="85" t="s">
        <v>255</v>
      </c>
      <c r="D96" s="85" t="s">
        <v>256</v>
      </c>
      <c r="E96" s="85" t="s">
        <v>360</v>
      </c>
      <c r="F96" s="85" t="s">
        <v>140</v>
      </c>
      <c r="G96" s="84" t="s">
        <v>361</v>
      </c>
      <c r="H96" s="84" t="s">
        <v>362</v>
      </c>
      <c r="I96" s="84">
        <v>20</v>
      </c>
      <c r="J96" s="94">
        <v>20000000</v>
      </c>
      <c r="K96" s="84" t="s">
        <v>261</v>
      </c>
      <c r="L96" s="84">
        <v>2820196</v>
      </c>
      <c r="M96" s="84" t="s">
        <v>144</v>
      </c>
      <c r="N96" s="84" t="s">
        <v>122</v>
      </c>
      <c r="O96" s="119">
        <v>50000000</v>
      </c>
      <c r="P96" s="104"/>
    </row>
    <row r="97" spans="1:16" ht="43.5" x14ac:dyDescent="0.35">
      <c r="A97" s="103">
        <f t="shared" si="1"/>
        <v>23</v>
      </c>
      <c r="B97" s="85" t="s">
        <v>18</v>
      </c>
      <c r="C97" s="85" t="s">
        <v>255</v>
      </c>
      <c r="D97" s="85" t="s">
        <v>256</v>
      </c>
      <c r="E97" s="85" t="s">
        <v>363</v>
      </c>
      <c r="F97" s="85" t="s">
        <v>140</v>
      </c>
      <c r="G97" s="84" t="s">
        <v>364</v>
      </c>
      <c r="H97" s="84" t="s">
        <v>365</v>
      </c>
      <c r="I97" s="84" t="s">
        <v>366</v>
      </c>
      <c r="J97" s="94">
        <v>50000000</v>
      </c>
      <c r="K97" s="84" t="s">
        <v>261</v>
      </c>
      <c r="L97" s="84">
        <v>2928196</v>
      </c>
      <c r="M97" s="84" t="s">
        <v>144</v>
      </c>
      <c r="N97" s="84" t="s">
        <v>274</v>
      </c>
      <c r="O97" s="93">
        <v>50000000</v>
      </c>
      <c r="P97" s="104"/>
    </row>
    <row r="98" spans="1:16" ht="29" x14ac:dyDescent="0.35">
      <c r="A98" s="103">
        <f t="shared" si="1"/>
        <v>24</v>
      </c>
      <c r="B98" s="85" t="s">
        <v>18</v>
      </c>
      <c r="C98" s="85" t="s">
        <v>255</v>
      </c>
      <c r="D98" s="85" t="s">
        <v>256</v>
      </c>
      <c r="E98" s="85" t="s">
        <v>367</v>
      </c>
      <c r="F98" s="85" t="s">
        <v>368</v>
      </c>
      <c r="G98" s="84" t="s">
        <v>364</v>
      </c>
      <c r="H98" s="84" t="s">
        <v>369</v>
      </c>
      <c r="I98" s="84" t="s">
        <v>370</v>
      </c>
      <c r="J98" s="94">
        <v>100000000</v>
      </c>
      <c r="K98" s="84" t="s">
        <v>261</v>
      </c>
      <c r="L98" s="84">
        <v>2928393</v>
      </c>
      <c r="M98" s="84" t="s">
        <v>144</v>
      </c>
      <c r="N98" s="84" t="s">
        <v>370</v>
      </c>
      <c r="O98" s="93">
        <v>100000000</v>
      </c>
      <c r="P98" s="104"/>
    </row>
    <row r="99" spans="1:16" ht="29" x14ac:dyDescent="0.35">
      <c r="A99" s="103">
        <f t="shared" si="1"/>
        <v>25</v>
      </c>
      <c r="B99" s="85" t="s">
        <v>18</v>
      </c>
      <c r="C99" s="85" t="s">
        <v>255</v>
      </c>
      <c r="D99" s="85" t="s">
        <v>256</v>
      </c>
      <c r="E99" s="85" t="s">
        <v>367</v>
      </c>
      <c r="F99" s="85" t="s">
        <v>140</v>
      </c>
      <c r="G99" s="84" t="s">
        <v>364</v>
      </c>
      <c r="H99" s="84" t="s">
        <v>371</v>
      </c>
      <c r="I99" s="84" t="s">
        <v>370</v>
      </c>
      <c r="J99" s="94">
        <v>100000000</v>
      </c>
      <c r="K99" s="84" t="s">
        <v>261</v>
      </c>
      <c r="L99" s="84">
        <v>2929100</v>
      </c>
      <c r="M99" s="84" t="s">
        <v>144</v>
      </c>
      <c r="N99" s="84" t="s">
        <v>370</v>
      </c>
      <c r="O99" s="93">
        <v>100000000</v>
      </c>
      <c r="P99" s="104"/>
    </row>
    <row r="100" spans="1:16" ht="29" x14ac:dyDescent="0.35">
      <c r="A100" s="84">
        <f t="shared" si="1"/>
        <v>26</v>
      </c>
      <c r="B100" s="85" t="s">
        <v>18</v>
      </c>
      <c r="C100" s="85" t="s">
        <v>255</v>
      </c>
      <c r="D100" s="85" t="s">
        <v>256</v>
      </c>
      <c r="E100" s="85" t="s">
        <v>372</v>
      </c>
      <c r="F100" s="85" t="s">
        <v>373</v>
      </c>
      <c r="G100" s="85" t="s">
        <v>374</v>
      </c>
      <c r="H100" s="85" t="s">
        <v>375</v>
      </c>
      <c r="I100" s="85" t="s">
        <v>35</v>
      </c>
      <c r="J100" s="102">
        <v>25000000</v>
      </c>
      <c r="K100" s="84" t="s">
        <v>261</v>
      </c>
      <c r="L100" s="85">
        <v>2911253</v>
      </c>
      <c r="M100" s="84" t="s">
        <v>46</v>
      </c>
      <c r="N100" s="105" t="s">
        <v>376</v>
      </c>
      <c r="O100" s="282"/>
      <c r="P100" s="85" t="s">
        <v>377</v>
      </c>
    </row>
    <row r="101" spans="1:16" ht="29" x14ac:dyDescent="0.35">
      <c r="A101" s="84">
        <f t="shared" si="1"/>
        <v>27</v>
      </c>
      <c r="B101" s="85" t="s">
        <v>18</v>
      </c>
      <c r="C101" s="85" t="s">
        <v>255</v>
      </c>
      <c r="D101" s="85" t="s">
        <v>256</v>
      </c>
      <c r="E101" s="85" t="s">
        <v>372</v>
      </c>
      <c r="F101" s="85" t="s">
        <v>373</v>
      </c>
      <c r="G101" s="85" t="s">
        <v>374</v>
      </c>
      <c r="H101" s="85" t="s">
        <v>378</v>
      </c>
      <c r="I101" s="85" t="s">
        <v>35</v>
      </c>
      <c r="J101" s="102">
        <v>25000000</v>
      </c>
      <c r="K101" s="84" t="s">
        <v>261</v>
      </c>
      <c r="L101" s="85">
        <v>2911253</v>
      </c>
      <c r="M101" s="84" t="s">
        <v>46</v>
      </c>
      <c r="N101" s="105" t="s">
        <v>376</v>
      </c>
      <c r="O101" s="282"/>
      <c r="P101" s="85" t="s">
        <v>377</v>
      </c>
    </row>
    <row r="102" spans="1:16" ht="29" x14ac:dyDescent="0.35">
      <c r="A102" s="84">
        <f t="shared" si="1"/>
        <v>28</v>
      </c>
      <c r="B102" s="85" t="s">
        <v>18</v>
      </c>
      <c r="C102" s="85" t="s">
        <v>255</v>
      </c>
      <c r="D102" s="85" t="s">
        <v>256</v>
      </c>
      <c r="E102" s="85" t="s">
        <v>372</v>
      </c>
      <c r="F102" s="85" t="s">
        <v>373</v>
      </c>
      <c r="G102" s="85" t="s">
        <v>374</v>
      </c>
      <c r="H102" s="85" t="s">
        <v>379</v>
      </c>
      <c r="I102" s="85" t="s">
        <v>35</v>
      </c>
      <c r="J102" s="102">
        <v>25000000</v>
      </c>
      <c r="K102" s="84" t="s">
        <v>261</v>
      </c>
      <c r="L102" s="85">
        <v>2911253</v>
      </c>
      <c r="M102" s="84" t="s">
        <v>46</v>
      </c>
      <c r="N102" s="105" t="s">
        <v>376</v>
      </c>
      <c r="O102" s="282"/>
      <c r="P102" s="85" t="s">
        <v>377</v>
      </c>
    </row>
    <row r="103" spans="1:16" ht="29" x14ac:dyDescent="0.35">
      <c r="A103" s="84">
        <f t="shared" si="1"/>
        <v>29</v>
      </c>
      <c r="B103" s="85" t="s">
        <v>18</v>
      </c>
      <c r="C103" s="85" t="s">
        <v>255</v>
      </c>
      <c r="D103" s="85" t="s">
        <v>256</v>
      </c>
      <c r="E103" s="85" t="s">
        <v>372</v>
      </c>
      <c r="F103" s="85" t="s">
        <v>373</v>
      </c>
      <c r="G103" s="85" t="s">
        <v>374</v>
      </c>
      <c r="H103" s="106" t="s">
        <v>380</v>
      </c>
      <c r="I103" s="85" t="s">
        <v>35</v>
      </c>
      <c r="J103" s="102">
        <v>25000000</v>
      </c>
      <c r="K103" s="84" t="s">
        <v>261</v>
      </c>
      <c r="L103" s="85">
        <v>2911253</v>
      </c>
      <c r="M103" s="84" t="s">
        <v>46</v>
      </c>
      <c r="N103" s="105" t="s">
        <v>376</v>
      </c>
      <c r="O103" s="282">
        <f>16750000*7</f>
        <v>117250000</v>
      </c>
      <c r="P103" s="85" t="s">
        <v>377</v>
      </c>
    </row>
    <row r="104" spans="1:16" ht="29" x14ac:dyDescent="0.35">
      <c r="A104" s="84">
        <f t="shared" si="1"/>
        <v>30</v>
      </c>
      <c r="B104" s="85" t="s">
        <v>18</v>
      </c>
      <c r="C104" s="85" t="s">
        <v>255</v>
      </c>
      <c r="D104" s="85" t="s">
        <v>256</v>
      </c>
      <c r="E104" s="85" t="s">
        <v>372</v>
      </c>
      <c r="F104" s="85" t="s">
        <v>373</v>
      </c>
      <c r="G104" s="85" t="s">
        <v>374</v>
      </c>
      <c r="H104" s="106" t="s">
        <v>381</v>
      </c>
      <c r="I104" s="85" t="s">
        <v>35</v>
      </c>
      <c r="J104" s="102">
        <v>25000000</v>
      </c>
      <c r="K104" s="84" t="s">
        <v>261</v>
      </c>
      <c r="L104" s="85">
        <v>2911253</v>
      </c>
      <c r="M104" s="84" t="s">
        <v>46</v>
      </c>
      <c r="N104" s="105" t="s">
        <v>376</v>
      </c>
      <c r="O104" s="282"/>
      <c r="P104" s="85" t="s">
        <v>377</v>
      </c>
    </row>
    <row r="105" spans="1:16" ht="29" x14ac:dyDescent="0.35">
      <c r="A105" s="84">
        <f t="shared" si="1"/>
        <v>31</v>
      </c>
      <c r="B105" s="85" t="s">
        <v>18</v>
      </c>
      <c r="C105" s="85" t="s">
        <v>255</v>
      </c>
      <c r="D105" s="85" t="s">
        <v>256</v>
      </c>
      <c r="E105" s="85" t="s">
        <v>372</v>
      </c>
      <c r="F105" s="85" t="s">
        <v>373</v>
      </c>
      <c r="G105" s="85" t="s">
        <v>374</v>
      </c>
      <c r="H105" s="85" t="s">
        <v>382</v>
      </c>
      <c r="I105" s="85" t="s">
        <v>35</v>
      </c>
      <c r="J105" s="102">
        <v>25000000</v>
      </c>
      <c r="K105" s="84" t="s">
        <v>261</v>
      </c>
      <c r="L105" s="85">
        <v>2911253</v>
      </c>
      <c r="M105" s="84" t="s">
        <v>46</v>
      </c>
      <c r="N105" s="105" t="s">
        <v>376</v>
      </c>
      <c r="O105" s="282"/>
      <c r="P105" s="85" t="s">
        <v>377</v>
      </c>
    </row>
    <row r="106" spans="1:16" ht="29" x14ac:dyDescent="0.35">
      <c r="A106" s="84">
        <f t="shared" si="1"/>
        <v>32</v>
      </c>
      <c r="B106" s="85" t="s">
        <v>18</v>
      </c>
      <c r="C106" s="85" t="s">
        <v>255</v>
      </c>
      <c r="D106" s="85" t="s">
        <v>256</v>
      </c>
      <c r="E106" s="85" t="s">
        <v>372</v>
      </c>
      <c r="F106" s="85" t="s">
        <v>373</v>
      </c>
      <c r="G106" s="85" t="s">
        <v>374</v>
      </c>
      <c r="H106" s="85" t="s">
        <v>383</v>
      </c>
      <c r="I106" s="85" t="s">
        <v>35</v>
      </c>
      <c r="J106" s="102">
        <v>25000000</v>
      </c>
      <c r="K106" s="84" t="s">
        <v>261</v>
      </c>
      <c r="L106" s="85">
        <v>2911253</v>
      </c>
      <c r="M106" s="84" t="s">
        <v>46</v>
      </c>
      <c r="N106" s="105" t="s">
        <v>376</v>
      </c>
      <c r="O106" s="282"/>
      <c r="P106" s="85" t="s">
        <v>377</v>
      </c>
    </row>
    <row r="107" spans="1:16" ht="58" x14ac:dyDescent="0.35">
      <c r="A107" s="84">
        <f t="shared" si="1"/>
        <v>33</v>
      </c>
      <c r="B107" s="85" t="s">
        <v>18</v>
      </c>
      <c r="C107" s="85" t="s">
        <v>255</v>
      </c>
      <c r="D107" s="85" t="s">
        <v>256</v>
      </c>
      <c r="E107" s="85" t="s">
        <v>384</v>
      </c>
      <c r="F107" s="85"/>
      <c r="G107" s="85" t="s">
        <v>44</v>
      </c>
      <c r="H107" s="85" t="s">
        <v>385</v>
      </c>
      <c r="I107" s="85" t="s">
        <v>28</v>
      </c>
      <c r="J107" s="102">
        <v>18000000</v>
      </c>
      <c r="K107" s="84" t="s">
        <v>261</v>
      </c>
      <c r="L107" s="85">
        <v>3008964</v>
      </c>
      <c r="M107" s="84" t="s">
        <v>46</v>
      </c>
      <c r="N107" s="105" t="s">
        <v>376</v>
      </c>
      <c r="O107" s="345"/>
      <c r="P107" s="85" t="s">
        <v>386</v>
      </c>
    </row>
    <row r="108" spans="1:16" ht="58" x14ac:dyDescent="0.35">
      <c r="A108" s="84">
        <f t="shared" si="1"/>
        <v>34</v>
      </c>
      <c r="B108" s="85" t="s">
        <v>18</v>
      </c>
      <c r="C108" s="85" t="s">
        <v>255</v>
      </c>
      <c r="D108" s="85" t="s">
        <v>256</v>
      </c>
      <c r="E108" s="85" t="s">
        <v>384</v>
      </c>
      <c r="F108" s="85"/>
      <c r="G108" s="85" t="s">
        <v>44</v>
      </c>
      <c r="H108" s="85" t="s">
        <v>45</v>
      </c>
      <c r="I108" s="85" t="s">
        <v>28</v>
      </c>
      <c r="J108" s="102">
        <v>18000000</v>
      </c>
      <c r="K108" s="84" t="s">
        <v>261</v>
      </c>
      <c r="L108" s="85">
        <v>3008964</v>
      </c>
      <c r="M108" s="84" t="s">
        <v>46</v>
      </c>
      <c r="N108" s="105" t="s">
        <v>376</v>
      </c>
      <c r="O108" s="345">
        <f>16750000*3</f>
        <v>50250000</v>
      </c>
      <c r="P108" s="85" t="s">
        <v>386</v>
      </c>
    </row>
    <row r="109" spans="1:16" ht="58" x14ac:dyDescent="0.35">
      <c r="A109" s="84">
        <f t="shared" si="1"/>
        <v>35</v>
      </c>
      <c r="B109" s="85" t="s">
        <v>18</v>
      </c>
      <c r="C109" s="85" t="s">
        <v>255</v>
      </c>
      <c r="D109" s="85" t="s">
        <v>256</v>
      </c>
      <c r="E109" s="85" t="s">
        <v>387</v>
      </c>
      <c r="F109" s="85"/>
      <c r="G109" s="85" t="s">
        <v>44</v>
      </c>
      <c r="H109" s="85" t="s">
        <v>45</v>
      </c>
      <c r="I109" s="85" t="s">
        <v>28</v>
      </c>
      <c r="J109" s="102">
        <v>18000000</v>
      </c>
      <c r="K109" s="84" t="s">
        <v>261</v>
      </c>
      <c r="L109" s="85">
        <v>2834043</v>
      </c>
      <c r="M109" s="84" t="s">
        <v>46</v>
      </c>
      <c r="N109" s="105" t="s">
        <v>376</v>
      </c>
      <c r="O109" s="345"/>
      <c r="P109" s="85" t="s">
        <v>386</v>
      </c>
    </row>
    <row r="110" spans="1:16" ht="43.5" x14ac:dyDescent="0.35">
      <c r="A110" s="84">
        <f t="shared" si="1"/>
        <v>36</v>
      </c>
      <c r="B110" s="85" t="s">
        <v>18</v>
      </c>
      <c r="C110" s="85" t="s">
        <v>255</v>
      </c>
      <c r="D110" s="85" t="s">
        <v>256</v>
      </c>
      <c r="E110" s="85" t="s">
        <v>301</v>
      </c>
      <c r="F110" s="85" t="s">
        <v>388</v>
      </c>
      <c r="G110" s="85" t="s">
        <v>389</v>
      </c>
      <c r="H110" s="85" t="s">
        <v>390</v>
      </c>
      <c r="I110" s="85">
        <v>1</v>
      </c>
      <c r="J110" s="102">
        <v>25000000</v>
      </c>
      <c r="K110" s="84" t="s">
        <v>261</v>
      </c>
      <c r="L110" s="85">
        <v>3008871</v>
      </c>
      <c r="M110" s="84" t="s">
        <v>46</v>
      </c>
      <c r="N110" s="105" t="s">
        <v>376</v>
      </c>
      <c r="O110" s="344"/>
      <c r="P110" s="85" t="s">
        <v>377</v>
      </c>
    </row>
    <row r="111" spans="1:16" ht="43.5" x14ac:dyDescent="0.35">
      <c r="A111" s="84">
        <f t="shared" si="1"/>
        <v>37</v>
      </c>
      <c r="B111" s="85" t="s">
        <v>18</v>
      </c>
      <c r="C111" s="85" t="s">
        <v>255</v>
      </c>
      <c r="D111" s="85" t="s">
        <v>256</v>
      </c>
      <c r="E111" s="85" t="s">
        <v>301</v>
      </c>
      <c r="F111" s="85" t="s">
        <v>388</v>
      </c>
      <c r="G111" s="85" t="s">
        <v>389</v>
      </c>
      <c r="H111" s="85" t="s">
        <v>391</v>
      </c>
      <c r="I111" s="85">
        <v>1</v>
      </c>
      <c r="J111" s="102">
        <v>25000000</v>
      </c>
      <c r="K111" s="84" t="s">
        <v>261</v>
      </c>
      <c r="L111" s="85">
        <v>3008871</v>
      </c>
      <c r="M111" s="84" t="s">
        <v>46</v>
      </c>
      <c r="N111" s="105" t="s">
        <v>376</v>
      </c>
      <c r="O111" s="344"/>
      <c r="P111" s="85" t="s">
        <v>377</v>
      </c>
    </row>
    <row r="112" spans="1:16" ht="43.5" x14ac:dyDescent="0.35">
      <c r="A112" s="84">
        <f t="shared" si="1"/>
        <v>38</v>
      </c>
      <c r="B112" s="85" t="s">
        <v>18</v>
      </c>
      <c r="C112" s="85" t="s">
        <v>255</v>
      </c>
      <c r="D112" s="85" t="s">
        <v>256</v>
      </c>
      <c r="E112" s="85" t="s">
        <v>301</v>
      </c>
      <c r="F112" s="85" t="s">
        <v>388</v>
      </c>
      <c r="G112" s="85" t="s">
        <v>389</v>
      </c>
      <c r="H112" s="85" t="s">
        <v>392</v>
      </c>
      <c r="I112" s="85">
        <v>1</v>
      </c>
      <c r="J112" s="102">
        <v>25000000</v>
      </c>
      <c r="K112" s="84" t="s">
        <v>261</v>
      </c>
      <c r="L112" s="85">
        <v>3008871</v>
      </c>
      <c r="M112" s="84" t="s">
        <v>46</v>
      </c>
      <c r="N112" s="105" t="s">
        <v>376</v>
      </c>
      <c r="O112" s="344"/>
      <c r="P112" s="85" t="s">
        <v>377</v>
      </c>
    </row>
    <row r="113" spans="1:16" ht="43.5" x14ac:dyDescent="0.35">
      <c r="A113" s="84">
        <f t="shared" si="1"/>
        <v>39</v>
      </c>
      <c r="B113" s="85" t="s">
        <v>18</v>
      </c>
      <c r="C113" s="85" t="s">
        <v>255</v>
      </c>
      <c r="D113" s="85" t="s">
        <v>256</v>
      </c>
      <c r="E113" s="85" t="s">
        <v>301</v>
      </c>
      <c r="F113" s="85" t="s">
        <v>388</v>
      </c>
      <c r="G113" s="85" t="s">
        <v>389</v>
      </c>
      <c r="H113" s="85" t="s">
        <v>393</v>
      </c>
      <c r="I113" s="85">
        <v>1</v>
      </c>
      <c r="J113" s="102">
        <v>25000000</v>
      </c>
      <c r="K113" s="84" t="s">
        <v>261</v>
      </c>
      <c r="L113" s="85">
        <v>3008871</v>
      </c>
      <c r="M113" s="84" t="s">
        <v>46</v>
      </c>
      <c r="N113" s="105" t="s">
        <v>376</v>
      </c>
      <c r="O113" s="344"/>
      <c r="P113" s="85" t="s">
        <v>377</v>
      </c>
    </row>
    <row r="114" spans="1:16" ht="43.5" x14ac:dyDescent="0.35">
      <c r="A114" s="84">
        <f t="shared" si="1"/>
        <v>40</v>
      </c>
      <c r="B114" s="85" t="s">
        <v>18</v>
      </c>
      <c r="C114" s="85" t="s">
        <v>255</v>
      </c>
      <c r="D114" s="85" t="s">
        <v>256</v>
      </c>
      <c r="E114" s="85" t="s">
        <v>301</v>
      </c>
      <c r="F114" s="85" t="s">
        <v>388</v>
      </c>
      <c r="G114" s="85" t="s">
        <v>389</v>
      </c>
      <c r="H114" s="85" t="s">
        <v>394</v>
      </c>
      <c r="I114" s="85">
        <v>1</v>
      </c>
      <c r="J114" s="102">
        <v>25000000</v>
      </c>
      <c r="K114" s="84" t="s">
        <v>261</v>
      </c>
      <c r="L114" s="85">
        <v>3008871</v>
      </c>
      <c r="M114" s="84" t="s">
        <v>46</v>
      </c>
      <c r="N114" s="105" t="s">
        <v>376</v>
      </c>
      <c r="O114" s="344">
        <f>16750000*9</f>
        <v>150750000</v>
      </c>
      <c r="P114" s="85" t="s">
        <v>395</v>
      </c>
    </row>
    <row r="115" spans="1:16" ht="43.5" x14ac:dyDescent="0.35">
      <c r="A115" s="84">
        <f t="shared" si="1"/>
        <v>41</v>
      </c>
      <c r="B115" s="85" t="s">
        <v>18</v>
      </c>
      <c r="C115" s="85" t="s">
        <v>255</v>
      </c>
      <c r="D115" s="85" t="s">
        <v>256</v>
      </c>
      <c r="E115" s="85" t="s">
        <v>301</v>
      </c>
      <c r="F115" s="85" t="s">
        <v>388</v>
      </c>
      <c r="G115" s="85" t="s">
        <v>389</v>
      </c>
      <c r="H115" s="85" t="s">
        <v>396</v>
      </c>
      <c r="I115" s="85">
        <v>1</v>
      </c>
      <c r="J115" s="102">
        <v>25000000</v>
      </c>
      <c r="K115" s="84" t="s">
        <v>261</v>
      </c>
      <c r="L115" s="85">
        <v>3008871</v>
      </c>
      <c r="M115" s="84" t="s">
        <v>46</v>
      </c>
      <c r="N115" s="105" t="s">
        <v>376</v>
      </c>
      <c r="O115" s="344"/>
      <c r="P115" s="85" t="s">
        <v>395</v>
      </c>
    </row>
    <row r="116" spans="1:16" ht="43.5" x14ac:dyDescent="0.35">
      <c r="A116" s="84">
        <f t="shared" si="1"/>
        <v>42</v>
      </c>
      <c r="B116" s="85" t="s">
        <v>18</v>
      </c>
      <c r="C116" s="85" t="s">
        <v>255</v>
      </c>
      <c r="D116" s="85" t="s">
        <v>256</v>
      </c>
      <c r="E116" s="85" t="s">
        <v>301</v>
      </c>
      <c r="F116" s="85" t="s">
        <v>388</v>
      </c>
      <c r="G116" s="85" t="s">
        <v>389</v>
      </c>
      <c r="H116" s="85" t="s">
        <v>397</v>
      </c>
      <c r="I116" s="85">
        <v>1</v>
      </c>
      <c r="J116" s="102">
        <v>25000000</v>
      </c>
      <c r="K116" s="84" t="s">
        <v>261</v>
      </c>
      <c r="L116" s="85">
        <v>3008871</v>
      </c>
      <c r="M116" s="84" t="s">
        <v>46</v>
      </c>
      <c r="N116" s="105" t="s">
        <v>376</v>
      </c>
      <c r="O116" s="344"/>
      <c r="P116" s="85" t="s">
        <v>395</v>
      </c>
    </row>
    <row r="117" spans="1:16" ht="43.5" x14ac:dyDescent="0.35">
      <c r="A117" s="84">
        <f t="shared" si="1"/>
        <v>43</v>
      </c>
      <c r="B117" s="85" t="s">
        <v>18</v>
      </c>
      <c r="C117" s="85" t="s">
        <v>255</v>
      </c>
      <c r="D117" s="85" t="s">
        <v>256</v>
      </c>
      <c r="E117" s="85" t="s">
        <v>301</v>
      </c>
      <c r="F117" s="85" t="s">
        <v>388</v>
      </c>
      <c r="G117" s="85" t="s">
        <v>389</v>
      </c>
      <c r="H117" s="85" t="s">
        <v>398</v>
      </c>
      <c r="I117" s="85">
        <v>1</v>
      </c>
      <c r="J117" s="102">
        <v>25000000</v>
      </c>
      <c r="K117" s="84" t="s">
        <v>261</v>
      </c>
      <c r="L117" s="85">
        <v>3008871</v>
      </c>
      <c r="M117" s="84" t="s">
        <v>46</v>
      </c>
      <c r="N117" s="105" t="s">
        <v>376</v>
      </c>
      <c r="O117" s="344"/>
      <c r="P117" s="85" t="s">
        <v>395</v>
      </c>
    </row>
    <row r="118" spans="1:16" ht="43.5" x14ac:dyDescent="0.35">
      <c r="A118" s="84">
        <f t="shared" si="1"/>
        <v>44</v>
      </c>
      <c r="B118" s="85" t="s">
        <v>18</v>
      </c>
      <c r="C118" s="85" t="s">
        <v>255</v>
      </c>
      <c r="D118" s="85" t="s">
        <v>256</v>
      </c>
      <c r="E118" s="85" t="s">
        <v>301</v>
      </c>
      <c r="F118" s="85" t="s">
        <v>388</v>
      </c>
      <c r="G118" s="85" t="s">
        <v>389</v>
      </c>
      <c r="H118" s="85" t="s">
        <v>399</v>
      </c>
      <c r="I118" s="85">
        <v>1</v>
      </c>
      <c r="J118" s="102">
        <v>25000000</v>
      </c>
      <c r="K118" s="84" t="s">
        <v>261</v>
      </c>
      <c r="L118" s="85">
        <v>3008871</v>
      </c>
      <c r="M118" s="84" t="s">
        <v>46</v>
      </c>
      <c r="N118" s="105" t="s">
        <v>376</v>
      </c>
      <c r="O118" s="344"/>
      <c r="P118" s="85" t="s">
        <v>395</v>
      </c>
    </row>
    <row r="119" spans="1:16" ht="58" x14ac:dyDescent="0.35">
      <c r="A119" s="84">
        <f t="shared" si="1"/>
        <v>45</v>
      </c>
      <c r="B119" s="85" t="s">
        <v>18</v>
      </c>
      <c r="C119" s="85" t="s">
        <v>255</v>
      </c>
      <c r="D119" s="85" t="s">
        <v>256</v>
      </c>
      <c r="E119" s="85" t="s">
        <v>400</v>
      </c>
      <c r="F119" s="85" t="s">
        <v>48</v>
      </c>
      <c r="G119" s="85" t="s">
        <v>49</v>
      </c>
      <c r="H119" s="85" t="s">
        <v>200</v>
      </c>
      <c r="I119" s="85" t="s">
        <v>401</v>
      </c>
      <c r="J119" s="102">
        <v>60000000</v>
      </c>
      <c r="K119" s="84" t="s">
        <v>261</v>
      </c>
      <c r="L119" s="85">
        <v>2819854</v>
      </c>
      <c r="M119" s="84" t="s">
        <v>46</v>
      </c>
      <c r="N119" s="105" t="s">
        <v>402</v>
      </c>
      <c r="O119" s="105">
        <v>167500000</v>
      </c>
      <c r="P119" s="85" t="s">
        <v>403</v>
      </c>
    </row>
    <row r="120" spans="1:16" ht="43.5" x14ac:dyDescent="0.35">
      <c r="A120" s="84">
        <f t="shared" si="1"/>
        <v>46</v>
      </c>
      <c r="B120" s="85" t="s">
        <v>18</v>
      </c>
      <c r="C120" s="85" t="s">
        <v>255</v>
      </c>
      <c r="D120" s="85" t="s">
        <v>256</v>
      </c>
      <c r="E120" s="85" t="s">
        <v>404</v>
      </c>
      <c r="F120" s="85" t="s">
        <v>48</v>
      </c>
      <c r="G120" s="85" t="s">
        <v>405</v>
      </c>
      <c r="H120" s="85" t="s">
        <v>406</v>
      </c>
      <c r="I120" s="85" t="s">
        <v>407</v>
      </c>
      <c r="J120" s="102">
        <v>30000000</v>
      </c>
      <c r="K120" s="84" t="s">
        <v>261</v>
      </c>
      <c r="L120" s="85">
        <v>2796862</v>
      </c>
      <c r="M120" s="84" t="s">
        <v>46</v>
      </c>
      <c r="N120" s="105" t="s">
        <v>408</v>
      </c>
      <c r="O120" s="344">
        <v>50000000</v>
      </c>
      <c r="P120" s="85" t="s">
        <v>409</v>
      </c>
    </row>
    <row r="121" spans="1:16" ht="43.5" x14ac:dyDescent="0.35">
      <c r="A121" s="84">
        <f t="shared" si="1"/>
        <v>47</v>
      </c>
      <c r="B121" s="85" t="s">
        <v>18</v>
      </c>
      <c r="C121" s="85" t="s">
        <v>255</v>
      </c>
      <c r="D121" s="85" t="s">
        <v>256</v>
      </c>
      <c r="E121" s="85" t="s">
        <v>301</v>
      </c>
      <c r="F121" s="85"/>
      <c r="G121" s="85" t="s">
        <v>410</v>
      </c>
      <c r="H121" s="85" t="s">
        <v>411</v>
      </c>
      <c r="I121" s="85" t="s">
        <v>412</v>
      </c>
      <c r="J121" s="102">
        <v>13750000</v>
      </c>
      <c r="K121" s="84" t="s">
        <v>261</v>
      </c>
      <c r="L121" s="85">
        <v>2800949</v>
      </c>
      <c r="M121" s="84" t="s">
        <v>46</v>
      </c>
      <c r="N121" s="105" t="s">
        <v>413</v>
      </c>
      <c r="O121" s="105">
        <v>117250000</v>
      </c>
      <c r="P121" s="85" t="s">
        <v>414</v>
      </c>
    </row>
    <row r="122" spans="1:16" ht="43.5" x14ac:dyDescent="0.35">
      <c r="A122" s="84">
        <f t="shared" si="1"/>
        <v>48</v>
      </c>
      <c r="B122" s="85" t="s">
        <v>18</v>
      </c>
      <c r="C122" s="85" t="s">
        <v>255</v>
      </c>
      <c r="D122" s="85" t="s">
        <v>256</v>
      </c>
      <c r="E122" s="85" t="s">
        <v>296</v>
      </c>
      <c r="F122" s="85"/>
      <c r="G122" s="85" t="s">
        <v>415</v>
      </c>
      <c r="H122" s="84" t="s">
        <v>168</v>
      </c>
      <c r="I122" s="85" t="s">
        <v>416</v>
      </c>
      <c r="J122" s="102">
        <v>25000000</v>
      </c>
      <c r="K122" s="84" t="s">
        <v>261</v>
      </c>
      <c r="L122" s="85">
        <v>2878177</v>
      </c>
      <c r="M122" s="84" t="s">
        <v>46</v>
      </c>
      <c r="N122" s="105" t="s">
        <v>417</v>
      </c>
      <c r="O122" s="105">
        <v>67000000</v>
      </c>
      <c r="P122" s="85" t="s">
        <v>377</v>
      </c>
    </row>
    <row r="123" spans="1:16" ht="43.5" x14ac:dyDescent="0.35">
      <c r="A123" s="84">
        <f t="shared" si="1"/>
        <v>49</v>
      </c>
      <c r="B123" s="85" t="s">
        <v>18</v>
      </c>
      <c r="C123" s="85" t="s">
        <v>255</v>
      </c>
      <c r="D123" s="85" t="s">
        <v>256</v>
      </c>
      <c r="E123" s="85" t="s">
        <v>301</v>
      </c>
      <c r="F123" s="85" t="s">
        <v>373</v>
      </c>
      <c r="G123" s="85" t="s">
        <v>418</v>
      </c>
      <c r="H123" s="85" t="s">
        <v>419</v>
      </c>
      <c r="I123" s="85" t="s">
        <v>402</v>
      </c>
      <c r="J123" s="102">
        <v>25000000</v>
      </c>
      <c r="K123" s="84" t="s">
        <v>261</v>
      </c>
      <c r="L123" s="85">
        <v>2843723</v>
      </c>
      <c r="M123" s="84" t="s">
        <v>46</v>
      </c>
      <c r="N123" s="105" t="s">
        <v>376</v>
      </c>
      <c r="O123" s="344">
        <f>16750000*4</f>
        <v>67000000</v>
      </c>
      <c r="P123" s="85" t="s">
        <v>377</v>
      </c>
    </row>
    <row r="124" spans="1:16" ht="43.5" x14ac:dyDescent="0.35">
      <c r="A124" s="84">
        <f t="shared" si="1"/>
        <v>50</v>
      </c>
      <c r="B124" s="85" t="s">
        <v>18</v>
      </c>
      <c r="C124" s="85" t="s">
        <v>255</v>
      </c>
      <c r="D124" s="85" t="s">
        <v>256</v>
      </c>
      <c r="E124" s="85" t="s">
        <v>301</v>
      </c>
      <c r="F124" s="85" t="s">
        <v>373</v>
      </c>
      <c r="G124" s="85" t="s">
        <v>418</v>
      </c>
      <c r="H124" s="85" t="s">
        <v>418</v>
      </c>
      <c r="I124" s="85" t="s">
        <v>402</v>
      </c>
      <c r="J124" s="102">
        <v>25000000</v>
      </c>
      <c r="K124" s="84" t="s">
        <v>261</v>
      </c>
      <c r="L124" s="85">
        <v>2843723</v>
      </c>
      <c r="M124" s="84" t="s">
        <v>46</v>
      </c>
      <c r="N124" s="105" t="s">
        <v>376</v>
      </c>
      <c r="O124" s="344"/>
      <c r="P124" s="85" t="s">
        <v>377</v>
      </c>
    </row>
    <row r="125" spans="1:16" ht="43.5" x14ac:dyDescent="0.35">
      <c r="A125" s="84">
        <f t="shared" si="1"/>
        <v>51</v>
      </c>
      <c r="B125" s="85" t="s">
        <v>18</v>
      </c>
      <c r="C125" s="85" t="s">
        <v>255</v>
      </c>
      <c r="D125" s="85" t="s">
        <v>256</v>
      </c>
      <c r="E125" s="85" t="s">
        <v>301</v>
      </c>
      <c r="F125" s="85" t="s">
        <v>373</v>
      </c>
      <c r="G125" s="85" t="s">
        <v>418</v>
      </c>
      <c r="H125" s="85" t="s">
        <v>420</v>
      </c>
      <c r="I125" s="85" t="s">
        <v>402</v>
      </c>
      <c r="J125" s="102">
        <v>25000000</v>
      </c>
      <c r="K125" s="84" t="s">
        <v>261</v>
      </c>
      <c r="L125" s="85">
        <v>2849114</v>
      </c>
      <c r="M125" s="84" t="s">
        <v>46</v>
      </c>
      <c r="N125" s="105" t="s">
        <v>376</v>
      </c>
      <c r="O125" s="344"/>
      <c r="P125" s="85" t="s">
        <v>377</v>
      </c>
    </row>
    <row r="126" spans="1:16" ht="43.5" x14ac:dyDescent="0.35">
      <c r="A126" s="84">
        <f t="shared" si="1"/>
        <v>52</v>
      </c>
      <c r="B126" s="85" t="s">
        <v>18</v>
      </c>
      <c r="C126" s="85" t="s">
        <v>255</v>
      </c>
      <c r="D126" s="85" t="s">
        <v>256</v>
      </c>
      <c r="E126" s="85" t="s">
        <v>301</v>
      </c>
      <c r="F126" s="85" t="s">
        <v>373</v>
      </c>
      <c r="G126" s="85" t="s">
        <v>418</v>
      </c>
      <c r="H126" s="85" t="s">
        <v>421</v>
      </c>
      <c r="I126" s="85" t="s">
        <v>422</v>
      </c>
      <c r="J126" s="102">
        <v>25000000</v>
      </c>
      <c r="K126" s="84" t="s">
        <v>261</v>
      </c>
      <c r="L126" s="85">
        <v>2849114</v>
      </c>
      <c r="M126" s="84" t="s">
        <v>46</v>
      </c>
      <c r="N126" s="105" t="s">
        <v>376</v>
      </c>
      <c r="O126" s="344"/>
      <c r="P126" s="85" t="s">
        <v>423</v>
      </c>
    </row>
    <row r="127" spans="1:16" ht="43.5" x14ac:dyDescent="0.35">
      <c r="A127" s="84">
        <f t="shared" si="1"/>
        <v>53</v>
      </c>
      <c r="B127" s="85" t="s">
        <v>18</v>
      </c>
      <c r="C127" s="85" t="s">
        <v>37</v>
      </c>
      <c r="D127" s="85" t="s">
        <v>256</v>
      </c>
      <c r="E127" s="85" t="s">
        <v>424</v>
      </c>
      <c r="F127" s="85" t="s">
        <v>48</v>
      </c>
      <c r="G127" s="85" t="s">
        <v>209</v>
      </c>
      <c r="H127" s="85" t="s">
        <v>425</v>
      </c>
      <c r="I127" s="85" t="s">
        <v>48</v>
      </c>
      <c r="J127" s="102">
        <v>50000000</v>
      </c>
      <c r="K127" s="84" t="s">
        <v>261</v>
      </c>
      <c r="L127" s="85" t="s">
        <v>48</v>
      </c>
      <c r="M127" s="84" t="s">
        <v>46</v>
      </c>
      <c r="N127" s="105" t="s">
        <v>426</v>
      </c>
      <c r="O127" s="105">
        <v>50250000</v>
      </c>
      <c r="P127" s="85"/>
    </row>
    <row r="128" spans="1:16" ht="29" x14ac:dyDescent="0.35">
      <c r="A128" s="107">
        <f>A127+1</f>
        <v>54</v>
      </c>
      <c r="B128" s="98" t="s">
        <v>18</v>
      </c>
      <c r="C128" s="98" t="s">
        <v>255</v>
      </c>
      <c r="D128" s="98" t="s">
        <v>256</v>
      </c>
      <c r="E128" s="98" t="s">
        <v>427</v>
      </c>
      <c r="F128" s="98" t="s">
        <v>428</v>
      </c>
      <c r="G128" s="98" t="s">
        <v>429</v>
      </c>
      <c r="H128" s="98" t="s">
        <v>430</v>
      </c>
      <c r="I128" s="98" t="s">
        <v>431</v>
      </c>
      <c r="J128" s="108">
        <v>27500000</v>
      </c>
      <c r="K128" s="107" t="s">
        <v>261</v>
      </c>
      <c r="L128" s="98">
        <v>2906016</v>
      </c>
      <c r="M128" s="107" t="s">
        <v>226</v>
      </c>
      <c r="N128" s="109" t="s">
        <v>28</v>
      </c>
      <c r="O128" s="109"/>
      <c r="P128" s="98" t="s">
        <v>432</v>
      </c>
    </row>
    <row r="129" spans="1:16" ht="29" x14ac:dyDescent="0.35">
      <c r="A129" s="84">
        <f t="shared" si="1"/>
        <v>55</v>
      </c>
      <c r="B129" s="85" t="s">
        <v>18</v>
      </c>
      <c r="C129" s="85" t="s">
        <v>255</v>
      </c>
      <c r="D129" s="85" t="s">
        <v>256</v>
      </c>
      <c r="E129" s="85" t="s">
        <v>349</v>
      </c>
      <c r="F129" s="85" t="s">
        <v>48</v>
      </c>
      <c r="G129" s="85" t="s">
        <v>429</v>
      </c>
      <c r="H129" s="85" t="s">
        <v>433</v>
      </c>
      <c r="I129" s="85" t="s">
        <v>431</v>
      </c>
      <c r="J129" s="102">
        <v>5000000</v>
      </c>
      <c r="K129" s="84" t="s">
        <v>261</v>
      </c>
      <c r="L129" s="85">
        <v>2906235</v>
      </c>
      <c r="M129" s="84" t="s">
        <v>226</v>
      </c>
      <c r="N129" s="105" t="s">
        <v>28</v>
      </c>
      <c r="O129" s="105">
        <v>24995000</v>
      </c>
      <c r="P129" s="85" t="s">
        <v>434</v>
      </c>
    </row>
    <row r="130" spans="1:16" ht="43.5" x14ac:dyDescent="0.35">
      <c r="A130" s="84">
        <f t="shared" si="1"/>
        <v>56</v>
      </c>
      <c r="B130" s="85" t="s">
        <v>18</v>
      </c>
      <c r="C130" s="85" t="s">
        <v>255</v>
      </c>
      <c r="D130" s="85" t="s">
        <v>256</v>
      </c>
      <c r="E130" s="85" t="s">
        <v>435</v>
      </c>
      <c r="F130" s="85" t="s">
        <v>48</v>
      </c>
      <c r="G130" s="85" t="s">
        <v>436</v>
      </c>
      <c r="H130" s="85" t="s">
        <v>437</v>
      </c>
      <c r="I130" s="85" t="s">
        <v>35</v>
      </c>
      <c r="J130" s="102">
        <v>20000000</v>
      </c>
      <c r="K130" s="84" t="s">
        <v>261</v>
      </c>
      <c r="L130" s="85">
        <v>2956891</v>
      </c>
      <c r="M130" s="84" t="s">
        <v>226</v>
      </c>
      <c r="N130" s="105" t="s">
        <v>438</v>
      </c>
      <c r="O130" s="105">
        <v>62500000</v>
      </c>
      <c r="P130" s="85" t="s">
        <v>439</v>
      </c>
    </row>
    <row r="131" spans="1:16" ht="29" x14ac:dyDescent="0.35">
      <c r="A131" s="84">
        <f t="shared" si="1"/>
        <v>57</v>
      </c>
      <c r="B131" s="85" t="s">
        <v>18</v>
      </c>
      <c r="C131" s="85" t="s">
        <v>255</v>
      </c>
      <c r="D131" s="85" t="s">
        <v>256</v>
      </c>
      <c r="E131" s="85" t="s">
        <v>440</v>
      </c>
      <c r="F131" s="85" t="s">
        <v>441</v>
      </c>
      <c r="G131" s="85" t="s">
        <v>442</v>
      </c>
      <c r="H131" s="85" t="s">
        <v>443</v>
      </c>
      <c r="I131" s="85" t="s">
        <v>444</v>
      </c>
      <c r="J131" s="102">
        <v>30000000</v>
      </c>
      <c r="K131" s="84" t="s">
        <v>261</v>
      </c>
      <c r="L131" s="85">
        <v>2959644</v>
      </c>
      <c r="M131" s="84" t="s">
        <v>180</v>
      </c>
      <c r="N131" s="105" t="s">
        <v>408</v>
      </c>
      <c r="O131" s="344">
        <v>50000000</v>
      </c>
      <c r="P131" s="85"/>
    </row>
    <row r="132" spans="1:16" ht="43.5" x14ac:dyDescent="0.35">
      <c r="A132" s="84">
        <f t="shared" si="1"/>
        <v>58</v>
      </c>
      <c r="B132" s="85" t="s">
        <v>18</v>
      </c>
      <c r="C132" s="85" t="s">
        <v>255</v>
      </c>
      <c r="D132" s="85" t="s">
        <v>256</v>
      </c>
      <c r="E132" s="85" t="s">
        <v>301</v>
      </c>
      <c r="F132" s="85" t="s">
        <v>445</v>
      </c>
      <c r="G132" s="85" t="s">
        <v>187</v>
      </c>
      <c r="H132" s="85" t="s">
        <v>446</v>
      </c>
      <c r="I132" s="85" t="s">
        <v>447</v>
      </c>
      <c r="J132" s="102">
        <v>30000000</v>
      </c>
      <c r="K132" s="84" t="s">
        <v>261</v>
      </c>
      <c r="L132" s="85">
        <v>2802984</v>
      </c>
      <c r="M132" s="84" t="s">
        <v>180</v>
      </c>
      <c r="N132" s="105" t="s">
        <v>408</v>
      </c>
      <c r="O132" s="344">
        <v>50000000</v>
      </c>
      <c r="P132" s="85"/>
    </row>
    <row r="133" spans="1:16" ht="43.5" x14ac:dyDescent="0.35">
      <c r="A133" s="84">
        <f t="shared" si="1"/>
        <v>59</v>
      </c>
      <c r="B133" s="85" t="s">
        <v>18</v>
      </c>
      <c r="C133" s="85" t="s">
        <v>255</v>
      </c>
      <c r="D133" s="85" t="s">
        <v>256</v>
      </c>
      <c r="E133" s="85" t="s">
        <v>301</v>
      </c>
      <c r="F133" s="85" t="s">
        <v>448</v>
      </c>
      <c r="G133" s="85" t="s">
        <v>449</v>
      </c>
      <c r="H133" s="85" t="s">
        <v>450</v>
      </c>
      <c r="I133" s="85" t="s">
        <v>95</v>
      </c>
      <c r="J133" s="102">
        <v>15000000</v>
      </c>
      <c r="K133" s="84" t="s">
        <v>261</v>
      </c>
      <c r="L133" s="85">
        <v>2761378</v>
      </c>
      <c r="M133" s="84" t="s">
        <v>180</v>
      </c>
      <c r="N133" s="105" t="s">
        <v>267</v>
      </c>
      <c r="O133" s="105">
        <v>83750000</v>
      </c>
      <c r="P133" s="85"/>
    </row>
    <row r="134" spans="1:16" ht="43.5" x14ac:dyDescent="0.35">
      <c r="A134" s="84">
        <f t="shared" si="1"/>
        <v>60</v>
      </c>
      <c r="B134" s="85" t="s">
        <v>18</v>
      </c>
      <c r="C134" s="85" t="s">
        <v>255</v>
      </c>
      <c r="D134" s="85" t="s">
        <v>256</v>
      </c>
      <c r="E134" s="85" t="s">
        <v>301</v>
      </c>
      <c r="F134" s="85" t="s">
        <v>451</v>
      </c>
      <c r="G134" s="85" t="s">
        <v>452</v>
      </c>
      <c r="H134" s="85" t="s">
        <v>453</v>
      </c>
      <c r="I134" s="85" t="s">
        <v>454</v>
      </c>
      <c r="J134" s="102">
        <v>100000000</v>
      </c>
      <c r="K134" s="84" t="s">
        <v>261</v>
      </c>
      <c r="L134" s="85">
        <v>2782925</v>
      </c>
      <c r="M134" s="84" t="s">
        <v>180</v>
      </c>
      <c r="N134" s="105" t="s">
        <v>267</v>
      </c>
      <c r="O134" s="105">
        <v>74250000</v>
      </c>
      <c r="P134" s="85" t="s">
        <v>455</v>
      </c>
    </row>
    <row r="135" spans="1:16" ht="29" x14ac:dyDescent="0.35">
      <c r="A135" s="84">
        <f t="shared" si="1"/>
        <v>61</v>
      </c>
      <c r="B135" s="85" t="s">
        <v>18</v>
      </c>
      <c r="C135" s="85" t="s">
        <v>255</v>
      </c>
      <c r="D135" s="85" t="s">
        <v>256</v>
      </c>
      <c r="E135" s="85" t="s">
        <v>291</v>
      </c>
      <c r="F135" s="85" t="s">
        <v>456</v>
      </c>
      <c r="G135" s="84" t="s">
        <v>457</v>
      </c>
      <c r="H135" s="84" t="s">
        <v>458</v>
      </c>
      <c r="I135" s="84" t="s">
        <v>431</v>
      </c>
      <c r="J135" s="94">
        <v>100000000</v>
      </c>
      <c r="K135" s="84" t="s">
        <v>261</v>
      </c>
      <c r="L135" s="84">
        <v>2974709</v>
      </c>
      <c r="M135" s="84" t="s">
        <v>55</v>
      </c>
      <c r="N135" s="84" t="s">
        <v>413</v>
      </c>
      <c r="O135" s="93">
        <v>103950000</v>
      </c>
      <c r="P135" s="85" t="s">
        <v>455</v>
      </c>
    </row>
    <row r="136" spans="1:16" ht="29" x14ac:dyDescent="0.35">
      <c r="A136" s="84">
        <f t="shared" si="1"/>
        <v>62</v>
      </c>
      <c r="B136" s="85" t="s">
        <v>18</v>
      </c>
      <c r="C136" s="85" t="s">
        <v>255</v>
      </c>
      <c r="D136" s="85" t="s">
        <v>256</v>
      </c>
      <c r="E136" s="85" t="s">
        <v>291</v>
      </c>
      <c r="F136" s="85" t="s">
        <v>459</v>
      </c>
      <c r="G136" s="84" t="s">
        <v>457</v>
      </c>
      <c r="H136" s="84" t="s">
        <v>460</v>
      </c>
      <c r="I136" s="84" t="s">
        <v>431</v>
      </c>
      <c r="J136" s="94">
        <v>100000000</v>
      </c>
      <c r="K136" s="84" t="s">
        <v>261</v>
      </c>
      <c r="L136" s="84">
        <v>2975110</v>
      </c>
      <c r="M136" s="84" t="s">
        <v>55</v>
      </c>
      <c r="N136" s="84" t="s">
        <v>413</v>
      </c>
      <c r="O136" s="93">
        <v>103950000</v>
      </c>
      <c r="P136" s="85" t="s">
        <v>455</v>
      </c>
    </row>
    <row r="137" spans="1:16" ht="29" x14ac:dyDescent="0.35">
      <c r="A137" s="84">
        <f t="shared" si="1"/>
        <v>63</v>
      </c>
      <c r="B137" s="85" t="s">
        <v>18</v>
      </c>
      <c r="C137" s="85" t="s">
        <v>255</v>
      </c>
      <c r="D137" s="85" t="s">
        <v>256</v>
      </c>
      <c r="E137" s="85" t="s">
        <v>461</v>
      </c>
      <c r="F137" s="85" t="s">
        <v>462</v>
      </c>
      <c r="G137" s="84" t="s">
        <v>463</v>
      </c>
      <c r="H137" s="84" t="s">
        <v>464</v>
      </c>
      <c r="I137" s="84"/>
      <c r="J137" s="94">
        <v>100000000</v>
      </c>
      <c r="K137" s="84" t="s">
        <v>261</v>
      </c>
      <c r="L137" s="84">
        <v>2764013</v>
      </c>
      <c r="M137" s="84" t="s">
        <v>55</v>
      </c>
      <c r="N137" s="84" t="s">
        <v>413</v>
      </c>
      <c r="O137" s="93">
        <v>103950000</v>
      </c>
      <c r="P137" s="85" t="s">
        <v>455</v>
      </c>
    </row>
    <row r="138" spans="1:16" ht="43.5" x14ac:dyDescent="0.35">
      <c r="A138" s="84">
        <f t="shared" si="1"/>
        <v>64</v>
      </c>
      <c r="B138" s="85" t="s">
        <v>18</v>
      </c>
      <c r="C138" s="85" t="s">
        <v>255</v>
      </c>
      <c r="D138" s="85" t="s">
        <v>256</v>
      </c>
      <c r="E138" s="85" t="s">
        <v>301</v>
      </c>
      <c r="F138" s="85" t="s">
        <v>465</v>
      </c>
      <c r="G138" s="84" t="s">
        <v>52</v>
      </c>
      <c r="H138" s="84" t="s">
        <v>466</v>
      </c>
      <c r="I138" s="84" t="s">
        <v>467</v>
      </c>
      <c r="J138" s="94">
        <v>100000000</v>
      </c>
      <c r="K138" s="84" t="s">
        <v>261</v>
      </c>
      <c r="L138" s="84">
        <v>2798585</v>
      </c>
      <c r="M138" s="84" t="s">
        <v>55</v>
      </c>
      <c r="N138" s="84" t="s">
        <v>413</v>
      </c>
      <c r="O138" s="93">
        <v>103950000</v>
      </c>
      <c r="P138" s="85" t="s">
        <v>455</v>
      </c>
    </row>
    <row r="139" spans="1:16" ht="43.5" x14ac:dyDescent="0.35">
      <c r="A139" s="84">
        <f t="shared" si="1"/>
        <v>65</v>
      </c>
      <c r="B139" s="85" t="s">
        <v>18</v>
      </c>
      <c r="C139" s="85" t="s">
        <v>37</v>
      </c>
      <c r="D139" s="85" t="s">
        <v>256</v>
      </c>
      <c r="E139" s="85" t="s">
        <v>461</v>
      </c>
      <c r="F139" s="85" t="s">
        <v>468</v>
      </c>
      <c r="G139" s="84" t="s">
        <v>469</v>
      </c>
      <c r="H139" s="84" t="s">
        <v>470</v>
      </c>
      <c r="I139" s="84" t="s">
        <v>471</v>
      </c>
      <c r="J139" s="94">
        <v>100000000</v>
      </c>
      <c r="K139" s="84" t="s">
        <v>261</v>
      </c>
      <c r="L139" s="84" t="s">
        <v>62</v>
      </c>
      <c r="M139" s="84" t="s">
        <v>55</v>
      </c>
      <c r="N139" s="84">
        <v>7</v>
      </c>
      <c r="O139" s="93">
        <v>103950000</v>
      </c>
      <c r="P139" s="87" t="s">
        <v>472</v>
      </c>
    </row>
    <row r="140" spans="1:16" ht="43.5" x14ac:dyDescent="0.35">
      <c r="A140" s="110">
        <v>67</v>
      </c>
      <c r="B140" s="85" t="s">
        <v>18</v>
      </c>
      <c r="C140" s="85" t="s">
        <v>37</v>
      </c>
      <c r="D140" s="85" t="s">
        <v>256</v>
      </c>
      <c r="E140" s="85" t="s">
        <v>461</v>
      </c>
      <c r="F140" s="85" t="s">
        <v>473</v>
      </c>
      <c r="G140" s="84" t="s">
        <v>469</v>
      </c>
      <c r="H140" s="84" t="s">
        <v>474</v>
      </c>
      <c r="I140" s="84" t="s">
        <v>471</v>
      </c>
      <c r="J140" s="94">
        <v>100000000</v>
      </c>
      <c r="K140" s="84" t="s">
        <v>261</v>
      </c>
      <c r="L140" s="84" t="s">
        <v>62</v>
      </c>
      <c r="M140" s="84" t="s">
        <v>55</v>
      </c>
      <c r="N140" s="84">
        <v>7</v>
      </c>
      <c r="O140" s="93">
        <v>103950000</v>
      </c>
      <c r="P140" s="111" t="s">
        <v>472</v>
      </c>
    </row>
    <row r="141" spans="1:16" ht="29" x14ac:dyDescent="0.35">
      <c r="A141" s="112">
        <v>68</v>
      </c>
      <c r="B141" s="113"/>
      <c r="C141" s="113"/>
      <c r="D141" s="113"/>
      <c r="E141" s="106" t="s">
        <v>284</v>
      </c>
      <c r="F141" s="113"/>
      <c r="G141" s="114" t="s">
        <v>240</v>
      </c>
      <c r="H141" s="114" t="s">
        <v>241</v>
      </c>
      <c r="I141" s="115"/>
      <c r="J141" s="95"/>
      <c r="K141" s="115" t="s">
        <v>261</v>
      </c>
      <c r="L141" s="113"/>
      <c r="M141" s="115" t="s">
        <v>226</v>
      </c>
      <c r="N141" s="115" t="s">
        <v>313</v>
      </c>
      <c r="O141" s="119">
        <v>77400000</v>
      </c>
      <c r="P141" s="106" t="s">
        <v>475</v>
      </c>
    </row>
    <row r="142" spans="1:16" ht="43.5" x14ac:dyDescent="0.35">
      <c r="A142" s="112">
        <v>69</v>
      </c>
      <c r="B142" s="106" t="s">
        <v>18</v>
      </c>
      <c r="C142" s="106" t="s">
        <v>37</v>
      </c>
      <c r="D142" s="106" t="s">
        <v>476</v>
      </c>
      <c r="E142" s="116" t="s">
        <v>461</v>
      </c>
      <c r="F142" s="106" t="s">
        <v>477</v>
      </c>
      <c r="G142" s="115" t="s">
        <v>469</v>
      </c>
      <c r="H142" s="115" t="s">
        <v>474</v>
      </c>
      <c r="I142" s="115" t="s">
        <v>471</v>
      </c>
      <c r="J142" s="117">
        <v>100000000</v>
      </c>
      <c r="K142" s="115" t="s">
        <v>221</v>
      </c>
      <c r="L142" s="115" t="s">
        <v>62</v>
      </c>
      <c r="M142" s="115" t="s">
        <v>55</v>
      </c>
      <c r="N142" s="118" t="s">
        <v>478</v>
      </c>
      <c r="O142" s="119">
        <v>103950000</v>
      </c>
      <c r="P142" s="120" t="s">
        <v>479</v>
      </c>
    </row>
    <row r="143" spans="1:16" ht="58" x14ac:dyDescent="0.35">
      <c r="A143" s="6">
        <v>1</v>
      </c>
      <c r="B143" s="7" t="s">
        <v>480</v>
      </c>
      <c r="C143" s="7" t="s">
        <v>481</v>
      </c>
      <c r="D143" s="121" t="s">
        <v>482</v>
      </c>
      <c r="E143" s="7" t="s">
        <v>483</v>
      </c>
      <c r="F143" s="7" t="s">
        <v>484</v>
      </c>
      <c r="G143" s="7" t="s">
        <v>278</v>
      </c>
      <c r="H143" s="7" t="s">
        <v>485</v>
      </c>
      <c r="I143" s="7" t="s">
        <v>486</v>
      </c>
      <c r="J143" s="122">
        <v>13000000</v>
      </c>
      <c r="K143" s="6" t="s">
        <v>487</v>
      </c>
      <c r="L143" s="7">
        <v>2913914</v>
      </c>
      <c r="M143" s="32" t="s">
        <v>97</v>
      </c>
      <c r="N143" s="7" t="s">
        <v>488</v>
      </c>
      <c r="O143" s="14">
        <v>13000000</v>
      </c>
      <c r="P143" s="7" t="s">
        <v>489</v>
      </c>
    </row>
    <row r="144" spans="1:16" ht="58" x14ac:dyDescent="0.35">
      <c r="A144" s="6">
        <f t="shared" ref="A144:A151" si="2">A143+1</f>
        <v>2</v>
      </c>
      <c r="B144" s="7" t="s">
        <v>480</v>
      </c>
      <c r="C144" s="7" t="s">
        <v>481</v>
      </c>
      <c r="D144" s="121" t="s">
        <v>482</v>
      </c>
      <c r="E144" s="7" t="s">
        <v>490</v>
      </c>
      <c r="F144" s="7" t="s">
        <v>491</v>
      </c>
      <c r="G144" s="7" t="s">
        <v>278</v>
      </c>
      <c r="H144" s="7" t="s">
        <v>492</v>
      </c>
      <c r="I144" s="7" t="s">
        <v>96</v>
      </c>
      <c r="J144" s="122">
        <v>115000000</v>
      </c>
      <c r="K144" s="6" t="s">
        <v>487</v>
      </c>
      <c r="L144" s="7">
        <v>2915760</v>
      </c>
      <c r="M144" s="32" t="s">
        <v>97</v>
      </c>
      <c r="N144" s="7" t="s">
        <v>493</v>
      </c>
      <c r="O144" s="14">
        <v>115000000</v>
      </c>
      <c r="P144" s="7" t="s">
        <v>494</v>
      </c>
    </row>
    <row r="145" spans="1:16" ht="58" x14ac:dyDescent="0.35">
      <c r="A145" s="6">
        <f t="shared" si="2"/>
        <v>3</v>
      </c>
      <c r="B145" s="7" t="s">
        <v>480</v>
      </c>
      <c r="C145" s="7" t="s">
        <v>481</v>
      </c>
      <c r="D145" s="121" t="s">
        <v>482</v>
      </c>
      <c r="E145" s="7" t="s">
        <v>483</v>
      </c>
      <c r="F145" s="7" t="s">
        <v>495</v>
      </c>
      <c r="G145" s="85" t="s">
        <v>496</v>
      </c>
      <c r="H145" s="85" t="s">
        <v>497</v>
      </c>
      <c r="I145" s="85" t="s">
        <v>498</v>
      </c>
      <c r="J145" s="122">
        <v>15000000</v>
      </c>
      <c r="K145" s="6" t="s">
        <v>487</v>
      </c>
      <c r="L145" s="7">
        <v>2933683</v>
      </c>
      <c r="M145" s="32" t="s">
        <v>97</v>
      </c>
      <c r="N145" s="7" t="s">
        <v>488</v>
      </c>
      <c r="O145" s="14">
        <v>15000000</v>
      </c>
      <c r="P145" s="7"/>
    </row>
    <row r="146" spans="1:16" ht="58" x14ac:dyDescent="0.35">
      <c r="A146" s="6">
        <f t="shared" si="2"/>
        <v>4</v>
      </c>
      <c r="B146" s="7" t="s">
        <v>480</v>
      </c>
      <c r="C146" s="7" t="s">
        <v>481</v>
      </c>
      <c r="D146" s="121" t="s">
        <v>482</v>
      </c>
      <c r="E146" s="7" t="s">
        <v>499</v>
      </c>
      <c r="F146" s="7" t="s">
        <v>495</v>
      </c>
      <c r="G146" s="85" t="s">
        <v>496</v>
      </c>
      <c r="H146" s="85" t="s">
        <v>497</v>
      </c>
      <c r="I146" s="85" t="s">
        <v>500</v>
      </c>
      <c r="J146" s="122">
        <v>20000000</v>
      </c>
      <c r="K146" s="6" t="s">
        <v>487</v>
      </c>
      <c r="L146" s="7">
        <v>2797432</v>
      </c>
      <c r="M146" s="32" t="s">
        <v>97</v>
      </c>
      <c r="N146" s="7" t="s">
        <v>488</v>
      </c>
      <c r="O146" s="14">
        <v>20000000</v>
      </c>
      <c r="P146" s="7" t="s">
        <v>501</v>
      </c>
    </row>
    <row r="147" spans="1:16" ht="58" x14ac:dyDescent="0.35">
      <c r="A147" s="6">
        <f t="shared" si="2"/>
        <v>5</v>
      </c>
      <c r="B147" s="7" t="s">
        <v>480</v>
      </c>
      <c r="C147" s="7" t="s">
        <v>481</v>
      </c>
      <c r="D147" s="121" t="s">
        <v>482</v>
      </c>
      <c r="E147" s="7" t="s">
        <v>502</v>
      </c>
      <c r="F147" s="7" t="s">
        <v>503</v>
      </c>
      <c r="G147" s="85" t="s">
        <v>504</v>
      </c>
      <c r="H147" s="85" t="s">
        <v>505</v>
      </c>
      <c r="I147" s="7" t="s">
        <v>336</v>
      </c>
      <c r="J147" s="122">
        <v>5000000</v>
      </c>
      <c r="K147" s="6" t="s">
        <v>487</v>
      </c>
      <c r="L147" s="7">
        <v>2805773</v>
      </c>
      <c r="M147" s="32" t="s">
        <v>97</v>
      </c>
      <c r="N147" s="7" t="s">
        <v>336</v>
      </c>
      <c r="O147" s="14">
        <v>5000000</v>
      </c>
      <c r="P147" s="7" t="s">
        <v>506</v>
      </c>
    </row>
    <row r="148" spans="1:16" ht="58" x14ac:dyDescent="0.35">
      <c r="A148" s="6">
        <f t="shared" si="2"/>
        <v>6</v>
      </c>
      <c r="B148" s="7" t="s">
        <v>480</v>
      </c>
      <c r="C148" s="7" t="s">
        <v>481</v>
      </c>
      <c r="D148" s="121" t="s">
        <v>482</v>
      </c>
      <c r="E148" s="7" t="s">
        <v>507</v>
      </c>
      <c r="F148" s="7" t="s">
        <v>508</v>
      </c>
      <c r="G148" s="85" t="s">
        <v>504</v>
      </c>
      <c r="H148" s="85" t="s">
        <v>509</v>
      </c>
      <c r="I148" s="7" t="s">
        <v>510</v>
      </c>
      <c r="J148" s="122">
        <v>5000000</v>
      </c>
      <c r="K148" s="6" t="s">
        <v>487</v>
      </c>
      <c r="L148" s="7">
        <v>2940475</v>
      </c>
      <c r="M148" s="32" t="s">
        <v>97</v>
      </c>
      <c r="N148" s="7" t="s">
        <v>510</v>
      </c>
      <c r="O148" s="14">
        <v>5000000</v>
      </c>
      <c r="P148" s="7" t="s">
        <v>511</v>
      </c>
    </row>
    <row r="149" spans="1:16" ht="58" x14ac:dyDescent="0.35">
      <c r="A149" s="6">
        <f t="shared" si="2"/>
        <v>7</v>
      </c>
      <c r="B149" s="7" t="s">
        <v>480</v>
      </c>
      <c r="C149" s="7" t="s">
        <v>481</v>
      </c>
      <c r="D149" s="121" t="s">
        <v>482</v>
      </c>
      <c r="E149" s="7" t="s">
        <v>512</v>
      </c>
      <c r="F149" s="7" t="s">
        <v>513</v>
      </c>
      <c r="G149" s="85" t="s">
        <v>504</v>
      </c>
      <c r="H149" s="85" t="s">
        <v>514</v>
      </c>
      <c r="I149" s="7" t="s">
        <v>510</v>
      </c>
      <c r="J149" s="122">
        <v>5000000</v>
      </c>
      <c r="K149" s="6" t="s">
        <v>487</v>
      </c>
      <c r="L149" s="7">
        <v>2939377</v>
      </c>
      <c r="M149" s="32" t="s">
        <v>97</v>
      </c>
      <c r="N149" s="7" t="s">
        <v>510</v>
      </c>
      <c r="O149" s="14">
        <v>5000000</v>
      </c>
      <c r="P149" s="7" t="s">
        <v>511</v>
      </c>
    </row>
    <row r="150" spans="1:16" ht="72.5" x14ac:dyDescent="0.35">
      <c r="A150" s="6">
        <f t="shared" si="2"/>
        <v>8</v>
      </c>
      <c r="B150" s="7" t="s">
        <v>480</v>
      </c>
      <c r="C150" s="7" t="s">
        <v>481</v>
      </c>
      <c r="D150" s="121" t="s">
        <v>482</v>
      </c>
      <c r="E150" s="7" t="s">
        <v>515</v>
      </c>
      <c r="F150" s="123" t="s">
        <v>516</v>
      </c>
      <c r="G150" s="7" t="s">
        <v>415</v>
      </c>
      <c r="H150" s="6" t="s">
        <v>517</v>
      </c>
      <c r="I150" s="7" t="s">
        <v>35</v>
      </c>
      <c r="J150" s="7">
        <v>60000000</v>
      </c>
      <c r="K150" s="6" t="s">
        <v>487</v>
      </c>
      <c r="L150" s="7">
        <v>2872221</v>
      </c>
      <c r="M150" s="6" t="s">
        <v>46</v>
      </c>
      <c r="N150" s="14" t="s">
        <v>28</v>
      </c>
      <c r="O150" s="14">
        <v>60000000</v>
      </c>
      <c r="P150" s="7" t="s">
        <v>518</v>
      </c>
    </row>
    <row r="151" spans="1:16" ht="58" x14ac:dyDescent="0.35">
      <c r="A151" s="6">
        <f t="shared" si="2"/>
        <v>9</v>
      </c>
      <c r="B151" s="7" t="s">
        <v>480</v>
      </c>
      <c r="C151" s="7" t="s">
        <v>481</v>
      </c>
      <c r="D151" s="7" t="s">
        <v>519</v>
      </c>
      <c r="E151" s="7" t="s">
        <v>520</v>
      </c>
      <c r="F151" s="7" t="s">
        <v>186</v>
      </c>
      <c r="G151" s="7" t="s">
        <v>187</v>
      </c>
      <c r="H151" s="7" t="s">
        <v>446</v>
      </c>
      <c r="I151" s="7" t="s">
        <v>521</v>
      </c>
      <c r="J151" s="7">
        <v>25000000</v>
      </c>
      <c r="K151" s="6" t="s">
        <v>487</v>
      </c>
      <c r="L151" s="7">
        <v>2975537</v>
      </c>
      <c r="M151" s="6" t="s">
        <v>180</v>
      </c>
      <c r="N151" s="14" t="s">
        <v>522</v>
      </c>
      <c r="O151" s="14">
        <v>25000000</v>
      </c>
      <c r="P151" s="7"/>
    </row>
    <row r="152" spans="1:16" ht="58" x14ac:dyDescent="0.35">
      <c r="A152" s="6">
        <v>13</v>
      </c>
      <c r="B152" s="7" t="s">
        <v>480</v>
      </c>
      <c r="C152" s="7" t="s">
        <v>481</v>
      </c>
      <c r="D152" s="7" t="s">
        <v>519</v>
      </c>
      <c r="E152" s="7" t="s">
        <v>523</v>
      </c>
      <c r="F152" s="123" t="s">
        <v>516</v>
      </c>
      <c r="G152" s="6" t="s">
        <v>469</v>
      </c>
      <c r="H152" s="6" t="s">
        <v>524</v>
      </c>
      <c r="I152" s="6" t="s">
        <v>35</v>
      </c>
      <c r="J152" s="15">
        <v>100000000</v>
      </c>
      <c r="K152" s="6" t="s">
        <v>487</v>
      </c>
      <c r="L152" s="6">
        <v>2884858</v>
      </c>
      <c r="M152" s="6" t="s">
        <v>55</v>
      </c>
      <c r="N152" s="6" t="s">
        <v>28</v>
      </c>
      <c r="O152" s="124">
        <v>100000000</v>
      </c>
      <c r="P152" s="9" t="s">
        <v>525</v>
      </c>
    </row>
    <row r="153" spans="1:16" ht="58" x14ac:dyDescent="0.35">
      <c r="A153" s="6">
        <v>14</v>
      </c>
      <c r="B153" s="7" t="s">
        <v>480</v>
      </c>
      <c r="C153" s="7" t="s">
        <v>481</v>
      </c>
      <c r="D153" s="121" t="s">
        <v>526</v>
      </c>
      <c r="E153" s="7" t="s">
        <v>527</v>
      </c>
      <c r="F153" s="7" t="s">
        <v>528</v>
      </c>
      <c r="G153" s="6" t="s">
        <v>529</v>
      </c>
      <c r="H153" s="6" t="s">
        <v>530</v>
      </c>
      <c r="I153" s="6" t="s">
        <v>35</v>
      </c>
      <c r="J153" s="15">
        <v>40000000</v>
      </c>
      <c r="K153" s="6" t="s">
        <v>487</v>
      </c>
      <c r="L153" s="6">
        <v>2932434</v>
      </c>
      <c r="M153" s="6" t="s">
        <v>55</v>
      </c>
      <c r="N153" s="6" t="s">
        <v>28</v>
      </c>
      <c r="O153" s="124">
        <v>40000000</v>
      </c>
      <c r="P153" s="9" t="s">
        <v>531</v>
      </c>
    </row>
    <row r="154" spans="1:16" ht="58" x14ac:dyDescent="0.35">
      <c r="A154" s="125">
        <v>15</v>
      </c>
      <c r="B154" s="27" t="s">
        <v>480</v>
      </c>
      <c r="C154" s="27" t="s">
        <v>481</v>
      </c>
      <c r="D154" s="27" t="s">
        <v>532</v>
      </c>
      <c r="E154" s="27" t="s">
        <v>533</v>
      </c>
      <c r="F154" s="123" t="s">
        <v>516</v>
      </c>
      <c r="G154" s="126" t="s">
        <v>82</v>
      </c>
      <c r="H154" s="27" t="s">
        <v>534</v>
      </c>
      <c r="I154" s="27"/>
      <c r="J154" s="27"/>
      <c r="K154" s="6" t="s">
        <v>487</v>
      </c>
      <c r="L154" s="126">
        <v>3348388</v>
      </c>
      <c r="M154" s="126" t="s">
        <v>535</v>
      </c>
      <c r="N154" s="127" t="s">
        <v>536</v>
      </c>
      <c r="O154" s="127">
        <v>100000000</v>
      </c>
      <c r="P154" s="27" t="s">
        <v>275</v>
      </c>
    </row>
    <row r="155" spans="1:16" ht="31" x14ac:dyDescent="0.35">
      <c r="A155" s="126">
        <v>16</v>
      </c>
      <c r="B155" s="128" t="s">
        <v>71</v>
      </c>
      <c r="C155" s="128" t="s">
        <v>537</v>
      </c>
      <c r="D155" s="123" t="s">
        <v>538</v>
      </c>
      <c r="E155" s="123" t="s">
        <v>539</v>
      </c>
      <c r="F155" s="123" t="s">
        <v>516</v>
      </c>
      <c r="G155" s="128" t="s">
        <v>82</v>
      </c>
      <c r="H155" s="128" t="s">
        <v>540</v>
      </c>
      <c r="I155" s="128"/>
      <c r="J155" s="129"/>
      <c r="K155" s="54" t="s">
        <v>197</v>
      </c>
      <c r="L155" s="128" t="s">
        <v>541</v>
      </c>
      <c r="M155" s="128" t="s">
        <v>535</v>
      </c>
      <c r="N155" s="129" t="s">
        <v>542</v>
      </c>
      <c r="O155" s="129">
        <v>40000000</v>
      </c>
      <c r="P155" s="128" t="s">
        <v>275</v>
      </c>
    </row>
    <row r="156" spans="1:16" ht="29" x14ac:dyDescent="0.35">
      <c r="A156" s="126">
        <v>17</v>
      </c>
      <c r="B156" s="130"/>
      <c r="C156" s="130"/>
      <c r="D156" s="130"/>
      <c r="E156" s="31" t="s">
        <v>543</v>
      </c>
      <c r="F156" s="26" t="s">
        <v>544</v>
      </c>
      <c r="G156" s="26" t="s">
        <v>545</v>
      </c>
      <c r="H156" s="26" t="s">
        <v>546</v>
      </c>
      <c r="I156" s="131"/>
      <c r="J156" s="127">
        <v>39600000</v>
      </c>
      <c r="K156" s="6" t="s">
        <v>487</v>
      </c>
      <c r="L156" s="130"/>
      <c r="M156" s="130" t="s">
        <v>180</v>
      </c>
      <c r="N156" s="130" t="s">
        <v>500</v>
      </c>
      <c r="O156" s="132">
        <v>39600000</v>
      </c>
      <c r="P156" s="130" t="s">
        <v>547</v>
      </c>
    </row>
    <row r="157" spans="1:16" ht="29" x14ac:dyDescent="0.35">
      <c r="A157" s="126">
        <v>18</v>
      </c>
      <c r="B157" s="130"/>
      <c r="C157" s="130"/>
      <c r="D157" s="130"/>
      <c r="E157" s="27" t="s">
        <v>548</v>
      </c>
      <c r="F157" s="130" t="s">
        <v>549</v>
      </c>
      <c r="G157" s="130" t="s">
        <v>492</v>
      </c>
      <c r="H157" s="130" t="s">
        <v>550</v>
      </c>
      <c r="I157" s="130"/>
      <c r="J157" s="130"/>
      <c r="K157" s="6" t="s">
        <v>487</v>
      </c>
      <c r="L157" s="130"/>
      <c r="M157" s="32" t="s">
        <v>97</v>
      </c>
      <c r="N157" s="130" t="s">
        <v>500</v>
      </c>
      <c r="O157" s="132">
        <v>19940000</v>
      </c>
      <c r="P157" s="130" t="s">
        <v>547</v>
      </c>
    </row>
    <row r="158" spans="1:16" ht="29" x14ac:dyDescent="0.35">
      <c r="A158" s="6">
        <f t="shared" ref="A158:A193" si="3">A157+1</f>
        <v>19</v>
      </c>
      <c r="B158" s="7" t="s">
        <v>71</v>
      </c>
      <c r="C158" s="7" t="s">
        <v>551</v>
      </c>
      <c r="D158" s="7" t="s">
        <v>552</v>
      </c>
      <c r="E158" s="7" t="s">
        <v>553</v>
      </c>
      <c r="F158" s="7" t="s">
        <v>554</v>
      </c>
      <c r="G158" s="7" t="s">
        <v>208</v>
      </c>
      <c r="H158" s="7" t="s">
        <v>555</v>
      </c>
      <c r="I158" s="7" t="s">
        <v>556</v>
      </c>
      <c r="J158" s="122">
        <v>61400000</v>
      </c>
      <c r="K158" s="6" t="s">
        <v>553</v>
      </c>
      <c r="L158" s="7">
        <v>2791937</v>
      </c>
      <c r="M158" s="32" t="s">
        <v>97</v>
      </c>
      <c r="N158" s="7" t="s">
        <v>28</v>
      </c>
      <c r="O158" s="14">
        <v>61400000</v>
      </c>
      <c r="P158" s="7"/>
    </row>
    <row r="159" spans="1:16" ht="29" x14ac:dyDescent="0.35">
      <c r="A159" s="6">
        <f t="shared" si="3"/>
        <v>20</v>
      </c>
      <c r="B159" s="7" t="s">
        <v>71</v>
      </c>
      <c r="C159" s="7" t="s">
        <v>551</v>
      </c>
      <c r="D159" s="7" t="s">
        <v>557</v>
      </c>
      <c r="E159" s="7" t="s">
        <v>558</v>
      </c>
      <c r="F159" s="7" t="s">
        <v>559</v>
      </c>
      <c r="G159" s="7" t="s">
        <v>238</v>
      </c>
      <c r="H159" s="85" t="s">
        <v>560</v>
      </c>
      <c r="I159" s="7" t="s">
        <v>561</v>
      </c>
      <c r="J159" s="122">
        <v>20000000</v>
      </c>
      <c r="K159" s="6" t="s">
        <v>553</v>
      </c>
      <c r="L159" s="7">
        <v>2964243</v>
      </c>
      <c r="M159" s="32" t="s">
        <v>97</v>
      </c>
      <c r="N159" s="7" t="s">
        <v>561</v>
      </c>
      <c r="O159" s="14">
        <v>20000000</v>
      </c>
      <c r="P159" s="7" t="s">
        <v>562</v>
      </c>
    </row>
    <row r="160" spans="1:16" ht="29" x14ac:dyDescent="0.35">
      <c r="A160" s="6">
        <f t="shared" si="3"/>
        <v>21</v>
      </c>
      <c r="B160" s="7" t="s">
        <v>71</v>
      </c>
      <c r="C160" s="7" t="s">
        <v>551</v>
      </c>
      <c r="D160" s="7" t="s">
        <v>557</v>
      </c>
      <c r="E160" s="7" t="s">
        <v>558</v>
      </c>
      <c r="F160" s="7" t="s">
        <v>563</v>
      </c>
      <c r="G160" s="7" t="s">
        <v>238</v>
      </c>
      <c r="H160" s="85" t="s">
        <v>286</v>
      </c>
      <c r="I160" s="7" t="s">
        <v>561</v>
      </c>
      <c r="J160" s="122">
        <v>20000000</v>
      </c>
      <c r="K160" s="6" t="s">
        <v>553</v>
      </c>
      <c r="L160" s="7">
        <v>2965176</v>
      </c>
      <c r="M160" s="32" t="s">
        <v>97</v>
      </c>
      <c r="N160" s="7" t="s">
        <v>561</v>
      </c>
      <c r="O160" s="14">
        <v>20000000</v>
      </c>
      <c r="P160" s="7" t="s">
        <v>562</v>
      </c>
    </row>
    <row r="161" spans="1:16" ht="29" x14ac:dyDescent="0.35">
      <c r="A161" s="6">
        <f t="shared" si="3"/>
        <v>22</v>
      </c>
      <c r="B161" s="7" t="s">
        <v>71</v>
      </c>
      <c r="C161" s="7" t="s">
        <v>551</v>
      </c>
      <c r="D161" s="7" t="s">
        <v>552</v>
      </c>
      <c r="E161" s="7" t="s">
        <v>564</v>
      </c>
      <c r="F161" s="7" t="s">
        <v>565</v>
      </c>
      <c r="G161" s="7" t="s">
        <v>566</v>
      </c>
      <c r="H161" s="133" t="s">
        <v>567</v>
      </c>
      <c r="I161" s="85"/>
      <c r="J161" s="134"/>
      <c r="K161" s="84" t="s">
        <v>553</v>
      </c>
      <c r="L161" s="7" t="s">
        <v>568</v>
      </c>
      <c r="M161" s="32" t="s">
        <v>97</v>
      </c>
      <c r="N161" s="7">
        <f>118*3</f>
        <v>354</v>
      </c>
      <c r="O161" s="14">
        <v>276858332</v>
      </c>
      <c r="P161" s="7" t="s">
        <v>288</v>
      </c>
    </row>
    <row r="162" spans="1:16" ht="29" x14ac:dyDescent="0.35">
      <c r="A162" s="6">
        <f t="shared" si="3"/>
        <v>23</v>
      </c>
      <c r="B162" s="7" t="s">
        <v>71</v>
      </c>
      <c r="C162" s="7" t="s">
        <v>551</v>
      </c>
      <c r="D162" s="7" t="s">
        <v>552</v>
      </c>
      <c r="E162" s="7" t="s">
        <v>569</v>
      </c>
      <c r="F162" s="7" t="s">
        <v>570</v>
      </c>
      <c r="G162" s="85" t="s">
        <v>101</v>
      </c>
      <c r="H162" s="85" t="s">
        <v>571</v>
      </c>
      <c r="I162" s="85" t="s">
        <v>572</v>
      </c>
      <c r="J162" s="122">
        <v>32000000</v>
      </c>
      <c r="K162" s="6" t="s">
        <v>553</v>
      </c>
      <c r="L162" s="7">
        <v>2821670</v>
      </c>
      <c r="M162" s="32" t="s">
        <v>97</v>
      </c>
      <c r="N162" s="7" t="s">
        <v>573</v>
      </c>
      <c r="O162" s="14">
        <v>50000000</v>
      </c>
      <c r="P162" s="7"/>
    </row>
    <row r="163" spans="1:16" ht="29" x14ac:dyDescent="0.35">
      <c r="A163" s="135">
        <f t="shared" si="3"/>
        <v>24</v>
      </c>
      <c r="B163" s="136" t="s">
        <v>71</v>
      </c>
      <c r="C163" s="136" t="s">
        <v>551</v>
      </c>
      <c r="D163" s="7" t="s">
        <v>552</v>
      </c>
      <c r="E163" s="136" t="s">
        <v>574</v>
      </c>
      <c r="F163" s="136" t="s">
        <v>111</v>
      </c>
      <c r="G163" s="135" t="s">
        <v>112</v>
      </c>
      <c r="H163" s="135" t="s">
        <v>113</v>
      </c>
      <c r="I163" s="135" t="s">
        <v>575</v>
      </c>
      <c r="J163" s="137">
        <v>600000000</v>
      </c>
      <c r="K163" s="135" t="s">
        <v>553</v>
      </c>
      <c r="L163" s="135">
        <v>2952807</v>
      </c>
      <c r="M163" s="135" t="s">
        <v>109</v>
      </c>
      <c r="N163" s="138" t="s">
        <v>35</v>
      </c>
      <c r="O163" s="138">
        <v>700000000</v>
      </c>
      <c r="P163" s="9"/>
    </row>
    <row r="164" spans="1:16" ht="26" x14ac:dyDescent="0.35">
      <c r="A164" s="135">
        <f t="shared" si="3"/>
        <v>25</v>
      </c>
      <c r="B164" s="136" t="s">
        <v>576</v>
      </c>
      <c r="C164" s="136" t="s">
        <v>577</v>
      </c>
      <c r="D164" s="136" t="s">
        <v>557</v>
      </c>
      <c r="E164" s="136" t="s">
        <v>578</v>
      </c>
      <c r="F164" s="136" t="s">
        <v>297</v>
      </c>
      <c r="G164" s="135" t="s">
        <v>579</v>
      </c>
      <c r="H164" s="135" t="s">
        <v>580</v>
      </c>
      <c r="I164" s="135" t="s">
        <v>581</v>
      </c>
      <c r="J164" s="137">
        <v>273930000</v>
      </c>
      <c r="K164" s="135" t="s">
        <v>553</v>
      </c>
      <c r="L164" s="135">
        <v>2768128</v>
      </c>
      <c r="M164" s="135" t="s">
        <v>109</v>
      </c>
      <c r="N164" s="138" t="s">
        <v>581</v>
      </c>
      <c r="O164" s="138">
        <v>273930000</v>
      </c>
      <c r="P164" s="9"/>
    </row>
    <row r="165" spans="1:16" ht="26" x14ac:dyDescent="0.35">
      <c r="A165" s="135">
        <f t="shared" si="3"/>
        <v>26</v>
      </c>
      <c r="B165" s="136" t="s">
        <v>576</v>
      </c>
      <c r="C165" s="136" t="s">
        <v>577</v>
      </c>
      <c r="D165" s="136" t="s">
        <v>557</v>
      </c>
      <c r="E165" s="136" t="s">
        <v>578</v>
      </c>
      <c r="F165" s="136" t="s">
        <v>302</v>
      </c>
      <c r="G165" s="135" t="s">
        <v>303</v>
      </c>
      <c r="H165" s="135" t="s">
        <v>582</v>
      </c>
      <c r="I165" s="135" t="s">
        <v>583</v>
      </c>
      <c r="J165" s="137">
        <v>100000000</v>
      </c>
      <c r="K165" s="135" t="s">
        <v>553</v>
      </c>
      <c r="L165" s="135">
        <v>2847867</v>
      </c>
      <c r="M165" s="135" t="s">
        <v>109</v>
      </c>
      <c r="N165" s="138" t="s">
        <v>35</v>
      </c>
      <c r="O165" s="138">
        <v>100000000</v>
      </c>
      <c r="P165" s="9" t="s">
        <v>584</v>
      </c>
    </row>
    <row r="166" spans="1:16" ht="39" x14ac:dyDescent="0.35">
      <c r="A166" s="135">
        <f t="shared" si="3"/>
        <v>27</v>
      </c>
      <c r="B166" s="136" t="s">
        <v>576</v>
      </c>
      <c r="C166" s="136" t="s">
        <v>577</v>
      </c>
      <c r="D166" s="136" t="s">
        <v>557</v>
      </c>
      <c r="E166" s="136" t="s">
        <v>585</v>
      </c>
      <c r="F166" s="136" t="s">
        <v>586</v>
      </c>
      <c r="G166" s="135" t="s">
        <v>587</v>
      </c>
      <c r="H166" s="135" t="s">
        <v>587</v>
      </c>
      <c r="I166" s="135" t="s">
        <v>35</v>
      </c>
      <c r="J166" s="137">
        <v>100000000</v>
      </c>
      <c r="K166" s="349" t="s">
        <v>553</v>
      </c>
      <c r="L166" s="135"/>
      <c r="M166" s="135" t="s">
        <v>109</v>
      </c>
      <c r="N166" s="138" t="s">
        <v>35</v>
      </c>
      <c r="O166" s="138">
        <v>100000000</v>
      </c>
      <c r="P166" s="9" t="s">
        <v>588</v>
      </c>
    </row>
    <row r="167" spans="1:16" ht="29" x14ac:dyDescent="0.35">
      <c r="A167" s="6">
        <f t="shared" si="3"/>
        <v>28</v>
      </c>
      <c r="B167" s="7" t="s">
        <v>71</v>
      </c>
      <c r="C167" s="7" t="s">
        <v>551</v>
      </c>
      <c r="D167" s="7" t="s">
        <v>589</v>
      </c>
      <c r="E167" s="7" t="s">
        <v>590</v>
      </c>
      <c r="F167" s="7" t="s">
        <v>591</v>
      </c>
      <c r="G167" s="6" t="s">
        <v>135</v>
      </c>
      <c r="H167" s="6" t="s">
        <v>592</v>
      </c>
      <c r="I167" s="6" t="s">
        <v>408</v>
      </c>
      <c r="J167" s="15">
        <v>50000000</v>
      </c>
      <c r="K167" s="6" t="s">
        <v>553</v>
      </c>
      <c r="L167" s="6">
        <v>2906111</v>
      </c>
      <c r="M167" s="6" t="s">
        <v>27</v>
      </c>
      <c r="N167" s="6" t="s">
        <v>593</v>
      </c>
      <c r="O167" s="138">
        <v>50000000</v>
      </c>
      <c r="P167" s="7"/>
    </row>
    <row r="168" spans="1:16" ht="29" x14ac:dyDescent="0.35">
      <c r="A168" s="6">
        <f t="shared" si="3"/>
        <v>29</v>
      </c>
      <c r="B168" s="7" t="s">
        <v>71</v>
      </c>
      <c r="C168" s="7" t="s">
        <v>551</v>
      </c>
      <c r="D168" s="7" t="s">
        <v>552</v>
      </c>
      <c r="E168" s="7" t="s">
        <v>594</v>
      </c>
      <c r="F168" s="7" t="s">
        <v>591</v>
      </c>
      <c r="G168" s="6" t="s">
        <v>135</v>
      </c>
      <c r="H168" s="6" t="s">
        <v>595</v>
      </c>
      <c r="I168" s="6" t="s">
        <v>408</v>
      </c>
      <c r="J168" s="15">
        <v>20000000</v>
      </c>
      <c r="K168" s="6" t="s">
        <v>553</v>
      </c>
      <c r="L168" s="6">
        <v>2906120</v>
      </c>
      <c r="M168" s="6" t="s">
        <v>27</v>
      </c>
      <c r="N168" s="6" t="s">
        <v>596</v>
      </c>
      <c r="O168" s="138">
        <v>50000000</v>
      </c>
      <c r="P168" s="7"/>
    </row>
    <row r="169" spans="1:16" ht="29" x14ac:dyDescent="0.35">
      <c r="A169" s="6">
        <f t="shared" si="3"/>
        <v>30</v>
      </c>
      <c r="B169" s="7" t="s">
        <v>71</v>
      </c>
      <c r="C169" s="7" t="s">
        <v>551</v>
      </c>
      <c r="D169" s="7" t="s">
        <v>557</v>
      </c>
      <c r="E169" s="7" t="s">
        <v>597</v>
      </c>
      <c r="F169" s="7" t="s">
        <v>297</v>
      </c>
      <c r="G169" s="6" t="s">
        <v>598</v>
      </c>
      <c r="H169" s="6" t="s">
        <v>599</v>
      </c>
      <c r="I169" s="6" t="s">
        <v>28</v>
      </c>
      <c r="J169" s="15">
        <v>25000000</v>
      </c>
      <c r="K169" s="6" t="s">
        <v>553</v>
      </c>
      <c r="L169" s="6">
        <v>2791231</v>
      </c>
      <c r="M169" s="6" t="s">
        <v>27</v>
      </c>
      <c r="N169" s="6" t="s">
        <v>28</v>
      </c>
      <c r="O169" s="138">
        <v>25000000</v>
      </c>
      <c r="P169" s="7"/>
    </row>
    <row r="170" spans="1:16" ht="29" x14ac:dyDescent="0.35">
      <c r="A170" s="6">
        <f t="shared" si="3"/>
        <v>31</v>
      </c>
      <c r="B170" s="7" t="s">
        <v>71</v>
      </c>
      <c r="C170" s="7" t="s">
        <v>551</v>
      </c>
      <c r="D170" s="7" t="s">
        <v>557</v>
      </c>
      <c r="E170" s="7" t="s">
        <v>578</v>
      </c>
      <c r="F170" s="7"/>
      <c r="G170" s="7" t="s">
        <v>600</v>
      </c>
      <c r="H170" s="7" t="s">
        <v>601</v>
      </c>
      <c r="I170" s="7" t="s">
        <v>35</v>
      </c>
      <c r="J170" s="7">
        <v>125000000</v>
      </c>
      <c r="K170" s="6" t="s">
        <v>553</v>
      </c>
      <c r="L170" s="7">
        <v>2913934</v>
      </c>
      <c r="M170" s="6" t="s">
        <v>46</v>
      </c>
      <c r="N170" s="14" t="s">
        <v>35</v>
      </c>
      <c r="O170" s="14">
        <v>125000000</v>
      </c>
      <c r="P170" s="7"/>
    </row>
    <row r="171" spans="1:16" ht="29" x14ac:dyDescent="0.35">
      <c r="A171" s="6">
        <f t="shared" si="3"/>
        <v>32</v>
      </c>
      <c r="B171" s="7" t="s">
        <v>71</v>
      </c>
      <c r="C171" s="7" t="s">
        <v>551</v>
      </c>
      <c r="D171" s="7" t="s">
        <v>557</v>
      </c>
      <c r="E171" s="7" t="s">
        <v>578</v>
      </c>
      <c r="F171" s="7"/>
      <c r="G171" s="7" t="s">
        <v>600</v>
      </c>
      <c r="H171" s="7" t="s">
        <v>602</v>
      </c>
      <c r="I171" s="7" t="s">
        <v>35</v>
      </c>
      <c r="J171" s="7">
        <v>50000000</v>
      </c>
      <c r="K171" s="6" t="s">
        <v>553</v>
      </c>
      <c r="L171" s="7">
        <v>2913934</v>
      </c>
      <c r="M171" s="6" t="s">
        <v>46</v>
      </c>
      <c r="N171" s="14" t="s">
        <v>35</v>
      </c>
      <c r="O171" s="14">
        <v>50000000</v>
      </c>
      <c r="P171" s="7"/>
    </row>
    <row r="172" spans="1:16" ht="29" x14ac:dyDescent="0.35">
      <c r="A172" s="6">
        <f t="shared" si="3"/>
        <v>33</v>
      </c>
      <c r="B172" s="7" t="s">
        <v>71</v>
      </c>
      <c r="C172" s="7" t="s">
        <v>551</v>
      </c>
      <c r="D172" s="7" t="s">
        <v>557</v>
      </c>
      <c r="E172" s="7" t="s">
        <v>578</v>
      </c>
      <c r="F172" s="7"/>
      <c r="G172" s="7" t="s">
        <v>600</v>
      </c>
      <c r="H172" s="7" t="s">
        <v>603</v>
      </c>
      <c r="I172" s="7" t="s">
        <v>35</v>
      </c>
      <c r="J172" s="7">
        <v>40000000</v>
      </c>
      <c r="K172" s="6" t="s">
        <v>553</v>
      </c>
      <c r="L172" s="7">
        <v>2913934</v>
      </c>
      <c r="M172" s="6" t="s">
        <v>46</v>
      </c>
      <c r="N172" s="14" t="s">
        <v>35</v>
      </c>
      <c r="O172" s="14">
        <v>40000000</v>
      </c>
      <c r="P172" s="7"/>
    </row>
    <row r="173" spans="1:16" ht="29" x14ac:dyDescent="0.35">
      <c r="A173" s="6">
        <f t="shared" si="3"/>
        <v>34</v>
      </c>
      <c r="B173" s="7" t="s">
        <v>71</v>
      </c>
      <c r="C173" s="7" t="s">
        <v>551</v>
      </c>
      <c r="D173" s="7" t="s">
        <v>557</v>
      </c>
      <c r="E173" s="7" t="s">
        <v>578</v>
      </c>
      <c r="F173" s="7"/>
      <c r="G173" s="7" t="s">
        <v>600</v>
      </c>
      <c r="H173" s="7" t="s">
        <v>604</v>
      </c>
      <c r="I173" s="7" t="s">
        <v>35</v>
      </c>
      <c r="J173" s="7">
        <v>40000000</v>
      </c>
      <c r="K173" s="6" t="s">
        <v>553</v>
      </c>
      <c r="L173" s="7">
        <v>2913934</v>
      </c>
      <c r="M173" s="6" t="s">
        <v>46</v>
      </c>
      <c r="N173" s="14" t="s">
        <v>35</v>
      </c>
      <c r="O173" s="14">
        <v>40000000</v>
      </c>
      <c r="P173" s="7"/>
    </row>
    <row r="174" spans="1:16" ht="29" x14ac:dyDescent="0.35">
      <c r="A174" s="6">
        <f t="shared" si="3"/>
        <v>35</v>
      </c>
      <c r="B174" s="7" t="s">
        <v>71</v>
      </c>
      <c r="C174" s="7" t="s">
        <v>551</v>
      </c>
      <c r="D174" s="7" t="s">
        <v>557</v>
      </c>
      <c r="E174" s="7" t="s">
        <v>578</v>
      </c>
      <c r="F174" s="7"/>
      <c r="G174" s="7" t="s">
        <v>600</v>
      </c>
      <c r="H174" s="7" t="s">
        <v>605</v>
      </c>
      <c r="I174" s="7" t="s">
        <v>35</v>
      </c>
      <c r="J174" s="7">
        <v>50000000</v>
      </c>
      <c r="K174" s="6" t="s">
        <v>553</v>
      </c>
      <c r="L174" s="7">
        <v>2913934</v>
      </c>
      <c r="M174" s="6" t="s">
        <v>46</v>
      </c>
      <c r="N174" s="14" t="s">
        <v>35</v>
      </c>
      <c r="O174" s="14">
        <v>50000000</v>
      </c>
      <c r="P174" s="7"/>
    </row>
    <row r="175" spans="1:16" ht="29" x14ac:dyDescent="0.35">
      <c r="A175" s="6">
        <f t="shared" si="3"/>
        <v>36</v>
      </c>
      <c r="B175" s="7" t="s">
        <v>71</v>
      </c>
      <c r="C175" s="7" t="s">
        <v>551</v>
      </c>
      <c r="D175" s="7" t="s">
        <v>557</v>
      </c>
      <c r="E175" s="7" t="s">
        <v>578</v>
      </c>
      <c r="F175" s="7"/>
      <c r="G175" s="7" t="s">
        <v>600</v>
      </c>
      <c r="H175" s="6" t="s">
        <v>606</v>
      </c>
      <c r="I175" s="7" t="s">
        <v>35</v>
      </c>
      <c r="J175" s="7">
        <v>25000000</v>
      </c>
      <c r="K175" s="6" t="s">
        <v>553</v>
      </c>
      <c r="L175" s="7">
        <v>2913934</v>
      </c>
      <c r="M175" s="6" t="s">
        <v>46</v>
      </c>
      <c r="N175" s="14" t="s">
        <v>35</v>
      </c>
      <c r="O175" s="14">
        <v>25000000</v>
      </c>
      <c r="P175" s="7"/>
    </row>
    <row r="176" spans="1:16" ht="29" x14ac:dyDescent="0.35">
      <c r="A176" s="6">
        <f t="shared" si="3"/>
        <v>37</v>
      </c>
      <c r="B176" s="7" t="s">
        <v>71</v>
      </c>
      <c r="C176" s="7" t="s">
        <v>551</v>
      </c>
      <c r="D176" s="7" t="s">
        <v>552</v>
      </c>
      <c r="E176" s="7" t="s">
        <v>607</v>
      </c>
      <c r="F176" s="7" t="s">
        <v>608</v>
      </c>
      <c r="G176" s="7" t="s">
        <v>389</v>
      </c>
      <c r="H176" s="7" t="s">
        <v>398</v>
      </c>
      <c r="I176" s="7" t="s">
        <v>609</v>
      </c>
      <c r="J176" s="7">
        <v>25000000</v>
      </c>
      <c r="K176" s="6" t="s">
        <v>553</v>
      </c>
      <c r="L176" s="7"/>
      <c r="M176" s="6" t="s">
        <v>46</v>
      </c>
      <c r="N176" s="14" t="s">
        <v>25</v>
      </c>
      <c r="O176" s="14">
        <v>25000000</v>
      </c>
      <c r="P176" s="7" t="s">
        <v>610</v>
      </c>
    </row>
    <row r="177" spans="1:16" ht="29" x14ac:dyDescent="0.35">
      <c r="A177" s="6">
        <f t="shared" si="3"/>
        <v>38</v>
      </c>
      <c r="B177" s="7" t="s">
        <v>71</v>
      </c>
      <c r="C177" s="7" t="s">
        <v>551</v>
      </c>
      <c r="D177" s="7" t="s">
        <v>552</v>
      </c>
      <c r="E177" s="7" t="s">
        <v>611</v>
      </c>
      <c r="F177" s="7" t="s">
        <v>608</v>
      </c>
      <c r="G177" s="7" t="s">
        <v>389</v>
      </c>
      <c r="H177" s="7" t="s">
        <v>398</v>
      </c>
      <c r="I177" s="7">
        <v>1</v>
      </c>
      <c r="J177" s="7">
        <v>75000000</v>
      </c>
      <c r="K177" s="6" t="s">
        <v>553</v>
      </c>
      <c r="L177" s="7"/>
      <c r="M177" s="6" t="s">
        <v>46</v>
      </c>
      <c r="N177" s="14" t="s">
        <v>25</v>
      </c>
      <c r="O177" s="14">
        <v>75000000</v>
      </c>
      <c r="P177" s="7" t="s">
        <v>610</v>
      </c>
    </row>
    <row r="178" spans="1:16" ht="29" x14ac:dyDescent="0.35">
      <c r="A178" s="6">
        <f t="shared" si="3"/>
        <v>39</v>
      </c>
      <c r="B178" s="7" t="s">
        <v>71</v>
      </c>
      <c r="C178" s="7" t="s">
        <v>551</v>
      </c>
      <c r="D178" s="7" t="s">
        <v>557</v>
      </c>
      <c r="E178" s="7" t="s">
        <v>578</v>
      </c>
      <c r="F178" s="7" t="s">
        <v>48</v>
      </c>
      <c r="G178" s="7" t="s">
        <v>612</v>
      </c>
      <c r="H178" s="7" t="s">
        <v>613</v>
      </c>
      <c r="I178" s="7" t="s">
        <v>614</v>
      </c>
      <c r="J178" s="7">
        <v>22500000</v>
      </c>
      <c r="K178" s="6" t="s">
        <v>553</v>
      </c>
      <c r="L178" s="7">
        <v>2819924</v>
      </c>
      <c r="M178" s="6" t="s">
        <v>46</v>
      </c>
      <c r="N178" s="14">
        <v>1</v>
      </c>
      <c r="O178" s="14">
        <v>22500000</v>
      </c>
      <c r="P178" s="7"/>
    </row>
    <row r="179" spans="1:16" ht="29" x14ac:dyDescent="0.35">
      <c r="A179" s="6">
        <f t="shared" si="3"/>
        <v>40</v>
      </c>
      <c r="B179" s="7" t="s">
        <v>71</v>
      </c>
      <c r="C179" s="7" t="s">
        <v>551</v>
      </c>
      <c r="D179" s="7" t="s">
        <v>552</v>
      </c>
      <c r="E179" s="7" t="s">
        <v>574</v>
      </c>
      <c r="F179" s="7"/>
      <c r="G179" s="7" t="s">
        <v>615</v>
      </c>
      <c r="H179" s="7" t="s">
        <v>616</v>
      </c>
      <c r="I179" s="7" t="s">
        <v>617</v>
      </c>
      <c r="J179" s="7">
        <v>200000000</v>
      </c>
      <c r="K179" s="6" t="s">
        <v>553</v>
      </c>
      <c r="L179" s="7">
        <v>2799577</v>
      </c>
      <c r="M179" s="6" t="s">
        <v>46</v>
      </c>
      <c r="N179" s="14" t="s">
        <v>617</v>
      </c>
      <c r="O179" s="14">
        <v>200000000</v>
      </c>
      <c r="P179" s="7"/>
    </row>
    <row r="180" spans="1:16" ht="29" x14ac:dyDescent="0.35">
      <c r="A180" s="6">
        <f t="shared" si="3"/>
        <v>41</v>
      </c>
      <c r="B180" s="7" t="s">
        <v>71</v>
      </c>
      <c r="C180" s="7" t="s">
        <v>551</v>
      </c>
      <c r="D180" s="7" t="s">
        <v>552</v>
      </c>
      <c r="E180" s="7" t="s">
        <v>574</v>
      </c>
      <c r="F180" s="7"/>
      <c r="G180" s="7" t="s">
        <v>615</v>
      </c>
      <c r="H180" s="7" t="s">
        <v>618</v>
      </c>
      <c r="I180" s="7" t="s">
        <v>54</v>
      </c>
      <c r="J180" s="7">
        <v>200000000</v>
      </c>
      <c r="K180" s="6" t="s">
        <v>553</v>
      </c>
      <c r="L180" s="7">
        <v>2799240</v>
      </c>
      <c r="M180" s="6" t="s">
        <v>46</v>
      </c>
      <c r="N180" s="14">
        <v>1</v>
      </c>
      <c r="O180" s="14">
        <v>100000000</v>
      </c>
      <c r="P180" s="7"/>
    </row>
    <row r="181" spans="1:16" ht="29" x14ac:dyDescent="0.35">
      <c r="A181" s="6">
        <f t="shared" si="3"/>
        <v>42</v>
      </c>
      <c r="B181" s="7" t="s">
        <v>71</v>
      </c>
      <c r="C181" s="7" t="s">
        <v>551</v>
      </c>
      <c r="D181" s="7" t="s">
        <v>552</v>
      </c>
      <c r="E181" s="7" t="s">
        <v>619</v>
      </c>
      <c r="F181" s="7" t="s">
        <v>48</v>
      </c>
      <c r="G181" s="7" t="s">
        <v>405</v>
      </c>
      <c r="H181" s="7" t="s">
        <v>620</v>
      </c>
      <c r="I181" s="7" t="s">
        <v>164</v>
      </c>
      <c r="J181" s="7">
        <v>50000000</v>
      </c>
      <c r="K181" s="6" t="s">
        <v>553</v>
      </c>
      <c r="L181" s="7">
        <v>2798730</v>
      </c>
      <c r="M181" s="6" t="s">
        <v>46</v>
      </c>
      <c r="N181" s="14" t="s">
        <v>164</v>
      </c>
      <c r="O181" s="14">
        <v>50000000</v>
      </c>
      <c r="P181" s="7"/>
    </row>
    <row r="182" spans="1:16" ht="43.5" x14ac:dyDescent="0.35">
      <c r="A182" s="6">
        <f t="shared" si="3"/>
        <v>43</v>
      </c>
      <c r="B182" s="7" t="s">
        <v>71</v>
      </c>
      <c r="C182" s="7" t="s">
        <v>551</v>
      </c>
      <c r="D182" s="7" t="s">
        <v>557</v>
      </c>
      <c r="E182" s="7" t="s">
        <v>621</v>
      </c>
      <c r="F182" s="7" t="s">
        <v>622</v>
      </c>
      <c r="G182" s="7" t="s">
        <v>171</v>
      </c>
      <c r="H182" s="7" t="s">
        <v>623</v>
      </c>
      <c r="I182" s="7" t="s">
        <v>35</v>
      </c>
      <c r="J182" s="7">
        <v>45850000</v>
      </c>
      <c r="K182" s="6" t="s">
        <v>553</v>
      </c>
      <c r="L182" s="7">
        <v>2965207</v>
      </c>
      <c r="M182" s="6" t="s">
        <v>173</v>
      </c>
      <c r="N182" s="14" t="s">
        <v>35</v>
      </c>
      <c r="O182" s="14">
        <v>45850000</v>
      </c>
      <c r="P182" s="7"/>
    </row>
    <row r="183" spans="1:16" ht="58" x14ac:dyDescent="0.35">
      <c r="A183" s="6">
        <f t="shared" si="3"/>
        <v>44</v>
      </c>
      <c r="B183" s="7" t="s">
        <v>71</v>
      </c>
      <c r="C183" s="7" t="s">
        <v>551</v>
      </c>
      <c r="D183" s="7" t="s">
        <v>552</v>
      </c>
      <c r="E183" s="7" t="s">
        <v>624</v>
      </c>
      <c r="F183" s="7" t="s">
        <v>625</v>
      </c>
      <c r="G183" s="7" t="s">
        <v>626</v>
      </c>
      <c r="H183" s="7" t="s">
        <v>627</v>
      </c>
      <c r="I183" s="7" t="s">
        <v>628</v>
      </c>
      <c r="J183" s="7">
        <v>20000000</v>
      </c>
      <c r="K183" s="6" t="s">
        <v>553</v>
      </c>
      <c r="L183" s="7">
        <v>2843102</v>
      </c>
      <c r="M183" s="6" t="s">
        <v>173</v>
      </c>
      <c r="N183" s="14" t="s">
        <v>628</v>
      </c>
      <c r="O183" s="14">
        <v>50000000</v>
      </c>
      <c r="P183" s="7"/>
    </row>
    <row r="184" spans="1:16" ht="43.5" x14ac:dyDescent="0.35">
      <c r="A184" s="6">
        <f t="shared" si="3"/>
        <v>45</v>
      </c>
      <c r="B184" s="7" t="s">
        <v>71</v>
      </c>
      <c r="C184" s="7" t="s">
        <v>551</v>
      </c>
      <c r="D184" s="7" t="s">
        <v>552</v>
      </c>
      <c r="E184" s="7" t="s">
        <v>629</v>
      </c>
      <c r="F184" s="7" t="s">
        <v>630</v>
      </c>
      <c r="G184" s="7" t="s">
        <v>626</v>
      </c>
      <c r="H184" s="7" t="s">
        <v>631</v>
      </c>
      <c r="I184" s="7" t="s">
        <v>48</v>
      </c>
      <c r="J184" s="7">
        <v>100000000</v>
      </c>
      <c r="K184" s="6" t="s">
        <v>553</v>
      </c>
      <c r="L184" s="7">
        <v>2895482</v>
      </c>
      <c r="M184" s="6" t="s">
        <v>173</v>
      </c>
      <c r="N184" s="14" t="s">
        <v>35</v>
      </c>
      <c r="O184" s="14">
        <v>100000000</v>
      </c>
      <c r="P184" s="7"/>
    </row>
    <row r="185" spans="1:16" ht="43.5" x14ac:dyDescent="0.35">
      <c r="A185" s="6">
        <f t="shared" si="3"/>
        <v>46</v>
      </c>
      <c r="B185" s="7" t="s">
        <v>71</v>
      </c>
      <c r="C185" s="7" t="s">
        <v>551</v>
      </c>
      <c r="D185" s="7" t="s">
        <v>552</v>
      </c>
      <c r="E185" s="7" t="s">
        <v>632</v>
      </c>
      <c r="F185" s="7" t="s">
        <v>633</v>
      </c>
      <c r="G185" s="7" t="s">
        <v>626</v>
      </c>
      <c r="H185" s="7" t="s">
        <v>634</v>
      </c>
      <c r="I185" s="7" t="s">
        <v>628</v>
      </c>
      <c r="J185" s="7">
        <v>50000000</v>
      </c>
      <c r="K185" s="6" t="s">
        <v>553</v>
      </c>
      <c r="L185" s="7">
        <v>2873369</v>
      </c>
      <c r="M185" s="6" t="s">
        <v>173</v>
      </c>
      <c r="N185" s="14" t="s">
        <v>628</v>
      </c>
      <c r="O185" s="14">
        <v>50000000</v>
      </c>
      <c r="P185" s="7"/>
    </row>
    <row r="186" spans="1:16" ht="43.5" x14ac:dyDescent="0.35">
      <c r="A186" s="6">
        <f t="shared" si="3"/>
        <v>47</v>
      </c>
      <c r="B186" s="7" t="s">
        <v>71</v>
      </c>
      <c r="C186" s="7" t="s">
        <v>551</v>
      </c>
      <c r="D186" s="7" t="s">
        <v>552</v>
      </c>
      <c r="E186" s="7" t="s">
        <v>635</v>
      </c>
      <c r="F186" s="7" t="s">
        <v>633</v>
      </c>
      <c r="G186" s="7" t="s">
        <v>626</v>
      </c>
      <c r="H186" s="7" t="s">
        <v>634</v>
      </c>
      <c r="I186" s="7" t="s">
        <v>628</v>
      </c>
      <c r="J186" s="7">
        <v>50000000</v>
      </c>
      <c r="K186" s="6" t="s">
        <v>553</v>
      </c>
      <c r="L186" s="7">
        <v>2895327</v>
      </c>
      <c r="M186" s="6" t="s">
        <v>173</v>
      </c>
      <c r="N186" s="14" t="s">
        <v>628</v>
      </c>
      <c r="O186" s="14">
        <v>50000000</v>
      </c>
      <c r="P186" s="7"/>
    </row>
    <row r="187" spans="1:16" ht="29" x14ac:dyDescent="0.35">
      <c r="A187" s="6">
        <f t="shared" si="3"/>
        <v>48</v>
      </c>
      <c r="B187" s="7" t="s">
        <v>71</v>
      </c>
      <c r="C187" s="7" t="s">
        <v>551</v>
      </c>
      <c r="D187" s="7" t="s">
        <v>557</v>
      </c>
      <c r="E187" s="7" t="s">
        <v>578</v>
      </c>
      <c r="F187" s="7" t="s">
        <v>636</v>
      </c>
      <c r="G187" s="7" t="s">
        <v>182</v>
      </c>
      <c r="H187" s="7" t="s">
        <v>185</v>
      </c>
      <c r="I187" s="7" t="s">
        <v>431</v>
      </c>
      <c r="J187" s="7">
        <v>25000000</v>
      </c>
      <c r="K187" s="6" t="s">
        <v>553</v>
      </c>
      <c r="L187" s="7">
        <v>2948143</v>
      </c>
      <c r="M187" s="6" t="s">
        <v>180</v>
      </c>
      <c r="N187" s="14" t="s">
        <v>25</v>
      </c>
      <c r="O187" s="14">
        <v>28000000</v>
      </c>
      <c r="P187" s="7"/>
    </row>
    <row r="188" spans="1:16" ht="29" x14ac:dyDescent="0.35">
      <c r="A188" s="6">
        <f t="shared" si="3"/>
        <v>49</v>
      </c>
      <c r="B188" s="7" t="s">
        <v>71</v>
      </c>
      <c r="C188" s="7" t="s">
        <v>551</v>
      </c>
      <c r="D188" s="7" t="s">
        <v>552</v>
      </c>
      <c r="E188" s="7" t="s">
        <v>619</v>
      </c>
      <c r="F188" s="7" t="s">
        <v>637</v>
      </c>
      <c r="G188" s="7" t="s">
        <v>182</v>
      </c>
      <c r="H188" s="7" t="s">
        <v>638</v>
      </c>
      <c r="I188" s="7" t="s">
        <v>639</v>
      </c>
      <c r="J188" s="7">
        <v>20000000</v>
      </c>
      <c r="K188" s="6" t="s">
        <v>553</v>
      </c>
      <c r="L188" s="7">
        <v>2959599</v>
      </c>
      <c r="M188" s="6" t="s">
        <v>180</v>
      </c>
      <c r="N188" s="14" t="s">
        <v>122</v>
      </c>
      <c r="O188" s="14">
        <v>20000000</v>
      </c>
      <c r="P188" s="7"/>
    </row>
    <row r="189" spans="1:16" ht="29" x14ac:dyDescent="0.35">
      <c r="A189" s="6">
        <f t="shared" si="3"/>
        <v>50</v>
      </c>
      <c r="B189" s="7" t="s">
        <v>71</v>
      </c>
      <c r="C189" s="7" t="s">
        <v>551</v>
      </c>
      <c r="D189" s="7" t="s">
        <v>552</v>
      </c>
      <c r="E189" s="7" t="s">
        <v>640</v>
      </c>
      <c r="F189" s="7" t="s">
        <v>641</v>
      </c>
      <c r="G189" s="6" t="s">
        <v>463</v>
      </c>
      <c r="H189" s="6" t="s">
        <v>642</v>
      </c>
      <c r="I189" s="6" t="s">
        <v>431</v>
      </c>
      <c r="J189" s="15">
        <v>100000000</v>
      </c>
      <c r="K189" s="6" t="s">
        <v>553</v>
      </c>
      <c r="L189" s="6">
        <v>2771328</v>
      </c>
      <c r="M189" s="6" t="s">
        <v>55</v>
      </c>
      <c r="N189" s="6" t="s">
        <v>35</v>
      </c>
      <c r="O189" s="138">
        <v>100000000</v>
      </c>
      <c r="P189" s="9"/>
    </row>
    <row r="190" spans="1:16" ht="29" x14ac:dyDescent="0.35">
      <c r="A190" s="6">
        <f t="shared" si="3"/>
        <v>51</v>
      </c>
      <c r="B190" s="7" t="s">
        <v>71</v>
      </c>
      <c r="C190" s="7" t="s">
        <v>551</v>
      </c>
      <c r="D190" s="7" t="s">
        <v>552</v>
      </c>
      <c r="E190" s="7" t="s">
        <v>643</v>
      </c>
      <c r="F190" s="7" t="s">
        <v>644</v>
      </c>
      <c r="G190" s="6" t="s">
        <v>529</v>
      </c>
      <c r="H190" s="6" t="s">
        <v>645</v>
      </c>
      <c r="I190" s="6" t="s">
        <v>35</v>
      </c>
      <c r="J190" s="15">
        <v>100000000</v>
      </c>
      <c r="K190" s="6" t="s">
        <v>553</v>
      </c>
      <c r="L190" s="6">
        <v>2938481</v>
      </c>
      <c r="M190" s="6" t="s">
        <v>55</v>
      </c>
      <c r="N190" s="6" t="s">
        <v>35</v>
      </c>
      <c r="O190" s="138">
        <v>100000000</v>
      </c>
      <c r="P190" s="9"/>
    </row>
    <row r="191" spans="1:16" ht="58" x14ac:dyDescent="0.35">
      <c r="A191" s="139">
        <f t="shared" si="3"/>
        <v>52</v>
      </c>
      <c r="B191" s="140" t="s">
        <v>18</v>
      </c>
      <c r="C191" s="140" t="s">
        <v>255</v>
      </c>
      <c r="D191" s="140" t="s">
        <v>646</v>
      </c>
      <c r="E191" s="140" t="s">
        <v>647</v>
      </c>
      <c r="F191" s="140" t="s">
        <v>648</v>
      </c>
      <c r="G191" s="139" t="s">
        <v>76</v>
      </c>
      <c r="H191" s="140" t="s">
        <v>649</v>
      </c>
      <c r="I191" s="140" t="s">
        <v>650</v>
      </c>
      <c r="J191" s="10">
        <v>50000000</v>
      </c>
      <c r="K191" s="139" t="s">
        <v>651</v>
      </c>
      <c r="L191" s="140">
        <v>2792292</v>
      </c>
      <c r="M191" s="155" t="s">
        <v>79</v>
      </c>
      <c r="N191" s="142" t="s">
        <v>652</v>
      </c>
      <c r="O191" s="148">
        <v>50000000</v>
      </c>
      <c r="P191" s="140" t="s">
        <v>653</v>
      </c>
    </row>
    <row r="192" spans="1:16" ht="43.5" x14ac:dyDescent="0.35">
      <c r="A192" s="139">
        <f t="shared" si="3"/>
        <v>53</v>
      </c>
      <c r="B192" s="140" t="s">
        <v>18</v>
      </c>
      <c r="C192" s="140" t="s">
        <v>255</v>
      </c>
      <c r="D192" s="140" t="s">
        <v>646</v>
      </c>
      <c r="E192" s="140" t="s">
        <v>654</v>
      </c>
      <c r="F192" s="140" t="s">
        <v>655</v>
      </c>
      <c r="G192" s="139" t="s">
        <v>266</v>
      </c>
      <c r="H192" s="140" t="s">
        <v>266</v>
      </c>
      <c r="I192" s="140"/>
      <c r="J192" s="10">
        <v>35000000</v>
      </c>
      <c r="K192" s="139" t="s">
        <v>651</v>
      </c>
      <c r="L192" s="140">
        <v>2847000</v>
      </c>
      <c r="M192" s="155" t="s">
        <v>79</v>
      </c>
      <c r="N192" s="142" t="s">
        <v>280</v>
      </c>
      <c r="O192" s="142">
        <v>50000000</v>
      </c>
      <c r="P192" s="140" t="s">
        <v>653</v>
      </c>
    </row>
    <row r="193" spans="1:16" ht="29" x14ac:dyDescent="0.35">
      <c r="A193" s="139">
        <f t="shared" si="3"/>
        <v>54</v>
      </c>
      <c r="B193" s="140" t="s">
        <v>18</v>
      </c>
      <c r="C193" s="140" t="s">
        <v>255</v>
      </c>
      <c r="D193" s="140" t="s">
        <v>646</v>
      </c>
      <c r="E193" s="140" t="s">
        <v>656</v>
      </c>
      <c r="F193" s="140" t="s">
        <v>657</v>
      </c>
      <c r="G193" s="139" t="s">
        <v>658</v>
      </c>
      <c r="H193" s="140" t="s">
        <v>659</v>
      </c>
      <c r="I193" s="140" t="s">
        <v>660</v>
      </c>
      <c r="J193" s="10">
        <v>24000000</v>
      </c>
      <c r="K193" s="139" t="s">
        <v>651</v>
      </c>
      <c r="L193" s="140">
        <v>2822231</v>
      </c>
      <c r="M193" s="155" t="s">
        <v>79</v>
      </c>
      <c r="N193" s="142" t="s">
        <v>661</v>
      </c>
      <c r="O193" s="142">
        <v>50000000</v>
      </c>
      <c r="P193" s="140" t="s">
        <v>653</v>
      </c>
    </row>
    <row r="194" spans="1:16" ht="29" x14ac:dyDescent="0.35">
      <c r="A194" s="139">
        <f>A193+1</f>
        <v>55</v>
      </c>
      <c r="B194" s="140" t="s">
        <v>18</v>
      </c>
      <c r="C194" s="140" t="s">
        <v>255</v>
      </c>
      <c r="D194" s="140" t="s">
        <v>646</v>
      </c>
      <c r="E194" s="140" t="s">
        <v>662</v>
      </c>
      <c r="F194" s="140" t="s">
        <v>270</v>
      </c>
      <c r="G194" s="143" t="s">
        <v>271</v>
      </c>
      <c r="H194" s="144" t="s">
        <v>663</v>
      </c>
      <c r="I194" s="144"/>
      <c r="J194" s="10"/>
      <c r="K194" s="139" t="s">
        <v>651</v>
      </c>
      <c r="L194" s="140" t="s">
        <v>273</v>
      </c>
      <c r="M194" s="32" t="s">
        <v>97</v>
      </c>
      <c r="N194" s="139">
        <v>1</v>
      </c>
      <c r="O194" s="142">
        <v>50000000</v>
      </c>
      <c r="P194" s="140" t="s">
        <v>275</v>
      </c>
    </row>
    <row r="195" spans="1:16" ht="29" x14ac:dyDescent="0.35">
      <c r="A195" s="139">
        <f t="shared" ref="A195:A212" si="4">A194+1</f>
        <v>56</v>
      </c>
      <c r="B195" s="140" t="s">
        <v>18</v>
      </c>
      <c r="C195" s="140" t="s">
        <v>255</v>
      </c>
      <c r="D195" s="140" t="s">
        <v>646</v>
      </c>
      <c r="E195" s="140" t="s">
        <v>662</v>
      </c>
      <c r="F195" s="140" t="s">
        <v>270</v>
      </c>
      <c r="G195" s="143" t="s">
        <v>271</v>
      </c>
      <c r="H195" s="144" t="s">
        <v>272</v>
      </c>
      <c r="I195" s="144"/>
      <c r="J195" s="10"/>
      <c r="K195" s="139" t="s">
        <v>651</v>
      </c>
      <c r="L195" s="140" t="s">
        <v>273</v>
      </c>
      <c r="M195" s="32" t="s">
        <v>97</v>
      </c>
      <c r="N195" s="139">
        <v>1</v>
      </c>
      <c r="O195" s="142">
        <v>50000000</v>
      </c>
      <c r="P195" s="140" t="s">
        <v>275</v>
      </c>
    </row>
    <row r="196" spans="1:16" ht="29" x14ac:dyDescent="0.35">
      <c r="A196" s="139">
        <f t="shared" si="4"/>
        <v>57</v>
      </c>
      <c r="B196" s="140" t="s">
        <v>18</v>
      </c>
      <c r="C196" s="140" t="s">
        <v>255</v>
      </c>
      <c r="D196" s="140" t="s">
        <v>646</v>
      </c>
      <c r="E196" s="140" t="s">
        <v>665</v>
      </c>
      <c r="F196" s="140" t="s">
        <v>666</v>
      </c>
      <c r="G196" s="139" t="s">
        <v>278</v>
      </c>
      <c r="H196" s="140" t="s">
        <v>492</v>
      </c>
      <c r="I196" s="140" t="s">
        <v>35</v>
      </c>
      <c r="J196" s="10">
        <v>50000000</v>
      </c>
      <c r="K196" s="139" t="s">
        <v>651</v>
      </c>
      <c r="L196" s="140">
        <v>2909168</v>
      </c>
      <c r="M196" s="32" t="s">
        <v>97</v>
      </c>
      <c r="N196" s="139" t="s">
        <v>25</v>
      </c>
      <c r="O196" s="142">
        <v>50000000</v>
      </c>
      <c r="P196" s="140" t="s">
        <v>667</v>
      </c>
    </row>
    <row r="197" spans="1:16" ht="29" x14ac:dyDescent="0.35">
      <c r="A197" s="139">
        <f t="shared" si="4"/>
        <v>58</v>
      </c>
      <c r="B197" s="140" t="s">
        <v>18</v>
      </c>
      <c r="C197" s="140" t="s">
        <v>255</v>
      </c>
      <c r="D197" s="140" t="s">
        <v>646</v>
      </c>
      <c r="E197" s="140" t="s">
        <v>668</v>
      </c>
      <c r="F197" s="140" t="s">
        <v>669</v>
      </c>
      <c r="G197" s="139" t="s">
        <v>670</v>
      </c>
      <c r="H197" s="140" t="s">
        <v>671</v>
      </c>
      <c r="I197" s="140" t="s">
        <v>25</v>
      </c>
      <c r="J197" s="10">
        <v>50000000</v>
      </c>
      <c r="K197" s="139" t="s">
        <v>651</v>
      </c>
      <c r="L197" s="140" t="s">
        <v>273</v>
      </c>
      <c r="M197" s="32" t="s">
        <v>97</v>
      </c>
      <c r="N197" s="139" t="s">
        <v>25</v>
      </c>
      <c r="O197" s="142">
        <v>50000000</v>
      </c>
      <c r="P197" s="140" t="s">
        <v>275</v>
      </c>
    </row>
    <row r="198" spans="1:16" ht="29" x14ac:dyDescent="0.35">
      <c r="A198" s="139">
        <f t="shared" si="4"/>
        <v>59</v>
      </c>
      <c r="B198" s="140" t="s">
        <v>18</v>
      </c>
      <c r="C198" s="140" t="s">
        <v>255</v>
      </c>
      <c r="D198" s="140" t="s">
        <v>646</v>
      </c>
      <c r="E198" s="140" t="s">
        <v>672</v>
      </c>
      <c r="F198" s="140" t="s">
        <v>673</v>
      </c>
      <c r="G198" s="143" t="s">
        <v>670</v>
      </c>
      <c r="H198" s="144" t="s">
        <v>674</v>
      </c>
      <c r="I198" s="144" t="s">
        <v>25</v>
      </c>
      <c r="J198" s="10">
        <v>50000000</v>
      </c>
      <c r="K198" s="139" t="s">
        <v>651</v>
      </c>
      <c r="L198" s="140">
        <v>2918747</v>
      </c>
      <c r="M198" s="32" t="s">
        <v>97</v>
      </c>
      <c r="N198" s="139" t="s">
        <v>25</v>
      </c>
      <c r="O198" s="142">
        <v>50000000</v>
      </c>
      <c r="P198" s="140" t="s">
        <v>675</v>
      </c>
    </row>
    <row r="199" spans="1:16" ht="29" x14ac:dyDescent="0.35">
      <c r="A199" s="139">
        <f t="shared" si="4"/>
        <v>60</v>
      </c>
      <c r="B199" s="140" t="s">
        <v>18</v>
      </c>
      <c r="C199" s="140" t="s">
        <v>255</v>
      </c>
      <c r="D199" s="140" t="s">
        <v>646</v>
      </c>
      <c r="E199" s="140" t="s">
        <v>668</v>
      </c>
      <c r="F199" s="140" t="s">
        <v>676</v>
      </c>
      <c r="G199" s="143" t="s">
        <v>670</v>
      </c>
      <c r="H199" s="144" t="s">
        <v>677</v>
      </c>
      <c r="I199" s="144" t="s">
        <v>25</v>
      </c>
      <c r="J199" s="10">
        <v>50000000</v>
      </c>
      <c r="K199" s="139" t="s">
        <v>651</v>
      </c>
      <c r="L199" s="140">
        <v>2918794</v>
      </c>
      <c r="M199" s="32" t="s">
        <v>97</v>
      </c>
      <c r="N199" s="139" t="s">
        <v>25</v>
      </c>
      <c r="O199" s="142">
        <v>50000000</v>
      </c>
      <c r="P199" s="140" t="s">
        <v>675</v>
      </c>
    </row>
    <row r="200" spans="1:16" ht="29" x14ac:dyDescent="0.35">
      <c r="A200" s="139">
        <f t="shared" si="4"/>
        <v>61</v>
      </c>
      <c r="B200" s="140" t="s">
        <v>18</v>
      </c>
      <c r="C200" s="140" t="s">
        <v>255</v>
      </c>
      <c r="D200" s="140" t="s">
        <v>646</v>
      </c>
      <c r="E200" s="140" t="s">
        <v>668</v>
      </c>
      <c r="F200" s="140" t="s">
        <v>678</v>
      </c>
      <c r="G200" s="143" t="s">
        <v>670</v>
      </c>
      <c r="H200" s="144" t="s">
        <v>679</v>
      </c>
      <c r="I200" s="144" t="s">
        <v>280</v>
      </c>
      <c r="J200" s="10">
        <v>50000000</v>
      </c>
      <c r="K200" s="139" t="s">
        <v>651</v>
      </c>
      <c r="L200" s="140">
        <v>2919016</v>
      </c>
      <c r="M200" s="32" t="s">
        <v>97</v>
      </c>
      <c r="N200" s="139" t="s">
        <v>25</v>
      </c>
      <c r="O200" s="142">
        <v>50000000</v>
      </c>
      <c r="P200" s="140" t="s">
        <v>675</v>
      </c>
    </row>
    <row r="201" spans="1:16" ht="29" x14ac:dyDescent="0.35">
      <c r="A201" s="139">
        <f t="shared" si="4"/>
        <v>62</v>
      </c>
      <c r="B201" s="140" t="s">
        <v>18</v>
      </c>
      <c r="C201" s="140" t="s">
        <v>255</v>
      </c>
      <c r="D201" s="140" t="s">
        <v>646</v>
      </c>
      <c r="E201" s="140" t="s">
        <v>668</v>
      </c>
      <c r="F201" s="140" t="s">
        <v>680</v>
      </c>
      <c r="G201" s="139" t="s">
        <v>670</v>
      </c>
      <c r="H201" s="140" t="s">
        <v>681</v>
      </c>
      <c r="I201" s="140" t="s">
        <v>280</v>
      </c>
      <c r="J201" s="10">
        <v>50000000</v>
      </c>
      <c r="K201" s="139" t="s">
        <v>651</v>
      </c>
      <c r="L201" s="140" t="s">
        <v>273</v>
      </c>
      <c r="M201" s="32" t="s">
        <v>97</v>
      </c>
      <c r="N201" s="139" t="s">
        <v>25</v>
      </c>
      <c r="O201" s="142">
        <v>50000000</v>
      </c>
      <c r="P201" s="140"/>
    </row>
    <row r="202" spans="1:16" ht="29" x14ac:dyDescent="0.35">
      <c r="A202" s="139">
        <f t="shared" si="4"/>
        <v>63</v>
      </c>
      <c r="B202" s="140" t="s">
        <v>18</v>
      </c>
      <c r="C202" s="140" t="s">
        <v>255</v>
      </c>
      <c r="D202" s="140" t="s">
        <v>646</v>
      </c>
      <c r="E202" s="140" t="s">
        <v>662</v>
      </c>
      <c r="F202" s="140" t="s">
        <v>236</v>
      </c>
      <c r="G202" s="139" t="s">
        <v>238</v>
      </c>
      <c r="H202" s="144" t="s">
        <v>682</v>
      </c>
      <c r="I202" s="140" t="s">
        <v>280</v>
      </c>
      <c r="J202" s="10">
        <v>35000000</v>
      </c>
      <c r="K202" s="139" t="s">
        <v>651</v>
      </c>
      <c r="L202" s="140">
        <v>2844263</v>
      </c>
      <c r="M202" s="32" t="s">
        <v>97</v>
      </c>
      <c r="N202" s="139"/>
      <c r="O202" s="142">
        <v>50000000</v>
      </c>
      <c r="P202" s="140" t="s">
        <v>675</v>
      </c>
    </row>
    <row r="203" spans="1:16" ht="29" x14ac:dyDescent="0.35">
      <c r="A203" s="139">
        <f t="shared" si="4"/>
        <v>64</v>
      </c>
      <c r="B203" s="140" t="s">
        <v>18</v>
      </c>
      <c r="C203" s="140" t="s">
        <v>255</v>
      </c>
      <c r="D203" s="140" t="s">
        <v>646</v>
      </c>
      <c r="E203" s="140" t="s">
        <v>662</v>
      </c>
      <c r="F203" s="140" t="s">
        <v>559</v>
      </c>
      <c r="G203" s="139" t="s">
        <v>238</v>
      </c>
      <c r="H203" s="144" t="s">
        <v>560</v>
      </c>
      <c r="I203" s="140" t="s">
        <v>280</v>
      </c>
      <c r="J203" s="10">
        <v>35000000</v>
      </c>
      <c r="K203" s="139" t="s">
        <v>651</v>
      </c>
      <c r="L203" s="140">
        <v>2844284</v>
      </c>
      <c r="M203" s="32" t="s">
        <v>97</v>
      </c>
      <c r="N203" s="139" t="s">
        <v>25</v>
      </c>
      <c r="O203" s="142">
        <v>50000000</v>
      </c>
      <c r="P203" s="140" t="s">
        <v>675</v>
      </c>
    </row>
    <row r="204" spans="1:16" ht="29" x14ac:dyDescent="0.35">
      <c r="A204" s="139">
        <f t="shared" si="4"/>
        <v>65</v>
      </c>
      <c r="B204" s="140" t="s">
        <v>18</v>
      </c>
      <c r="C204" s="140" t="s">
        <v>255</v>
      </c>
      <c r="D204" s="140" t="s">
        <v>646</v>
      </c>
      <c r="E204" s="140" t="s">
        <v>683</v>
      </c>
      <c r="F204" s="140" t="s">
        <v>684</v>
      </c>
      <c r="G204" s="139" t="s">
        <v>238</v>
      </c>
      <c r="H204" s="144" t="s">
        <v>685</v>
      </c>
      <c r="I204" s="140" t="s">
        <v>280</v>
      </c>
      <c r="J204" s="10">
        <v>35000000</v>
      </c>
      <c r="K204" s="139" t="s">
        <v>651</v>
      </c>
      <c r="L204" s="140">
        <v>2844193</v>
      </c>
      <c r="M204" s="32" t="s">
        <v>97</v>
      </c>
      <c r="N204" s="139" t="s">
        <v>25</v>
      </c>
      <c r="O204" s="142">
        <v>50000000</v>
      </c>
      <c r="P204" s="140" t="s">
        <v>675</v>
      </c>
    </row>
    <row r="205" spans="1:16" ht="29" x14ac:dyDescent="0.35">
      <c r="A205" s="139">
        <f t="shared" si="4"/>
        <v>66</v>
      </c>
      <c r="B205" s="140" t="s">
        <v>18</v>
      </c>
      <c r="C205" s="140" t="s">
        <v>255</v>
      </c>
      <c r="D205" s="140" t="s">
        <v>646</v>
      </c>
      <c r="E205" s="140" t="s">
        <v>686</v>
      </c>
      <c r="F205" s="140" t="s">
        <v>687</v>
      </c>
      <c r="G205" s="139" t="s">
        <v>238</v>
      </c>
      <c r="H205" s="144" t="s">
        <v>688</v>
      </c>
      <c r="I205" s="140" t="s">
        <v>25</v>
      </c>
      <c r="J205" s="10">
        <v>35000000</v>
      </c>
      <c r="K205" s="139" t="s">
        <v>651</v>
      </c>
      <c r="L205" s="140">
        <v>2844232</v>
      </c>
      <c r="M205" s="32" t="s">
        <v>97</v>
      </c>
      <c r="N205" s="139" t="s">
        <v>25</v>
      </c>
      <c r="O205" s="142">
        <v>50000000</v>
      </c>
      <c r="P205" s="140" t="s">
        <v>675</v>
      </c>
    </row>
    <row r="206" spans="1:16" ht="29" x14ac:dyDescent="0.35">
      <c r="A206" s="139">
        <f t="shared" si="4"/>
        <v>67</v>
      </c>
      <c r="B206" s="140" t="s">
        <v>18</v>
      </c>
      <c r="C206" s="140" t="s">
        <v>255</v>
      </c>
      <c r="D206" s="140" t="s">
        <v>646</v>
      </c>
      <c r="E206" s="140" t="s">
        <v>683</v>
      </c>
      <c r="F206" s="140" t="s">
        <v>563</v>
      </c>
      <c r="G206" s="139" t="s">
        <v>238</v>
      </c>
      <c r="H206" s="144" t="s">
        <v>286</v>
      </c>
      <c r="I206" s="140" t="s">
        <v>280</v>
      </c>
      <c r="J206" s="10">
        <v>35000000</v>
      </c>
      <c r="K206" s="139" t="s">
        <v>651</v>
      </c>
      <c r="L206" s="140">
        <v>2844117</v>
      </c>
      <c r="M206" s="32" t="s">
        <v>97</v>
      </c>
      <c r="N206" s="139" t="s">
        <v>25</v>
      </c>
      <c r="O206" s="142">
        <v>50000000</v>
      </c>
      <c r="P206" s="140" t="s">
        <v>675</v>
      </c>
    </row>
    <row r="207" spans="1:16" ht="26" x14ac:dyDescent="0.35">
      <c r="A207" s="145">
        <f t="shared" si="4"/>
        <v>68</v>
      </c>
      <c r="B207" s="146" t="s">
        <v>18</v>
      </c>
      <c r="C207" s="146" t="s">
        <v>255</v>
      </c>
      <c r="D207" s="140" t="s">
        <v>646</v>
      </c>
      <c r="E207" s="146" t="s">
        <v>689</v>
      </c>
      <c r="F207" s="146" t="s">
        <v>690</v>
      </c>
      <c r="G207" s="145" t="s">
        <v>308</v>
      </c>
      <c r="H207" s="145" t="s">
        <v>691</v>
      </c>
      <c r="I207" s="145" t="s">
        <v>25</v>
      </c>
      <c r="J207" s="147">
        <v>30000000</v>
      </c>
      <c r="K207" s="145" t="s">
        <v>651</v>
      </c>
      <c r="L207" s="145">
        <v>2913124</v>
      </c>
      <c r="M207" s="145" t="s">
        <v>109</v>
      </c>
      <c r="N207" s="142" t="s">
        <v>25</v>
      </c>
      <c r="O207" s="142">
        <v>50000000</v>
      </c>
      <c r="P207" s="141" t="s">
        <v>692</v>
      </c>
    </row>
    <row r="208" spans="1:16" ht="39" x14ac:dyDescent="0.35">
      <c r="A208" s="145">
        <f t="shared" si="4"/>
        <v>69</v>
      </c>
      <c r="B208" s="146" t="s">
        <v>18</v>
      </c>
      <c r="C208" s="146" t="s">
        <v>255</v>
      </c>
      <c r="D208" s="140" t="s">
        <v>646</v>
      </c>
      <c r="E208" s="146" t="s">
        <v>693</v>
      </c>
      <c r="F208" s="146" t="s">
        <v>302</v>
      </c>
      <c r="G208" s="145" t="s">
        <v>319</v>
      </c>
      <c r="H208" s="145" t="s">
        <v>694</v>
      </c>
      <c r="I208" s="145" t="s">
        <v>695</v>
      </c>
      <c r="J208" s="147">
        <v>50000000</v>
      </c>
      <c r="K208" s="145" t="s">
        <v>651</v>
      </c>
      <c r="L208" s="145">
        <v>2915457</v>
      </c>
      <c r="M208" s="145" t="s">
        <v>109</v>
      </c>
      <c r="N208" s="142" t="s">
        <v>56</v>
      </c>
      <c r="O208" s="142">
        <v>50000000</v>
      </c>
      <c r="P208" s="141" t="s">
        <v>692</v>
      </c>
    </row>
    <row r="209" spans="1:16" ht="39" x14ac:dyDescent="0.35">
      <c r="A209" s="145">
        <f t="shared" si="4"/>
        <v>70</v>
      </c>
      <c r="B209" s="146" t="s">
        <v>18</v>
      </c>
      <c r="C209" s="146" t="s">
        <v>255</v>
      </c>
      <c r="D209" s="140" t="s">
        <v>646</v>
      </c>
      <c r="E209" s="146" t="s">
        <v>696</v>
      </c>
      <c r="F209" s="146" t="s">
        <v>697</v>
      </c>
      <c r="G209" s="145" t="s">
        <v>325</v>
      </c>
      <c r="H209" s="145" t="s">
        <v>698</v>
      </c>
      <c r="I209" s="145" t="s">
        <v>699</v>
      </c>
      <c r="J209" s="147">
        <v>100000000</v>
      </c>
      <c r="K209" s="145" t="s">
        <v>651</v>
      </c>
      <c r="L209" s="145">
        <v>3149900</v>
      </c>
      <c r="M209" s="145" t="s">
        <v>109</v>
      </c>
      <c r="N209" s="142">
        <v>1</v>
      </c>
      <c r="O209" s="142">
        <v>50000000</v>
      </c>
      <c r="P209" s="141" t="s">
        <v>692</v>
      </c>
    </row>
    <row r="210" spans="1:16" ht="43.5" x14ac:dyDescent="0.35">
      <c r="A210" s="145">
        <f t="shared" si="4"/>
        <v>71</v>
      </c>
      <c r="B210" s="146" t="s">
        <v>18</v>
      </c>
      <c r="C210" s="146" t="s">
        <v>255</v>
      </c>
      <c r="D210" s="140" t="s">
        <v>646</v>
      </c>
      <c r="E210" s="146" t="s">
        <v>700</v>
      </c>
      <c r="F210" s="146" t="s">
        <v>297</v>
      </c>
      <c r="G210" s="145" t="s">
        <v>298</v>
      </c>
      <c r="H210" s="145" t="s">
        <v>701</v>
      </c>
      <c r="I210" s="145" t="s">
        <v>25</v>
      </c>
      <c r="J210" s="147">
        <v>400000000</v>
      </c>
      <c r="K210" s="145" t="s">
        <v>651</v>
      </c>
      <c r="L210" s="145">
        <v>2941865</v>
      </c>
      <c r="M210" s="145" t="s">
        <v>109</v>
      </c>
      <c r="N210" s="142" t="s">
        <v>702</v>
      </c>
      <c r="O210" s="142">
        <v>200000000</v>
      </c>
      <c r="P210" s="141" t="s">
        <v>703</v>
      </c>
    </row>
    <row r="211" spans="1:16" ht="43.5" x14ac:dyDescent="0.35">
      <c r="A211" s="139">
        <f t="shared" si="4"/>
        <v>72</v>
      </c>
      <c r="B211" s="140" t="s">
        <v>18</v>
      </c>
      <c r="C211" s="140" t="s">
        <v>255</v>
      </c>
      <c r="D211" s="140" t="s">
        <v>704</v>
      </c>
      <c r="E211" s="140" t="s">
        <v>705</v>
      </c>
      <c r="F211" s="140" t="s">
        <v>591</v>
      </c>
      <c r="G211" s="139" t="s">
        <v>135</v>
      </c>
      <c r="H211" s="139" t="s">
        <v>706</v>
      </c>
      <c r="I211" s="139" t="s">
        <v>707</v>
      </c>
      <c r="J211" s="13">
        <v>50000000</v>
      </c>
      <c r="K211" s="139" t="s">
        <v>651</v>
      </c>
      <c r="L211" s="139">
        <v>2906148</v>
      </c>
      <c r="M211" s="155" t="s">
        <v>27</v>
      </c>
      <c r="N211" s="139" t="s">
        <v>708</v>
      </c>
      <c r="O211" s="148">
        <v>75000000</v>
      </c>
      <c r="P211" s="140"/>
    </row>
    <row r="212" spans="1:16" ht="43.5" x14ac:dyDescent="0.35">
      <c r="A212" s="139">
        <f t="shared" si="4"/>
        <v>73</v>
      </c>
      <c r="B212" s="140" t="s">
        <v>18</v>
      </c>
      <c r="C212" s="140" t="s">
        <v>255</v>
      </c>
      <c r="D212" s="140" t="s">
        <v>704</v>
      </c>
      <c r="E212" s="140" t="s">
        <v>709</v>
      </c>
      <c r="F212" s="140" t="s">
        <v>710</v>
      </c>
      <c r="G212" s="139" t="s">
        <v>356</v>
      </c>
      <c r="H212" s="140" t="s">
        <v>711</v>
      </c>
      <c r="I212" s="140" t="s">
        <v>712</v>
      </c>
      <c r="J212" s="10">
        <v>15000000</v>
      </c>
      <c r="K212" s="139" t="s">
        <v>651</v>
      </c>
      <c r="L212" s="140">
        <v>2930742</v>
      </c>
      <c r="M212" s="155" t="s">
        <v>27</v>
      </c>
      <c r="N212" s="139" t="s">
        <v>280</v>
      </c>
      <c r="O212" s="142">
        <v>75000000</v>
      </c>
      <c r="P212" s="140" t="s">
        <v>713</v>
      </c>
    </row>
    <row r="213" spans="1:16" ht="26" x14ac:dyDescent="0.35">
      <c r="A213" s="149">
        <f>A212+1</f>
        <v>74</v>
      </c>
      <c r="B213" s="150" t="s">
        <v>18</v>
      </c>
      <c r="C213" s="150" t="s">
        <v>255</v>
      </c>
      <c r="D213" s="140" t="s">
        <v>646</v>
      </c>
      <c r="E213" s="150" t="s">
        <v>714</v>
      </c>
      <c r="F213" s="150" t="s">
        <v>715</v>
      </c>
      <c r="G213" s="149" t="s">
        <v>141</v>
      </c>
      <c r="H213" s="150" t="s">
        <v>142</v>
      </c>
      <c r="I213" s="150" t="s">
        <v>274</v>
      </c>
      <c r="J213" s="151">
        <v>50000000</v>
      </c>
      <c r="K213" s="149" t="s">
        <v>651</v>
      </c>
      <c r="L213" s="139">
        <v>2809701</v>
      </c>
      <c r="M213" s="149" t="s">
        <v>144</v>
      </c>
      <c r="N213" s="149" t="s">
        <v>274</v>
      </c>
      <c r="O213" s="152">
        <v>150000000</v>
      </c>
      <c r="P213" s="149" t="s">
        <v>667</v>
      </c>
    </row>
    <row r="214" spans="1:16" ht="52" x14ac:dyDescent="0.35">
      <c r="A214" s="149">
        <f t="shared" ref="A214:A277" si="5">A213+1</f>
        <v>75</v>
      </c>
      <c r="B214" s="150" t="s">
        <v>18</v>
      </c>
      <c r="C214" s="150" t="s">
        <v>255</v>
      </c>
      <c r="D214" s="140" t="s">
        <v>646</v>
      </c>
      <c r="E214" s="150" t="s">
        <v>716</v>
      </c>
      <c r="F214" s="150" t="s">
        <v>715</v>
      </c>
      <c r="G214" s="149" t="s">
        <v>141</v>
      </c>
      <c r="H214" s="150" t="s">
        <v>142</v>
      </c>
      <c r="I214" s="150" t="s">
        <v>717</v>
      </c>
      <c r="J214" s="151">
        <v>50000000</v>
      </c>
      <c r="K214" s="149" t="s">
        <v>651</v>
      </c>
      <c r="L214" s="139">
        <v>2949824</v>
      </c>
      <c r="M214" s="149" t="s">
        <v>144</v>
      </c>
      <c r="N214" s="149" t="s">
        <v>717</v>
      </c>
      <c r="O214" s="152">
        <v>150000000</v>
      </c>
      <c r="P214" s="149" t="s">
        <v>667</v>
      </c>
    </row>
    <row r="215" spans="1:16" ht="43.5" x14ac:dyDescent="0.35">
      <c r="A215" s="149">
        <f t="shared" si="5"/>
        <v>76</v>
      </c>
      <c r="B215" s="140" t="s">
        <v>18</v>
      </c>
      <c r="C215" s="140" t="s">
        <v>255</v>
      </c>
      <c r="D215" s="140" t="s">
        <v>646</v>
      </c>
      <c r="E215" s="140" t="s">
        <v>718</v>
      </c>
      <c r="F215" s="140" t="s">
        <v>140</v>
      </c>
      <c r="G215" s="139" t="s">
        <v>149</v>
      </c>
      <c r="H215" s="139" t="s">
        <v>719</v>
      </c>
      <c r="I215" s="139" t="s">
        <v>48</v>
      </c>
      <c r="J215" s="13">
        <v>35000000</v>
      </c>
      <c r="K215" s="139" t="s">
        <v>651</v>
      </c>
      <c r="L215" s="139">
        <v>2947582</v>
      </c>
      <c r="M215" s="155" t="s">
        <v>144</v>
      </c>
      <c r="N215" s="139" t="s">
        <v>280</v>
      </c>
      <c r="O215" s="142">
        <v>50000000</v>
      </c>
      <c r="P215" s="141" t="s">
        <v>667</v>
      </c>
    </row>
    <row r="216" spans="1:16" ht="29" x14ac:dyDescent="0.35">
      <c r="A216" s="149">
        <f t="shared" si="5"/>
        <v>77</v>
      </c>
      <c r="B216" s="140" t="s">
        <v>18</v>
      </c>
      <c r="C216" s="140" t="s">
        <v>255</v>
      </c>
      <c r="D216" s="140" t="s">
        <v>646</v>
      </c>
      <c r="E216" s="140" t="s">
        <v>720</v>
      </c>
      <c r="F216" s="140" t="s">
        <v>140</v>
      </c>
      <c r="G216" s="139" t="s">
        <v>149</v>
      </c>
      <c r="H216" s="139" t="s">
        <v>721</v>
      </c>
      <c r="I216" s="139" t="s">
        <v>25</v>
      </c>
      <c r="J216" s="13">
        <v>35000000</v>
      </c>
      <c r="K216" s="139" t="s">
        <v>651</v>
      </c>
      <c r="L216" s="139">
        <v>2948491</v>
      </c>
      <c r="M216" s="155" t="s">
        <v>144</v>
      </c>
      <c r="N216" s="139" t="s">
        <v>280</v>
      </c>
      <c r="O216" s="142">
        <v>50000000</v>
      </c>
      <c r="P216" s="141" t="s">
        <v>667</v>
      </c>
    </row>
    <row r="217" spans="1:16" ht="29" x14ac:dyDescent="0.35">
      <c r="A217" s="149">
        <f t="shared" si="5"/>
        <v>78</v>
      </c>
      <c r="B217" s="140" t="s">
        <v>18</v>
      </c>
      <c r="C217" s="140" t="s">
        <v>255</v>
      </c>
      <c r="D217" s="140" t="s">
        <v>646</v>
      </c>
      <c r="E217" s="140" t="s">
        <v>722</v>
      </c>
      <c r="F217" s="140" t="s">
        <v>140</v>
      </c>
      <c r="G217" s="139" t="s">
        <v>149</v>
      </c>
      <c r="H217" s="139" t="s">
        <v>150</v>
      </c>
      <c r="I217" s="139" t="s">
        <v>25</v>
      </c>
      <c r="J217" s="13">
        <v>35000000</v>
      </c>
      <c r="K217" s="139" t="s">
        <v>651</v>
      </c>
      <c r="L217" s="139">
        <v>2948862</v>
      </c>
      <c r="M217" s="155" t="s">
        <v>144</v>
      </c>
      <c r="N217" s="139" t="s">
        <v>280</v>
      </c>
      <c r="O217" s="142">
        <v>50000000</v>
      </c>
      <c r="P217" s="141" t="s">
        <v>667</v>
      </c>
    </row>
    <row r="218" spans="1:16" ht="29" x14ac:dyDescent="0.35">
      <c r="A218" s="149">
        <f t="shared" si="5"/>
        <v>79</v>
      </c>
      <c r="B218" s="140" t="s">
        <v>18</v>
      </c>
      <c r="C218" s="140" t="s">
        <v>255</v>
      </c>
      <c r="D218" s="140" t="s">
        <v>646</v>
      </c>
      <c r="E218" s="140" t="s">
        <v>723</v>
      </c>
      <c r="F218" s="140" t="s">
        <v>140</v>
      </c>
      <c r="G218" s="139" t="s">
        <v>149</v>
      </c>
      <c r="H218" s="139" t="s">
        <v>724</v>
      </c>
      <c r="I218" s="139" t="s">
        <v>725</v>
      </c>
      <c r="J218" s="13">
        <v>35000000</v>
      </c>
      <c r="K218" s="139" t="s">
        <v>651</v>
      </c>
      <c r="L218" s="139">
        <v>2949807</v>
      </c>
      <c r="M218" s="155" t="s">
        <v>144</v>
      </c>
      <c r="N218" s="139" t="s">
        <v>280</v>
      </c>
      <c r="O218" s="142">
        <v>50000000</v>
      </c>
      <c r="P218" s="141" t="s">
        <v>667</v>
      </c>
    </row>
    <row r="219" spans="1:16" ht="29" x14ac:dyDescent="0.35">
      <c r="A219" s="149">
        <f t="shared" si="5"/>
        <v>80</v>
      </c>
      <c r="B219" s="140" t="s">
        <v>18</v>
      </c>
      <c r="C219" s="140" t="s">
        <v>255</v>
      </c>
      <c r="D219" s="140" t="s">
        <v>646</v>
      </c>
      <c r="E219" s="140" t="s">
        <v>726</v>
      </c>
      <c r="F219" s="140" t="s">
        <v>140</v>
      </c>
      <c r="G219" s="139" t="s">
        <v>149</v>
      </c>
      <c r="H219" s="139" t="s">
        <v>727</v>
      </c>
      <c r="I219" s="139" t="s">
        <v>725</v>
      </c>
      <c r="J219" s="13">
        <v>35000000</v>
      </c>
      <c r="K219" s="139" t="s">
        <v>651</v>
      </c>
      <c r="L219" s="139">
        <v>2950007</v>
      </c>
      <c r="M219" s="155" t="s">
        <v>144</v>
      </c>
      <c r="N219" s="139" t="s">
        <v>280</v>
      </c>
      <c r="O219" s="142">
        <v>50000000</v>
      </c>
      <c r="P219" s="141" t="s">
        <v>667</v>
      </c>
    </row>
    <row r="220" spans="1:16" ht="29" x14ac:dyDescent="0.35">
      <c r="A220" s="149">
        <f t="shared" si="5"/>
        <v>81</v>
      </c>
      <c r="B220" s="140" t="s">
        <v>18</v>
      </c>
      <c r="C220" s="140" t="s">
        <v>255</v>
      </c>
      <c r="D220" s="140" t="s">
        <v>646</v>
      </c>
      <c r="E220" s="140" t="s">
        <v>728</v>
      </c>
      <c r="F220" s="140" t="s">
        <v>140</v>
      </c>
      <c r="G220" s="139" t="s">
        <v>361</v>
      </c>
      <c r="H220" s="139" t="s">
        <v>729</v>
      </c>
      <c r="I220" s="139">
        <v>170</v>
      </c>
      <c r="J220" s="13">
        <v>7500000</v>
      </c>
      <c r="K220" s="139" t="s">
        <v>651</v>
      </c>
      <c r="L220" s="139">
        <v>2819674</v>
      </c>
      <c r="M220" s="155" t="s">
        <v>144</v>
      </c>
      <c r="N220" s="139" t="s">
        <v>730</v>
      </c>
      <c r="O220" s="156">
        <v>7500000</v>
      </c>
      <c r="P220" s="153"/>
    </row>
    <row r="221" spans="1:16" ht="43.5" x14ac:dyDescent="0.35">
      <c r="A221" s="149">
        <f t="shared" si="5"/>
        <v>82</v>
      </c>
      <c r="B221" s="140" t="s">
        <v>18</v>
      </c>
      <c r="C221" s="140" t="s">
        <v>255</v>
      </c>
      <c r="D221" s="140" t="s">
        <v>646</v>
      </c>
      <c r="E221" s="140" t="s">
        <v>731</v>
      </c>
      <c r="F221" s="140" t="s">
        <v>140</v>
      </c>
      <c r="G221" s="139" t="s">
        <v>157</v>
      </c>
      <c r="H221" s="139" t="s">
        <v>732</v>
      </c>
      <c r="I221" s="139">
        <v>2</v>
      </c>
      <c r="J221" s="13">
        <v>70000000</v>
      </c>
      <c r="K221" s="139" t="s">
        <v>651</v>
      </c>
      <c r="L221" s="139">
        <v>2871701</v>
      </c>
      <c r="M221" s="155" t="s">
        <v>144</v>
      </c>
      <c r="N221" s="139" t="s">
        <v>661</v>
      </c>
      <c r="O221" s="156">
        <v>50000000</v>
      </c>
      <c r="P221" s="141" t="s">
        <v>733</v>
      </c>
    </row>
    <row r="222" spans="1:16" ht="29" x14ac:dyDescent="0.35">
      <c r="A222" s="139">
        <f t="shared" si="5"/>
        <v>83</v>
      </c>
      <c r="B222" s="140" t="s">
        <v>18</v>
      </c>
      <c r="C222" s="140" t="s">
        <v>255</v>
      </c>
      <c r="D222" s="140" t="s">
        <v>646</v>
      </c>
      <c r="E222" s="140" t="s">
        <v>734</v>
      </c>
      <c r="F222" s="140" t="s">
        <v>735</v>
      </c>
      <c r="G222" s="139" t="s">
        <v>389</v>
      </c>
      <c r="H222" s="140" t="s">
        <v>393</v>
      </c>
      <c r="I222" s="140" t="s">
        <v>609</v>
      </c>
      <c r="J222" s="10">
        <v>75000000</v>
      </c>
      <c r="K222" s="139" t="s">
        <v>651</v>
      </c>
      <c r="L222" s="140">
        <v>2955761</v>
      </c>
      <c r="M222" s="155" t="s">
        <v>46</v>
      </c>
      <c r="N222" s="142" t="s">
        <v>736</v>
      </c>
      <c r="O222" s="142">
        <v>30000000</v>
      </c>
      <c r="P222" s="140" t="s">
        <v>667</v>
      </c>
    </row>
    <row r="223" spans="1:16" ht="29" x14ac:dyDescent="0.35">
      <c r="A223" s="139">
        <f t="shared" si="5"/>
        <v>84</v>
      </c>
      <c r="B223" s="140" t="s">
        <v>18</v>
      </c>
      <c r="C223" s="140" t="s">
        <v>255</v>
      </c>
      <c r="D223" s="140" t="s">
        <v>646</v>
      </c>
      <c r="E223" s="140" t="s">
        <v>737</v>
      </c>
      <c r="F223" s="140" t="s">
        <v>388</v>
      </c>
      <c r="G223" s="139" t="s">
        <v>389</v>
      </c>
      <c r="H223" s="140" t="s">
        <v>397</v>
      </c>
      <c r="I223" s="140" t="s">
        <v>609</v>
      </c>
      <c r="J223" s="10">
        <v>45000000</v>
      </c>
      <c r="K223" s="139" t="s">
        <v>651</v>
      </c>
      <c r="L223" s="140" t="s">
        <v>48</v>
      </c>
      <c r="M223" s="155" t="s">
        <v>46</v>
      </c>
      <c r="N223" s="142" t="s">
        <v>25</v>
      </c>
      <c r="O223" s="142">
        <v>50000000</v>
      </c>
      <c r="P223" s="140" t="s">
        <v>738</v>
      </c>
    </row>
    <row r="224" spans="1:16" ht="29" x14ac:dyDescent="0.35">
      <c r="A224" s="139">
        <f t="shared" si="5"/>
        <v>85</v>
      </c>
      <c r="B224" s="140" t="s">
        <v>18</v>
      </c>
      <c r="C224" s="140" t="s">
        <v>255</v>
      </c>
      <c r="D224" s="140" t="s">
        <v>646</v>
      </c>
      <c r="E224" s="140" t="s">
        <v>739</v>
      </c>
      <c r="F224" s="140" t="s">
        <v>48</v>
      </c>
      <c r="G224" s="139" t="s">
        <v>49</v>
      </c>
      <c r="H224" s="140" t="s">
        <v>200</v>
      </c>
      <c r="I224" s="140" t="s">
        <v>35</v>
      </c>
      <c r="J224" s="10">
        <v>22600000</v>
      </c>
      <c r="K224" s="139" t="s">
        <v>651</v>
      </c>
      <c r="L224" s="140">
        <v>2819794</v>
      </c>
      <c r="M224" s="155" t="s">
        <v>46</v>
      </c>
      <c r="N224" s="154" t="s">
        <v>122</v>
      </c>
      <c r="O224" s="148">
        <v>5000000</v>
      </c>
      <c r="P224" s="140" t="s">
        <v>740</v>
      </c>
    </row>
    <row r="225" spans="1:16" ht="29" x14ac:dyDescent="0.35">
      <c r="A225" s="139">
        <f t="shared" si="5"/>
        <v>86</v>
      </c>
      <c r="B225" s="140" t="s">
        <v>18</v>
      </c>
      <c r="C225" s="140" t="s">
        <v>255</v>
      </c>
      <c r="D225" s="140" t="s">
        <v>646</v>
      </c>
      <c r="E225" s="140" t="s">
        <v>741</v>
      </c>
      <c r="F225" s="140" t="s">
        <v>48</v>
      </c>
      <c r="G225" s="139" t="s">
        <v>405</v>
      </c>
      <c r="H225" s="140" t="s">
        <v>742</v>
      </c>
      <c r="I225" s="140" t="s">
        <v>575</v>
      </c>
      <c r="J225" s="10">
        <v>10000000</v>
      </c>
      <c r="K225" s="139" t="s">
        <v>651</v>
      </c>
      <c r="L225" s="140">
        <v>2933375</v>
      </c>
      <c r="M225" s="155" t="s">
        <v>46</v>
      </c>
      <c r="N225" s="142" t="s">
        <v>736</v>
      </c>
      <c r="O225" s="142">
        <v>30000000</v>
      </c>
      <c r="P225" s="140" t="s">
        <v>667</v>
      </c>
    </row>
    <row r="226" spans="1:16" ht="29" x14ac:dyDescent="0.35">
      <c r="A226" s="139">
        <f t="shared" si="5"/>
        <v>87</v>
      </c>
      <c r="B226" s="140" t="s">
        <v>18</v>
      </c>
      <c r="C226" s="140" t="s">
        <v>255</v>
      </c>
      <c r="D226" s="140" t="s">
        <v>646</v>
      </c>
      <c r="E226" s="140" t="s">
        <v>700</v>
      </c>
      <c r="F226" s="140" t="s">
        <v>48</v>
      </c>
      <c r="G226" s="139" t="s">
        <v>405</v>
      </c>
      <c r="H226" s="140" t="s">
        <v>742</v>
      </c>
      <c r="I226" s="140" t="s">
        <v>280</v>
      </c>
      <c r="J226" s="10">
        <v>35000000</v>
      </c>
      <c r="K226" s="139" t="s">
        <v>651</v>
      </c>
      <c r="L226" s="140">
        <v>2933509</v>
      </c>
      <c r="M226" s="155" t="s">
        <v>46</v>
      </c>
      <c r="N226" s="142" t="s">
        <v>25</v>
      </c>
      <c r="O226" s="142">
        <v>50000000</v>
      </c>
      <c r="P226" s="140" t="s">
        <v>743</v>
      </c>
    </row>
    <row r="227" spans="1:16" ht="29" x14ac:dyDescent="0.35">
      <c r="A227" s="139">
        <f t="shared" si="5"/>
        <v>88</v>
      </c>
      <c r="B227" s="140" t="s">
        <v>18</v>
      </c>
      <c r="C227" s="140" t="s">
        <v>255</v>
      </c>
      <c r="D227" s="140" t="s">
        <v>646</v>
      </c>
      <c r="E227" s="140" t="s">
        <v>739</v>
      </c>
      <c r="F227" s="140"/>
      <c r="G227" s="139" t="s">
        <v>410</v>
      </c>
      <c r="H227" s="140" t="s">
        <v>411</v>
      </c>
      <c r="I227" s="140" t="s">
        <v>280</v>
      </c>
      <c r="J227" s="10">
        <v>350000000</v>
      </c>
      <c r="K227" s="139" t="s">
        <v>744</v>
      </c>
      <c r="L227" s="140" t="s">
        <v>48</v>
      </c>
      <c r="M227" s="155" t="s">
        <v>46</v>
      </c>
      <c r="N227" s="142" t="s">
        <v>25</v>
      </c>
      <c r="O227" s="142">
        <v>250000000</v>
      </c>
      <c r="P227" s="140" t="s">
        <v>745</v>
      </c>
    </row>
    <row r="228" spans="1:16" ht="29" x14ac:dyDescent="0.35">
      <c r="A228" s="139">
        <f t="shared" si="5"/>
        <v>89</v>
      </c>
      <c r="B228" s="140" t="s">
        <v>18</v>
      </c>
      <c r="C228" s="140" t="s">
        <v>255</v>
      </c>
      <c r="D228" s="140" t="s">
        <v>646</v>
      </c>
      <c r="E228" s="140" t="s">
        <v>746</v>
      </c>
      <c r="F228" s="140"/>
      <c r="G228" s="139" t="s">
        <v>167</v>
      </c>
      <c r="H228" s="140" t="s">
        <v>517</v>
      </c>
      <c r="I228" s="140" t="s">
        <v>510</v>
      </c>
      <c r="J228" s="10">
        <v>50000000</v>
      </c>
      <c r="K228" s="139" t="s">
        <v>651</v>
      </c>
      <c r="L228" s="140">
        <v>2849760</v>
      </c>
      <c r="M228" s="155" t="s">
        <v>46</v>
      </c>
      <c r="N228" s="142" t="s">
        <v>25</v>
      </c>
      <c r="O228" s="142">
        <v>50000000</v>
      </c>
      <c r="P228" s="140" t="s">
        <v>743</v>
      </c>
    </row>
    <row r="229" spans="1:16" ht="29" x14ac:dyDescent="0.35">
      <c r="A229" s="139">
        <f t="shared" si="5"/>
        <v>90</v>
      </c>
      <c r="B229" s="140" t="s">
        <v>18</v>
      </c>
      <c r="C229" s="140" t="s">
        <v>255</v>
      </c>
      <c r="D229" s="140" t="s">
        <v>646</v>
      </c>
      <c r="E229" s="140" t="s">
        <v>747</v>
      </c>
      <c r="F229" s="140" t="s">
        <v>748</v>
      </c>
      <c r="G229" s="139" t="s">
        <v>749</v>
      </c>
      <c r="H229" s="140" t="s">
        <v>750</v>
      </c>
      <c r="I229" s="140" t="s">
        <v>751</v>
      </c>
      <c r="J229" s="10">
        <v>30000000</v>
      </c>
      <c r="K229" s="139" t="s">
        <v>651</v>
      </c>
      <c r="L229" s="140">
        <v>2949716</v>
      </c>
      <c r="M229" s="155" t="s">
        <v>173</v>
      </c>
      <c r="N229" s="142" t="s">
        <v>752</v>
      </c>
      <c r="O229" s="142">
        <v>50000000</v>
      </c>
      <c r="P229" s="140" t="s">
        <v>753</v>
      </c>
    </row>
    <row r="230" spans="1:16" ht="29" x14ac:dyDescent="0.35">
      <c r="A230" s="139">
        <f t="shared" si="5"/>
        <v>91</v>
      </c>
      <c r="B230" s="140" t="s">
        <v>18</v>
      </c>
      <c r="C230" s="140" t="s">
        <v>255</v>
      </c>
      <c r="D230" s="140" t="s">
        <v>646</v>
      </c>
      <c r="E230" s="140" t="s">
        <v>754</v>
      </c>
      <c r="F230" s="140" t="s">
        <v>755</v>
      </c>
      <c r="G230" s="139" t="s">
        <v>756</v>
      </c>
      <c r="H230" s="140" t="s">
        <v>757</v>
      </c>
      <c r="I230" s="140" t="s">
        <v>28</v>
      </c>
      <c r="J230" s="10">
        <v>100000000</v>
      </c>
      <c r="K230" s="139" t="s">
        <v>651</v>
      </c>
      <c r="L230" s="140">
        <v>3149881</v>
      </c>
      <c r="M230" s="155" t="s">
        <v>226</v>
      </c>
      <c r="N230" s="411" t="s">
        <v>758</v>
      </c>
      <c r="O230" s="412">
        <v>250000000</v>
      </c>
      <c r="P230" s="140"/>
    </row>
    <row r="231" spans="1:16" ht="29" x14ac:dyDescent="0.35">
      <c r="A231" s="139">
        <f t="shared" si="5"/>
        <v>92</v>
      </c>
      <c r="B231" s="140" t="s">
        <v>18</v>
      </c>
      <c r="C231" s="140" t="s">
        <v>255</v>
      </c>
      <c r="D231" s="140" t="s">
        <v>646</v>
      </c>
      <c r="E231" s="140" t="s">
        <v>754</v>
      </c>
      <c r="F231" s="140" t="s">
        <v>755</v>
      </c>
      <c r="G231" s="139" t="s">
        <v>756</v>
      </c>
      <c r="H231" s="140" t="s">
        <v>759</v>
      </c>
      <c r="I231" s="140" t="s">
        <v>28</v>
      </c>
      <c r="J231" s="10">
        <v>100000000</v>
      </c>
      <c r="K231" s="139" t="s">
        <v>651</v>
      </c>
      <c r="L231" s="140"/>
      <c r="M231" s="155" t="s">
        <v>226</v>
      </c>
      <c r="N231" s="411"/>
      <c r="O231" s="412"/>
      <c r="P231" s="140"/>
    </row>
    <row r="232" spans="1:16" ht="29" x14ac:dyDescent="0.35">
      <c r="A232" s="139">
        <f t="shared" si="5"/>
        <v>93</v>
      </c>
      <c r="B232" s="140" t="s">
        <v>18</v>
      </c>
      <c r="C232" s="140" t="s">
        <v>255</v>
      </c>
      <c r="D232" s="140" t="s">
        <v>646</v>
      </c>
      <c r="E232" s="140" t="s">
        <v>760</v>
      </c>
      <c r="F232" s="140" t="s">
        <v>761</v>
      </c>
      <c r="G232" s="139" t="s">
        <v>429</v>
      </c>
      <c r="H232" s="140" t="s">
        <v>430</v>
      </c>
      <c r="I232" s="140" t="s">
        <v>25</v>
      </c>
      <c r="J232" s="10">
        <v>50000000</v>
      </c>
      <c r="K232" s="139" t="s">
        <v>651</v>
      </c>
      <c r="L232" s="140" t="s">
        <v>48</v>
      </c>
      <c r="M232" s="155" t="s">
        <v>226</v>
      </c>
      <c r="N232" s="142" t="s">
        <v>752</v>
      </c>
      <c r="O232" s="142">
        <v>50000000</v>
      </c>
      <c r="P232" s="140" t="s">
        <v>653</v>
      </c>
    </row>
    <row r="233" spans="1:16" ht="29" x14ac:dyDescent="0.35">
      <c r="A233" s="139">
        <f t="shared" si="5"/>
        <v>94</v>
      </c>
      <c r="B233" s="140" t="s">
        <v>18</v>
      </c>
      <c r="C233" s="140" t="s">
        <v>255</v>
      </c>
      <c r="D233" s="140" t="s">
        <v>646</v>
      </c>
      <c r="E233" s="140" t="s">
        <v>760</v>
      </c>
      <c r="F233" s="140" t="s">
        <v>761</v>
      </c>
      <c r="G233" s="139" t="s">
        <v>429</v>
      </c>
      <c r="H233" s="140" t="s">
        <v>762</v>
      </c>
      <c r="I233" s="140" t="s">
        <v>25</v>
      </c>
      <c r="J233" s="10">
        <v>50000000</v>
      </c>
      <c r="K233" s="139" t="s">
        <v>651</v>
      </c>
      <c r="L233" s="140" t="s">
        <v>48</v>
      </c>
      <c r="M233" s="155" t="s">
        <v>226</v>
      </c>
      <c r="N233" s="142" t="s">
        <v>752</v>
      </c>
      <c r="O233" s="142">
        <v>50000000</v>
      </c>
      <c r="P233" s="140" t="s">
        <v>653</v>
      </c>
    </row>
    <row r="234" spans="1:16" ht="29" x14ac:dyDescent="0.35">
      <c r="A234" s="139">
        <f t="shared" si="5"/>
        <v>95</v>
      </c>
      <c r="B234" s="140" t="s">
        <v>18</v>
      </c>
      <c r="C234" s="140" t="s">
        <v>255</v>
      </c>
      <c r="D234" s="140" t="s">
        <v>646</v>
      </c>
      <c r="E234" s="140" t="s">
        <v>763</v>
      </c>
      <c r="F234" s="140" t="s">
        <v>111</v>
      </c>
      <c r="G234" s="139" t="s">
        <v>764</v>
      </c>
      <c r="H234" s="140" t="s">
        <v>765</v>
      </c>
      <c r="I234" s="140" t="s">
        <v>48</v>
      </c>
      <c r="J234" s="10">
        <v>380000000</v>
      </c>
      <c r="K234" s="139" t="s">
        <v>651</v>
      </c>
      <c r="L234" s="140">
        <v>2939785</v>
      </c>
      <c r="M234" s="155" t="s">
        <v>226</v>
      </c>
      <c r="N234" s="142" t="s">
        <v>752</v>
      </c>
      <c r="O234" s="142">
        <v>380000000</v>
      </c>
      <c r="P234" s="140" t="s">
        <v>766</v>
      </c>
    </row>
    <row r="235" spans="1:16" ht="43.5" x14ac:dyDescent="0.35">
      <c r="A235" s="139" t="e">
        <f>#REF!+1</f>
        <v>#REF!</v>
      </c>
      <c r="B235" s="140" t="s">
        <v>18</v>
      </c>
      <c r="C235" s="140" t="s">
        <v>255</v>
      </c>
      <c r="D235" s="140" t="s">
        <v>646</v>
      </c>
      <c r="E235" s="140" t="s">
        <v>767</v>
      </c>
      <c r="F235" s="140" t="s">
        <v>768</v>
      </c>
      <c r="G235" s="139" t="s">
        <v>769</v>
      </c>
      <c r="H235" s="140" t="s">
        <v>770</v>
      </c>
      <c r="I235" s="140" t="s">
        <v>431</v>
      </c>
      <c r="J235" s="10">
        <v>40000000</v>
      </c>
      <c r="K235" s="139" t="s">
        <v>651</v>
      </c>
      <c r="L235" s="140">
        <v>2887476</v>
      </c>
      <c r="M235" s="155" t="s">
        <v>226</v>
      </c>
      <c r="N235" s="139" t="s">
        <v>771</v>
      </c>
      <c r="O235" s="156">
        <v>42500000</v>
      </c>
      <c r="P235" s="140" t="s">
        <v>772</v>
      </c>
    </row>
    <row r="236" spans="1:16" ht="43.5" x14ac:dyDescent="0.35">
      <c r="A236" s="139" t="e">
        <f t="shared" si="5"/>
        <v>#REF!</v>
      </c>
      <c r="B236" s="140" t="s">
        <v>18</v>
      </c>
      <c r="C236" s="140" t="s">
        <v>255</v>
      </c>
      <c r="D236" s="140" t="s">
        <v>646</v>
      </c>
      <c r="E236" s="140" t="s">
        <v>767</v>
      </c>
      <c r="F236" s="140" t="s">
        <v>768</v>
      </c>
      <c r="G236" s="139" t="s">
        <v>769</v>
      </c>
      <c r="H236" s="140" t="s">
        <v>773</v>
      </c>
      <c r="I236" s="140" t="s">
        <v>431</v>
      </c>
      <c r="J236" s="10">
        <v>40000000</v>
      </c>
      <c r="K236" s="139" t="s">
        <v>651</v>
      </c>
      <c r="L236" s="140">
        <v>2887476</v>
      </c>
      <c r="M236" s="155" t="s">
        <v>226</v>
      </c>
      <c r="N236" s="139" t="s">
        <v>771</v>
      </c>
      <c r="O236" s="156">
        <v>42500000</v>
      </c>
      <c r="P236" s="140" t="s">
        <v>772</v>
      </c>
    </row>
    <row r="237" spans="1:16" ht="43.5" x14ac:dyDescent="0.35">
      <c r="A237" s="139" t="e">
        <f t="shared" si="5"/>
        <v>#REF!</v>
      </c>
      <c r="B237" s="140" t="s">
        <v>18</v>
      </c>
      <c r="C237" s="140" t="s">
        <v>255</v>
      </c>
      <c r="D237" s="140" t="s">
        <v>646</v>
      </c>
      <c r="E237" s="140" t="s">
        <v>767</v>
      </c>
      <c r="F237" s="140" t="s">
        <v>768</v>
      </c>
      <c r="G237" s="139" t="s">
        <v>769</v>
      </c>
      <c r="H237" s="140" t="s">
        <v>774</v>
      </c>
      <c r="I237" s="140" t="s">
        <v>431</v>
      </c>
      <c r="J237" s="10">
        <v>40000000</v>
      </c>
      <c r="K237" s="139" t="s">
        <v>651</v>
      </c>
      <c r="L237" s="140">
        <v>2887476</v>
      </c>
      <c r="M237" s="155" t="s">
        <v>226</v>
      </c>
      <c r="N237" s="139" t="s">
        <v>771</v>
      </c>
      <c r="O237" s="156">
        <v>42500000</v>
      </c>
      <c r="P237" s="140" t="s">
        <v>772</v>
      </c>
    </row>
    <row r="238" spans="1:16" ht="43.5" x14ac:dyDescent="0.35">
      <c r="A238" s="139" t="e">
        <f t="shared" si="5"/>
        <v>#REF!</v>
      </c>
      <c r="B238" s="140" t="s">
        <v>18</v>
      </c>
      <c r="C238" s="140" t="s">
        <v>255</v>
      </c>
      <c r="D238" s="140" t="s">
        <v>646</v>
      </c>
      <c r="E238" s="140" t="s">
        <v>767</v>
      </c>
      <c r="F238" s="140" t="s">
        <v>768</v>
      </c>
      <c r="G238" s="139" t="s">
        <v>769</v>
      </c>
      <c r="H238" s="140" t="s">
        <v>775</v>
      </c>
      <c r="I238" s="140" t="s">
        <v>431</v>
      </c>
      <c r="J238" s="10">
        <v>40000000</v>
      </c>
      <c r="K238" s="139" t="s">
        <v>651</v>
      </c>
      <c r="L238" s="140">
        <v>2887476</v>
      </c>
      <c r="M238" s="155" t="s">
        <v>226</v>
      </c>
      <c r="N238" s="139" t="s">
        <v>771</v>
      </c>
      <c r="O238" s="156">
        <v>42500000</v>
      </c>
      <c r="P238" s="140" t="s">
        <v>772</v>
      </c>
    </row>
    <row r="239" spans="1:16" ht="43.5" x14ac:dyDescent="0.35">
      <c r="A239" s="139" t="e">
        <f t="shared" si="5"/>
        <v>#REF!</v>
      </c>
      <c r="B239" s="140" t="s">
        <v>18</v>
      </c>
      <c r="C239" s="140" t="s">
        <v>255</v>
      </c>
      <c r="D239" s="140" t="s">
        <v>646</v>
      </c>
      <c r="E239" s="140" t="s">
        <v>767</v>
      </c>
      <c r="F239" s="140" t="s">
        <v>768</v>
      </c>
      <c r="G239" s="139" t="s">
        <v>769</v>
      </c>
      <c r="H239" s="140" t="s">
        <v>776</v>
      </c>
      <c r="I239" s="140" t="s">
        <v>431</v>
      </c>
      <c r="J239" s="10">
        <v>40000000</v>
      </c>
      <c r="K239" s="139" t="s">
        <v>651</v>
      </c>
      <c r="L239" s="140">
        <v>2887476</v>
      </c>
      <c r="M239" s="155" t="s">
        <v>226</v>
      </c>
      <c r="N239" s="139" t="s">
        <v>771</v>
      </c>
      <c r="O239" s="156">
        <v>42500000</v>
      </c>
      <c r="P239" s="140" t="s">
        <v>772</v>
      </c>
    </row>
    <row r="240" spans="1:16" ht="43.5" x14ac:dyDescent="0.35">
      <c r="A240" s="139" t="e">
        <f t="shared" si="5"/>
        <v>#REF!</v>
      </c>
      <c r="B240" s="140" t="s">
        <v>18</v>
      </c>
      <c r="C240" s="140" t="s">
        <v>255</v>
      </c>
      <c r="D240" s="140" t="s">
        <v>646</v>
      </c>
      <c r="E240" s="140" t="s">
        <v>767</v>
      </c>
      <c r="F240" s="140" t="s">
        <v>768</v>
      </c>
      <c r="G240" s="139" t="s">
        <v>769</v>
      </c>
      <c r="H240" s="140" t="s">
        <v>777</v>
      </c>
      <c r="I240" s="140" t="s">
        <v>431</v>
      </c>
      <c r="J240" s="10">
        <v>40000000</v>
      </c>
      <c r="K240" s="139" t="s">
        <v>651</v>
      </c>
      <c r="L240" s="140">
        <v>2887476</v>
      </c>
      <c r="M240" s="155" t="s">
        <v>226</v>
      </c>
      <c r="N240" s="139" t="s">
        <v>771</v>
      </c>
      <c r="O240" s="156">
        <v>42500000</v>
      </c>
      <c r="P240" s="140" t="s">
        <v>772</v>
      </c>
    </row>
    <row r="241" spans="1:16" ht="43.5" x14ac:dyDescent="0.35">
      <c r="A241" s="139" t="e">
        <f t="shared" si="5"/>
        <v>#REF!</v>
      </c>
      <c r="B241" s="140" t="s">
        <v>18</v>
      </c>
      <c r="C241" s="140" t="s">
        <v>255</v>
      </c>
      <c r="D241" s="140" t="s">
        <v>646</v>
      </c>
      <c r="E241" s="140" t="s">
        <v>767</v>
      </c>
      <c r="F241" s="140" t="s">
        <v>768</v>
      </c>
      <c r="G241" s="139" t="s">
        <v>769</v>
      </c>
      <c r="H241" s="140" t="s">
        <v>778</v>
      </c>
      <c r="I241" s="140" t="s">
        <v>431</v>
      </c>
      <c r="J241" s="10">
        <v>40000000</v>
      </c>
      <c r="K241" s="139" t="s">
        <v>651</v>
      </c>
      <c r="L241" s="140">
        <v>2887476</v>
      </c>
      <c r="M241" s="155" t="s">
        <v>226</v>
      </c>
      <c r="N241" s="139" t="s">
        <v>771</v>
      </c>
      <c r="O241" s="156">
        <v>42500000</v>
      </c>
      <c r="P241" s="140" t="s">
        <v>772</v>
      </c>
    </row>
    <row r="242" spans="1:16" ht="43.5" x14ac:dyDescent="0.35">
      <c r="A242" s="139" t="e">
        <f t="shared" si="5"/>
        <v>#REF!</v>
      </c>
      <c r="B242" s="140" t="s">
        <v>18</v>
      </c>
      <c r="C242" s="140" t="s">
        <v>255</v>
      </c>
      <c r="D242" s="140" t="s">
        <v>646</v>
      </c>
      <c r="E242" s="140" t="s">
        <v>767</v>
      </c>
      <c r="F242" s="140" t="s">
        <v>768</v>
      </c>
      <c r="G242" s="139" t="s">
        <v>769</v>
      </c>
      <c r="H242" s="140" t="s">
        <v>779</v>
      </c>
      <c r="I242" s="140" t="s">
        <v>431</v>
      </c>
      <c r="J242" s="10">
        <v>40000000</v>
      </c>
      <c r="K242" s="139" t="s">
        <v>651</v>
      </c>
      <c r="L242" s="140">
        <v>2887476</v>
      </c>
      <c r="M242" s="155" t="s">
        <v>226</v>
      </c>
      <c r="N242" s="139" t="s">
        <v>771</v>
      </c>
      <c r="O242" s="156">
        <v>42500000</v>
      </c>
      <c r="P242" s="140" t="s">
        <v>772</v>
      </c>
    </row>
    <row r="243" spans="1:16" ht="43.5" x14ac:dyDescent="0.35">
      <c r="A243" s="139" t="e">
        <f t="shared" si="5"/>
        <v>#REF!</v>
      </c>
      <c r="B243" s="140" t="s">
        <v>18</v>
      </c>
      <c r="C243" s="140" t="s">
        <v>255</v>
      </c>
      <c r="D243" s="140" t="s">
        <v>646</v>
      </c>
      <c r="E243" s="140" t="s">
        <v>767</v>
      </c>
      <c r="F243" s="140" t="s">
        <v>768</v>
      </c>
      <c r="G243" s="139" t="s">
        <v>769</v>
      </c>
      <c r="H243" s="140" t="s">
        <v>780</v>
      </c>
      <c r="I243" s="140" t="s">
        <v>431</v>
      </c>
      <c r="J243" s="10">
        <v>40000000</v>
      </c>
      <c r="K243" s="139" t="s">
        <v>651</v>
      </c>
      <c r="L243" s="140">
        <v>2887476</v>
      </c>
      <c r="M243" s="155" t="s">
        <v>226</v>
      </c>
      <c r="N243" s="139" t="s">
        <v>771</v>
      </c>
      <c r="O243" s="156">
        <v>42500000</v>
      </c>
      <c r="P243" s="140" t="s">
        <v>772</v>
      </c>
    </row>
    <row r="244" spans="1:16" ht="43.5" x14ac:dyDescent="0.35">
      <c r="A244" s="139" t="e">
        <f t="shared" si="5"/>
        <v>#REF!</v>
      </c>
      <c r="B244" s="140" t="s">
        <v>18</v>
      </c>
      <c r="C244" s="140" t="s">
        <v>255</v>
      </c>
      <c r="D244" s="140" t="s">
        <v>646</v>
      </c>
      <c r="E244" s="140" t="s">
        <v>781</v>
      </c>
      <c r="F244" s="140" t="s">
        <v>782</v>
      </c>
      <c r="G244" s="139" t="s">
        <v>783</v>
      </c>
      <c r="H244" s="140" t="s">
        <v>783</v>
      </c>
      <c r="I244" s="140" t="s">
        <v>25</v>
      </c>
      <c r="J244" s="10">
        <v>280000000</v>
      </c>
      <c r="K244" s="139" t="s">
        <v>651</v>
      </c>
      <c r="L244" s="140"/>
      <c r="M244" s="155" t="s">
        <v>226</v>
      </c>
      <c r="N244" s="142" t="s">
        <v>752</v>
      </c>
      <c r="O244" s="142">
        <v>250000000</v>
      </c>
      <c r="P244" s="140" t="s">
        <v>784</v>
      </c>
    </row>
    <row r="245" spans="1:16" ht="43.5" x14ac:dyDescent="0.35">
      <c r="A245" s="139" t="e">
        <f t="shared" si="5"/>
        <v>#REF!</v>
      </c>
      <c r="B245" s="140" t="s">
        <v>18</v>
      </c>
      <c r="C245" s="140" t="s">
        <v>255</v>
      </c>
      <c r="D245" s="140" t="s">
        <v>646</v>
      </c>
      <c r="E245" s="140" t="s">
        <v>781</v>
      </c>
      <c r="F245" s="140" t="s">
        <v>782</v>
      </c>
      <c r="G245" s="139" t="s">
        <v>783</v>
      </c>
      <c r="H245" s="140" t="s">
        <v>785</v>
      </c>
      <c r="I245" s="140" t="s">
        <v>25</v>
      </c>
      <c r="J245" s="10">
        <v>280000000</v>
      </c>
      <c r="K245" s="139" t="s">
        <v>651</v>
      </c>
      <c r="L245" s="140"/>
      <c r="M245" s="155" t="s">
        <v>226</v>
      </c>
      <c r="N245" s="142" t="s">
        <v>752</v>
      </c>
      <c r="O245" s="142">
        <v>250000000</v>
      </c>
      <c r="P245" s="140" t="s">
        <v>784</v>
      </c>
    </row>
    <row r="246" spans="1:16" ht="29" x14ac:dyDescent="0.35">
      <c r="A246" s="139" t="e">
        <f t="shared" si="5"/>
        <v>#REF!</v>
      </c>
      <c r="B246" s="140" t="s">
        <v>18</v>
      </c>
      <c r="C246" s="140" t="s">
        <v>255</v>
      </c>
      <c r="D246" s="140" t="s">
        <v>646</v>
      </c>
      <c r="E246" s="140" t="s">
        <v>786</v>
      </c>
      <c r="F246" s="140" t="s">
        <v>186</v>
      </c>
      <c r="G246" s="139" t="s">
        <v>177</v>
      </c>
      <c r="H246" s="140" t="s">
        <v>787</v>
      </c>
      <c r="I246" s="140" t="s">
        <v>788</v>
      </c>
      <c r="J246" s="10">
        <v>20000000</v>
      </c>
      <c r="K246" s="139" t="s">
        <v>651</v>
      </c>
      <c r="L246" s="140">
        <v>2958885</v>
      </c>
      <c r="M246" s="155" t="s">
        <v>180</v>
      </c>
      <c r="N246" s="142" t="s">
        <v>280</v>
      </c>
      <c r="O246" s="142">
        <v>50000000</v>
      </c>
      <c r="P246" s="140" t="s">
        <v>789</v>
      </c>
    </row>
    <row r="247" spans="1:16" ht="29" x14ac:dyDescent="0.35">
      <c r="A247" s="139" t="e">
        <f t="shared" si="5"/>
        <v>#REF!</v>
      </c>
      <c r="B247" s="140" t="s">
        <v>18</v>
      </c>
      <c r="C247" s="140" t="s">
        <v>255</v>
      </c>
      <c r="D247" s="140" t="s">
        <v>646</v>
      </c>
      <c r="E247" s="140" t="s">
        <v>790</v>
      </c>
      <c r="F247" s="140" t="s">
        <v>791</v>
      </c>
      <c r="G247" s="139" t="s">
        <v>792</v>
      </c>
      <c r="H247" s="140" t="s">
        <v>792</v>
      </c>
      <c r="I247" s="140" t="s">
        <v>280</v>
      </c>
      <c r="J247" s="10">
        <v>35000000</v>
      </c>
      <c r="K247" s="139" t="s">
        <v>651</v>
      </c>
      <c r="L247" s="140">
        <v>2947266</v>
      </c>
      <c r="M247" s="155" t="s">
        <v>180</v>
      </c>
      <c r="N247" s="142" t="s">
        <v>280</v>
      </c>
      <c r="O247" s="142">
        <v>50000000</v>
      </c>
      <c r="P247" s="140" t="s">
        <v>793</v>
      </c>
    </row>
    <row r="248" spans="1:16" ht="29" x14ac:dyDescent="0.35">
      <c r="A248" s="139" t="e">
        <f t="shared" si="5"/>
        <v>#REF!</v>
      </c>
      <c r="B248" s="140" t="s">
        <v>18</v>
      </c>
      <c r="C248" s="140" t="s">
        <v>255</v>
      </c>
      <c r="D248" s="140" t="s">
        <v>646</v>
      </c>
      <c r="E248" s="140" t="s">
        <v>790</v>
      </c>
      <c r="F248" s="140" t="s">
        <v>791</v>
      </c>
      <c r="G248" s="139" t="s">
        <v>792</v>
      </c>
      <c r="H248" s="140" t="s">
        <v>794</v>
      </c>
      <c r="I248" s="140" t="s">
        <v>280</v>
      </c>
      <c r="J248" s="10">
        <v>35000000</v>
      </c>
      <c r="K248" s="139" t="s">
        <v>651</v>
      </c>
      <c r="L248" s="140">
        <v>2943291</v>
      </c>
      <c r="M248" s="155" t="s">
        <v>180</v>
      </c>
      <c r="N248" s="142" t="s">
        <v>280</v>
      </c>
      <c r="O248" s="142">
        <v>50000000</v>
      </c>
      <c r="P248" s="140" t="s">
        <v>793</v>
      </c>
    </row>
    <row r="249" spans="1:16" ht="29" x14ac:dyDescent="0.35">
      <c r="A249" s="139" t="e">
        <f t="shared" si="5"/>
        <v>#REF!</v>
      </c>
      <c r="B249" s="140" t="s">
        <v>18</v>
      </c>
      <c r="C249" s="140" t="s">
        <v>255</v>
      </c>
      <c r="D249" s="140" t="s">
        <v>646</v>
      </c>
      <c r="E249" s="140" t="s">
        <v>790</v>
      </c>
      <c r="F249" s="140" t="s">
        <v>791</v>
      </c>
      <c r="G249" s="139" t="s">
        <v>792</v>
      </c>
      <c r="H249" s="140" t="s">
        <v>795</v>
      </c>
      <c r="I249" s="140" t="s">
        <v>280</v>
      </c>
      <c r="J249" s="10">
        <v>35000000</v>
      </c>
      <c r="K249" s="139" t="s">
        <v>651</v>
      </c>
      <c r="L249" s="140">
        <v>2944347</v>
      </c>
      <c r="M249" s="155" t="s">
        <v>180</v>
      </c>
      <c r="N249" s="142" t="s">
        <v>280</v>
      </c>
      <c r="O249" s="142">
        <v>50000000</v>
      </c>
      <c r="P249" s="140" t="s">
        <v>793</v>
      </c>
    </row>
    <row r="250" spans="1:16" ht="29" x14ac:dyDescent="0.35">
      <c r="A250" s="139" t="e">
        <f t="shared" si="5"/>
        <v>#REF!</v>
      </c>
      <c r="B250" s="140" t="s">
        <v>18</v>
      </c>
      <c r="C250" s="140" t="s">
        <v>255</v>
      </c>
      <c r="D250" s="140" t="s">
        <v>646</v>
      </c>
      <c r="E250" s="140" t="s">
        <v>790</v>
      </c>
      <c r="F250" s="140" t="s">
        <v>791</v>
      </c>
      <c r="G250" s="139" t="s">
        <v>792</v>
      </c>
      <c r="H250" s="140" t="s">
        <v>796</v>
      </c>
      <c r="I250" s="140" t="s">
        <v>280</v>
      </c>
      <c r="J250" s="10">
        <v>35000000</v>
      </c>
      <c r="K250" s="139" t="s">
        <v>651</v>
      </c>
      <c r="L250" s="140">
        <v>2965459</v>
      </c>
      <c r="M250" s="155" t="s">
        <v>180</v>
      </c>
      <c r="N250" s="142" t="s">
        <v>280</v>
      </c>
      <c r="O250" s="142">
        <v>50000000</v>
      </c>
      <c r="P250" s="140" t="s">
        <v>793</v>
      </c>
    </row>
    <row r="251" spans="1:16" ht="29" x14ac:dyDescent="0.35">
      <c r="A251" s="139" t="e">
        <f t="shared" si="5"/>
        <v>#REF!</v>
      </c>
      <c r="B251" s="140" t="s">
        <v>18</v>
      </c>
      <c r="C251" s="140" t="s">
        <v>255</v>
      </c>
      <c r="D251" s="140" t="s">
        <v>646</v>
      </c>
      <c r="E251" s="140" t="s">
        <v>797</v>
      </c>
      <c r="F251" s="140" t="s">
        <v>798</v>
      </c>
      <c r="G251" s="139" t="s">
        <v>185</v>
      </c>
      <c r="H251" s="140" t="s">
        <v>799</v>
      </c>
      <c r="I251" s="140" t="s">
        <v>725</v>
      </c>
      <c r="J251" s="10">
        <v>42200000</v>
      </c>
      <c r="K251" s="139" t="s">
        <v>651</v>
      </c>
      <c r="L251" s="140">
        <v>2933437</v>
      </c>
      <c r="M251" s="155" t="s">
        <v>180</v>
      </c>
      <c r="N251" s="142" t="s">
        <v>280</v>
      </c>
      <c r="O251" s="142">
        <v>50000000</v>
      </c>
      <c r="P251" s="140" t="s">
        <v>653</v>
      </c>
    </row>
    <row r="252" spans="1:16" ht="29" x14ac:dyDescent="0.35">
      <c r="A252" s="139" t="e">
        <f t="shared" si="5"/>
        <v>#REF!</v>
      </c>
      <c r="B252" s="140" t="s">
        <v>18</v>
      </c>
      <c r="C252" s="140" t="s">
        <v>255</v>
      </c>
      <c r="D252" s="140" t="s">
        <v>646</v>
      </c>
      <c r="E252" s="140" t="s">
        <v>800</v>
      </c>
      <c r="F252" s="140" t="s">
        <v>636</v>
      </c>
      <c r="G252" s="139" t="s">
        <v>182</v>
      </c>
      <c r="H252" s="140" t="s">
        <v>185</v>
      </c>
      <c r="I252" s="140" t="s">
        <v>801</v>
      </c>
      <c r="J252" s="10">
        <v>25000000</v>
      </c>
      <c r="K252" s="139" t="s">
        <v>651</v>
      </c>
      <c r="L252" s="140">
        <v>2921026</v>
      </c>
      <c r="M252" s="155" t="s">
        <v>180</v>
      </c>
      <c r="N252" s="139" t="s">
        <v>802</v>
      </c>
      <c r="O252" s="142">
        <v>25000000</v>
      </c>
      <c r="P252" s="140" t="s">
        <v>803</v>
      </c>
    </row>
    <row r="253" spans="1:16" ht="29" x14ac:dyDescent="0.35">
      <c r="A253" s="139" t="e">
        <f t="shared" si="5"/>
        <v>#REF!</v>
      </c>
      <c r="B253" s="140" t="s">
        <v>18</v>
      </c>
      <c r="C253" s="140" t="s">
        <v>255</v>
      </c>
      <c r="D253" s="140" t="s">
        <v>646</v>
      </c>
      <c r="E253" s="140" t="s">
        <v>739</v>
      </c>
      <c r="F253" s="140" t="s">
        <v>636</v>
      </c>
      <c r="G253" s="139" t="s">
        <v>182</v>
      </c>
      <c r="H253" s="140" t="s">
        <v>93</v>
      </c>
      <c r="I253" s="140" t="s">
        <v>725</v>
      </c>
      <c r="J253" s="10">
        <v>25000000</v>
      </c>
      <c r="K253" s="139" t="s">
        <v>651</v>
      </c>
      <c r="L253" s="140">
        <v>2960274</v>
      </c>
      <c r="M253" s="155" t="s">
        <v>180</v>
      </c>
      <c r="N253" s="142" t="s">
        <v>280</v>
      </c>
      <c r="O253" s="142">
        <v>50000000</v>
      </c>
      <c r="P253" s="140" t="s">
        <v>653</v>
      </c>
    </row>
    <row r="254" spans="1:16" ht="43.5" x14ac:dyDescent="0.35">
      <c r="A254" s="139" t="e">
        <f t="shared" si="5"/>
        <v>#REF!</v>
      </c>
      <c r="B254" s="140" t="s">
        <v>18</v>
      </c>
      <c r="C254" s="140" t="s">
        <v>255</v>
      </c>
      <c r="D254" s="140" t="s">
        <v>646</v>
      </c>
      <c r="E254" s="140" t="s">
        <v>800</v>
      </c>
      <c r="F254" s="140" t="s">
        <v>186</v>
      </c>
      <c r="G254" s="139" t="s">
        <v>187</v>
      </c>
      <c r="H254" s="140" t="s">
        <v>804</v>
      </c>
      <c r="I254" s="140" t="s">
        <v>725</v>
      </c>
      <c r="J254" s="10">
        <v>28000000</v>
      </c>
      <c r="K254" s="139" t="s">
        <v>651</v>
      </c>
      <c r="L254" s="140">
        <v>2762206</v>
      </c>
      <c r="M254" s="155" t="s">
        <v>180</v>
      </c>
      <c r="N254" s="139" t="s">
        <v>805</v>
      </c>
      <c r="O254" s="142">
        <v>101797600</v>
      </c>
      <c r="P254" s="140" t="s">
        <v>806</v>
      </c>
    </row>
    <row r="255" spans="1:16" ht="29" x14ac:dyDescent="0.35">
      <c r="A255" s="139" t="e">
        <f t="shared" si="5"/>
        <v>#REF!</v>
      </c>
      <c r="B255" s="140" t="s">
        <v>18</v>
      </c>
      <c r="C255" s="140" t="s">
        <v>255</v>
      </c>
      <c r="D255" s="140" t="s">
        <v>646</v>
      </c>
      <c r="E255" s="140" t="s">
        <v>739</v>
      </c>
      <c r="F255" s="140" t="s">
        <v>186</v>
      </c>
      <c r="G255" s="139" t="s">
        <v>187</v>
      </c>
      <c r="H255" s="140" t="s">
        <v>442</v>
      </c>
      <c r="I255" s="140" t="s">
        <v>725</v>
      </c>
      <c r="J255" s="10">
        <v>28000000</v>
      </c>
      <c r="K255" s="139" t="s">
        <v>651</v>
      </c>
      <c r="L255" s="140">
        <v>2972726</v>
      </c>
      <c r="M255" s="155" t="s">
        <v>180</v>
      </c>
      <c r="N255" s="142" t="s">
        <v>280</v>
      </c>
      <c r="O255" s="142">
        <v>50000000</v>
      </c>
      <c r="P255" s="140" t="s">
        <v>653</v>
      </c>
    </row>
    <row r="256" spans="1:16" ht="29" x14ac:dyDescent="0.35">
      <c r="A256" s="139" t="e">
        <f t="shared" si="5"/>
        <v>#REF!</v>
      </c>
      <c r="B256" s="140" t="s">
        <v>18</v>
      </c>
      <c r="C256" s="140" t="s">
        <v>255</v>
      </c>
      <c r="D256" s="140" t="s">
        <v>646</v>
      </c>
      <c r="E256" s="140" t="s">
        <v>739</v>
      </c>
      <c r="F256" s="140" t="s">
        <v>186</v>
      </c>
      <c r="G256" s="139" t="s">
        <v>187</v>
      </c>
      <c r="H256" s="140" t="s">
        <v>807</v>
      </c>
      <c r="I256" s="140" t="s">
        <v>725</v>
      </c>
      <c r="J256" s="10">
        <v>28000000</v>
      </c>
      <c r="K256" s="139" t="s">
        <v>651</v>
      </c>
      <c r="L256" s="140">
        <v>2935122</v>
      </c>
      <c r="M256" s="155" t="s">
        <v>180</v>
      </c>
      <c r="N256" s="142" t="s">
        <v>280</v>
      </c>
      <c r="O256" s="142">
        <v>50000000</v>
      </c>
      <c r="P256" s="140" t="s">
        <v>653</v>
      </c>
    </row>
    <row r="257" spans="1:17" ht="62" x14ac:dyDescent="0.35">
      <c r="A257" s="157" t="e">
        <f t="shared" si="5"/>
        <v>#REF!</v>
      </c>
      <c r="B257" s="157" t="s">
        <v>71</v>
      </c>
      <c r="C257" s="157" t="s">
        <v>537</v>
      </c>
      <c r="D257" s="158" t="s">
        <v>808</v>
      </c>
      <c r="E257" s="158" t="s">
        <v>809</v>
      </c>
      <c r="F257" s="158" t="s">
        <v>810</v>
      </c>
      <c r="G257" s="157" t="s">
        <v>658</v>
      </c>
      <c r="H257" s="157" t="s">
        <v>811</v>
      </c>
      <c r="I257" s="157" t="s">
        <v>500</v>
      </c>
      <c r="J257" s="159">
        <v>45000000</v>
      </c>
      <c r="K257" s="54" t="s">
        <v>197</v>
      </c>
      <c r="L257" s="157">
        <v>3252422</v>
      </c>
      <c r="M257" s="157" t="s">
        <v>79</v>
      </c>
      <c r="N257" s="160" t="s">
        <v>812</v>
      </c>
      <c r="O257" s="160">
        <v>45000000</v>
      </c>
      <c r="P257" s="157" t="s">
        <v>813</v>
      </c>
      <c r="Q257" s="157" t="s">
        <v>814</v>
      </c>
    </row>
    <row r="258" spans="1:17" ht="46.5" x14ac:dyDescent="0.35">
      <c r="A258" s="157" t="e">
        <f t="shared" si="5"/>
        <v>#REF!</v>
      </c>
      <c r="B258" s="157" t="s">
        <v>71</v>
      </c>
      <c r="C258" s="157" t="s">
        <v>537</v>
      </c>
      <c r="D258" s="158" t="s">
        <v>808</v>
      </c>
      <c r="E258" s="158" t="s">
        <v>203</v>
      </c>
      <c r="F258" s="158" t="s">
        <v>815</v>
      </c>
      <c r="G258" s="157" t="s">
        <v>816</v>
      </c>
      <c r="H258" s="157" t="s">
        <v>817</v>
      </c>
      <c r="I258" s="157">
        <v>5</v>
      </c>
      <c r="J258" s="159">
        <v>7000000</v>
      </c>
      <c r="K258" s="54" t="s">
        <v>197</v>
      </c>
      <c r="L258" s="157">
        <v>2932185</v>
      </c>
      <c r="M258" s="157" t="s">
        <v>79</v>
      </c>
      <c r="N258" s="160" t="s">
        <v>122</v>
      </c>
      <c r="O258" s="160">
        <v>8000000</v>
      </c>
      <c r="P258" s="157"/>
      <c r="Q258" s="157" t="s">
        <v>818</v>
      </c>
    </row>
    <row r="259" spans="1:17" ht="46.5" x14ac:dyDescent="0.35">
      <c r="A259" s="157" t="e">
        <f t="shared" si="5"/>
        <v>#REF!</v>
      </c>
      <c r="B259" s="157" t="s">
        <v>71</v>
      </c>
      <c r="C259" s="157" t="s">
        <v>537</v>
      </c>
      <c r="D259" s="158" t="s">
        <v>808</v>
      </c>
      <c r="E259" s="158" t="s">
        <v>203</v>
      </c>
      <c r="F259" s="158" t="s">
        <v>819</v>
      </c>
      <c r="G259" s="157" t="s">
        <v>816</v>
      </c>
      <c r="H259" s="157" t="s">
        <v>820</v>
      </c>
      <c r="I259" s="157">
        <v>5</v>
      </c>
      <c r="J259" s="159">
        <v>10000000</v>
      </c>
      <c r="K259" s="54" t="s">
        <v>197</v>
      </c>
      <c r="L259" s="157">
        <v>2932209</v>
      </c>
      <c r="M259" s="157" t="s">
        <v>79</v>
      </c>
      <c r="N259" s="160" t="s">
        <v>274</v>
      </c>
      <c r="O259" s="160">
        <v>12000000</v>
      </c>
      <c r="P259" s="157"/>
      <c r="Q259" s="157" t="s">
        <v>818</v>
      </c>
    </row>
    <row r="260" spans="1:17" ht="46.5" x14ac:dyDescent="0.35">
      <c r="A260" s="157" t="e">
        <f t="shared" si="5"/>
        <v>#REF!</v>
      </c>
      <c r="B260" s="157" t="s">
        <v>71</v>
      </c>
      <c r="C260" s="157" t="s">
        <v>537</v>
      </c>
      <c r="D260" s="158" t="s">
        <v>808</v>
      </c>
      <c r="E260" s="158" t="s">
        <v>203</v>
      </c>
      <c r="F260" s="158" t="s">
        <v>821</v>
      </c>
      <c r="G260" s="157" t="s">
        <v>816</v>
      </c>
      <c r="H260" s="157" t="s">
        <v>822</v>
      </c>
      <c r="I260" s="157">
        <v>5</v>
      </c>
      <c r="J260" s="159">
        <v>7000000</v>
      </c>
      <c r="K260" s="54" t="s">
        <v>197</v>
      </c>
      <c r="L260" s="157">
        <v>2932312</v>
      </c>
      <c r="M260" s="157" t="s">
        <v>79</v>
      </c>
      <c r="N260" s="160" t="s">
        <v>122</v>
      </c>
      <c r="O260" s="160">
        <v>8000000</v>
      </c>
      <c r="P260" s="157"/>
      <c r="Q260" s="157" t="s">
        <v>818</v>
      </c>
    </row>
    <row r="261" spans="1:17" ht="46.5" x14ac:dyDescent="0.35">
      <c r="A261" s="157" t="e">
        <f t="shared" si="5"/>
        <v>#REF!</v>
      </c>
      <c r="B261" s="157" t="s">
        <v>71</v>
      </c>
      <c r="C261" s="157" t="s">
        <v>537</v>
      </c>
      <c r="D261" s="158" t="s">
        <v>808</v>
      </c>
      <c r="E261" s="158" t="s">
        <v>203</v>
      </c>
      <c r="F261" s="158" t="s">
        <v>823</v>
      </c>
      <c r="G261" s="157" t="s">
        <v>816</v>
      </c>
      <c r="H261" s="157" t="s">
        <v>824</v>
      </c>
      <c r="I261" s="157">
        <v>5</v>
      </c>
      <c r="J261" s="159">
        <v>7000000</v>
      </c>
      <c r="K261" s="54" t="s">
        <v>197</v>
      </c>
      <c r="L261" s="157">
        <v>2933188</v>
      </c>
      <c r="M261" s="157" t="s">
        <v>79</v>
      </c>
      <c r="N261" s="160" t="s">
        <v>122</v>
      </c>
      <c r="O261" s="160">
        <v>8000000</v>
      </c>
      <c r="P261" s="157"/>
      <c r="Q261" s="157" t="s">
        <v>818</v>
      </c>
    </row>
    <row r="262" spans="1:17" ht="46.5" x14ac:dyDescent="0.35">
      <c r="A262" s="157" t="e">
        <f t="shared" si="5"/>
        <v>#REF!</v>
      </c>
      <c r="B262" s="157" t="s">
        <v>71</v>
      </c>
      <c r="C262" s="157" t="s">
        <v>537</v>
      </c>
      <c r="D262" s="158" t="s">
        <v>808</v>
      </c>
      <c r="E262" s="158" t="s">
        <v>825</v>
      </c>
      <c r="F262" s="158" t="s">
        <v>484</v>
      </c>
      <c r="G262" s="157" t="s">
        <v>278</v>
      </c>
      <c r="H262" s="157" t="s">
        <v>485</v>
      </c>
      <c r="I262" s="157" t="s">
        <v>366</v>
      </c>
      <c r="J262" s="160">
        <v>15000000</v>
      </c>
      <c r="K262" s="54" t="s">
        <v>197</v>
      </c>
      <c r="L262" s="157">
        <v>2977046</v>
      </c>
      <c r="M262" s="32" t="s">
        <v>97</v>
      </c>
      <c r="N262" s="157" t="s">
        <v>826</v>
      </c>
      <c r="O262" s="160">
        <v>52200000</v>
      </c>
      <c r="P262" s="157"/>
      <c r="Q262" s="157" t="s">
        <v>825</v>
      </c>
    </row>
    <row r="263" spans="1:17" ht="31" x14ac:dyDescent="0.35">
      <c r="A263" s="157" t="e">
        <f t="shared" si="5"/>
        <v>#REF!</v>
      </c>
      <c r="B263" s="157" t="s">
        <v>71</v>
      </c>
      <c r="C263" s="157" t="s">
        <v>537</v>
      </c>
      <c r="D263" s="161" t="s">
        <v>538</v>
      </c>
      <c r="E263" s="158" t="s">
        <v>827</v>
      </c>
      <c r="F263" s="158" t="s">
        <v>828</v>
      </c>
      <c r="G263" s="162" t="s">
        <v>670</v>
      </c>
      <c r="H263" s="162" t="s">
        <v>681</v>
      </c>
      <c r="I263" s="162" t="s">
        <v>826</v>
      </c>
      <c r="J263" s="160">
        <v>52200000</v>
      </c>
      <c r="K263" s="54" t="s">
        <v>197</v>
      </c>
      <c r="L263" s="157">
        <v>2916730</v>
      </c>
      <c r="M263" s="32" t="s">
        <v>97</v>
      </c>
      <c r="N263" s="157" t="s">
        <v>826</v>
      </c>
      <c r="O263" s="160">
        <v>52000000</v>
      </c>
      <c r="P263" s="157"/>
      <c r="Q263" s="157" t="s">
        <v>829</v>
      </c>
    </row>
    <row r="264" spans="1:17" ht="31" x14ac:dyDescent="0.35">
      <c r="A264" s="157" t="e">
        <f t="shared" si="5"/>
        <v>#REF!</v>
      </c>
      <c r="B264" s="157" t="s">
        <v>71</v>
      </c>
      <c r="C264" s="157" t="s">
        <v>537</v>
      </c>
      <c r="D264" s="161" t="s">
        <v>538</v>
      </c>
      <c r="E264" s="158" t="s">
        <v>830</v>
      </c>
      <c r="F264" s="158" t="s">
        <v>673</v>
      </c>
      <c r="G264" s="162" t="s">
        <v>670</v>
      </c>
      <c r="H264" s="162" t="s">
        <v>674</v>
      </c>
      <c r="I264" s="162" t="s">
        <v>826</v>
      </c>
      <c r="J264" s="160">
        <v>52000000</v>
      </c>
      <c r="K264" s="54" t="s">
        <v>197</v>
      </c>
      <c r="L264" s="157">
        <v>2916412</v>
      </c>
      <c r="M264" s="32" t="s">
        <v>97</v>
      </c>
      <c r="N264" s="157" t="s">
        <v>826</v>
      </c>
      <c r="O264" s="160">
        <v>50000000</v>
      </c>
      <c r="P264" s="157"/>
      <c r="Q264" s="157" t="s">
        <v>829</v>
      </c>
    </row>
    <row r="265" spans="1:17" ht="31" x14ac:dyDescent="0.35">
      <c r="A265" s="157" t="e">
        <f t="shared" si="5"/>
        <v>#REF!</v>
      </c>
      <c r="B265" s="157" t="s">
        <v>71</v>
      </c>
      <c r="C265" s="157" t="s">
        <v>537</v>
      </c>
      <c r="D265" s="161" t="s">
        <v>538</v>
      </c>
      <c r="E265" s="158" t="s">
        <v>827</v>
      </c>
      <c r="F265" s="158" t="s">
        <v>676</v>
      </c>
      <c r="G265" s="162" t="s">
        <v>670</v>
      </c>
      <c r="H265" s="162" t="s">
        <v>677</v>
      </c>
      <c r="I265" s="162" t="s">
        <v>826</v>
      </c>
      <c r="J265" s="160">
        <v>50000000</v>
      </c>
      <c r="K265" s="54" t="s">
        <v>197</v>
      </c>
      <c r="L265" s="157">
        <v>2917580</v>
      </c>
      <c r="M265" s="32" t="s">
        <v>97</v>
      </c>
      <c r="N265" s="157" t="s">
        <v>826</v>
      </c>
      <c r="O265" s="160">
        <v>52200000</v>
      </c>
      <c r="P265" s="157"/>
      <c r="Q265" s="157" t="s">
        <v>829</v>
      </c>
    </row>
    <row r="266" spans="1:17" ht="31" x14ac:dyDescent="0.35">
      <c r="A266" s="157" t="e">
        <f t="shared" si="5"/>
        <v>#REF!</v>
      </c>
      <c r="B266" s="157" t="s">
        <v>71</v>
      </c>
      <c r="C266" s="157" t="s">
        <v>537</v>
      </c>
      <c r="D266" s="161" t="s">
        <v>538</v>
      </c>
      <c r="E266" s="158" t="s">
        <v>831</v>
      </c>
      <c r="F266" s="158" t="s">
        <v>678</v>
      </c>
      <c r="G266" s="162" t="s">
        <v>670</v>
      </c>
      <c r="H266" s="162" t="s">
        <v>679</v>
      </c>
      <c r="I266" s="162" t="s">
        <v>826</v>
      </c>
      <c r="J266" s="160">
        <v>52200000</v>
      </c>
      <c r="K266" s="54" t="s">
        <v>197</v>
      </c>
      <c r="L266" s="157">
        <v>2916544</v>
      </c>
      <c r="M266" s="32" t="s">
        <v>97</v>
      </c>
      <c r="N266" s="157" t="s">
        <v>832</v>
      </c>
      <c r="O266" s="160">
        <v>50000000</v>
      </c>
      <c r="P266" s="157" t="s">
        <v>833</v>
      </c>
      <c r="Q266" s="157" t="s">
        <v>829</v>
      </c>
    </row>
    <row r="267" spans="1:17" ht="46.5" x14ac:dyDescent="0.35">
      <c r="A267" s="82" t="e">
        <f t="shared" si="5"/>
        <v>#REF!</v>
      </c>
      <c r="B267" s="82" t="s">
        <v>71</v>
      </c>
      <c r="C267" s="82" t="s">
        <v>537</v>
      </c>
      <c r="D267" s="163" t="s">
        <v>834</v>
      </c>
      <c r="E267" s="164" t="s">
        <v>91</v>
      </c>
      <c r="F267" s="164" t="s">
        <v>92</v>
      </c>
      <c r="G267" s="82" t="s">
        <v>208</v>
      </c>
      <c r="H267" s="82" t="s">
        <v>94</v>
      </c>
      <c r="I267" s="82" t="s">
        <v>95</v>
      </c>
      <c r="J267" s="165">
        <v>18000000</v>
      </c>
      <c r="K267" s="54" t="s">
        <v>197</v>
      </c>
      <c r="L267" s="82">
        <v>2960802</v>
      </c>
      <c r="M267" s="32" t="s">
        <v>97</v>
      </c>
      <c r="N267" s="82" t="s">
        <v>826</v>
      </c>
      <c r="O267" s="165">
        <v>15000000</v>
      </c>
      <c r="P267" s="82"/>
      <c r="Q267" s="82" t="s">
        <v>835</v>
      </c>
    </row>
    <row r="268" spans="1:17" ht="62" x14ac:dyDescent="0.35">
      <c r="A268" s="166">
        <v>14</v>
      </c>
      <c r="B268" s="166" t="s">
        <v>836</v>
      </c>
      <c r="C268" s="166" t="s">
        <v>577</v>
      </c>
      <c r="D268" s="167" t="s">
        <v>538</v>
      </c>
      <c r="E268" s="168" t="s">
        <v>837</v>
      </c>
      <c r="F268" s="168" t="s">
        <v>838</v>
      </c>
      <c r="G268" s="166" t="s">
        <v>839</v>
      </c>
      <c r="H268" s="166" t="s">
        <v>840</v>
      </c>
      <c r="I268" s="166"/>
      <c r="J268" s="169"/>
      <c r="K268" s="54" t="s">
        <v>197</v>
      </c>
      <c r="L268" s="166" t="s">
        <v>841</v>
      </c>
      <c r="M268" s="32" t="s">
        <v>97</v>
      </c>
      <c r="N268" s="166" t="s">
        <v>826</v>
      </c>
      <c r="O268" s="169">
        <v>100000000</v>
      </c>
      <c r="P268" s="166" t="s">
        <v>275</v>
      </c>
      <c r="Q268" s="166" t="s">
        <v>842</v>
      </c>
    </row>
    <row r="269" spans="1:17" ht="46.5" x14ac:dyDescent="0.35">
      <c r="A269" s="157">
        <f t="shared" si="5"/>
        <v>15</v>
      </c>
      <c r="B269" s="157" t="s">
        <v>71</v>
      </c>
      <c r="C269" s="157" t="s">
        <v>537</v>
      </c>
      <c r="D269" s="158" t="s">
        <v>538</v>
      </c>
      <c r="E269" s="158" t="s">
        <v>843</v>
      </c>
      <c r="F269" s="158" t="s">
        <v>844</v>
      </c>
      <c r="G269" s="162" t="s">
        <v>504</v>
      </c>
      <c r="H269" s="162" t="s">
        <v>845</v>
      </c>
      <c r="I269" s="157" t="s">
        <v>846</v>
      </c>
      <c r="J269" s="160">
        <v>15000000</v>
      </c>
      <c r="K269" s="54" t="s">
        <v>197</v>
      </c>
      <c r="L269" s="157">
        <v>2942631</v>
      </c>
      <c r="M269" s="32" t="s">
        <v>97</v>
      </c>
      <c r="N269" s="157" t="s">
        <v>846</v>
      </c>
      <c r="O269" s="160">
        <v>20000000</v>
      </c>
      <c r="P269" s="170"/>
      <c r="Q269" s="157" t="s">
        <v>843</v>
      </c>
    </row>
    <row r="270" spans="1:17" ht="46.5" x14ac:dyDescent="0.35">
      <c r="A270" s="157">
        <f t="shared" si="5"/>
        <v>16</v>
      </c>
      <c r="B270" s="157" t="s">
        <v>71</v>
      </c>
      <c r="C270" s="157" t="s">
        <v>537</v>
      </c>
      <c r="D270" s="161" t="s">
        <v>847</v>
      </c>
      <c r="E270" s="158" t="s">
        <v>848</v>
      </c>
      <c r="F270" s="158" t="s">
        <v>849</v>
      </c>
      <c r="G270" s="162" t="s">
        <v>504</v>
      </c>
      <c r="H270" s="162" t="s">
        <v>850</v>
      </c>
      <c r="I270" s="157" t="s">
        <v>336</v>
      </c>
      <c r="J270" s="160">
        <v>10000000</v>
      </c>
      <c r="K270" s="54" t="s">
        <v>197</v>
      </c>
      <c r="L270" s="157">
        <v>2821439</v>
      </c>
      <c r="M270" s="32" t="s">
        <v>97</v>
      </c>
      <c r="N270" s="157" t="s">
        <v>336</v>
      </c>
      <c r="O270" s="160">
        <v>10000000</v>
      </c>
      <c r="P270" s="171"/>
      <c r="Q270" s="157" t="s">
        <v>848</v>
      </c>
    </row>
    <row r="271" spans="1:17" ht="31" x14ac:dyDescent="0.35">
      <c r="A271" s="157">
        <f t="shared" si="5"/>
        <v>17</v>
      </c>
      <c r="B271" s="157" t="s">
        <v>71</v>
      </c>
      <c r="C271" s="157" t="s">
        <v>537</v>
      </c>
      <c r="D271" s="158" t="s">
        <v>538</v>
      </c>
      <c r="E271" s="158" t="s">
        <v>851</v>
      </c>
      <c r="F271" s="158" t="s">
        <v>852</v>
      </c>
      <c r="G271" s="162" t="s">
        <v>504</v>
      </c>
      <c r="H271" s="162" t="s">
        <v>853</v>
      </c>
      <c r="I271" s="157" t="s">
        <v>854</v>
      </c>
      <c r="J271" s="160">
        <v>15000000</v>
      </c>
      <c r="K271" s="54" t="s">
        <v>197</v>
      </c>
      <c r="L271" s="157">
        <v>2942018</v>
      </c>
      <c r="M271" s="32" t="s">
        <v>97</v>
      </c>
      <c r="N271" s="157" t="s">
        <v>854</v>
      </c>
      <c r="O271" s="160">
        <v>15000000</v>
      </c>
      <c r="P271" s="171"/>
      <c r="Q271" s="157" t="s">
        <v>851</v>
      </c>
    </row>
    <row r="272" spans="1:17" ht="31" x14ac:dyDescent="0.35">
      <c r="A272" s="172">
        <f t="shared" si="5"/>
        <v>18</v>
      </c>
      <c r="B272" s="172" t="s">
        <v>71</v>
      </c>
      <c r="C272" s="172" t="s">
        <v>537</v>
      </c>
      <c r="D272" s="167" t="s">
        <v>538</v>
      </c>
      <c r="E272" s="167" t="s">
        <v>855</v>
      </c>
      <c r="F272" s="167" t="s">
        <v>735</v>
      </c>
      <c r="G272" s="172" t="s">
        <v>298</v>
      </c>
      <c r="H272" s="172" t="s">
        <v>299</v>
      </c>
      <c r="I272" s="172" t="s">
        <v>35</v>
      </c>
      <c r="J272" s="173">
        <v>15000000</v>
      </c>
      <c r="K272" s="54" t="s">
        <v>197</v>
      </c>
      <c r="L272" s="172">
        <v>2941674</v>
      </c>
      <c r="M272" s="172" t="s">
        <v>109</v>
      </c>
      <c r="N272" s="169" t="s">
        <v>826</v>
      </c>
      <c r="O272" s="169">
        <v>36000000</v>
      </c>
      <c r="P272" s="174"/>
      <c r="Q272" s="166" t="s">
        <v>856</v>
      </c>
    </row>
    <row r="273" spans="1:17" ht="31" x14ac:dyDescent="0.35">
      <c r="A273" s="82">
        <f t="shared" si="5"/>
        <v>19</v>
      </c>
      <c r="B273" s="82" t="s">
        <v>71</v>
      </c>
      <c r="C273" s="82" t="s">
        <v>537</v>
      </c>
      <c r="D273" s="164" t="s">
        <v>834</v>
      </c>
      <c r="E273" s="164" t="s">
        <v>196</v>
      </c>
      <c r="F273" s="164" t="s">
        <v>124</v>
      </c>
      <c r="G273" s="82" t="s">
        <v>23</v>
      </c>
      <c r="H273" s="82" t="s">
        <v>125</v>
      </c>
      <c r="I273" s="82" t="s">
        <v>151</v>
      </c>
      <c r="J273" s="165">
        <v>10000000</v>
      </c>
      <c r="K273" s="54" t="s">
        <v>197</v>
      </c>
      <c r="L273" s="82">
        <v>2798523</v>
      </c>
      <c r="M273" s="82" t="s">
        <v>27</v>
      </c>
      <c r="N273" s="82"/>
      <c r="O273" s="165">
        <v>100000000</v>
      </c>
      <c r="P273" s="82" t="s">
        <v>198</v>
      </c>
      <c r="Q273" s="82" t="s">
        <v>857</v>
      </c>
    </row>
    <row r="274" spans="1:17" ht="46.5" x14ac:dyDescent="0.35">
      <c r="A274" s="157">
        <f t="shared" si="5"/>
        <v>20</v>
      </c>
      <c r="B274" s="157" t="s">
        <v>71</v>
      </c>
      <c r="C274" s="157" t="s">
        <v>537</v>
      </c>
      <c r="D274" s="158" t="s">
        <v>808</v>
      </c>
      <c r="E274" s="158" t="s">
        <v>858</v>
      </c>
      <c r="F274" s="158" t="s">
        <v>859</v>
      </c>
      <c r="G274" s="157" t="s">
        <v>345</v>
      </c>
      <c r="H274" s="157" t="s">
        <v>860</v>
      </c>
      <c r="I274" s="157" t="s">
        <v>861</v>
      </c>
      <c r="J274" s="160">
        <v>10500000</v>
      </c>
      <c r="K274" s="54" t="s">
        <v>197</v>
      </c>
      <c r="L274" s="157">
        <v>2962377</v>
      </c>
      <c r="M274" s="157" t="s">
        <v>27</v>
      </c>
      <c r="N274" s="157" t="s">
        <v>861</v>
      </c>
      <c r="O274" s="160">
        <v>10500000</v>
      </c>
      <c r="P274" s="157"/>
      <c r="Q274" s="157" t="s">
        <v>858</v>
      </c>
    </row>
    <row r="275" spans="1:17" ht="46.5" x14ac:dyDescent="0.35">
      <c r="A275" s="157">
        <f t="shared" si="5"/>
        <v>21</v>
      </c>
      <c r="B275" s="157" t="s">
        <v>71</v>
      </c>
      <c r="C275" s="157" t="s">
        <v>537</v>
      </c>
      <c r="D275" s="161" t="s">
        <v>847</v>
      </c>
      <c r="E275" s="158" t="s">
        <v>862</v>
      </c>
      <c r="F275" s="158" t="s">
        <v>863</v>
      </c>
      <c r="G275" s="157" t="s">
        <v>345</v>
      </c>
      <c r="H275" s="157" t="s">
        <v>864</v>
      </c>
      <c r="I275" s="157" t="s">
        <v>95</v>
      </c>
      <c r="J275" s="160">
        <v>9000000</v>
      </c>
      <c r="K275" s="54" t="s">
        <v>197</v>
      </c>
      <c r="L275" s="157">
        <v>2934409</v>
      </c>
      <c r="M275" s="157" t="s">
        <v>27</v>
      </c>
      <c r="N275" s="157" t="s">
        <v>95</v>
      </c>
      <c r="O275" s="160">
        <v>13500000</v>
      </c>
      <c r="P275" s="157"/>
      <c r="Q275" s="157" t="s">
        <v>862</v>
      </c>
    </row>
    <row r="276" spans="1:17" ht="46.5" x14ac:dyDescent="0.35">
      <c r="A276" s="157">
        <f t="shared" si="5"/>
        <v>22</v>
      </c>
      <c r="B276" s="157" t="s">
        <v>71</v>
      </c>
      <c r="C276" s="157" t="s">
        <v>537</v>
      </c>
      <c r="D276" s="161" t="s">
        <v>847</v>
      </c>
      <c r="E276" s="158" t="s">
        <v>862</v>
      </c>
      <c r="F276" s="158" t="s">
        <v>865</v>
      </c>
      <c r="G276" s="157" t="s">
        <v>345</v>
      </c>
      <c r="H276" s="157" t="s">
        <v>866</v>
      </c>
      <c r="I276" s="157" t="s">
        <v>725</v>
      </c>
      <c r="J276" s="160">
        <v>3000000</v>
      </c>
      <c r="K276" s="54" t="s">
        <v>197</v>
      </c>
      <c r="L276" s="157">
        <v>2934409</v>
      </c>
      <c r="M276" s="157" t="s">
        <v>27</v>
      </c>
      <c r="N276" s="175" t="s">
        <v>725</v>
      </c>
      <c r="O276" s="160">
        <v>4500000</v>
      </c>
      <c r="P276" s="157"/>
      <c r="Q276" s="157" t="s">
        <v>862</v>
      </c>
    </row>
    <row r="277" spans="1:17" ht="46.5" x14ac:dyDescent="0.35">
      <c r="A277" s="157">
        <f t="shared" si="5"/>
        <v>23</v>
      </c>
      <c r="B277" s="157" t="s">
        <v>71</v>
      </c>
      <c r="C277" s="157" t="s">
        <v>537</v>
      </c>
      <c r="D277" s="158" t="s">
        <v>808</v>
      </c>
      <c r="E277" s="158" t="s">
        <v>867</v>
      </c>
      <c r="F277" s="158" t="s">
        <v>868</v>
      </c>
      <c r="G277" s="157" t="s">
        <v>345</v>
      </c>
      <c r="H277" s="157" t="s">
        <v>345</v>
      </c>
      <c r="I277" s="157">
        <v>2</v>
      </c>
      <c r="J277" s="160">
        <v>20000000</v>
      </c>
      <c r="K277" s="54" t="s">
        <v>197</v>
      </c>
      <c r="L277" s="157">
        <v>2959240</v>
      </c>
      <c r="M277" s="157" t="s">
        <v>27</v>
      </c>
      <c r="N277" s="175" t="s">
        <v>639</v>
      </c>
      <c r="O277" s="160">
        <v>26000000</v>
      </c>
      <c r="P277" s="157"/>
      <c r="Q277" s="157" t="s">
        <v>867</v>
      </c>
    </row>
    <row r="278" spans="1:17" ht="108.5" x14ac:dyDescent="0.35">
      <c r="A278" s="157">
        <f t="shared" ref="A278:A332" si="6">A277+1</f>
        <v>24</v>
      </c>
      <c r="B278" s="157" t="s">
        <v>836</v>
      </c>
      <c r="C278" s="157" t="s">
        <v>577</v>
      </c>
      <c r="D278" s="161" t="s">
        <v>847</v>
      </c>
      <c r="E278" s="158" t="s">
        <v>869</v>
      </c>
      <c r="F278" s="158"/>
      <c r="G278" s="157" t="s">
        <v>870</v>
      </c>
      <c r="H278" s="157" t="s">
        <v>871</v>
      </c>
      <c r="I278" s="157" t="s">
        <v>872</v>
      </c>
      <c r="J278" s="176">
        <v>150000000</v>
      </c>
      <c r="K278" s="54" t="s">
        <v>197</v>
      </c>
      <c r="L278" s="157">
        <v>3308045</v>
      </c>
      <c r="M278" s="157" t="s">
        <v>27</v>
      </c>
      <c r="N278" s="157" t="s">
        <v>872</v>
      </c>
      <c r="O278" s="176">
        <v>150000000</v>
      </c>
      <c r="P278" s="157" t="s">
        <v>873</v>
      </c>
      <c r="Q278" s="157" t="s">
        <v>869</v>
      </c>
    </row>
    <row r="279" spans="1:17" ht="62" x14ac:dyDescent="0.35">
      <c r="A279" s="166">
        <f t="shared" si="6"/>
        <v>25</v>
      </c>
      <c r="B279" s="166" t="s">
        <v>71</v>
      </c>
      <c r="C279" s="166" t="s">
        <v>537</v>
      </c>
      <c r="D279" s="158" t="s">
        <v>808</v>
      </c>
      <c r="E279" s="177" t="s">
        <v>874</v>
      </c>
      <c r="F279" s="177" t="s">
        <v>715</v>
      </c>
      <c r="G279" s="166" t="s">
        <v>141</v>
      </c>
      <c r="H279" s="166" t="s">
        <v>142</v>
      </c>
      <c r="I279" s="166" t="s">
        <v>25</v>
      </c>
      <c r="J279" s="169">
        <v>20000000</v>
      </c>
      <c r="K279" s="54" t="s">
        <v>197</v>
      </c>
      <c r="L279" s="166">
        <v>2809754</v>
      </c>
      <c r="M279" s="166" t="s">
        <v>144</v>
      </c>
      <c r="N279" s="166" t="s">
        <v>25</v>
      </c>
      <c r="O279" s="169">
        <v>40000000</v>
      </c>
      <c r="P279" s="166"/>
      <c r="Q279" s="166" t="s">
        <v>875</v>
      </c>
    </row>
    <row r="280" spans="1:17" ht="46.5" x14ac:dyDescent="0.35">
      <c r="A280" s="166">
        <f t="shared" si="6"/>
        <v>26</v>
      </c>
      <c r="B280" s="166" t="s">
        <v>71</v>
      </c>
      <c r="C280" s="166" t="s">
        <v>537</v>
      </c>
      <c r="D280" s="158" t="s">
        <v>808</v>
      </c>
      <c r="E280" s="178" t="s">
        <v>876</v>
      </c>
      <c r="F280" s="178" t="s">
        <v>140</v>
      </c>
      <c r="G280" s="166" t="s">
        <v>149</v>
      </c>
      <c r="H280" s="166" t="s">
        <v>877</v>
      </c>
      <c r="I280" s="166" t="s">
        <v>878</v>
      </c>
      <c r="J280" s="169">
        <v>35000000</v>
      </c>
      <c r="K280" s="54" t="s">
        <v>197</v>
      </c>
      <c r="L280" s="166">
        <v>2952717</v>
      </c>
      <c r="M280" s="166" t="s">
        <v>144</v>
      </c>
      <c r="N280" s="179" t="s">
        <v>826</v>
      </c>
      <c r="O280" s="169">
        <v>30000000</v>
      </c>
      <c r="P280" s="166"/>
      <c r="Q280" s="166" t="s">
        <v>879</v>
      </c>
    </row>
    <row r="281" spans="1:17" ht="124" x14ac:dyDescent="0.35">
      <c r="A281" s="157">
        <f t="shared" si="6"/>
        <v>27</v>
      </c>
      <c r="B281" s="157" t="s">
        <v>71</v>
      </c>
      <c r="C281" s="157" t="s">
        <v>537</v>
      </c>
      <c r="D281" s="158" t="s">
        <v>538</v>
      </c>
      <c r="E281" s="158" t="s">
        <v>880</v>
      </c>
      <c r="F281" s="158" t="s">
        <v>140</v>
      </c>
      <c r="G281" s="157" t="s">
        <v>154</v>
      </c>
      <c r="H281" s="157" t="s">
        <v>155</v>
      </c>
      <c r="I281" s="157">
        <v>40</v>
      </c>
      <c r="J281" s="160">
        <v>20000000</v>
      </c>
      <c r="K281" s="54" t="s">
        <v>197</v>
      </c>
      <c r="L281" s="157">
        <v>2959751</v>
      </c>
      <c r="M281" s="157" t="s">
        <v>144</v>
      </c>
      <c r="N281" s="157" t="s">
        <v>500</v>
      </c>
      <c r="O281" s="160">
        <v>20000000</v>
      </c>
      <c r="P281" s="157"/>
      <c r="Q281" s="157" t="s">
        <v>880</v>
      </c>
    </row>
    <row r="282" spans="1:17" ht="46.5" x14ac:dyDescent="0.35">
      <c r="A282" s="157">
        <f t="shared" si="6"/>
        <v>28</v>
      </c>
      <c r="B282" s="157" t="s">
        <v>71</v>
      </c>
      <c r="C282" s="157" t="s">
        <v>537</v>
      </c>
      <c r="D282" s="158" t="s">
        <v>808</v>
      </c>
      <c r="E282" s="158" t="s">
        <v>881</v>
      </c>
      <c r="F282" s="158" t="s">
        <v>140</v>
      </c>
      <c r="G282" s="157" t="s">
        <v>154</v>
      </c>
      <c r="H282" s="157" t="s">
        <v>882</v>
      </c>
      <c r="I282" s="157" t="s">
        <v>883</v>
      </c>
      <c r="J282" s="160">
        <v>23926000</v>
      </c>
      <c r="K282" s="54" t="s">
        <v>197</v>
      </c>
      <c r="L282" s="157">
        <v>2975168</v>
      </c>
      <c r="M282" s="157" t="s">
        <v>144</v>
      </c>
      <c r="N282" s="175" t="s">
        <v>593</v>
      </c>
      <c r="O282" s="160">
        <v>45000000</v>
      </c>
      <c r="P282" s="157"/>
      <c r="Q282" s="157" t="s">
        <v>814</v>
      </c>
    </row>
    <row r="283" spans="1:17" ht="46.5" x14ac:dyDescent="0.35">
      <c r="A283" s="157">
        <f t="shared" si="6"/>
        <v>29</v>
      </c>
      <c r="B283" s="157" t="s">
        <v>71</v>
      </c>
      <c r="C283" s="157" t="s">
        <v>537</v>
      </c>
      <c r="D283" s="158" t="s">
        <v>808</v>
      </c>
      <c r="E283" s="158" t="s">
        <v>884</v>
      </c>
      <c r="F283" s="158" t="s">
        <v>885</v>
      </c>
      <c r="G283" s="157" t="s">
        <v>374</v>
      </c>
      <c r="H283" s="157" t="s">
        <v>379</v>
      </c>
      <c r="I283" s="157" t="s">
        <v>35</v>
      </c>
      <c r="J283" s="159">
        <v>25000000</v>
      </c>
      <c r="K283" s="54" t="s">
        <v>197</v>
      </c>
      <c r="L283" s="157">
        <v>2911428</v>
      </c>
      <c r="M283" s="157" t="s">
        <v>46</v>
      </c>
      <c r="N283" s="160" t="s">
        <v>826</v>
      </c>
      <c r="O283" s="160">
        <v>25000000</v>
      </c>
      <c r="P283" s="157"/>
      <c r="Q283" s="157" t="s">
        <v>886</v>
      </c>
    </row>
    <row r="284" spans="1:17" ht="108.5" x14ac:dyDescent="0.35">
      <c r="A284" s="157">
        <f t="shared" si="6"/>
        <v>30</v>
      </c>
      <c r="B284" s="157" t="s">
        <v>71</v>
      </c>
      <c r="C284" s="157" t="s">
        <v>537</v>
      </c>
      <c r="D284" s="161" t="s">
        <v>847</v>
      </c>
      <c r="E284" s="158" t="s">
        <v>887</v>
      </c>
      <c r="F284" s="158"/>
      <c r="G284" s="157" t="s">
        <v>44</v>
      </c>
      <c r="H284" s="157" t="s">
        <v>888</v>
      </c>
      <c r="I284" s="157" t="s">
        <v>614</v>
      </c>
      <c r="J284" s="159">
        <v>16000000</v>
      </c>
      <c r="K284" s="54" t="s">
        <v>197</v>
      </c>
      <c r="L284" s="157">
        <v>2933415</v>
      </c>
      <c r="M284" s="157" t="s">
        <v>46</v>
      </c>
      <c r="N284" s="160" t="s">
        <v>122</v>
      </c>
      <c r="O284" s="160">
        <v>16000000</v>
      </c>
      <c r="P284" s="157"/>
      <c r="Q284" s="157" t="s">
        <v>889</v>
      </c>
    </row>
    <row r="285" spans="1:17" ht="108.5" x14ac:dyDescent="0.35">
      <c r="A285" s="157">
        <f t="shared" si="6"/>
        <v>31</v>
      </c>
      <c r="B285" s="157" t="s">
        <v>71</v>
      </c>
      <c r="C285" s="157" t="s">
        <v>537</v>
      </c>
      <c r="D285" s="161" t="s">
        <v>847</v>
      </c>
      <c r="E285" s="158" t="s">
        <v>887</v>
      </c>
      <c r="F285" s="158"/>
      <c r="G285" s="157" t="s">
        <v>44</v>
      </c>
      <c r="H285" s="157" t="s">
        <v>890</v>
      </c>
      <c r="I285" s="157" t="s">
        <v>201</v>
      </c>
      <c r="J285" s="159">
        <v>23000000</v>
      </c>
      <c r="K285" s="54" t="s">
        <v>197</v>
      </c>
      <c r="L285" s="157">
        <v>2933359</v>
      </c>
      <c r="M285" s="157" t="s">
        <v>46</v>
      </c>
      <c r="N285" s="160" t="s">
        <v>274</v>
      </c>
      <c r="O285" s="160">
        <v>23000000</v>
      </c>
      <c r="P285" s="157"/>
      <c r="Q285" s="157" t="s">
        <v>889</v>
      </c>
    </row>
    <row r="286" spans="1:17" ht="46.5" x14ac:dyDescent="0.35">
      <c r="A286" s="157">
        <f t="shared" si="6"/>
        <v>32</v>
      </c>
      <c r="B286" s="157" t="s">
        <v>71</v>
      </c>
      <c r="C286" s="157" t="s">
        <v>537</v>
      </c>
      <c r="D286" s="158" t="s">
        <v>808</v>
      </c>
      <c r="E286" s="158" t="s">
        <v>891</v>
      </c>
      <c r="F286" s="158"/>
      <c r="G286" s="157" t="s">
        <v>44</v>
      </c>
      <c r="H286" s="157" t="s">
        <v>385</v>
      </c>
      <c r="I286" s="157" t="s">
        <v>28</v>
      </c>
      <c r="J286" s="159">
        <v>5000000</v>
      </c>
      <c r="K286" s="54" t="s">
        <v>197</v>
      </c>
      <c r="L286" s="157">
        <v>2932683</v>
      </c>
      <c r="M286" s="157" t="s">
        <v>46</v>
      </c>
      <c r="N286" s="160" t="s">
        <v>826</v>
      </c>
      <c r="O286" s="160">
        <v>5000000</v>
      </c>
      <c r="P286" s="157"/>
      <c r="Q286" s="157" t="s">
        <v>892</v>
      </c>
    </row>
    <row r="287" spans="1:17" ht="93" x14ac:dyDescent="0.35">
      <c r="A287" s="157">
        <f t="shared" si="6"/>
        <v>33</v>
      </c>
      <c r="B287" s="157" t="s">
        <v>71</v>
      </c>
      <c r="C287" s="157" t="s">
        <v>537</v>
      </c>
      <c r="D287" s="161" t="s">
        <v>847</v>
      </c>
      <c r="E287" s="158" t="s">
        <v>893</v>
      </c>
      <c r="F287" s="158"/>
      <c r="G287" s="157" t="s">
        <v>600</v>
      </c>
      <c r="H287" s="157" t="s">
        <v>894</v>
      </c>
      <c r="I287" s="157" t="s">
        <v>895</v>
      </c>
      <c r="J287" s="159">
        <v>75000000</v>
      </c>
      <c r="K287" s="54" t="s">
        <v>197</v>
      </c>
      <c r="L287" s="157">
        <v>2913723</v>
      </c>
      <c r="M287" s="157" t="s">
        <v>46</v>
      </c>
      <c r="N287" s="160" t="s">
        <v>895</v>
      </c>
      <c r="O287" s="160">
        <v>75000000</v>
      </c>
      <c r="P287" s="157"/>
      <c r="Q287" s="157" t="s">
        <v>889</v>
      </c>
    </row>
    <row r="288" spans="1:17" ht="46.5" x14ac:dyDescent="0.35">
      <c r="A288" s="82">
        <f t="shared" si="6"/>
        <v>34</v>
      </c>
      <c r="B288" s="82" t="s">
        <v>71</v>
      </c>
      <c r="C288" s="82" t="s">
        <v>72</v>
      </c>
      <c r="D288" s="164" t="s">
        <v>834</v>
      </c>
      <c r="E288" s="164" t="s">
        <v>199</v>
      </c>
      <c r="F288" s="164"/>
      <c r="G288" s="82" t="s">
        <v>49</v>
      </c>
      <c r="H288" s="82" t="s">
        <v>200</v>
      </c>
      <c r="I288" s="82" t="s">
        <v>201</v>
      </c>
      <c r="J288" s="165">
        <v>30000000</v>
      </c>
      <c r="K288" s="54" t="s">
        <v>197</v>
      </c>
      <c r="L288" s="82">
        <v>2818868</v>
      </c>
      <c r="M288" s="82" t="s">
        <v>46</v>
      </c>
      <c r="N288" s="165">
        <v>5</v>
      </c>
      <c r="O288" s="165">
        <v>31725000</v>
      </c>
      <c r="P288" s="82"/>
      <c r="Q288" s="82" t="s">
        <v>202</v>
      </c>
    </row>
    <row r="289" spans="1:17" ht="31" x14ac:dyDescent="0.35">
      <c r="A289" s="157">
        <f t="shared" si="6"/>
        <v>35</v>
      </c>
      <c r="B289" s="157" t="s">
        <v>71</v>
      </c>
      <c r="C289" s="157" t="s">
        <v>537</v>
      </c>
      <c r="D289" s="158" t="s">
        <v>538</v>
      </c>
      <c r="E289" s="158" t="s">
        <v>855</v>
      </c>
      <c r="F289" s="158" t="s">
        <v>48</v>
      </c>
      <c r="G289" s="157" t="s">
        <v>405</v>
      </c>
      <c r="H289" s="157" t="s">
        <v>620</v>
      </c>
      <c r="I289" s="157" t="s">
        <v>832</v>
      </c>
      <c r="J289" s="159">
        <v>50000000</v>
      </c>
      <c r="K289" s="54" t="s">
        <v>197</v>
      </c>
      <c r="L289" s="157">
        <v>2933939</v>
      </c>
      <c r="M289" s="157" t="s">
        <v>46</v>
      </c>
      <c r="N289" s="160" t="s">
        <v>832</v>
      </c>
      <c r="O289" s="160">
        <v>50000000</v>
      </c>
      <c r="P289" s="157"/>
      <c r="Q289" s="157" t="s">
        <v>896</v>
      </c>
    </row>
    <row r="290" spans="1:17" ht="31" x14ac:dyDescent="0.35">
      <c r="A290" s="157">
        <f t="shared" si="6"/>
        <v>36</v>
      </c>
      <c r="B290" s="157" t="s">
        <v>71</v>
      </c>
      <c r="C290" s="157" t="s">
        <v>537</v>
      </c>
      <c r="D290" s="158" t="s">
        <v>538</v>
      </c>
      <c r="E290" s="158" t="s">
        <v>855</v>
      </c>
      <c r="F290" s="158" t="s">
        <v>48</v>
      </c>
      <c r="G290" s="157" t="s">
        <v>405</v>
      </c>
      <c r="H290" s="157" t="s">
        <v>897</v>
      </c>
      <c r="I290" s="157" t="s">
        <v>826</v>
      </c>
      <c r="J290" s="159">
        <v>25000000</v>
      </c>
      <c r="K290" s="54" t="s">
        <v>197</v>
      </c>
      <c r="L290" s="157">
        <v>2798018</v>
      </c>
      <c r="M290" s="157" t="s">
        <v>46</v>
      </c>
      <c r="N290" s="160" t="s">
        <v>826</v>
      </c>
      <c r="O290" s="160">
        <v>25000000</v>
      </c>
      <c r="P290" s="157"/>
      <c r="Q290" s="157" t="s">
        <v>896</v>
      </c>
    </row>
    <row r="291" spans="1:17" ht="62" x14ac:dyDescent="0.35">
      <c r="A291" s="166">
        <f t="shared" si="6"/>
        <v>37</v>
      </c>
      <c r="B291" s="166" t="s">
        <v>71</v>
      </c>
      <c r="C291" s="166" t="s">
        <v>537</v>
      </c>
      <c r="D291" s="167" t="s">
        <v>847</v>
      </c>
      <c r="E291" s="178" t="s">
        <v>898</v>
      </c>
      <c r="F291" s="178"/>
      <c r="G291" s="166" t="s">
        <v>410</v>
      </c>
      <c r="H291" s="166" t="s">
        <v>899</v>
      </c>
      <c r="I291" s="166" t="s">
        <v>35</v>
      </c>
      <c r="J291" s="169">
        <v>25000000</v>
      </c>
      <c r="K291" s="54" t="s">
        <v>197</v>
      </c>
      <c r="L291" s="166">
        <v>2799451</v>
      </c>
      <c r="M291" s="166" t="s">
        <v>46</v>
      </c>
      <c r="N291" s="169" t="s">
        <v>28</v>
      </c>
      <c r="O291" s="169">
        <v>50000000</v>
      </c>
      <c r="P291" s="166"/>
      <c r="Q291" s="166" t="s">
        <v>900</v>
      </c>
    </row>
    <row r="292" spans="1:17" ht="46.5" x14ac:dyDescent="0.35">
      <c r="A292" s="157">
        <f t="shared" si="6"/>
        <v>38</v>
      </c>
      <c r="B292" s="157" t="s">
        <v>71</v>
      </c>
      <c r="C292" s="157" t="s">
        <v>537</v>
      </c>
      <c r="D292" s="158" t="s">
        <v>808</v>
      </c>
      <c r="E292" s="158" t="s">
        <v>199</v>
      </c>
      <c r="F292" s="158"/>
      <c r="G292" s="157" t="s">
        <v>410</v>
      </c>
      <c r="H292" s="157" t="s">
        <v>899</v>
      </c>
      <c r="I292" s="157" t="s">
        <v>826</v>
      </c>
      <c r="J292" s="159">
        <v>25000000</v>
      </c>
      <c r="K292" s="54" t="s">
        <v>197</v>
      </c>
      <c r="L292" s="157">
        <v>2800503</v>
      </c>
      <c r="M292" s="157" t="s">
        <v>46</v>
      </c>
      <c r="N292" s="160" t="s">
        <v>826</v>
      </c>
      <c r="O292" s="160">
        <v>50000000</v>
      </c>
      <c r="P292" s="157"/>
      <c r="Q292" s="157" t="s">
        <v>901</v>
      </c>
    </row>
    <row r="293" spans="1:17" ht="31" x14ac:dyDescent="0.35">
      <c r="A293" s="157">
        <f t="shared" si="6"/>
        <v>39</v>
      </c>
      <c r="B293" s="157" t="s">
        <v>71</v>
      </c>
      <c r="C293" s="157" t="s">
        <v>537</v>
      </c>
      <c r="D293" s="161" t="s">
        <v>538</v>
      </c>
      <c r="E293" s="158" t="s">
        <v>902</v>
      </c>
      <c r="F293" s="158" t="s">
        <v>903</v>
      </c>
      <c r="G293" s="157" t="s">
        <v>171</v>
      </c>
      <c r="H293" s="157" t="s">
        <v>172</v>
      </c>
      <c r="I293" s="157" t="s">
        <v>35</v>
      </c>
      <c r="J293" s="159">
        <v>50000000</v>
      </c>
      <c r="K293" s="54" t="s">
        <v>197</v>
      </c>
      <c r="L293" s="157">
        <v>2901806</v>
      </c>
      <c r="M293" s="157" t="s">
        <v>173</v>
      </c>
      <c r="N293" s="160" t="s">
        <v>35</v>
      </c>
      <c r="O293" s="160">
        <v>40000000</v>
      </c>
      <c r="P293" s="157"/>
      <c r="Q293" s="157" t="s">
        <v>903</v>
      </c>
    </row>
    <row r="294" spans="1:17" ht="46.5" x14ac:dyDescent="0.35">
      <c r="A294" s="157">
        <f t="shared" si="6"/>
        <v>40</v>
      </c>
      <c r="B294" s="157" t="s">
        <v>71</v>
      </c>
      <c r="C294" s="157" t="s">
        <v>537</v>
      </c>
      <c r="D294" s="158" t="s">
        <v>808</v>
      </c>
      <c r="E294" s="158" t="s">
        <v>904</v>
      </c>
      <c r="F294" s="158" t="s">
        <v>905</v>
      </c>
      <c r="G294" s="157" t="s">
        <v>906</v>
      </c>
      <c r="H294" s="157" t="s">
        <v>907</v>
      </c>
      <c r="I294" s="157" t="s">
        <v>908</v>
      </c>
      <c r="J294" s="159">
        <v>81000000</v>
      </c>
      <c r="K294" s="54" t="s">
        <v>197</v>
      </c>
      <c r="L294" s="157">
        <v>2870743</v>
      </c>
      <c r="M294" s="157" t="s">
        <v>173</v>
      </c>
      <c r="N294" s="169" t="s">
        <v>826</v>
      </c>
      <c r="O294" s="169">
        <v>30000000</v>
      </c>
      <c r="P294" s="157"/>
      <c r="Q294" s="157" t="s">
        <v>909</v>
      </c>
    </row>
    <row r="295" spans="1:17" ht="31" x14ac:dyDescent="0.35">
      <c r="A295" s="157">
        <f t="shared" si="6"/>
        <v>41</v>
      </c>
      <c r="B295" s="157" t="s">
        <v>71</v>
      </c>
      <c r="C295" s="157" t="s">
        <v>537</v>
      </c>
      <c r="D295" s="161" t="s">
        <v>847</v>
      </c>
      <c r="E295" s="158" t="s">
        <v>910</v>
      </c>
      <c r="F295" s="158" t="s">
        <v>911</v>
      </c>
      <c r="G295" s="157" t="s">
        <v>912</v>
      </c>
      <c r="H295" s="157" t="s">
        <v>913</v>
      </c>
      <c r="I295" s="157" t="s">
        <v>914</v>
      </c>
      <c r="J295" s="159">
        <v>50000000</v>
      </c>
      <c r="K295" s="54" t="s">
        <v>197</v>
      </c>
      <c r="L295" s="157">
        <v>2790822</v>
      </c>
      <c r="M295" s="157" t="s">
        <v>173</v>
      </c>
      <c r="N295" s="160" t="s">
        <v>915</v>
      </c>
      <c r="O295" s="160">
        <v>50000000</v>
      </c>
      <c r="P295" s="157"/>
      <c r="Q295" s="157" t="s">
        <v>916</v>
      </c>
    </row>
    <row r="296" spans="1:17" ht="62" x14ac:dyDescent="0.35">
      <c r="A296" s="157">
        <f t="shared" si="6"/>
        <v>42</v>
      </c>
      <c r="B296" s="157" t="s">
        <v>71</v>
      </c>
      <c r="C296" s="157" t="s">
        <v>537</v>
      </c>
      <c r="D296" s="158" t="s">
        <v>808</v>
      </c>
      <c r="E296" s="158" t="s">
        <v>809</v>
      </c>
      <c r="F296" s="158" t="s">
        <v>917</v>
      </c>
      <c r="G296" s="157" t="s">
        <v>912</v>
      </c>
      <c r="H296" s="157" t="s">
        <v>918</v>
      </c>
      <c r="I296" s="157" t="s">
        <v>919</v>
      </c>
      <c r="J296" s="159">
        <v>15000000</v>
      </c>
      <c r="K296" s="54" t="s">
        <v>197</v>
      </c>
      <c r="L296" s="157">
        <v>2791786</v>
      </c>
      <c r="M296" s="157" t="s">
        <v>173</v>
      </c>
      <c r="N296" s="160" t="s">
        <v>736</v>
      </c>
      <c r="O296" s="160">
        <v>45000000</v>
      </c>
      <c r="P296" s="157"/>
      <c r="Q296" s="157" t="s">
        <v>920</v>
      </c>
    </row>
    <row r="297" spans="1:17" ht="46.5" x14ac:dyDescent="0.35">
      <c r="A297" s="166">
        <f t="shared" si="6"/>
        <v>43</v>
      </c>
      <c r="B297" s="166" t="s">
        <v>71</v>
      </c>
      <c r="C297" s="166" t="s">
        <v>537</v>
      </c>
      <c r="D297" s="158" t="s">
        <v>808</v>
      </c>
      <c r="E297" s="178" t="s">
        <v>921</v>
      </c>
      <c r="F297" s="178" t="s">
        <v>922</v>
      </c>
      <c r="G297" s="166" t="s">
        <v>749</v>
      </c>
      <c r="H297" s="166" t="s">
        <v>750</v>
      </c>
      <c r="I297" s="166" t="s">
        <v>923</v>
      </c>
      <c r="J297" s="169">
        <v>20000000</v>
      </c>
      <c r="K297" s="54" t="s">
        <v>197</v>
      </c>
      <c r="L297" s="166" t="s">
        <v>48</v>
      </c>
      <c r="M297" s="166" t="s">
        <v>173</v>
      </c>
      <c r="N297" s="169" t="s">
        <v>923</v>
      </c>
      <c r="O297" s="169">
        <v>20000000</v>
      </c>
      <c r="P297" s="166"/>
      <c r="Q297" s="166" t="s">
        <v>924</v>
      </c>
    </row>
    <row r="298" spans="1:17" ht="46.5" x14ac:dyDescent="0.35">
      <c r="A298" s="157">
        <f t="shared" si="6"/>
        <v>44</v>
      </c>
      <c r="B298" s="157" t="s">
        <v>71</v>
      </c>
      <c r="C298" s="157" t="s">
        <v>537</v>
      </c>
      <c r="D298" s="158" t="s">
        <v>808</v>
      </c>
      <c r="E298" s="158" t="s">
        <v>925</v>
      </c>
      <c r="F298" s="158" t="s">
        <v>926</v>
      </c>
      <c r="G298" s="157" t="s">
        <v>749</v>
      </c>
      <c r="H298" s="157" t="s">
        <v>927</v>
      </c>
      <c r="I298" s="157" t="s">
        <v>928</v>
      </c>
      <c r="J298" s="159">
        <v>25000000</v>
      </c>
      <c r="K298" s="54" t="s">
        <v>197</v>
      </c>
      <c r="L298" s="157" t="s">
        <v>48</v>
      </c>
      <c r="M298" s="157" t="s">
        <v>173</v>
      </c>
      <c r="N298" s="160" t="s">
        <v>498</v>
      </c>
      <c r="O298" s="160">
        <v>55000000</v>
      </c>
      <c r="P298" s="157" t="s">
        <v>929</v>
      </c>
      <c r="Q298" s="157" t="s">
        <v>930</v>
      </c>
    </row>
    <row r="299" spans="1:17" ht="62" x14ac:dyDescent="0.35">
      <c r="A299" s="157">
        <f t="shared" si="6"/>
        <v>45</v>
      </c>
      <c r="B299" s="157" t="s">
        <v>71</v>
      </c>
      <c r="C299" s="157" t="s">
        <v>537</v>
      </c>
      <c r="D299" s="158" t="s">
        <v>808</v>
      </c>
      <c r="E299" s="158" t="s">
        <v>931</v>
      </c>
      <c r="F299" s="158" t="s">
        <v>932</v>
      </c>
      <c r="G299" s="157" t="s">
        <v>749</v>
      </c>
      <c r="H299" s="157" t="s">
        <v>933</v>
      </c>
      <c r="I299" s="157" t="s">
        <v>498</v>
      </c>
      <c r="J299" s="159">
        <v>100000000</v>
      </c>
      <c r="K299" s="54" t="s">
        <v>197</v>
      </c>
      <c r="L299" s="157" t="s">
        <v>48</v>
      </c>
      <c r="M299" s="157" t="s">
        <v>173</v>
      </c>
      <c r="N299" s="160" t="s">
        <v>262</v>
      </c>
      <c r="O299" s="160">
        <v>100000000</v>
      </c>
      <c r="P299" s="157"/>
      <c r="Q299" s="157" t="s">
        <v>934</v>
      </c>
    </row>
    <row r="300" spans="1:17" ht="62" x14ac:dyDescent="0.35">
      <c r="A300" s="157">
        <f t="shared" si="6"/>
        <v>46</v>
      </c>
      <c r="B300" s="157" t="s">
        <v>71</v>
      </c>
      <c r="C300" s="157" t="s">
        <v>537</v>
      </c>
      <c r="D300" s="161" t="s">
        <v>538</v>
      </c>
      <c r="E300" s="158" t="s">
        <v>935</v>
      </c>
      <c r="F300" s="158" t="s">
        <v>936</v>
      </c>
      <c r="G300" s="157" t="s">
        <v>749</v>
      </c>
      <c r="H300" s="157" t="s">
        <v>937</v>
      </c>
      <c r="I300" s="157" t="s">
        <v>938</v>
      </c>
      <c r="J300" s="159">
        <v>20100000</v>
      </c>
      <c r="K300" s="54" t="s">
        <v>197</v>
      </c>
      <c r="L300" s="157">
        <v>3010483</v>
      </c>
      <c r="M300" s="157" t="s">
        <v>173</v>
      </c>
      <c r="N300" s="160" t="s">
        <v>939</v>
      </c>
      <c r="O300" s="160">
        <v>20100000</v>
      </c>
      <c r="P300" s="157"/>
      <c r="Q300" s="157" t="s">
        <v>940</v>
      </c>
    </row>
    <row r="301" spans="1:17" ht="46.5" x14ac:dyDescent="0.35">
      <c r="A301" s="157">
        <f t="shared" si="6"/>
        <v>47</v>
      </c>
      <c r="B301" s="157" t="s">
        <v>71</v>
      </c>
      <c r="C301" s="157" t="s">
        <v>537</v>
      </c>
      <c r="D301" s="161" t="s">
        <v>538</v>
      </c>
      <c r="E301" s="158" t="s">
        <v>941</v>
      </c>
      <c r="F301" s="158" t="s">
        <v>942</v>
      </c>
      <c r="G301" s="157" t="s">
        <v>749</v>
      </c>
      <c r="H301" s="157" t="s">
        <v>937</v>
      </c>
      <c r="I301" s="157" t="s">
        <v>943</v>
      </c>
      <c r="J301" s="159">
        <v>19700000</v>
      </c>
      <c r="K301" s="54" t="s">
        <v>197</v>
      </c>
      <c r="L301" s="157">
        <v>3010539</v>
      </c>
      <c r="M301" s="157" t="s">
        <v>173</v>
      </c>
      <c r="N301" s="160" t="s">
        <v>939</v>
      </c>
      <c r="O301" s="160">
        <v>19700000</v>
      </c>
      <c r="P301" s="157"/>
      <c r="Q301" s="157" t="s">
        <v>940</v>
      </c>
    </row>
    <row r="302" spans="1:17" ht="46.5" x14ac:dyDescent="0.35">
      <c r="A302" s="157">
        <f t="shared" si="6"/>
        <v>48</v>
      </c>
      <c r="B302" s="157" t="s">
        <v>71</v>
      </c>
      <c r="C302" s="157" t="s">
        <v>537</v>
      </c>
      <c r="D302" s="161" t="s">
        <v>538</v>
      </c>
      <c r="E302" s="158" t="s">
        <v>944</v>
      </c>
      <c r="F302" s="158" t="s">
        <v>945</v>
      </c>
      <c r="G302" s="157" t="s">
        <v>749</v>
      </c>
      <c r="H302" s="157" t="s">
        <v>937</v>
      </c>
      <c r="I302" s="157" t="s">
        <v>938</v>
      </c>
      <c r="J302" s="159">
        <v>20000000</v>
      </c>
      <c r="K302" s="54" t="s">
        <v>197</v>
      </c>
      <c r="L302" s="157">
        <v>3010238</v>
      </c>
      <c r="M302" s="157" t="s">
        <v>173</v>
      </c>
      <c r="N302" s="160" t="s">
        <v>939</v>
      </c>
      <c r="O302" s="160">
        <v>20000000</v>
      </c>
      <c r="P302" s="157"/>
      <c r="Q302" s="157" t="s">
        <v>940</v>
      </c>
    </row>
    <row r="303" spans="1:17" ht="46.5" x14ac:dyDescent="0.35">
      <c r="A303" s="157">
        <f t="shared" si="6"/>
        <v>49</v>
      </c>
      <c r="B303" s="157" t="s">
        <v>71</v>
      </c>
      <c r="C303" s="157" t="s">
        <v>537</v>
      </c>
      <c r="D303" s="161" t="s">
        <v>538</v>
      </c>
      <c r="E303" s="158" t="s">
        <v>946</v>
      </c>
      <c r="F303" s="158" t="s">
        <v>947</v>
      </c>
      <c r="G303" s="157" t="s">
        <v>749</v>
      </c>
      <c r="H303" s="157" t="s">
        <v>937</v>
      </c>
      <c r="I303" s="157" t="s">
        <v>938</v>
      </c>
      <c r="J303" s="159">
        <v>20100000</v>
      </c>
      <c r="K303" s="54" t="s">
        <v>197</v>
      </c>
      <c r="L303" s="157">
        <v>3011235</v>
      </c>
      <c r="M303" s="157" t="s">
        <v>173</v>
      </c>
      <c r="N303" s="160" t="s">
        <v>939</v>
      </c>
      <c r="O303" s="160">
        <v>20100000</v>
      </c>
      <c r="P303" s="157"/>
      <c r="Q303" s="157" t="s">
        <v>940</v>
      </c>
    </row>
    <row r="304" spans="1:17" ht="46.5" x14ac:dyDescent="0.35">
      <c r="A304" s="157">
        <f t="shared" si="6"/>
        <v>50</v>
      </c>
      <c r="B304" s="157" t="s">
        <v>71</v>
      </c>
      <c r="C304" s="157" t="s">
        <v>537</v>
      </c>
      <c r="D304" s="161" t="s">
        <v>538</v>
      </c>
      <c r="E304" s="158" t="s">
        <v>948</v>
      </c>
      <c r="F304" s="158" t="s">
        <v>949</v>
      </c>
      <c r="G304" s="157" t="s">
        <v>749</v>
      </c>
      <c r="H304" s="157" t="s">
        <v>937</v>
      </c>
      <c r="I304" s="157" t="s">
        <v>938</v>
      </c>
      <c r="J304" s="159">
        <v>20100000</v>
      </c>
      <c r="K304" s="54" t="s">
        <v>197</v>
      </c>
      <c r="L304" s="157">
        <v>3011220</v>
      </c>
      <c r="M304" s="157" t="s">
        <v>173</v>
      </c>
      <c r="N304" s="160" t="s">
        <v>939</v>
      </c>
      <c r="O304" s="160">
        <v>20100000</v>
      </c>
      <c r="P304" s="157"/>
      <c r="Q304" s="157" t="s">
        <v>940</v>
      </c>
    </row>
    <row r="305" spans="1:17" ht="62" x14ac:dyDescent="0.35">
      <c r="A305" s="157">
        <f t="shared" si="6"/>
        <v>51</v>
      </c>
      <c r="B305" s="157" t="s">
        <v>71</v>
      </c>
      <c r="C305" s="157" t="s">
        <v>537</v>
      </c>
      <c r="D305" s="161" t="s">
        <v>538</v>
      </c>
      <c r="E305" s="158" t="s">
        <v>950</v>
      </c>
      <c r="F305" s="158" t="s">
        <v>951</v>
      </c>
      <c r="G305" s="157" t="s">
        <v>749</v>
      </c>
      <c r="H305" s="157" t="s">
        <v>952</v>
      </c>
      <c r="I305" s="157" t="s">
        <v>953</v>
      </c>
      <c r="J305" s="159">
        <v>23500000</v>
      </c>
      <c r="K305" s="54" t="s">
        <v>197</v>
      </c>
      <c r="L305" s="157">
        <v>2936383</v>
      </c>
      <c r="M305" s="157" t="s">
        <v>173</v>
      </c>
      <c r="N305" s="160" t="s">
        <v>488</v>
      </c>
      <c r="O305" s="160">
        <v>21511000</v>
      </c>
      <c r="P305" s="157"/>
      <c r="Q305" s="157" t="s">
        <v>940</v>
      </c>
    </row>
    <row r="306" spans="1:17" ht="62" x14ac:dyDescent="0.35">
      <c r="A306" s="166">
        <f t="shared" si="6"/>
        <v>52</v>
      </c>
      <c r="B306" s="166" t="s">
        <v>71</v>
      </c>
      <c r="C306" s="166" t="s">
        <v>537</v>
      </c>
      <c r="D306" s="158" t="s">
        <v>808</v>
      </c>
      <c r="E306" s="178" t="s">
        <v>954</v>
      </c>
      <c r="F306" s="178" t="s">
        <v>955</v>
      </c>
      <c r="G306" s="166" t="s">
        <v>749</v>
      </c>
      <c r="H306" s="166" t="s">
        <v>952</v>
      </c>
      <c r="I306" s="166" t="s">
        <v>280</v>
      </c>
      <c r="J306" s="169">
        <v>76500000</v>
      </c>
      <c r="K306" s="54" t="s">
        <v>197</v>
      </c>
      <c r="L306" s="166">
        <v>2941135</v>
      </c>
      <c r="M306" s="166" t="s">
        <v>173</v>
      </c>
      <c r="N306" s="169" t="s">
        <v>500</v>
      </c>
      <c r="O306" s="169">
        <v>60000000</v>
      </c>
      <c r="P306" s="166"/>
      <c r="Q306" s="166" t="s">
        <v>956</v>
      </c>
    </row>
    <row r="307" spans="1:17" ht="62" x14ac:dyDescent="0.35">
      <c r="A307" s="157">
        <f t="shared" si="6"/>
        <v>53</v>
      </c>
      <c r="B307" s="157" t="s">
        <v>71</v>
      </c>
      <c r="C307" s="157" t="s">
        <v>537</v>
      </c>
      <c r="D307" s="161" t="s">
        <v>847</v>
      </c>
      <c r="E307" s="158" t="s">
        <v>957</v>
      </c>
      <c r="F307" s="158" t="s">
        <v>958</v>
      </c>
      <c r="G307" s="157" t="s">
        <v>749</v>
      </c>
      <c r="H307" s="157" t="s">
        <v>959</v>
      </c>
      <c r="I307" s="157" t="s">
        <v>960</v>
      </c>
      <c r="J307" s="159">
        <v>27800000</v>
      </c>
      <c r="K307" s="54" t="s">
        <v>197</v>
      </c>
      <c r="L307" s="157">
        <v>2938074</v>
      </c>
      <c r="M307" s="157" t="s">
        <v>173</v>
      </c>
      <c r="N307" s="160" t="s">
        <v>960</v>
      </c>
      <c r="O307" s="160">
        <v>27800000</v>
      </c>
      <c r="P307" s="157"/>
      <c r="Q307" s="157" t="s">
        <v>958</v>
      </c>
    </row>
    <row r="308" spans="1:17" ht="62" x14ac:dyDescent="0.35">
      <c r="A308" s="157">
        <f t="shared" si="6"/>
        <v>54</v>
      </c>
      <c r="B308" s="157" t="s">
        <v>71</v>
      </c>
      <c r="C308" s="157" t="s">
        <v>537</v>
      </c>
      <c r="D308" s="158" t="s">
        <v>538</v>
      </c>
      <c r="E308" s="158" t="s">
        <v>961</v>
      </c>
      <c r="F308" s="158" t="s">
        <v>962</v>
      </c>
      <c r="G308" s="157" t="s">
        <v>749</v>
      </c>
      <c r="H308" s="157" t="s">
        <v>959</v>
      </c>
      <c r="I308" s="157" t="s">
        <v>35</v>
      </c>
      <c r="J308" s="159">
        <v>10000000</v>
      </c>
      <c r="K308" s="54" t="s">
        <v>197</v>
      </c>
      <c r="L308" s="157">
        <v>2940910</v>
      </c>
      <c r="M308" s="157" t="s">
        <v>173</v>
      </c>
      <c r="N308" s="160" t="s">
        <v>500</v>
      </c>
      <c r="O308" s="160">
        <v>10000000</v>
      </c>
      <c r="P308" s="157"/>
      <c r="Q308" s="157" t="s">
        <v>962</v>
      </c>
    </row>
    <row r="309" spans="1:17" ht="46.5" x14ac:dyDescent="0.35">
      <c r="A309" s="157">
        <f t="shared" si="6"/>
        <v>55</v>
      </c>
      <c r="B309" s="157" t="s">
        <v>71</v>
      </c>
      <c r="C309" s="157" t="s">
        <v>537</v>
      </c>
      <c r="D309" s="158" t="s">
        <v>538</v>
      </c>
      <c r="E309" s="158" t="s">
        <v>963</v>
      </c>
      <c r="F309" s="158" t="s">
        <v>964</v>
      </c>
      <c r="G309" s="157" t="s">
        <v>749</v>
      </c>
      <c r="H309" s="157" t="s">
        <v>959</v>
      </c>
      <c r="I309" s="157" t="s">
        <v>965</v>
      </c>
      <c r="J309" s="159">
        <v>37200000</v>
      </c>
      <c r="K309" s="54" t="s">
        <v>197</v>
      </c>
      <c r="L309" s="157">
        <v>3010317</v>
      </c>
      <c r="M309" s="157" t="s">
        <v>173</v>
      </c>
      <c r="N309" s="160" t="s">
        <v>965</v>
      </c>
      <c r="O309" s="160">
        <v>37200000</v>
      </c>
      <c r="P309" s="157"/>
      <c r="Q309" s="157" t="s">
        <v>964</v>
      </c>
    </row>
    <row r="310" spans="1:17" ht="46.5" x14ac:dyDescent="0.35">
      <c r="A310" s="157">
        <f t="shared" si="6"/>
        <v>56</v>
      </c>
      <c r="B310" s="157" t="s">
        <v>71</v>
      </c>
      <c r="C310" s="157" t="s">
        <v>537</v>
      </c>
      <c r="D310" s="158" t="s">
        <v>538</v>
      </c>
      <c r="E310" s="158" t="s">
        <v>966</v>
      </c>
      <c r="F310" s="158" t="s">
        <v>967</v>
      </c>
      <c r="G310" s="157" t="s">
        <v>749</v>
      </c>
      <c r="H310" s="157" t="s">
        <v>959</v>
      </c>
      <c r="I310" s="157" t="s">
        <v>498</v>
      </c>
      <c r="J310" s="159">
        <v>25000000</v>
      </c>
      <c r="K310" s="54" t="s">
        <v>197</v>
      </c>
      <c r="L310" s="157">
        <v>3010502</v>
      </c>
      <c r="M310" s="157" t="s">
        <v>173</v>
      </c>
      <c r="N310" s="160" t="s">
        <v>498</v>
      </c>
      <c r="O310" s="160">
        <v>25000000</v>
      </c>
      <c r="P310" s="157"/>
      <c r="Q310" s="157" t="s">
        <v>967</v>
      </c>
    </row>
    <row r="311" spans="1:17" ht="46.5" x14ac:dyDescent="0.35">
      <c r="A311" s="157">
        <f t="shared" si="6"/>
        <v>57</v>
      </c>
      <c r="B311" s="157" t="s">
        <v>71</v>
      </c>
      <c r="C311" s="157" t="s">
        <v>537</v>
      </c>
      <c r="D311" s="158" t="s">
        <v>808</v>
      </c>
      <c r="E311" s="158" t="s">
        <v>968</v>
      </c>
      <c r="F311" s="158" t="s">
        <v>969</v>
      </c>
      <c r="G311" s="157" t="s">
        <v>970</v>
      </c>
      <c r="H311" s="157" t="s">
        <v>971</v>
      </c>
      <c r="I311" s="157" t="s">
        <v>35</v>
      </c>
      <c r="J311" s="159">
        <v>25000000</v>
      </c>
      <c r="K311" s="54" t="s">
        <v>197</v>
      </c>
      <c r="L311" s="157">
        <v>3011788</v>
      </c>
      <c r="M311" s="157" t="s">
        <v>173</v>
      </c>
      <c r="N311" s="160" t="s">
        <v>35</v>
      </c>
      <c r="O311" s="160">
        <v>25000000</v>
      </c>
      <c r="P311" s="157"/>
      <c r="Q311" s="157" t="s">
        <v>969</v>
      </c>
    </row>
    <row r="312" spans="1:17" ht="46.5" x14ac:dyDescent="0.35">
      <c r="A312" s="157">
        <f t="shared" si="6"/>
        <v>58</v>
      </c>
      <c r="B312" s="157" t="s">
        <v>71</v>
      </c>
      <c r="C312" s="157" t="s">
        <v>537</v>
      </c>
      <c r="D312" s="158" t="s">
        <v>808</v>
      </c>
      <c r="E312" s="158" t="s">
        <v>972</v>
      </c>
      <c r="F312" s="158" t="s">
        <v>973</v>
      </c>
      <c r="G312" s="157" t="s">
        <v>765</v>
      </c>
      <c r="H312" s="157" t="s">
        <v>765</v>
      </c>
      <c r="I312" s="157" t="s">
        <v>48</v>
      </c>
      <c r="J312" s="159">
        <v>31289310</v>
      </c>
      <c r="K312" s="54" t="s">
        <v>197</v>
      </c>
      <c r="L312" s="157">
        <v>2940412</v>
      </c>
      <c r="M312" s="157" t="s">
        <v>226</v>
      </c>
      <c r="N312" s="160" t="s">
        <v>812</v>
      </c>
      <c r="O312" s="160">
        <v>45000000</v>
      </c>
      <c r="P312" s="157"/>
      <c r="Q312" s="157" t="s">
        <v>920</v>
      </c>
    </row>
    <row r="313" spans="1:17" ht="139.5" x14ac:dyDescent="0.35">
      <c r="A313" s="82">
        <f t="shared" si="6"/>
        <v>59</v>
      </c>
      <c r="B313" s="82" t="s">
        <v>71</v>
      </c>
      <c r="C313" s="82" t="s">
        <v>537</v>
      </c>
      <c r="D313" s="164" t="s">
        <v>834</v>
      </c>
      <c r="E313" s="164" t="s">
        <v>974</v>
      </c>
      <c r="F313" s="164" t="s">
        <v>48</v>
      </c>
      <c r="G313" s="82" t="s">
        <v>252</v>
      </c>
      <c r="H313" s="82" t="s">
        <v>253</v>
      </c>
      <c r="I313" s="82">
        <v>10</v>
      </c>
      <c r="J313" s="165">
        <v>39000000</v>
      </c>
      <c r="K313" s="54" t="s">
        <v>197</v>
      </c>
      <c r="L313" s="82">
        <v>2958733</v>
      </c>
      <c r="M313" s="82" t="s">
        <v>226</v>
      </c>
      <c r="N313" s="165">
        <v>1</v>
      </c>
      <c r="O313" s="165">
        <v>10000000</v>
      </c>
      <c r="P313" s="82" t="s">
        <v>975</v>
      </c>
      <c r="Q313" s="82" t="s">
        <v>254</v>
      </c>
    </row>
    <row r="314" spans="1:17" ht="31" x14ac:dyDescent="0.35">
      <c r="A314" s="157">
        <f t="shared" si="6"/>
        <v>60</v>
      </c>
      <c r="B314" s="157" t="s">
        <v>71</v>
      </c>
      <c r="C314" s="157" t="s">
        <v>537</v>
      </c>
      <c r="D314" s="158" t="s">
        <v>538</v>
      </c>
      <c r="E314" s="158" t="s">
        <v>976</v>
      </c>
      <c r="F314" s="158" t="s">
        <v>977</v>
      </c>
      <c r="G314" s="157" t="s">
        <v>978</v>
      </c>
      <c r="H314" s="157" t="s">
        <v>979</v>
      </c>
      <c r="I314" s="157" t="s">
        <v>500</v>
      </c>
      <c r="J314" s="159">
        <v>5000000</v>
      </c>
      <c r="K314" s="54" t="s">
        <v>197</v>
      </c>
      <c r="L314" s="157">
        <v>3252459</v>
      </c>
      <c r="M314" s="157" t="s">
        <v>226</v>
      </c>
      <c r="N314" s="160" t="s">
        <v>826</v>
      </c>
      <c r="O314" s="160">
        <v>40000000</v>
      </c>
      <c r="P314" s="157" t="s">
        <v>980</v>
      </c>
      <c r="Q314" s="157" t="s">
        <v>977</v>
      </c>
    </row>
    <row r="315" spans="1:17" ht="31" x14ac:dyDescent="0.35">
      <c r="A315" s="157">
        <f t="shared" si="6"/>
        <v>61</v>
      </c>
      <c r="B315" s="157" t="s">
        <v>71</v>
      </c>
      <c r="C315" s="157" t="s">
        <v>537</v>
      </c>
      <c r="D315" s="158" t="s">
        <v>538</v>
      </c>
      <c r="E315" s="158" t="s">
        <v>981</v>
      </c>
      <c r="F315" s="158" t="s">
        <v>982</v>
      </c>
      <c r="G315" s="157" t="s">
        <v>978</v>
      </c>
      <c r="H315" s="157" t="s">
        <v>979</v>
      </c>
      <c r="I315" s="157" t="s">
        <v>500</v>
      </c>
      <c r="J315" s="159">
        <v>5000000</v>
      </c>
      <c r="K315" s="54" t="s">
        <v>197</v>
      </c>
      <c r="L315" s="157">
        <v>3252465</v>
      </c>
      <c r="M315" s="157" t="s">
        <v>226</v>
      </c>
      <c r="N315" s="160" t="s">
        <v>826</v>
      </c>
      <c r="O315" s="160">
        <v>35000000</v>
      </c>
      <c r="P315" s="157" t="s">
        <v>980</v>
      </c>
      <c r="Q315" s="157" t="s">
        <v>982</v>
      </c>
    </row>
    <row r="316" spans="1:17" ht="46.5" x14ac:dyDescent="0.35">
      <c r="A316" s="157">
        <f t="shared" si="6"/>
        <v>62</v>
      </c>
      <c r="B316" s="157" t="s">
        <v>71</v>
      </c>
      <c r="C316" s="157" t="s">
        <v>537</v>
      </c>
      <c r="D316" s="158" t="s">
        <v>808</v>
      </c>
      <c r="E316" s="158" t="s">
        <v>983</v>
      </c>
      <c r="F316" s="158" t="s">
        <v>984</v>
      </c>
      <c r="G316" s="157" t="s">
        <v>978</v>
      </c>
      <c r="H316" s="157" t="s">
        <v>979</v>
      </c>
      <c r="I316" s="157" t="s">
        <v>500</v>
      </c>
      <c r="J316" s="159">
        <v>5000000</v>
      </c>
      <c r="K316" s="54" t="s">
        <v>197</v>
      </c>
      <c r="L316" s="157">
        <v>3307961</v>
      </c>
      <c r="M316" s="157" t="s">
        <v>226</v>
      </c>
      <c r="N316" s="160" t="s">
        <v>826</v>
      </c>
      <c r="O316" s="160">
        <v>25000000</v>
      </c>
      <c r="P316" s="157" t="s">
        <v>980</v>
      </c>
      <c r="Q316" s="157" t="s">
        <v>984</v>
      </c>
    </row>
    <row r="317" spans="1:17" ht="31" x14ac:dyDescent="0.35">
      <c r="A317" s="157">
        <f t="shared" si="6"/>
        <v>63</v>
      </c>
      <c r="B317" s="157" t="s">
        <v>71</v>
      </c>
      <c r="C317" s="157" t="s">
        <v>537</v>
      </c>
      <c r="D317" s="161" t="s">
        <v>847</v>
      </c>
      <c r="E317" s="158" t="s">
        <v>985</v>
      </c>
      <c r="F317" s="158" t="s">
        <v>181</v>
      </c>
      <c r="G317" s="157" t="s">
        <v>182</v>
      </c>
      <c r="H317" s="157" t="s">
        <v>183</v>
      </c>
      <c r="I317" s="157" t="s">
        <v>431</v>
      </c>
      <c r="J317" s="159">
        <v>45000000</v>
      </c>
      <c r="K317" s="54" t="s">
        <v>197</v>
      </c>
      <c r="L317" s="157">
        <v>2947375</v>
      </c>
      <c r="M317" s="157" t="s">
        <v>180</v>
      </c>
      <c r="N317" s="160" t="s">
        <v>431</v>
      </c>
      <c r="O317" s="160">
        <v>45000000</v>
      </c>
      <c r="P317" s="157"/>
      <c r="Q317" s="157" t="s">
        <v>909</v>
      </c>
    </row>
    <row r="318" spans="1:17" ht="93" x14ac:dyDescent="0.35">
      <c r="A318" s="157">
        <f t="shared" si="6"/>
        <v>64</v>
      </c>
      <c r="B318" s="157" t="s">
        <v>71</v>
      </c>
      <c r="C318" s="157" t="s">
        <v>537</v>
      </c>
      <c r="D318" s="161" t="s">
        <v>847</v>
      </c>
      <c r="E318" s="158" t="s">
        <v>893</v>
      </c>
      <c r="F318" s="158" t="s">
        <v>176</v>
      </c>
      <c r="G318" s="157" t="s">
        <v>187</v>
      </c>
      <c r="H318" s="157" t="s">
        <v>191</v>
      </c>
      <c r="I318" s="157" t="s">
        <v>184</v>
      </c>
      <c r="J318" s="159">
        <v>17500000</v>
      </c>
      <c r="K318" s="54" t="s">
        <v>197</v>
      </c>
      <c r="L318" s="157">
        <v>2975935</v>
      </c>
      <c r="M318" s="157" t="s">
        <v>180</v>
      </c>
      <c r="N318" s="160" t="s">
        <v>122</v>
      </c>
      <c r="O318" s="160">
        <v>17500000</v>
      </c>
      <c r="P318" s="157"/>
      <c r="Q318" s="157" t="s">
        <v>889</v>
      </c>
    </row>
    <row r="319" spans="1:17" ht="46.5" x14ac:dyDescent="0.35">
      <c r="A319" s="166">
        <f t="shared" si="6"/>
        <v>65</v>
      </c>
      <c r="B319" s="166" t="s">
        <v>71</v>
      </c>
      <c r="C319" s="166" t="s">
        <v>537</v>
      </c>
      <c r="D319" s="158" t="s">
        <v>808</v>
      </c>
      <c r="E319" s="178" t="s">
        <v>909</v>
      </c>
      <c r="F319" s="178" t="s">
        <v>176</v>
      </c>
      <c r="G319" s="166" t="s">
        <v>187</v>
      </c>
      <c r="H319" s="166" t="s">
        <v>191</v>
      </c>
      <c r="I319" s="166" t="s">
        <v>126</v>
      </c>
      <c r="J319" s="169">
        <v>15000000</v>
      </c>
      <c r="K319" s="54" t="s">
        <v>197</v>
      </c>
      <c r="L319" s="166">
        <v>3307966</v>
      </c>
      <c r="M319" s="166" t="s">
        <v>180</v>
      </c>
      <c r="N319" s="169" t="s">
        <v>500</v>
      </c>
      <c r="O319" s="169">
        <v>15000000</v>
      </c>
      <c r="P319" s="166" t="s">
        <v>986</v>
      </c>
      <c r="Q319" s="166" t="s">
        <v>987</v>
      </c>
    </row>
    <row r="320" spans="1:17" ht="93" x14ac:dyDescent="0.35">
      <c r="A320" s="157">
        <f t="shared" si="6"/>
        <v>66</v>
      </c>
      <c r="B320" s="157" t="s">
        <v>71</v>
      </c>
      <c r="C320" s="157" t="s">
        <v>537</v>
      </c>
      <c r="D320" s="161" t="s">
        <v>847</v>
      </c>
      <c r="E320" s="158" t="s">
        <v>893</v>
      </c>
      <c r="F320" s="158" t="s">
        <v>176</v>
      </c>
      <c r="G320" s="157" t="s">
        <v>187</v>
      </c>
      <c r="H320" s="157" t="s">
        <v>442</v>
      </c>
      <c r="I320" s="157" t="s">
        <v>988</v>
      </c>
      <c r="J320" s="159">
        <v>22000000</v>
      </c>
      <c r="K320" s="54" t="s">
        <v>197</v>
      </c>
      <c r="L320" s="157">
        <v>2934695</v>
      </c>
      <c r="M320" s="157" t="s">
        <v>180</v>
      </c>
      <c r="N320" s="160" t="s">
        <v>826</v>
      </c>
      <c r="O320" s="160">
        <v>22000000</v>
      </c>
      <c r="P320" s="157"/>
      <c r="Q320" s="157" t="s">
        <v>909</v>
      </c>
    </row>
    <row r="321" spans="1:17" ht="93" x14ac:dyDescent="0.35">
      <c r="A321" s="157">
        <f t="shared" si="6"/>
        <v>67</v>
      </c>
      <c r="B321" s="157" t="s">
        <v>71</v>
      </c>
      <c r="C321" s="157" t="s">
        <v>537</v>
      </c>
      <c r="D321" s="161" t="s">
        <v>847</v>
      </c>
      <c r="E321" s="158" t="s">
        <v>893</v>
      </c>
      <c r="F321" s="158" t="s">
        <v>176</v>
      </c>
      <c r="G321" s="157" t="s">
        <v>187</v>
      </c>
      <c r="H321" s="157" t="s">
        <v>807</v>
      </c>
      <c r="I321" s="157" t="s">
        <v>988</v>
      </c>
      <c r="J321" s="159">
        <v>22000000</v>
      </c>
      <c r="K321" s="54" t="s">
        <v>197</v>
      </c>
      <c r="L321" s="157">
        <v>2762858</v>
      </c>
      <c r="M321" s="157" t="s">
        <v>180</v>
      </c>
      <c r="N321" s="160" t="s">
        <v>826</v>
      </c>
      <c r="O321" s="160">
        <v>22000000</v>
      </c>
      <c r="P321" s="157"/>
      <c r="Q321" s="157" t="s">
        <v>909</v>
      </c>
    </row>
    <row r="322" spans="1:17" ht="46.5" x14ac:dyDescent="0.35">
      <c r="A322" s="157">
        <f t="shared" si="6"/>
        <v>68</v>
      </c>
      <c r="B322" s="157" t="s">
        <v>836</v>
      </c>
      <c r="C322" s="157" t="s">
        <v>577</v>
      </c>
      <c r="D322" s="161" t="s">
        <v>847</v>
      </c>
      <c r="E322" s="158"/>
      <c r="F322" s="158"/>
      <c r="G322" s="157" t="s">
        <v>989</v>
      </c>
      <c r="H322" s="162" t="s">
        <v>990</v>
      </c>
      <c r="I322" s="157" t="s">
        <v>990</v>
      </c>
      <c r="J322" s="159"/>
      <c r="K322" s="54" t="s">
        <v>197</v>
      </c>
      <c r="L322" s="157"/>
      <c r="M322" s="157" t="s">
        <v>180</v>
      </c>
      <c r="N322" s="160"/>
      <c r="O322" s="160">
        <v>30000000</v>
      </c>
      <c r="P322" s="157" t="s">
        <v>991</v>
      </c>
      <c r="Q322" s="157" t="s">
        <v>991</v>
      </c>
    </row>
    <row r="323" spans="1:17" ht="46.5" x14ac:dyDescent="0.35">
      <c r="A323" s="82">
        <f t="shared" si="6"/>
        <v>69</v>
      </c>
      <c r="B323" s="82" t="s">
        <v>71</v>
      </c>
      <c r="C323" s="82" t="s">
        <v>537</v>
      </c>
      <c r="D323" s="164" t="s">
        <v>834</v>
      </c>
      <c r="E323" s="164" t="s">
        <v>992</v>
      </c>
      <c r="F323" s="164" t="s">
        <v>993</v>
      </c>
      <c r="G323" s="82" t="s">
        <v>469</v>
      </c>
      <c r="H323" s="82" t="s">
        <v>994</v>
      </c>
      <c r="I323" s="82">
        <v>450</v>
      </c>
      <c r="J323" s="165">
        <v>100000000</v>
      </c>
      <c r="K323" s="54" t="s">
        <v>197</v>
      </c>
      <c r="L323" s="82" t="s">
        <v>62</v>
      </c>
      <c r="M323" s="82" t="s">
        <v>55</v>
      </c>
      <c r="N323" s="82">
        <v>450</v>
      </c>
      <c r="O323" s="180">
        <v>114300000</v>
      </c>
      <c r="P323" s="181" t="s">
        <v>995</v>
      </c>
      <c r="Q323" s="82" t="s">
        <v>996</v>
      </c>
    </row>
    <row r="324" spans="1:17" ht="46.5" x14ac:dyDescent="0.35">
      <c r="A324" s="82">
        <f t="shared" si="6"/>
        <v>70</v>
      </c>
      <c r="B324" s="82" t="s">
        <v>71</v>
      </c>
      <c r="C324" s="82" t="s">
        <v>537</v>
      </c>
      <c r="D324" s="164" t="s">
        <v>834</v>
      </c>
      <c r="E324" s="164" t="s">
        <v>992</v>
      </c>
      <c r="F324" s="164" t="s">
        <v>997</v>
      </c>
      <c r="G324" s="82" t="s">
        <v>469</v>
      </c>
      <c r="H324" s="82" t="s">
        <v>998</v>
      </c>
      <c r="I324" s="82">
        <v>450</v>
      </c>
      <c r="J324" s="165">
        <v>100000000</v>
      </c>
      <c r="K324" s="54" t="s">
        <v>197</v>
      </c>
      <c r="L324" s="82" t="s">
        <v>62</v>
      </c>
      <c r="M324" s="82" t="s">
        <v>55</v>
      </c>
      <c r="N324" s="82">
        <v>450</v>
      </c>
      <c r="O324" s="180">
        <v>114300000</v>
      </c>
      <c r="P324" s="181" t="s">
        <v>995</v>
      </c>
      <c r="Q324" s="82" t="s">
        <v>996</v>
      </c>
    </row>
    <row r="325" spans="1:17" ht="31" x14ac:dyDescent="0.35">
      <c r="A325" s="157">
        <f t="shared" si="6"/>
        <v>71</v>
      </c>
      <c r="B325" s="157" t="s">
        <v>71</v>
      </c>
      <c r="C325" s="157" t="s">
        <v>537</v>
      </c>
      <c r="D325" s="158" t="s">
        <v>538</v>
      </c>
      <c r="E325" s="158" t="s">
        <v>999</v>
      </c>
      <c r="F325" s="158" t="s">
        <v>1000</v>
      </c>
      <c r="G325" s="157" t="s">
        <v>529</v>
      </c>
      <c r="H325" s="157" t="s">
        <v>530</v>
      </c>
      <c r="I325" s="157" t="s">
        <v>35</v>
      </c>
      <c r="J325" s="160">
        <v>60000000</v>
      </c>
      <c r="K325" s="54" t="s">
        <v>197</v>
      </c>
      <c r="L325" s="157">
        <v>2933599</v>
      </c>
      <c r="M325" s="157" t="s">
        <v>55</v>
      </c>
      <c r="N325" s="175" t="s">
        <v>500</v>
      </c>
      <c r="O325" s="160">
        <v>60000000</v>
      </c>
      <c r="P325" s="157"/>
      <c r="Q325" s="157" t="s">
        <v>1001</v>
      </c>
    </row>
    <row r="326" spans="1:17" ht="31" x14ac:dyDescent="0.35">
      <c r="A326" s="157">
        <f t="shared" si="6"/>
        <v>72</v>
      </c>
      <c r="B326" s="157" t="s">
        <v>71</v>
      </c>
      <c r="C326" s="157" t="s">
        <v>537</v>
      </c>
      <c r="D326" s="158" t="s">
        <v>538</v>
      </c>
      <c r="E326" s="158" t="s">
        <v>1002</v>
      </c>
      <c r="F326" s="182"/>
      <c r="G326" s="183" t="s">
        <v>1003</v>
      </c>
      <c r="H326" s="183" t="s">
        <v>1004</v>
      </c>
      <c r="I326" s="157" t="s">
        <v>500</v>
      </c>
      <c r="J326" s="184">
        <v>100000000</v>
      </c>
      <c r="K326" s="54" t="s">
        <v>197</v>
      </c>
      <c r="L326" s="183">
        <v>3308094</v>
      </c>
      <c r="M326" s="157" t="s">
        <v>55</v>
      </c>
      <c r="N326" s="185" t="s">
        <v>500</v>
      </c>
      <c r="O326" s="184">
        <v>100000000</v>
      </c>
      <c r="P326" s="157" t="s">
        <v>986</v>
      </c>
      <c r="Q326" s="157" t="s">
        <v>1005</v>
      </c>
    </row>
    <row r="327" spans="1:17" ht="116" x14ac:dyDescent="0.35">
      <c r="A327" s="186">
        <f t="shared" si="6"/>
        <v>73</v>
      </c>
      <c r="B327" s="186" t="s">
        <v>71</v>
      </c>
      <c r="C327" s="186" t="s">
        <v>537</v>
      </c>
      <c r="D327" s="187" t="s">
        <v>808</v>
      </c>
      <c r="E327" s="140" t="s">
        <v>1006</v>
      </c>
      <c r="F327" s="140" t="s">
        <v>1007</v>
      </c>
      <c r="G327" s="139" t="s">
        <v>149</v>
      </c>
      <c r="H327" s="139" t="s">
        <v>721</v>
      </c>
      <c r="I327" s="139" t="s">
        <v>313</v>
      </c>
      <c r="J327" s="13">
        <v>20000000</v>
      </c>
      <c r="K327" s="54" t="s">
        <v>197</v>
      </c>
      <c r="L327" s="188"/>
      <c r="M327" s="189" t="s">
        <v>1008</v>
      </c>
      <c r="N327" s="139" t="s">
        <v>313</v>
      </c>
      <c r="O327" s="13">
        <v>20000000</v>
      </c>
      <c r="P327" s="186"/>
      <c r="Q327" s="140" t="s">
        <v>1006</v>
      </c>
    </row>
    <row r="328" spans="1:17" ht="145" x14ac:dyDescent="0.35">
      <c r="A328" s="186">
        <f t="shared" si="6"/>
        <v>74</v>
      </c>
      <c r="B328" s="186" t="s">
        <v>71</v>
      </c>
      <c r="C328" s="186" t="s">
        <v>537</v>
      </c>
      <c r="D328" s="187" t="s">
        <v>808</v>
      </c>
      <c r="E328" s="140" t="s">
        <v>1009</v>
      </c>
      <c r="F328" s="140" t="s">
        <v>1007</v>
      </c>
      <c r="G328" s="189" t="s">
        <v>1010</v>
      </c>
      <c r="H328" s="189" t="s">
        <v>729</v>
      </c>
      <c r="I328" s="139" t="s">
        <v>313</v>
      </c>
      <c r="J328" s="13">
        <v>40000000</v>
      </c>
      <c r="K328" s="54" t="s">
        <v>197</v>
      </c>
      <c r="L328" s="188"/>
      <c r="M328" s="189" t="s">
        <v>1008</v>
      </c>
      <c r="N328" s="139" t="s">
        <v>313</v>
      </c>
      <c r="O328" s="13">
        <v>40000000</v>
      </c>
      <c r="P328" s="186"/>
      <c r="Q328" s="140" t="s">
        <v>1009</v>
      </c>
    </row>
    <row r="329" spans="1:17" ht="46.5" x14ac:dyDescent="0.35">
      <c r="A329" s="186">
        <f t="shared" si="6"/>
        <v>75</v>
      </c>
      <c r="B329" s="186" t="s">
        <v>71</v>
      </c>
      <c r="C329" s="186" t="s">
        <v>537</v>
      </c>
      <c r="D329" s="187" t="s">
        <v>808</v>
      </c>
      <c r="E329" s="140" t="s">
        <v>1011</v>
      </c>
      <c r="F329" s="140" t="s">
        <v>1012</v>
      </c>
      <c r="G329" s="139" t="s">
        <v>496</v>
      </c>
      <c r="H329" s="139" t="s">
        <v>1013</v>
      </c>
      <c r="I329" s="139" t="s">
        <v>1014</v>
      </c>
      <c r="J329" s="190">
        <v>65000000</v>
      </c>
      <c r="K329" s="54" t="s">
        <v>197</v>
      </c>
      <c r="L329" s="188"/>
      <c r="M329" s="32" t="s">
        <v>97</v>
      </c>
      <c r="N329" s="139" t="s">
        <v>1014</v>
      </c>
      <c r="O329" s="13">
        <v>65000000</v>
      </c>
      <c r="P329" s="186"/>
      <c r="Q329" s="140" t="s">
        <v>1011</v>
      </c>
    </row>
    <row r="330" spans="1:17" ht="58" x14ac:dyDescent="0.35">
      <c r="A330" s="186">
        <f t="shared" si="6"/>
        <v>76</v>
      </c>
      <c r="B330" s="186" t="s">
        <v>71</v>
      </c>
      <c r="C330" s="186" t="s">
        <v>537</v>
      </c>
      <c r="D330" s="187" t="s">
        <v>808</v>
      </c>
      <c r="E330" s="140" t="s">
        <v>1015</v>
      </c>
      <c r="F330" s="140" t="s">
        <v>1016</v>
      </c>
      <c r="G330" s="139" t="s">
        <v>839</v>
      </c>
      <c r="H330" s="140" t="s">
        <v>1017</v>
      </c>
      <c r="I330" s="139" t="s">
        <v>35</v>
      </c>
      <c r="J330" s="191">
        <v>50000000</v>
      </c>
      <c r="K330" s="54" t="s">
        <v>197</v>
      </c>
      <c r="L330" s="188"/>
      <c r="M330" s="32" t="s">
        <v>97</v>
      </c>
      <c r="N330" s="139" t="s">
        <v>35</v>
      </c>
      <c r="O330" s="13">
        <v>50000000</v>
      </c>
      <c r="P330" s="186"/>
      <c r="Q330" s="140" t="s">
        <v>1015</v>
      </c>
    </row>
    <row r="331" spans="1:17" ht="31" x14ac:dyDescent="0.35">
      <c r="A331" s="186">
        <f t="shared" si="6"/>
        <v>77</v>
      </c>
      <c r="B331" s="186" t="s">
        <v>71</v>
      </c>
      <c r="C331" s="186" t="s">
        <v>537</v>
      </c>
      <c r="D331" s="187" t="s">
        <v>847</v>
      </c>
      <c r="E331" s="192" t="s">
        <v>889</v>
      </c>
      <c r="F331" s="192" t="s">
        <v>229</v>
      </c>
      <c r="G331" s="192" t="s">
        <v>234</v>
      </c>
      <c r="H331" s="192" t="s">
        <v>1018</v>
      </c>
      <c r="I331" s="192" t="s">
        <v>313</v>
      </c>
      <c r="J331" s="193">
        <v>10200000</v>
      </c>
      <c r="K331" s="54" t="s">
        <v>197</v>
      </c>
      <c r="L331" s="188"/>
      <c r="M331" s="189" t="s">
        <v>180</v>
      </c>
      <c r="N331" s="192" t="s">
        <v>313</v>
      </c>
      <c r="O331" s="10">
        <v>10200000</v>
      </c>
      <c r="P331" s="186"/>
      <c r="Q331" s="192" t="s">
        <v>889</v>
      </c>
    </row>
    <row r="332" spans="1:17" ht="43.5" x14ac:dyDescent="0.35">
      <c r="A332" s="186">
        <f t="shared" si="6"/>
        <v>78</v>
      </c>
      <c r="B332" s="186" t="s">
        <v>71</v>
      </c>
      <c r="C332" s="186" t="s">
        <v>537</v>
      </c>
      <c r="D332" s="187" t="s">
        <v>847</v>
      </c>
      <c r="E332" s="140" t="s">
        <v>1019</v>
      </c>
      <c r="F332" s="192" t="s">
        <v>229</v>
      </c>
      <c r="G332" s="192" t="s">
        <v>545</v>
      </c>
      <c r="H332" s="192" t="s">
        <v>1020</v>
      </c>
      <c r="I332" s="192" t="s">
        <v>313</v>
      </c>
      <c r="J332" s="194">
        <v>45000000</v>
      </c>
      <c r="K332" s="54" t="s">
        <v>197</v>
      </c>
      <c r="L332" s="188"/>
      <c r="M332" s="189" t="s">
        <v>180</v>
      </c>
      <c r="N332" s="192" t="s">
        <v>313</v>
      </c>
      <c r="O332" s="10">
        <v>45000000</v>
      </c>
      <c r="P332" s="186"/>
      <c r="Q332" s="140" t="s">
        <v>1019</v>
      </c>
    </row>
    <row r="333" spans="1:17" ht="116" x14ac:dyDescent="0.35">
      <c r="A333" s="6">
        <v>1</v>
      </c>
      <c r="B333" s="7" t="s">
        <v>480</v>
      </c>
      <c r="C333" s="9" t="s">
        <v>481</v>
      </c>
      <c r="D333" s="9" t="s">
        <v>1021</v>
      </c>
      <c r="E333" s="9" t="s">
        <v>1022</v>
      </c>
      <c r="F333" s="9" t="s">
        <v>1023</v>
      </c>
      <c r="G333" s="6" t="s">
        <v>205</v>
      </c>
      <c r="H333" s="6" t="s">
        <v>1024</v>
      </c>
      <c r="I333" s="6"/>
      <c r="J333" s="195"/>
      <c r="K333" s="6" t="s">
        <v>1025</v>
      </c>
      <c r="L333" s="6">
        <v>2938559</v>
      </c>
      <c r="M333" s="6" t="s">
        <v>79</v>
      </c>
      <c r="N333" s="196" t="s">
        <v>1026</v>
      </c>
      <c r="O333" s="14">
        <v>117566500</v>
      </c>
      <c r="P333" s="197"/>
    </row>
    <row r="334" spans="1:17" ht="58" x14ac:dyDescent="0.35">
      <c r="A334" s="6">
        <v>2</v>
      </c>
      <c r="B334" s="198" t="s">
        <v>480</v>
      </c>
      <c r="C334" s="79" t="s">
        <v>481</v>
      </c>
      <c r="D334" s="79" t="s">
        <v>1021</v>
      </c>
      <c r="E334" s="79" t="s">
        <v>1027</v>
      </c>
      <c r="F334" s="79" t="s">
        <v>1028</v>
      </c>
      <c r="G334" s="199" t="s">
        <v>1029</v>
      </c>
      <c r="H334" s="199" t="s">
        <v>1030</v>
      </c>
      <c r="I334" s="199" t="s">
        <v>1031</v>
      </c>
      <c r="J334" s="200">
        <v>100000000</v>
      </c>
      <c r="K334" s="199" t="s">
        <v>1025</v>
      </c>
      <c r="L334" s="199">
        <v>2968895</v>
      </c>
      <c r="M334" s="199" t="s">
        <v>79</v>
      </c>
      <c r="N334" s="201" t="s">
        <v>28</v>
      </c>
      <c r="O334" s="200"/>
      <c r="P334" s="198" t="s">
        <v>1032</v>
      </c>
    </row>
    <row r="335" spans="1:17" ht="58" x14ac:dyDescent="0.35">
      <c r="A335" s="6">
        <v>3</v>
      </c>
      <c r="B335" s="7" t="s">
        <v>480</v>
      </c>
      <c r="C335" s="9" t="s">
        <v>481</v>
      </c>
      <c r="D335" s="9" t="s">
        <v>1021</v>
      </c>
      <c r="E335" s="9" t="s">
        <v>1033</v>
      </c>
      <c r="F335" s="9" t="s">
        <v>1034</v>
      </c>
      <c r="G335" s="6" t="s">
        <v>658</v>
      </c>
      <c r="H335" s="6" t="s">
        <v>1035</v>
      </c>
      <c r="I335" s="6" t="s">
        <v>1036</v>
      </c>
      <c r="J335" s="195">
        <v>95000000</v>
      </c>
      <c r="K335" s="6" t="s">
        <v>1025</v>
      </c>
      <c r="L335" s="6">
        <v>2792157</v>
      </c>
      <c r="M335" s="6" t="s">
        <v>79</v>
      </c>
      <c r="N335" s="202" t="s">
        <v>1037</v>
      </c>
      <c r="O335" s="14">
        <v>95000000</v>
      </c>
      <c r="P335" s="7" t="s">
        <v>1038</v>
      </c>
    </row>
    <row r="336" spans="1:17" ht="58" x14ac:dyDescent="0.35">
      <c r="A336" s="6">
        <v>4</v>
      </c>
      <c r="B336" s="7" t="s">
        <v>480</v>
      </c>
      <c r="C336" s="9" t="s">
        <v>481</v>
      </c>
      <c r="D336" s="9" t="s">
        <v>1021</v>
      </c>
      <c r="E336" s="9" t="s">
        <v>1039</v>
      </c>
      <c r="F336" s="9" t="s">
        <v>1040</v>
      </c>
      <c r="G336" s="6" t="s">
        <v>658</v>
      </c>
      <c r="H336" s="6" t="s">
        <v>1041</v>
      </c>
      <c r="I336" s="6" t="s">
        <v>1042</v>
      </c>
      <c r="J336" s="195">
        <v>45000000</v>
      </c>
      <c r="K336" s="6" t="s">
        <v>1025</v>
      </c>
      <c r="L336" s="6">
        <v>2933626</v>
      </c>
      <c r="M336" s="6" t="s">
        <v>79</v>
      </c>
      <c r="N336" s="202" t="s">
        <v>1043</v>
      </c>
      <c r="O336" s="14">
        <v>50000000</v>
      </c>
      <c r="P336" s="203" t="s">
        <v>1044</v>
      </c>
      <c r="Q336" s="204"/>
    </row>
    <row r="337" spans="1:17" ht="101.5" x14ac:dyDescent="0.35">
      <c r="A337" s="6">
        <v>5</v>
      </c>
      <c r="B337" s="7" t="s">
        <v>480</v>
      </c>
      <c r="C337" s="9" t="s">
        <v>481</v>
      </c>
      <c r="D337" s="9" t="s">
        <v>1021</v>
      </c>
      <c r="E337" s="9" t="s">
        <v>1045</v>
      </c>
      <c r="F337" s="9" t="s">
        <v>1046</v>
      </c>
      <c r="G337" s="6" t="s">
        <v>535</v>
      </c>
      <c r="H337" s="6" t="s">
        <v>1047</v>
      </c>
      <c r="I337" s="6" t="s">
        <v>1048</v>
      </c>
      <c r="J337" s="195" t="s">
        <v>1049</v>
      </c>
      <c r="K337" s="6" t="s">
        <v>1025</v>
      </c>
      <c r="L337" s="6">
        <v>2933518</v>
      </c>
      <c r="M337" s="6" t="s">
        <v>79</v>
      </c>
      <c r="N337" s="205" t="s">
        <v>1050</v>
      </c>
      <c r="O337" s="14">
        <v>50000000</v>
      </c>
      <c r="P337" s="197" t="s">
        <v>1051</v>
      </c>
    </row>
    <row r="338" spans="1:17" ht="58" x14ac:dyDescent="0.35">
      <c r="A338" s="6">
        <v>6</v>
      </c>
      <c r="B338" s="7" t="s">
        <v>480</v>
      </c>
      <c r="C338" s="9" t="s">
        <v>481</v>
      </c>
      <c r="D338" s="9" t="s">
        <v>1021</v>
      </c>
      <c r="E338" s="9" t="s">
        <v>1052</v>
      </c>
      <c r="F338" s="9" t="s">
        <v>1053</v>
      </c>
      <c r="G338" s="6" t="s">
        <v>278</v>
      </c>
      <c r="H338" s="6" t="s">
        <v>1054</v>
      </c>
      <c r="I338" s="6" t="s">
        <v>35</v>
      </c>
      <c r="J338" s="14">
        <v>30000000</v>
      </c>
      <c r="K338" s="6" t="s">
        <v>1025</v>
      </c>
      <c r="L338" s="6">
        <v>2918008</v>
      </c>
      <c r="M338" s="32" t="s">
        <v>97</v>
      </c>
      <c r="N338" s="6" t="s">
        <v>1055</v>
      </c>
      <c r="O338" s="14">
        <v>30000000</v>
      </c>
      <c r="P338" s="7" t="s">
        <v>1056</v>
      </c>
    </row>
    <row r="339" spans="1:17" ht="58" x14ac:dyDescent="0.35">
      <c r="A339" s="6">
        <v>7</v>
      </c>
      <c r="B339" s="7" t="s">
        <v>480</v>
      </c>
      <c r="C339" s="7" t="s">
        <v>481</v>
      </c>
      <c r="D339" s="206" t="s">
        <v>1021</v>
      </c>
      <c r="E339" s="7" t="s">
        <v>1057</v>
      </c>
      <c r="F339" s="7" t="s">
        <v>282</v>
      </c>
      <c r="G339" s="7" t="s">
        <v>278</v>
      </c>
      <c r="H339" s="7" t="s">
        <v>283</v>
      </c>
      <c r="I339" s="21" t="s">
        <v>35</v>
      </c>
      <c r="J339" s="207">
        <v>38800000</v>
      </c>
      <c r="K339" s="20" t="s">
        <v>1025</v>
      </c>
      <c r="L339" s="208">
        <v>2947322</v>
      </c>
      <c r="M339" s="32" t="s">
        <v>97</v>
      </c>
      <c r="N339" s="209" t="s">
        <v>1058</v>
      </c>
      <c r="O339" s="210">
        <v>28800000</v>
      </c>
      <c r="P339" s="140" t="s">
        <v>1059</v>
      </c>
    </row>
    <row r="340" spans="1:17" ht="58" x14ac:dyDescent="0.35">
      <c r="A340" s="6">
        <v>8</v>
      </c>
      <c r="B340" s="7" t="s">
        <v>480</v>
      </c>
      <c r="C340" s="7" t="s">
        <v>481</v>
      </c>
      <c r="D340" s="206" t="s">
        <v>1021</v>
      </c>
      <c r="E340" s="7" t="s">
        <v>1057</v>
      </c>
      <c r="F340" s="7" t="s">
        <v>282</v>
      </c>
      <c r="G340" s="7" t="s">
        <v>278</v>
      </c>
      <c r="H340" s="7" t="s">
        <v>283</v>
      </c>
      <c r="I340" s="21" t="s">
        <v>35</v>
      </c>
      <c r="J340" s="207">
        <v>38800000</v>
      </c>
      <c r="K340" s="20" t="s">
        <v>1025</v>
      </c>
      <c r="L340" s="21"/>
      <c r="M340" s="32" t="s">
        <v>97</v>
      </c>
      <c r="N340" s="6" t="s">
        <v>164</v>
      </c>
      <c r="O340" s="14">
        <v>10000000</v>
      </c>
      <c r="P340" s="140" t="s">
        <v>1060</v>
      </c>
    </row>
    <row r="341" spans="1:17" ht="58" x14ac:dyDescent="0.35">
      <c r="A341" s="6">
        <v>9</v>
      </c>
      <c r="B341" s="7" t="s">
        <v>480</v>
      </c>
      <c r="C341" s="9" t="s">
        <v>481</v>
      </c>
      <c r="D341" s="211" t="s">
        <v>1021</v>
      </c>
      <c r="E341" s="9" t="s">
        <v>1061</v>
      </c>
      <c r="F341" s="9" t="s">
        <v>1062</v>
      </c>
      <c r="G341" s="6" t="s">
        <v>1063</v>
      </c>
      <c r="H341" s="6" t="s">
        <v>1064</v>
      </c>
      <c r="I341" s="6" t="s">
        <v>1065</v>
      </c>
      <c r="J341" s="14">
        <v>100000000</v>
      </c>
      <c r="K341" s="6" t="s">
        <v>1025</v>
      </c>
      <c r="L341" s="6">
        <v>2908163</v>
      </c>
      <c r="M341" s="32" t="s">
        <v>97</v>
      </c>
      <c r="N341" s="6" t="s">
        <v>1066</v>
      </c>
      <c r="O341" s="14">
        <v>100000000</v>
      </c>
      <c r="P341" s="212" t="s">
        <v>1044</v>
      </c>
      <c r="Q341" s="213"/>
    </row>
    <row r="342" spans="1:17" ht="72.5" x14ac:dyDescent="0.35">
      <c r="A342" s="6">
        <v>10</v>
      </c>
      <c r="B342" s="7" t="s">
        <v>480</v>
      </c>
      <c r="C342" s="9" t="s">
        <v>481</v>
      </c>
      <c r="D342" s="211" t="s">
        <v>1021</v>
      </c>
      <c r="E342" s="9" t="s">
        <v>1067</v>
      </c>
      <c r="F342" s="9" t="s">
        <v>1068</v>
      </c>
      <c r="G342" s="6" t="s">
        <v>1063</v>
      </c>
      <c r="H342" s="6" t="s">
        <v>1069</v>
      </c>
      <c r="I342" s="6" t="s">
        <v>1070</v>
      </c>
      <c r="J342" s="14">
        <v>100000000</v>
      </c>
      <c r="K342" s="6" t="s">
        <v>1025</v>
      </c>
      <c r="L342" s="6">
        <v>2908329</v>
      </c>
      <c r="M342" s="32" t="s">
        <v>97</v>
      </c>
      <c r="N342" s="6" t="s">
        <v>1071</v>
      </c>
      <c r="O342" s="14">
        <v>100000000</v>
      </c>
      <c r="P342" s="7"/>
    </row>
    <row r="343" spans="1:17" ht="58" x14ac:dyDescent="0.35">
      <c r="A343" s="6">
        <v>11</v>
      </c>
      <c r="B343" s="7" t="s">
        <v>480</v>
      </c>
      <c r="C343" s="9" t="s">
        <v>481</v>
      </c>
      <c r="D343" s="211" t="s">
        <v>1021</v>
      </c>
      <c r="E343" s="9" t="s">
        <v>1072</v>
      </c>
      <c r="F343" s="9" t="s">
        <v>1073</v>
      </c>
      <c r="G343" s="84" t="s">
        <v>1074</v>
      </c>
      <c r="H343" s="84" t="s">
        <v>1075</v>
      </c>
      <c r="I343" s="84" t="s">
        <v>1076</v>
      </c>
      <c r="J343" s="14">
        <v>129865000</v>
      </c>
      <c r="K343" s="6" t="s">
        <v>1025</v>
      </c>
      <c r="L343" s="6">
        <v>2966419</v>
      </c>
      <c r="M343" s="32" t="s">
        <v>97</v>
      </c>
      <c r="N343" s="84" t="s">
        <v>1077</v>
      </c>
      <c r="O343" s="14">
        <v>102037000</v>
      </c>
      <c r="P343" s="212" t="s">
        <v>1044</v>
      </c>
    </row>
    <row r="344" spans="1:17" ht="58" x14ac:dyDescent="0.35">
      <c r="A344" s="6">
        <v>12</v>
      </c>
      <c r="B344" s="7" t="s">
        <v>480</v>
      </c>
      <c r="C344" s="9" t="s">
        <v>481</v>
      </c>
      <c r="D344" s="211" t="s">
        <v>1021</v>
      </c>
      <c r="E344" s="9" t="s">
        <v>1078</v>
      </c>
      <c r="F344" s="9" t="s">
        <v>1079</v>
      </c>
      <c r="G344" s="84" t="s">
        <v>496</v>
      </c>
      <c r="H344" s="84" t="s">
        <v>496</v>
      </c>
      <c r="I344" s="84" t="s">
        <v>1080</v>
      </c>
      <c r="J344" s="14">
        <v>20000000</v>
      </c>
      <c r="K344" s="6" t="s">
        <v>1025</v>
      </c>
      <c r="L344" s="6">
        <v>2792313</v>
      </c>
      <c r="M344" s="32" t="s">
        <v>97</v>
      </c>
      <c r="N344" s="6" t="s">
        <v>122</v>
      </c>
      <c r="O344" s="14">
        <v>20000000</v>
      </c>
      <c r="P344" s="214" t="s">
        <v>1081</v>
      </c>
      <c r="Q344" s="215"/>
    </row>
    <row r="345" spans="1:17" ht="58" x14ac:dyDescent="0.35">
      <c r="A345" s="6">
        <v>13</v>
      </c>
      <c r="B345" s="7" t="s">
        <v>480</v>
      </c>
      <c r="C345" s="9" t="s">
        <v>481</v>
      </c>
      <c r="D345" s="211" t="s">
        <v>1021</v>
      </c>
      <c r="E345" s="9" t="s">
        <v>992</v>
      </c>
      <c r="F345" s="9" t="s">
        <v>1082</v>
      </c>
      <c r="G345" s="84" t="s">
        <v>1083</v>
      </c>
      <c r="H345" s="84" t="s">
        <v>1083</v>
      </c>
      <c r="I345" s="84" t="s">
        <v>1084</v>
      </c>
      <c r="J345" s="14">
        <v>150000000</v>
      </c>
      <c r="K345" s="6" t="s">
        <v>1025</v>
      </c>
      <c r="L345" s="6">
        <v>2912570</v>
      </c>
      <c r="M345" s="32" t="s">
        <v>97</v>
      </c>
      <c r="N345" s="6" t="s">
        <v>1085</v>
      </c>
      <c r="O345" s="14">
        <v>150000000</v>
      </c>
      <c r="P345" s="212" t="s">
        <v>1044</v>
      </c>
    </row>
    <row r="346" spans="1:17" ht="58" x14ac:dyDescent="0.35">
      <c r="A346" s="6">
        <v>14</v>
      </c>
      <c r="B346" s="7" t="s">
        <v>480</v>
      </c>
      <c r="C346" s="9" t="s">
        <v>481</v>
      </c>
      <c r="D346" s="9" t="s">
        <v>1021</v>
      </c>
      <c r="E346" s="9" t="s">
        <v>1086</v>
      </c>
      <c r="F346" s="9" t="s">
        <v>678</v>
      </c>
      <c r="G346" s="6" t="s">
        <v>670</v>
      </c>
      <c r="H346" s="6" t="s">
        <v>679</v>
      </c>
      <c r="I346" s="6"/>
      <c r="J346" s="14"/>
      <c r="K346" s="6" t="s">
        <v>1025</v>
      </c>
      <c r="L346" s="6"/>
      <c r="M346" s="32" t="s">
        <v>97</v>
      </c>
      <c r="N346" s="216" t="s">
        <v>1087</v>
      </c>
      <c r="O346" s="210">
        <v>84000000</v>
      </c>
      <c r="P346" s="140" t="s">
        <v>1088</v>
      </c>
    </row>
    <row r="347" spans="1:17" ht="58" x14ac:dyDescent="0.35">
      <c r="A347" s="6">
        <v>15</v>
      </c>
      <c r="B347" s="7" t="s">
        <v>480</v>
      </c>
      <c r="C347" s="9" t="s">
        <v>481</v>
      </c>
      <c r="D347" s="211" t="s">
        <v>1021</v>
      </c>
      <c r="E347" s="9" t="s">
        <v>1089</v>
      </c>
      <c r="F347" s="9" t="s">
        <v>1090</v>
      </c>
      <c r="G347" s="6" t="s">
        <v>208</v>
      </c>
      <c r="H347" s="6" t="s">
        <v>1091</v>
      </c>
      <c r="I347" s="6" t="s">
        <v>1092</v>
      </c>
      <c r="J347" s="14">
        <v>100000000</v>
      </c>
      <c r="K347" s="6" t="s">
        <v>1025</v>
      </c>
      <c r="L347" s="6">
        <v>2791425</v>
      </c>
      <c r="M347" s="32" t="s">
        <v>97</v>
      </c>
      <c r="N347" s="6" t="s">
        <v>1066</v>
      </c>
      <c r="O347" s="14">
        <v>100000000</v>
      </c>
      <c r="P347" s="212" t="s">
        <v>1044</v>
      </c>
    </row>
    <row r="348" spans="1:17" ht="174" x14ac:dyDescent="0.35">
      <c r="A348" s="6">
        <v>16</v>
      </c>
      <c r="B348" s="7" t="s">
        <v>480</v>
      </c>
      <c r="C348" s="9" t="s">
        <v>481</v>
      </c>
      <c r="D348" s="211" t="s">
        <v>1021</v>
      </c>
      <c r="E348" s="9" t="s">
        <v>1093</v>
      </c>
      <c r="F348" s="9" t="s">
        <v>1094</v>
      </c>
      <c r="G348" s="6" t="s">
        <v>208</v>
      </c>
      <c r="H348" s="6" t="s">
        <v>94</v>
      </c>
      <c r="I348" s="6" t="s">
        <v>1095</v>
      </c>
      <c r="J348" s="14">
        <v>200000000</v>
      </c>
      <c r="K348" s="6" t="s">
        <v>1025</v>
      </c>
      <c r="L348" s="6">
        <v>2961806</v>
      </c>
      <c r="M348" s="32" t="s">
        <v>97</v>
      </c>
      <c r="N348" s="6" t="s">
        <v>1096</v>
      </c>
      <c r="O348" s="14">
        <v>181610000</v>
      </c>
      <c r="P348" s="214" t="s">
        <v>1097</v>
      </c>
      <c r="Q348" s="215"/>
    </row>
    <row r="349" spans="1:17" ht="72.5" x14ac:dyDescent="0.35">
      <c r="A349" s="6">
        <v>17</v>
      </c>
      <c r="B349" s="7" t="s">
        <v>480</v>
      </c>
      <c r="C349" s="9" t="s">
        <v>481</v>
      </c>
      <c r="D349" s="9" t="s">
        <v>1021</v>
      </c>
      <c r="E349" s="9" t="s">
        <v>1098</v>
      </c>
      <c r="F349" s="9" t="s">
        <v>1099</v>
      </c>
      <c r="G349" s="84" t="s">
        <v>504</v>
      </c>
      <c r="H349" s="84" t="s">
        <v>1100</v>
      </c>
      <c r="I349" s="6" t="s">
        <v>854</v>
      </c>
      <c r="J349" s="14">
        <v>15000000</v>
      </c>
      <c r="K349" s="6" t="s">
        <v>1025</v>
      </c>
      <c r="L349" s="6">
        <v>2816775</v>
      </c>
      <c r="M349" s="32" t="s">
        <v>97</v>
      </c>
      <c r="N349" s="6" t="s">
        <v>1101</v>
      </c>
      <c r="O349" s="14">
        <v>25000000</v>
      </c>
      <c r="P349" s="214" t="s">
        <v>1102</v>
      </c>
      <c r="Q349" s="215"/>
    </row>
    <row r="350" spans="1:17" ht="145" x14ac:dyDescent="0.35">
      <c r="A350" s="6">
        <v>18</v>
      </c>
      <c r="B350" s="7" t="s">
        <v>480</v>
      </c>
      <c r="C350" s="9" t="s">
        <v>481</v>
      </c>
      <c r="D350" s="9" t="s">
        <v>1021</v>
      </c>
      <c r="E350" s="9" t="s">
        <v>1103</v>
      </c>
      <c r="F350" s="9" t="s">
        <v>1099</v>
      </c>
      <c r="G350" s="6" t="s">
        <v>504</v>
      </c>
      <c r="H350" s="6" t="s">
        <v>1104</v>
      </c>
      <c r="I350" s="6" t="s">
        <v>1105</v>
      </c>
      <c r="J350" s="14">
        <v>100000000</v>
      </c>
      <c r="K350" s="6" t="s">
        <v>1025</v>
      </c>
      <c r="L350" s="6" t="s">
        <v>273</v>
      </c>
      <c r="M350" s="32" t="s">
        <v>97</v>
      </c>
      <c r="N350" s="6" t="s">
        <v>1106</v>
      </c>
      <c r="O350" s="14">
        <v>100000000</v>
      </c>
      <c r="P350" s="7" t="s">
        <v>1107</v>
      </c>
    </row>
    <row r="351" spans="1:17" ht="174" x14ac:dyDescent="0.35">
      <c r="A351" s="6">
        <v>19</v>
      </c>
      <c r="B351" s="7" t="s">
        <v>480</v>
      </c>
      <c r="C351" s="9" t="s">
        <v>481</v>
      </c>
      <c r="D351" s="9" t="s">
        <v>1021</v>
      </c>
      <c r="E351" s="9" t="s">
        <v>1108</v>
      </c>
      <c r="F351" s="9" t="s">
        <v>1109</v>
      </c>
      <c r="G351" s="6" t="s">
        <v>566</v>
      </c>
      <c r="H351" s="6" t="s">
        <v>567</v>
      </c>
      <c r="I351" s="84" t="s">
        <v>1110</v>
      </c>
      <c r="J351" s="105">
        <v>110170000</v>
      </c>
      <c r="K351" s="84" t="s">
        <v>1025</v>
      </c>
      <c r="L351" s="6">
        <v>2874168</v>
      </c>
      <c r="M351" s="32" t="s">
        <v>97</v>
      </c>
      <c r="N351" s="6" t="s">
        <v>1111</v>
      </c>
      <c r="O351" s="14">
        <v>81570000</v>
      </c>
      <c r="P351" s="7" t="s">
        <v>1112</v>
      </c>
    </row>
    <row r="352" spans="1:17" ht="58" x14ac:dyDescent="0.35">
      <c r="A352" s="6">
        <v>20</v>
      </c>
      <c r="B352" s="7" t="s">
        <v>480</v>
      </c>
      <c r="C352" s="9" t="s">
        <v>481</v>
      </c>
      <c r="D352" s="9" t="s">
        <v>1021</v>
      </c>
      <c r="E352" s="9" t="s">
        <v>1113</v>
      </c>
      <c r="F352" s="9" t="s">
        <v>1109</v>
      </c>
      <c r="G352" s="6" t="s">
        <v>566</v>
      </c>
      <c r="H352" s="6" t="s">
        <v>567</v>
      </c>
      <c r="I352" s="84"/>
      <c r="J352" s="105"/>
      <c r="K352" s="84" t="s">
        <v>1025</v>
      </c>
      <c r="L352" s="126" t="s">
        <v>568</v>
      </c>
      <c r="M352" s="32" t="s">
        <v>97</v>
      </c>
      <c r="N352" s="6" t="s">
        <v>1114</v>
      </c>
      <c r="O352" s="14">
        <v>28600000</v>
      </c>
      <c r="P352" s="7" t="s">
        <v>1115</v>
      </c>
    </row>
    <row r="353" spans="1:17" ht="174" x14ac:dyDescent="0.35">
      <c r="A353" s="6">
        <v>21</v>
      </c>
      <c r="B353" s="7" t="s">
        <v>480</v>
      </c>
      <c r="C353" s="9" t="s">
        <v>481</v>
      </c>
      <c r="D353" s="9" t="s">
        <v>1021</v>
      </c>
      <c r="E353" s="9" t="s">
        <v>1108</v>
      </c>
      <c r="F353" s="9" t="s">
        <v>1116</v>
      </c>
      <c r="G353" s="6" t="s">
        <v>566</v>
      </c>
      <c r="H353" s="6" t="s">
        <v>1117</v>
      </c>
      <c r="I353" s="84" t="s">
        <v>1110</v>
      </c>
      <c r="J353" s="105">
        <v>110170000</v>
      </c>
      <c r="K353" s="84" t="s">
        <v>1025</v>
      </c>
      <c r="L353" s="6">
        <v>2874071</v>
      </c>
      <c r="M353" s="32" t="s">
        <v>97</v>
      </c>
      <c r="N353" s="6" t="s">
        <v>1118</v>
      </c>
      <c r="O353" s="14">
        <v>81570000</v>
      </c>
      <c r="P353" s="7" t="s">
        <v>1112</v>
      </c>
    </row>
    <row r="354" spans="1:17" ht="58" x14ac:dyDescent="0.35">
      <c r="A354" s="6">
        <v>22</v>
      </c>
      <c r="B354" s="7" t="s">
        <v>480</v>
      </c>
      <c r="C354" s="9" t="s">
        <v>481</v>
      </c>
      <c r="D354" s="9" t="s">
        <v>1021</v>
      </c>
      <c r="E354" s="9" t="s">
        <v>1113</v>
      </c>
      <c r="F354" s="9" t="s">
        <v>1116</v>
      </c>
      <c r="G354" s="6" t="s">
        <v>566</v>
      </c>
      <c r="H354" s="6" t="s">
        <v>1117</v>
      </c>
      <c r="I354" s="84"/>
      <c r="J354" s="105"/>
      <c r="K354" s="84" t="s">
        <v>1025</v>
      </c>
      <c r="L354" s="126" t="s">
        <v>568</v>
      </c>
      <c r="M354" s="32" t="s">
        <v>97</v>
      </c>
      <c r="N354" s="6" t="s">
        <v>1114</v>
      </c>
      <c r="O354" s="14">
        <v>28600000</v>
      </c>
      <c r="P354" s="7" t="s">
        <v>1115</v>
      </c>
    </row>
    <row r="355" spans="1:17" ht="174" x14ac:dyDescent="0.35">
      <c r="A355" s="6">
        <v>23</v>
      </c>
      <c r="B355" s="7" t="s">
        <v>480</v>
      </c>
      <c r="C355" s="9" t="s">
        <v>481</v>
      </c>
      <c r="D355" s="9" t="s">
        <v>1021</v>
      </c>
      <c r="E355" s="9" t="s">
        <v>1108</v>
      </c>
      <c r="F355" s="9" t="s">
        <v>1119</v>
      </c>
      <c r="G355" s="6" t="s">
        <v>566</v>
      </c>
      <c r="H355" s="6" t="s">
        <v>1120</v>
      </c>
      <c r="I355" s="84" t="s">
        <v>1110</v>
      </c>
      <c r="J355" s="105">
        <v>110170000</v>
      </c>
      <c r="K355" s="84" t="s">
        <v>1025</v>
      </c>
      <c r="L355" s="6">
        <v>2958596</v>
      </c>
      <c r="M355" s="32" t="s">
        <v>97</v>
      </c>
      <c r="N355" s="6" t="s">
        <v>1121</v>
      </c>
      <c r="O355" s="14">
        <v>81570000</v>
      </c>
      <c r="P355" s="7" t="s">
        <v>1112</v>
      </c>
    </row>
    <row r="356" spans="1:17" ht="58" x14ac:dyDescent="0.35">
      <c r="A356" s="6">
        <v>24</v>
      </c>
      <c r="B356" s="7" t="s">
        <v>480</v>
      </c>
      <c r="C356" s="9" t="s">
        <v>481</v>
      </c>
      <c r="D356" s="9" t="s">
        <v>1021</v>
      </c>
      <c r="E356" s="9" t="s">
        <v>1113</v>
      </c>
      <c r="F356" s="9" t="s">
        <v>1116</v>
      </c>
      <c r="G356" s="6" t="s">
        <v>566</v>
      </c>
      <c r="H356" s="6" t="s">
        <v>1120</v>
      </c>
      <c r="I356" s="84"/>
      <c r="J356" s="105"/>
      <c r="K356" s="84" t="s">
        <v>1025</v>
      </c>
      <c r="L356" s="126" t="s">
        <v>568</v>
      </c>
      <c r="M356" s="32" t="s">
        <v>97</v>
      </c>
      <c r="N356" s="6" t="s">
        <v>1114</v>
      </c>
      <c r="O356" s="14">
        <v>28600000</v>
      </c>
      <c r="P356" s="7" t="s">
        <v>1115</v>
      </c>
    </row>
    <row r="357" spans="1:17" ht="174" x14ac:dyDescent="0.35">
      <c r="A357" s="6">
        <v>25</v>
      </c>
      <c r="B357" s="7" t="s">
        <v>480</v>
      </c>
      <c r="C357" s="9" t="s">
        <v>481</v>
      </c>
      <c r="D357" s="9" t="s">
        <v>1021</v>
      </c>
      <c r="E357" s="9" t="s">
        <v>1108</v>
      </c>
      <c r="F357" s="9" t="s">
        <v>1122</v>
      </c>
      <c r="G357" s="6" t="s">
        <v>566</v>
      </c>
      <c r="H357" s="6" t="s">
        <v>1123</v>
      </c>
      <c r="I357" s="84"/>
      <c r="J357" s="105"/>
      <c r="K357" s="84" t="s">
        <v>1025</v>
      </c>
      <c r="L357" s="126" t="s">
        <v>568</v>
      </c>
      <c r="M357" s="32" t="s">
        <v>97</v>
      </c>
      <c r="N357" s="6" t="s">
        <v>1124</v>
      </c>
      <c r="O357" s="14">
        <v>81570000</v>
      </c>
      <c r="P357" s="7" t="s">
        <v>1112</v>
      </c>
    </row>
    <row r="358" spans="1:17" ht="58" x14ac:dyDescent="0.35">
      <c r="A358" s="6">
        <v>26</v>
      </c>
      <c r="B358" s="7" t="s">
        <v>480</v>
      </c>
      <c r="C358" s="9" t="s">
        <v>481</v>
      </c>
      <c r="D358" s="9" t="s">
        <v>1021</v>
      </c>
      <c r="E358" s="9" t="s">
        <v>1113</v>
      </c>
      <c r="F358" s="9" t="s">
        <v>1122</v>
      </c>
      <c r="G358" s="6" t="s">
        <v>566</v>
      </c>
      <c r="H358" s="6" t="s">
        <v>1123</v>
      </c>
      <c r="I358" s="84"/>
      <c r="J358" s="105"/>
      <c r="K358" s="84" t="s">
        <v>1025</v>
      </c>
      <c r="L358" s="126" t="s">
        <v>568</v>
      </c>
      <c r="M358" s="32" t="s">
        <v>97</v>
      </c>
      <c r="N358" s="6" t="s">
        <v>1114</v>
      </c>
      <c r="O358" s="14">
        <v>28600000</v>
      </c>
      <c r="P358" s="7" t="s">
        <v>1115</v>
      </c>
    </row>
    <row r="359" spans="1:17" ht="58" x14ac:dyDescent="0.35">
      <c r="A359" s="6">
        <v>27</v>
      </c>
      <c r="B359" s="7" t="s">
        <v>480</v>
      </c>
      <c r="C359" s="9" t="s">
        <v>481</v>
      </c>
      <c r="D359" s="211" t="s">
        <v>1021</v>
      </c>
      <c r="E359" s="9" t="s">
        <v>1125</v>
      </c>
      <c r="F359" s="9" t="s">
        <v>1126</v>
      </c>
      <c r="G359" s="6" t="s">
        <v>1127</v>
      </c>
      <c r="H359" s="6" t="s">
        <v>1128</v>
      </c>
      <c r="I359" s="6" t="s">
        <v>1129</v>
      </c>
      <c r="J359" s="14">
        <v>196000000</v>
      </c>
      <c r="K359" s="6" t="s">
        <v>1025</v>
      </c>
      <c r="L359" s="6">
        <v>2843362</v>
      </c>
      <c r="M359" s="32" t="s">
        <v>97</v>
      </c>
      <c r="N359" s="6" t="s">
        <v>1130</v>
      </c>
      <c r="O359" s="14">
        <v>168000000</v>
      </c>
      <c r="P359" s="212" t="s">
        <v>1044</v>
      </c>
    </row>
    <row r="360" spans="1:17" ht="116" x14ac:dyDescent="0.35">
      <c r="A360" s="6">
        <v>28</v>
      </c>
      <c r="B360" s="217" t="s">
        <v>480</v>
      </c>
      <c r="C360" s="218" t="s">
        <v>481</v>
      </c>
      <c r="D360" s="218" t="s">
        <v>1021</v>
      </c>
      <c r="E360" s="218" t="s">
        <v>1131</v>
      </c>
      <c r="F360" s="218" t="s">
        <v>1132</v>
      </c>
      <c r="G360" s="219" t="s">
        <v>334</v>
      </c>
      <c r="H360" s="219" t="s">
        <v>1133</v>
      </c>
      <c r="I360" s="219" t="s">
        <v>1134</v>
      </c>
      <c r="J360" s="220">
        <v>53856000</v>
      </c>
      <c r="K360" s="219" t="s">
        <v>1025</v>
      </c>
      <c r="L360" s="219">
        <v>2794673</v>
      </c>
      <c r="M360" s="219" t="s">
        <v>109</v>
      </c>
      <c r="N360" s="202" t="s">
        <v>1135</v>
      </c>
      <c r="O360" s="138">
        <v>95040000</v>
      </c>
      <c r="P360" s="212" t="s">
        <v>1044</v>
      </c>
    </row>
    <row r="361" spans="1:17" ht="58" x14ac:dyDescent="0.35">
      <c r="A361" s="6">
        <v>29</v>
      </c>
      <c r="B361" s="217" t="s">
        <v>480</v>
      </c>
      <c r="C361" s="218" t="s">
        <v>481</v>
      </c>
      <c r="D361" s="218" t="s">
        <v>1021</v>
      </c>
      <c r="E361" s="218" t="s">
        <v>1039</v>
      </c>
      <c r="F361" s="218" t="s">
        <v>1136</v>
      </c>
      <c r="G361" s="219" t="s">
        <v>107</v>
      </c>
      <c r="H361" s="219" t="s">
        <v>1137</v>
      </c>
      <c r="I361" s="219" t="s">
        <v>1138</v>
      </c>
      <c r="J361" s="220">
        <v>99500000</v>
      </c>
      <c r="K361" s="219" t="s">
        <v>1025</v>
      </c>
      <c r="L361" s="219">
        <v>2791239</v>
      </c>
      <c r="M361" s="219" t="s">
        <v>109</v>
      </c>
      <c r="N361" s="202" t="s">
        <v>1139</v>
      </c>
      <c r="O361" s="138">
        <v>99500000</v>
      </c>
      <c r="P361" s="212" t="s">
        <v>1044</v>
      </c>
    </row>
    <row r="362" spans="1:17" ht="72.5" x14ac:dyDescent="0.35">
      <c r="A362" s="6">
        <v>30</v>
      </c>
      <c r="B362" s="217" t="s">
        <v>480</v>
      </c>
      <c r="C362" s="218" t="s">
        <v>481</v>
      </c>
      <c r="D362" s="218" t="s">
        <v>1021</v>
      </c>
      <c r="E362" s="218" t="s">
        <v>1140</v>
      </c>
      <c r="F362" s="218" t="s">
        <v>1141</v>
      </c>
      <c r="G362" s="219" t="s">
        <v>334</v>
      </c>
      <c r="H362" s="219" t="s">
        <v>1142</v>
      </c>
      <c r="I362" s="219" t="s">
        <v>1143</v>
      </c>
      <c r="J362" s="220">
        <v>75000000</v>
      </c>
      <c r="K362" s="219" t="s">
        <v>1025</v>
      </c>
      <c r="L362" s="219">
        <v>2792740</v>
      </c>
      <c r="M362" s="219" t="s">
        <v>109</v>
      </c>
      <c r="N362" s="205" t="s">
        <v>1144</v>
      </c>
      <c r="O362" s="138">
        <v>75000000</v>
      </c>
      <c r="P362" s="212" t="s">
        <v>1045</v>
      </c>
      <c r="Q362" s="213"/>
    </row>
    <row r="363" spans="1:17" ht="58" x14ac:dyDescent="0.35">
      <c r="A363" s="6">
        <v>31</v>
      </c>
      <c r="B363" s="217" t="s">
        <v>480</v>
      </c>
      <c r="C363" s="218" t="s">
        <v>481</v>
      </c>
      <c r="D363" s="218" t="s">
        <v>1021</v>
      </c>
      <c r="E363" s="218" t="s">
        <v>1145</v>
      </c>
      <c r="F363" s="218" t="s">
        <v>1146</v>
      </c>
      <c r="G363" s="219" t="s">
        <v>1147</v>
      </c>
      <c r="H363" s="219" t="s">
        <v>1148</v>
      </c>
      <c r="I363" s="219" t="s">
        <v>1149</v>
      </c>
      <c r="J363" s="220">
        <v>700000000</v>
      </c>
      <c r="K363" s="219" t="s">
        <v>1025</v>
      </c>
      <c r="L363" s="219">
        <v>2931700</v>
      </c>
      <c r="M363" s="219" t="s">
        <v>109</v>
      </c>
      <c r="N363" s="202" t="s">
        <v>1150</v>
      </c>
      <c r="O363" s="138">
        <v>200000000</v>
      </c>
      <c r="P363" s="212" t="s">
        <v>1044</v>
      </c>
    </row>
    <row r="364" spans="1:17" ht="174" x14ac:dyDescent="0.35">
      <c r="A364" s="6">
        <v>32</v>
      </c>
      <c r="B364" s="217" t="s">
        <v>480</v>
      </c>
      <c r="C364" s="218" t="s">
        <v>481</v>
      </c>
      <c r="D364" s="218" t="s">
        <v>1021</v>
      </c>
      <c r="E364" s="218" t="s">
        <v>1151</v>
      </c>
      <c r="F364" s="218" t="s">
        <v>1152</v>
      </c>
      <c r="G364" s="219" t="s">
        <v>1147</v>
      </c>
      <c r="H364" s="219" t="s">
        <v>1153</v>
      </c>
      <c r="I364" s="219" t="s">
        <v>35</v>
      </c>
      <c r="J364" s="220">
        <v>100000000</v>
      </c>
      <c r="K364" s="219" t="s">
        <v>1025</v>
      </c>
      <c r="L364" s="219">
        <v>2939887</v>
      </c>
      <c r="M364" s="219" t="s">
        <v>109</v>
      </c>
      <c r="N364" s="6" t="s">
        <v>1154</v>
      </c>
      <c r="O364" s="138">
        <v>100000000</v>
      </c>
      <c r="P364" s="9"/>
    </row>
    <row r="365" spans="1:17" ht="174" x14ac:dyDescent="0.35">
      <c r="A365" s="6">
        <v>33</v>
      </c>
      <c r="B365" s="217" t="s">
        <v>480</v>
      </c>
      <c r="C365" s="218" t="s">
        <v>481</v>
      </c>
      <c r="D365" s="218" t="s">
        <v>1021</v>
      </c>
      <c r="E365" s="218" t="s">
        <v>1151</v>
      </c>
      <c r="F365" s="218" t="s">
        <v>1155</v>
      </c>
      <c r="G365" s="219" t="s">
        <v>1147</v>
      </c>
      <c r="H365" s="219" t="s">
        <v>1156</v>
      </c>
      <c r="I365" s="219" t="s">
        <v>35</v>
      </c>
      <c r="J365" s="220">
        <v>100000000</v>
      </c>
      <c r="K365" s="219" t="s">
        <v>1025</v>
      </c>
      <c r="L365" s="219">
        <v>2940112</v>
      </c>
      <c r="M365" s="219" t="s">
        <v>109</v>
      </c>
      <c r="N365" s="6" t="s">
        <v>1154</v>
      </c>
      <c r="O365" s="138">
        <v>100000000</v>
      </c>
      <c r="P365" s="9"/>
    </row>
    <row r="366" spans="1:17" ht="174" x14ac:dyDescent="0.35">
      <c r="A366" s="6">
        <v>34</v>
      </c>
      <c r="B366" s="217" t="s">
        <v>480</v>
      </c>
      <c r="C366" s="218" t="s">
        <v>481</v>
      </c>
      <c r="D366" s="218" t="s">
        <v>1021</v>
      </c>
      <c r="E366" s="218" t="s">
        <v>1151</v>
      </c>
      <c r="F366" s="218" t="s">
        <v>1157</v>
      </c>
      <c r="G366" s="219" t="s">
        <v>1147</v>
      </c>
      <c r="H366" s="219" t="s">
        <v>1158</v>
      </c>
      <c r="I366" s="219" t="s">
        <v>35</v>
      </c>
      <c r="J366" s="220">
        <v>100000000</v>
      </c>
      <c r="K366" s="219" t="s">
        <v>1025</v>
      </c>
      <c r="L366" s="219">
        <v>2939957</v>
      </c>
      <c r="M366" s="219" t="s">
        <v>109</v>
      </c>
      <c r="N366" s="6" t="s">
        <v>1154</v>
      </c>
      <c r="O366" s="138">
        <v>100000000</v>
      </c>
      <c r="P366" s="9"/>
    </row>
    <row r="367" spans="1:17" ht="72.5" x14ac:dyDescent="0.35">
      <c r="A367" s="6">
        <v>35</v>
      </c>
      <c r="B367" s="217" t="s">
        <v>480</v>
      </c>
      <c r="C367" s="218" t="s">
        <v>481</v>
      </c>
      <c r="D367" s="218" t="s">
        <v>1021</v>
      </c>
      <c r="E367" s="218" t="s">
        <v>1159</v>
      </c>
      <c r="F367" s="218" t="s">
        <v>1160</v>
      </c>
      <c r="G367" s="219" t="s">
        <v>298</v>
      </c>
      <c r="H367" s="219" t="s">
        <v>701</v>
      </c>
      <c r="I367" s="219" t="s">
        <v>35</v>
      </c>
      <c r="J367" s="220">
        <v>85000000</v>
      </c>
      <c r="K367" s="219" t="s">
        <v>1025</v>
      </c>
      <c r="L367" s="219">
        <v>2943482</v>
      </c>
      <c r="M367" s="219" t="s">
        <v>109</v>
      </c>
      <c r="N367" s="202" t="s">
        <v>1161</v>
      </c>
      <c r="O367" s="138">
        <v>85000000</v>
      </c>
      <c r="P367" s="214" t="s">
        <v>1162</v>
      </c>
      <c r="Q367" s="215"/>
    </row>
    <row r="368" spans="1:17" ht="58" x14ac:dyDescent="0.35">
      <c r="A368" s="6">
        <v>36</v>
      </c>
      <c r="B368" s="217" t="s">
        <v>480</v>
      </c>
      <c r="C368" s="218" t="s">
        <v>481</v>
      </c>
      <c r="D368" s="218" t="s">
        <v>1021</v>
      </c>
      <c r="E368" s="218" t="s">
        <v>1163</v>
      </c>
      <c r="F368" s="218" t="s">
        <v>1160</v>
      </c>
      <c r="G368" s="219" t="s">
        <v>298</v>
      </c>
      <c r="H368" s="219" t="s">
        <v>299</v>
      </c>
      <c r="I368" s="219" t="s">
        <v>1164</v>
      </c>
      <c r="J368" s="220">
        <v>150000000</v>
      </c>
      <c r="K368" s="219" t="s">
        <v>1025</v>
      </c>
      <c r="L368" s="219">
        <v>2968221</v>
      </c>
      <c r="M368" s="219" t="s">
        <v>109</v>
      </c>
      <c r="N368" s="202" t="s">
        <v>1085</v>
      </c>
      <c r="O368" s="138">
        <v>150000000</v>
      </c>
      <c r="P368" s="212" t="s">
        <v>1044</v>
      </c>
    </row>
    <row r="369" spans="1:17" ht="174" x14ac:dyDescent="0.35">
      <c r="A369" s="6">
        <v>37</v>
      </c>
      <c r="B369" s="217" t="s">
        <v>480</v>
      </c>
      <c r="C369" s="218" t="s">
        <v>481</v>
      </c>
      <c r="D369" s="218" t="s">
        <v>1021</v>
      </c>
      <c r="E369" s="218" t="s">
        <v>1151</v>
      </c>
      <c r="F369" s="218" t="s">
        <v>1165</v>
      </c>
      <c r="G369" s="219" t="s">
        <v>298</v>
      </c>
      <c r="H369" s="219" t="s">
        <v>1166</v>
      </c>
      <c r="I369" s="219" t="s">
        <v>35</v>
      </c>
      <c r="J369" s="220">
        <v>75000000</v>
      </c>
      <c r="K369" s="219" t="s">
        <v>1025</v>
      </c>
      <c r="L369" s="219">
        <v>2969450</v>
      </c>
      <c r="M369" s="219" t="s">
        <v>109</v>
      </c>
      <c r="N369" s="6" t="s">
        <v>1167</v>
      </c>
      <c r="O369" s="138">
        <v>150000000</v>
      </c>
      <c r="P369" s="9"/>
    </row>
    <row r="370" spans="1:17" ht="58" x14ac:dyDescent="0.35">
      <c r="A370" s="6">
        <v>38</v>
      </c>
      <c r="B370" s="217" t="s">
        <v>480</v>
      </c>
      <c r="C370" s="218" t="s">
        <v>481</v>
      </c>
      <c r="D370" s="218" t="s">
        <v>1021</v>
      </c>
      <c r="E370" s="218" t="s">
        <v>1039</v>
      </c>
      <c r="F370" s="218" t="s">
        <v>1168</v>
      </c>
      <c r="G370" s="219" t="s">
        <v>308</v>
      </c>
      <c r="H370" s="219" t="s">
        <v>1169</v>
      </c>
      <c r="I370" s="219" t="s">
        <v>1170</v>
      </c>
      <c r="J370" s="220">
        <v>200000000</v>
      </c>
      <c r="K370" s="219" t="s">
        <v>1025</v>
      </c>
      <c r="L370" s="219">
        <v>2907650</v>
      </c>
      <c r="M370" s="219" t="s">
        <v>109</v>
      </c>
      <c r="N370" s="202" t="s">
        <v>1150</v>
      </c>
      <c r="O370" s="138">
        <v>200000000</v>
      </c>
      <c r="P370" s="212" t="s">
        <v>1044</v>
      </c>
    </row>
    <row r="371" spans="1:17" ht="58" x14ac:dyDescent="0.35">
      <c r="A371" s="6">
        <v>39</v>
      </c>
      <c r="B371" s="217" t="s">
        <v>480</v>
      </c>
      <c r="C371" s="218" t="s">
        <v>481</v>
      </c>
      <c r="D371" s="218" t="s">
        <v>1021</v>
      </c>
      <c r="E371" s="218" t="s">
        <v>1039</v>
      </c>
      <c r="F371" s="218" t="s">
        <v>1171</v>
      </c>
      <c r="G371" s="219" t="s">
        <v>308</v>
      </c>
      <c r="H371" s="219" t="s">
        <v>1172</v>
      </c>
      <c r="I371" s="219" t="s">
        <v>1173</v>
      </c>
      <c r="J371" s="220">
        <v>100000000</v>
      </c>
      <c r="K371" s="219" t="s">
        <v>1025</v>
      </c>
      <c r="L371" s="219">
        <v>2914824</v>
      </c>
      <c r="M371" s="219" t="s">
        <v>109</v>
      </c>
      <c r="N371" s="202" t="s">
        <v>1174</v>
      </c>
      <c r="O371" s="138">
        <v>50800000</v>
      </c>
      <c r="P371" s="212" t="s">
        <v>1044</v>
      </c>
    </row>
    <row r="372" spans="1:17" ht="58" x14ac:dyDescent="0.35">
      <c r="A372" s="6">
        <v>40</v>
      </c>
      <c r="B372" s="217" t="s">
        <v>480</v>
      </c>
      <c r="C372" s="218" t="s">
        <v>481</v>
      </c>
      <c r="D372" s="218" t="s">
        <v>1021</v>
      </c>
      <c r="E372" s="218" t="s">
        <v>1175</v>
      </c>
      <c r="F372" s="218" t="s">
        <v>186</v>
      </c>
      <c r="G372" s="219" t="s">
        <v>116</v>
      </c>
      <c r="H372" s="219" t="s">
        <v>117</v>
      </c>
      <c r="I372" s="219" t="s">
        <v>431</v>
      </c>
      <c r="J372" s="220">
        <v>30000000</v>
      </c>
      <c r="K372" s="219" t="s">
        <v>1025</v>
      </c>
      <c r="L372" s="219">
        <v>2922467</v>
      </c>
      <c r="M372" s="219" t="s">
        <v>109</v>
      </c>
      <c r="N372" s="202" t="s">
        <v>1176</v>
      </c>
      <c r="O372" s="138">
        <v>30000000</v>
      </c>
      <c r="P372" s="214" t="s">
        <v>1177</v>
      </c>
    </row>
    <row r="373" spans="1:17" ht="58" x14ac:dyDescent="0.35">
      <c r="A373" s="6">
        <v>41</v>
      </c>
      <c r="B373" s="217" t="s">
        <v>480</v>
      </c>
      <c r="C373" s="218" t="s">
        <v>481</v>
      </c>
      <c r="D373" s="218" t="s">
        <v>1021</v>
      </c>
      <c r="E373" s="218" t="s">
        <v>1178</v>
      </c>
      <c r="F373" s="218" t="s">
        <v>1160</v>
      </c>
      <c r="G373" s="219" t="s">
        <v>116</v>
      </c>
      <c r="H373" s="219" t="s">
        <v>120</v>
      </c>
      <c r="I373" s="219" t="s">
        <v>1179</v>
      </c>
      <c r="J373" s="220">
        <v>160000000</v>
      </c>
      <c r="K373" s="219" t="s">
        <v>1025</v>
      </c>
      <c r="L373" s="219">
        <v>2913532</v>
      </c>
      <c r="M373" s="219" t="s">
        <v>109</v>
      </c>
      <c r="N373" s="202" t="s">
        <v>1180</v>
      </c>
      <c r="O373" s="138">
        <v>160000000</v>
      </c>
      <c r="P373" s="212" t="s">
        <v>1044</v>
      </c>
    </row>
    <row r="374" spans="1:17" ht="58" x14ac:dyDescent="0.35">
      <c r="A374" s="6">
        <v>42</v>
      </c>
      <c r="B374" s="217" t="s">
        <v>480</v>
      </c>
      <c r="C374" s="218" t="s">
        <v>481</v>
      </c>
      <c r="D374" s="218" t="s">
        <v>1021</v>
      </c>
      <c r="E374" s="218" t="s">
        <v>1178</v>
      </c>
      <c r="F374" s="218" t="s">
        <v>1160</v>
      </c>
      <c r="G374" s="219" t="s">
        <v>116</v>
      </c>
      <c r="H374" s="219" t="s">
        <v>1181</v>
      </c>
      <c r="I374" s="219" t="s">
        <v>431</v>
      </c>
      <c r="J374" s="220">
        <v>190000000</v>
      </c>
      <c r="K374" s="219" t="s">
        <v>1025</v>
      </c>
      <c r="L374" s="219">
        <v>2857065</v>
      </c>
      <c r="M374" s="219" t="s">
        <v>109</v>
      </c>
      <c r="N374" s="202" t="s">
        <v>1182</v>
      </c>
      <c r="O374" s="138">
        <v>190000000</v>
      </c>
      <c r="P374" s="212" t="s">
        <v>1044</v>
      </c>
    </row>
    <row r="375" spans="1:17" ht="58" x14ac:dyDescent="0.35">
      <c r="A375" s="6">
        <v>43</v>
      </c>
      <c r="B375" s="217" t="s">
        <v>480</v>
      </c>
      <c r="C375" s="218" t="s">
        <v>481</v>
      </c>
      <c r="D375" s="218" t="s">
        <v>1021</v>
      </c>
      <c r="E375" s="218" t="s">
        <v>1183</v>
      </c>
      <c r="F375" s="218" t="s">
        <v>1184</v>
      </c>
      <c r="G375" s="219" t="s">
        <v>1185</v>
      </c>
      <c r="H375" s="219" t="s">
        <v>1186</v>
      </c>
      <c r="I375" s="219" t="s">
        <v>1187</v>
      </c>
      <c r="J375" s="220">
        <v>100000000</v>
      </c>
      <c r="K375" s="219" t="s">
        <v>1025</v>
      </c>
      <c r="L375" s="219">
        <v>2769780</v>
      </c>
      <c r="M375" s="219" t="s">
        <v>109</v>
      </c>
      <c r="N375" s="202" t="s">
        <v>1188</v>
      </c>
      <c r="O375" s="138">
        <v>135000000</v>
      </c>
      <c r="P375" s="212" t="s">
        <v>1044</v>
      </c>
    </row>
    <row r="376" spans="1:17" ht="58" x14ac:dyDescent="0.35">
      <c r="A376" s="6">
        <v>44</v>
      </c>
      <c r="B376" s="217" t="s">
        <v>480</v>
      </c>
      <c r="C376" s="218" t="s">
        <v>481</v>
      </c>
      <c r="D376" s="218" t="s">
        <v>1021</v>
      </c>
      <c r="E376" s="218" t="s">
        <v>1189</v>
      </c>
      <c r="F376" s="218" t="s">
        <v>1190</v>
      </c>
      <c r="G376" s="219" t="s">
        <v>1185</v>
      </c>
      <c r="H376" s="219" t="s">
        <v>1191</v>
      </c>
      <c r="I376" s="219" t="s">
        <v>1187</v>
      </c>
      <c r="J376" s="220">
        <v>100000000</v>
      </c>
      <c r="K376" s="219" t="s">
        <v>1025</v>
      </c>
      <c r="L376" s="219">
        <v>2826541</v>
      </c>
      <c r="M376" s="219" t="s">
        <v>109</v>
      </c>
      <c r="N376" s="202" t="s">
        <v>1192</v>
      </c>
      <c r="O376" s="138">
        <v>130735000</v>
      </c>
      <c r="P376" s="203" t="s">
        <v>1193</v>
      </c>
      <c r="Q376" s="221"/>
    </row>
    <row r="377" spans="1:17" ht="58" x14ac:dyDescent="0.35">
      <c r="A377" s="6">
        <v>45</v>
      </c>
      <c r="B377" s="7" t="s">
        <v>480</v>
      </c>
      <c r="C377" s="9" t="s">
        <v>481</v>
      </c>
      <c r="D377" s="9" t="s">
        <v>1021</v>
      </c>
      <c r="E377" s="9" t="s">
        <v>1194</v>
      </c>
      <c r="F377" s="9" t="s">
        <v>1195</v>
      </c>
      <c r="G377" s="6" t="s">
        <v>1196</v>
      </c>
      <c r="H377" s="6" t="s">
        <v>1197</v>
      </c>
      <c r="I377" s="6" t="s">
        <v>1198</v>
      </c>
      <c r="J377" s="195">
        <v>142000000</v>
      </c>
      <c r="K377" s="6" t="s">
        <v>1025</v>
      </c>
      <c r="L377" s="6">
        <v>2931494</v>
      </c>
      <c r="M377" s="6" t="s">
        <v>27</v>
      </c>
      <c r="N377" s="6" t="s">
        <v>1199</v>
      </c>
      <c r="O377" s="14">
        <v>142000000</v>
      </c>
      <c r="P377" s="203" t="s">
        <v>1193</v>
      </c>
      <c r="Q377" s="221"/>
    </row>
    <row r="378" spans="1:17" ht="101.5" x14ac:dyDescent="0.35">
      <c r="A378" s="6">
        <v>46</v>
      </c>
      <c r="B378" s="7" t="s">
        <v>480</v>
      </c>
      <c r="C378" s="9" t="s">
        <v>481</v>
      </c>
      <c r="D378" s="9" t="s">
        <v>1021</v>
      </c>
      <c r="E378" s="9" t="s">
        <v>1200</v>
      </c>
      <c r="F378" s="9" t="s">
        <v>1201</v>
      </c>
      <c r="G378" s="6" t="s">
        <v>339</v>
      </c>
      <c r="H378" s="6" t="s">
        <v>1202</v>
      </c>
      <c r="I378" s="6" t="s">
        <v>556</v>
      </c>
      <c r="J378" s="138">
        <v>50000000</v>
      </c>
      <c r="K378" s="6" t="s">
        <v>1025</v>
      </c>
      <c r="L378" s="6">
        <v>2936878</v>
      </c>
      <c r="M378" s="6" t="s">
        <v>27</v>
      </c>
      <c r="N378" s="205" t="s">
        <v>1203</v>
      </c>
      <c r="O378" s="138">
        <v>50000000</v>
      </c>
      <c r="P378" s="212" t="s">
        <v>1045</v>
      </c>
      <c r="Q378" s="213"/>
    </row>
    <row r="379" spans="1:17" ht="58" x14ac:dyDescent="0.35">
      <c r="A379" s="6">
        <v>47</v>
      </c>
      <c r="B379" s="27" t="s">
        <v>480</v>
      </c>
      <c r="C379" s="29" t="s">
        <v>481</v>
      </c>
      <c r="D379" s="29" t="s">
        <v>1021</v>
      </c>
      <c r="E379" s="29" t="s">
        <v>1204</v>
      </c>
      <c r="F379" s="29" t="s">
        <v>1205</v>
      </c>
      <c r="G379" s="126" t="s">
        <v>339</v>
      </c>
      <c r="H379" s="126" t="s">
        <v>1206</v>
      </c>
      <c r="I379" s="126" t="s">
        <v>1207</v>
      </c>
      <c r="J379" s="222">
        <v>250000000</v>
      </c>
      <c r="K379" s="126" t="s">
        <v>1025</v>
      </c>
      <c r="L379" s="126">
        <v>2935413</v>
      </c>
      <c r="M379" s="126" t="s">
        <v>27</v>
      </c>
      <c r="N379" s="126" t="s">
        <v>1208</v>
      </c>
      <c r="O379" s="222">
        <v>250000000</v>
      </c>
      <c r="P379" s="29" t="s">
        <v>1209</v>
      </c>
    </row>
    <row r="380" spans="1:17" ht="58" x14ac:dyDescent="0.35">
      <c r="A380" s="6">
        <v>48</v>
      </c>
      <c r="B380" s="7" t="s">
        <v>480</v>
      </c>
      <c r="C380" s="9" t="s">
        <v>481</v>
      </c>
      <c r="D380" s="9" t="s">
        <v>1021</v>
      </c>
      <c r="E380" s="9" t="s">
        <v>1210</v>
      </c>
      <c r="F380" s="9" t="s">
        <v>338</v>
      </c>
      <c r="G380" s="6" t="s">
        <v>339</v>
      </c>
      <c r="H380" s="6" t="s">
        <v>340</v>
      </c>
      <c r="I380" s="6" t="s">
        <v>280</v>
      </c>
      <c r="J380" s="138">
        <v>100000000</v>
      </c>
      <c r="K380" s="6" t="s">
        <v>1025</v>
      </c>
      <c r="L380" s="6">
        <v>2937058</v>
      </c>
      <c r="M380" s="6" t="s">
        <v>27</v>
      </c>
      <c r="N380" s="6" t="s">
        <v>1211</v>
      </c>
      <c r="O380" s="138">
        <v>109000000</v>
      </c>
      <c r="P380" s="203" t="s">
        <v>1193</v>
      </c>
    </row>
    <row r="381" spans="1:17" ht="58" x14ac:dyDescent="0.35">
      <c r="A381" s="6">
        <v>49</v>
      </c>
      <c r="B381" s="214" t="s">
        <v>480</v>
      </c>
      <c r="C381" s="223" t="s">
        <v>481</v>
      </c>
      <c r="D381" s="223" t="s">
        <v>1021</v>
      </c>
      <c r="E381" s="223" t="s">
        <v>1039</v>
      </c>
      <c r="F381" s="223" t="s">
        <v>338</v>
      </c>
      <c r="G381" s="209" t="s">
        <v>339</v>
      </c>
      <c r="H381" s="209" t="s">
        <v>1212</v>
      </c>
      <c r="I381" s="209" t="s">
        <v>1213</v>
      </c>
      <c r="J381" s="224">
        <v>250000000</v>
      </c>
      <c r="K381" s="209" t="s">
        <v>1025</v>
      </c>
      <c r="L381" s="209">
        <v>2932551</v>
      </c>
      <c r="M381" s="209" t="s">
        <v>27</v>
      </c>
      <c r="N381" s="209">
        <v>228</v>
      </c>
      <c r="O381" s="224">
        <v>250000000</v>
      </c>
      <c r="P381" s="212" t="s">
        <v>1193</v>
      </c>
      <c r="Q381" s="225" t="s">
        <v>1214</v>
      </c>
    </row>
    <row r="382" spans="1:17" ht="58" x14ac:dyDescent="0.35">
      <c r="A382" s="6">
        <v>50</v>
      </c>
      <c r="B382" s="7" t="s">
        <v>480</v>
      </c>
      <c r="C382" s="9" t="s">
        <v>481</v>
      </c>
      <c r="D382" s="9" t="s">
        <v>1021</v>
      </c>
      <c r="E382" s="9" t="s">
        <v>1061</v>
      </c>
      <c r="F382" s="9" t="s">
        <v>127</v>
      </c>
      <c r="G382" s="6" t="s">
        <v>23</v>
      </c>
      <c r="H382" s="6" t="s">
        <v>128</v>
      </c>
      <c r="I382" s="6" t="s">
        <v>1215</v>
      </c>
      <c r="J382" s="195">
        <v>190000000</v>
      </c>
      <c r="K382" s="6" t="s">
        <v>1025</v>
      </c>
      <c r="L382" s="6">
        <v>2798907</v>
      </c>
      <c r="M382" s="6" t="s">
        <v>27</v>
      </c>
      <c r="N382" s="6" t="s">
        <v>1182</v>
      </c>
      <c r="O382" s="14">
        <v>190000000</v>
      </c>
      <c r="P382" s="203" t="s">
        <v>1044</v>
      </c>
      <c r="Q382" s="221"/>
    </row>
    <row r="383" spans="1:17" ht="58" x14ac:dyDescent="0.35">
      <c r="A383" s="6">
        <v>51</v>
      </c>
      <c r="B383" s="214" t="s">
        <v>480</v>
      </c>
      <c r="C383" s="223" t="s">
        <v>481</v>
      </c>
      <c r="D383" s="223" t="s">
        <v>1021</v>
      </c>
      <c r="E383" s="223" t="s">
        <v>1216</v>
      </c>
      <c r="F383" s="223" t="s">
        <v>1217</v>
      </c>
      <c r="G383" s="209" t="s">
        <v>345</v>
      </c>
      <c r="H383" s="209" t="s">
        <v>1218</v>
      </c>
      <c r="I383" s="209" t="s">
        <v>1219</v>
      </c>
      <c r="J383" s="224">
        <v>90000000</v>
      </c>
      <c r="K383" s="209" t="s">
        <v>1025</v>
      </c>
      <c r="L383" s="209">
        <v>2906082</v>
      </c>
      <c r="M383" s="209" t="s">
        <v>27</v>
      </c>
      <c r="N383" s="209" t="s">
        <v>1220</v>
      </c>
      <c r="O383" s="224">
        <v>90000000</v>
      </c>
      <c r="P383" s="203" t="s">
        <v>1193</v>
      </c>
    </row>
    <row r="384" spans="1:17" ht="58" x14ac:dyDescent="0.35">
      <c r="A384" s="6">
        <v>52</v>
      </c>
      <c r="B384" s="7" t="s">
        <v>480</v>
      </c>
      <c r="C384" s="9" t="s">
        <v>481</v>
      </c>
      <c r="D384" s="9" t="s">
        <v>1021</v>
      </c>
      <c r="E384" s="226" t="s">
        <v>1221</v>
      </c>
      <c r="F384" s="227" t="s">
        <v>344</v>
      </c>
      <c r="G384" s="228" t="s">
        <v>345</v>
      </c>
      <c r="H384" s="228" t="s">
        <v>346</v>
      </c>
      <c r="I384" s="228" t="s">
        <v>1219</v>
      </c>
      <c r="J384" s="138">
        <v>60000000</v>
      </c>
      <c r="K384" s="6" t="s">
        <v>1025</v>
      </c>
      <c r="L384" s="6">
        <v>2962891</v>
      </c>
      <c r="M384" s="6" t="s">
        <v>27</v>
      </c>
      <c r="N384" s="6" t="s">
        <v>1222</v>
      </c>
      <c r="O384" s="138">
        <v>50000000</v>
      </c>
      <c r="P384" s="203" t="s">
        <v>1193</v>
      </c>
    </row>
    <row r="385" spans="1:17" ht="58" x14ac:dyDescent="0.35">
      <c r="A385" s="6">
        <v>53</v>
      </c>
      <c r="B385" s="7" t="s">
        <v>480</v>
      </c>
      <c r="C385" s="9" t="s">
        <v>481</v>
      </c>
      <c r="D385" s="9" t="s">
        <v>1021</v>
      </c>
      <c r="E385" s="226" t="s">
        <v>1216</v>
      </c>
      <c r="F385" s="227" t="s">
        <v>1223</v>
      </c>
      <c r="G385" s="228" t="s">
        <v>345</v>
      </c>
      <c r="H385" s="228" t="s">
        <v>1224</v>
      </c>
      <c r="I385" s="228" t="s">
        <v>1225</v>
      </c>
      <c r="J385" s="138">
        <v>28000000</v>
      </c>
      <c r="K385" s="6" t="s">
        <v>1025</v>
      </c>
      <c r="L385" s="6">
        <v>2906082</v>
      </c>
      <c r="M385" s="6" t="s">
        <v>27</v>
      </c>
      <c r="N385" s="6" t="s">
        <v>1226</v>
      </c>
      <c r="O385" s="138">
        <v>50000000</v>
      </c>
      <c r="P385" s="203" t="s">
        <v>1193</v>
      </c>
    </row>
    <row r="386" spans="1:17" ht="58" x14ac:dyDescent="0.35">
      <c r="A386" s="6">
        <v>54</v>
      </c>
      <c r="B386" s="7" t="s">
        <v>480</v>
      </c>
      <c r="C386" s="9" t="s">
        <v>481</v>
      </c>
      <c r="D386" s="9" t="s">
        <v>1021</v>
      </c>
      <c r="E386" s="226" t="s">
        <v>1227</v>
      </c>
      <c r="F386" s="9" t="s">
        <v>1223</v>
      </c>
      <c r="G386" s="228" t="s">
        <v>345</v>
      </c>
      <c r="H386" s="228" t="s">
        <v>1224</v>
      </c>
      <c r="I386" s="228" t="s">
        <v>725</v>
      </c>
      <c r="J386" s="138">
        <v>40000000</v>
      </c>
      <c r="K386" s="6" t="s">
        <v>1025</v>
      </c>
      <c r="L386" s="6">
        <v>2933194</v>
      </c>
      <c r="M386" s="6" t="s">
        <v>27</v>
      </c>
      <c r="N386" s="6" t="s">
        <v>280</v>
      </c>
      <c r="O386" s="138">
        <v>40000000</v>
      </c>
      <c r="P386" s="214" t="s">
        <v>1228</v>
      </c>
      <c r="Q386" s="215"/>
    </row>
    <row r="387" spans="1:17" ht="58" x14ac:dyDescent="0.35">
      <c r="A387" s="6">
        <v>55</v>
      </c>
      <c r="B387" s="7" t="s">
        <v>480</v>
      </c>
      <c r="C387" s="9" t="s">
        <v>481</v>
      </c>
      <c r="D387" s="9" t="s">
        <v>1021</v>
      </c>
      <c r="E387" s="226" t="s">
        <v>1072</v>
      </c>
      <c r="F387" s="9"/>
      <c r="G387" s="228" t="s">
        <v>130</v>
      </c>
      <c r="H387" s="228" t="s">
        <v>1229</v>
      </c>
      <c r="I387" s="228" t="s">
        <v>1230</v>
      </c>
      <c r="J387" s="195">
        <v>35000000</v>
      </c>
      <c r="K387" s="6" t="s">
        <v>1025</v>
      </c>
      <c r="L387" s="126" t="s">
        <v>568</v>
      </c>
      <c r="M387" s="6" t="s">
        <v>27</v>
      </c>
      <c r="N387" s="6" t="s">
        <v>1174</v>
      </c>
      <c r="O387" s="14">
        <v>50000000</v>
      </c>
      <c r="P387" s="203" t="s">
        <v>1044</v>
      </c>
    </row>
    <row r="388" spans="1:17" ht="58" x14ac:dyDescent="0.35">
      <c r="A388" s="6">
        <v>56</v>
      </c>
      <c r="B388" s="7" t="s">
        <v>480</v>
      </c>
      <c r="C388" s="9" t="s">
        <v>481</v>
      </c>
      <c r="D388" s="9" t="s">
        <v>1021</v>
      </c>
      <c r="E388" s="226" t="s">
        <v>1231</v>
      </c>
      <c r="F388" s="9"/>
      <c r="G388" s="228" t="s">
        <v>130</v>
      </c>
      <c r="H388" s="228" t="s">
        <v>1232</v>
      </c>
      <c r="I388" s="228" t="s">
        <v>1233</v>
      </c>
      <c r="J388" s="195">
        <v>125000000</v>
      </c>
      <c r="K388" s="6" t="s">
        <v>1025</v>
      </c>
      <c r="L388" s="126" t="s">
        <v>568</v>
      </c>
      <c r="M388" s="6" t="s">
        <v>27</v>
      </c>
      <c r="N388" s="6" t="s">
        <v>1234</v>
      </c>
      <c r="O388" s="14">
        <v>125000000</v>
      </c>
      <c r="P388" s="203" t="s">
        <v>1044</v>
      </c>
    </row>
    <row r="389" spans="1:17" ht="58" x14ac:dyDescent="0.35">
      <c r="A389" s="6">
        <v>57</v>
      </c>
      <c r="B389" s="7" t="s">
        <v>480</v>
      </c>
      <c r="C389" s="9" t="s">
        <v>481</v>
      </c>
      <c r="D389" s="9" t="s">
        <v>1021</v>
      </c>
      <c r="E389" s="226" t="s">
        <v>1235</v>
      </c>
      <c r="F389" s="9"/>
      <c r="G389" s="228" t="s">
        <v>130</v>
      </c>
      <c r="H389" s="228" t="s">
        <v>1236</v>
      </c>
      <c r="I389" s="228" t="s">
        <v>1233</v>
      </c>
      <c r="J389" s="195">
        <v>125000000</v>
      </c>
      <c r="K389" s="6" t="s">
        <v>1025</v>
      </c>
      <c r="L389" s="126" t="s">
        <v>568</v>
      </c>
      <c r="M389" s="6" t="s">
        <v>27</v>
      </c>
      <c r="N389" s="6" t="s">
        <v>1234</v>
      </c>
      <c r="O389" s="14">
        <v>125000000</v>
      </c>
      <c r="P389" s="203" t="s">
        <v>1044</v>
      </c>
    </row>
    <row r="390" spans="1:17" ht="159.5" x14ac:dyDescent="0.35">
      <c r="A390" s="6">
        <v>58</v>
      </c>
      <c r="B390" s="7" t="s">
        <v>480</v>
      </c>
      <c r="C390" s="9" t="s">
        <v>481</v>
      </c>
      <c r="D390" s="9" t="s">
        <v>1021</v>
      </c>
      <c r="E390" s="226" t="s">
        <v>1151</v>
      </c>
      <c r="F390" s="9" t="s">
        <v>1237</v>
      </c>
      <c r="G390" s="228" t="s">
        <v>1238</v>
      </c>
      <c r="H390" s="228" t="s">
        <v>1239</v>
      </c>
      <c r="I390" s="6"/>
      <c r="J390" s="195">
        <v>55000000</v>
      </c>
      <c r="K390" s="6" t="s">
        <v>1025</v>
      </c>
      <c r="L390" s="6">
        <v>2823430</v>
      </c>
      <c r="M390" s="6" t="s">
        <v>27</v>
      </c>
      <c r="N390" s="6" t="s">
        <v>1240</v>
      </c>
      <c r="O390" s="14">
        <v>55000000</v>
      </c>
      <c r="P390" s="7" t="s">
        <v>1241</v>
      </c>
    </row>
    <row r="391" spans="1:17" ht="58" x14ac:dyDescent="0.35">
      <c r="A391" s="6">
        <v>59</v>
      </c>
      <c r="B391" s="7" t="s">
        <v>480</v>
      </c>
      <c r="C391" s="9" t="s">
        <v>481</v>
      </c>
      <c r="D391" s="9" t="s">
        <v>1021</v>
      </c>
      <c r="E391" s="9" t="s">
        <v>1159</v>
      </c>
      <c r="F391" s="9" t="s">
        <v>591</v>
      </c>
      <c r="G391" s="6" t="s">
        <v>135</v>
      </c>
      <c r="H391" s="6" t="s">
        <v>1242</v>
      </c>
      <c r="I391" s="6" t="s">
        <v>122</v>
      </c>
      <c r="J391" s="138">
        <v>100000000</v>
      </c>
      <c r="K391" s="6" t="s">
        <v>1025</v>
      </c>
      <c r="L391" s="6">
        <v>2906051</v>
      </c>
      <c r="M391" s="6" t="s">
        <v>27</v>
      </c>
      <c r="N391" s="6" t="s">
        <v>54</v>
      </c>
      <c r="O391" s="138">
        <v>100000000</v>
      </c>
      <c r="P391" s="214" t="s">
        <v>1243</v>
      </c>
      <c r="Q391" s="215"/>
    </row>
    <row r="392" spans="1:17" ht="58" x14ac:dyDescent="0.35">
      <c r="A392" s="6">
        <v>60</v>
      </c>
      <c r="B392" s="198" t="s">
        <v>480</v>
      </c>
      <c r="C392" s="79" t="s">
        <v>481</v>
      </c>
      <c r="D392" s="79" t="s">
        <v>1021</v>
      </c>
      <c r="E392" s="79" t="s">
        <v>1244</v>
      </c>
      <c r="F392" s="79" t="s">
        <v>1245</v>
      </c>
      <c r="G392" s="199" t="s">
        <v>351</v>
      </c>
      <c r="H392" s="199" t="s">
        <v>1246</v>
      </c>
      <c r="I392" s="199" t="s">
        <v>1247</v>
      </c>
      <c r="J392" s="229">
        <v>100000000</v>
      </c>
      <c r="K392" s="199" t="s">
        <v>1025</v>
      </c>
      <c r="L392" s="199">
        <v>2959378</v>
      </c>
      <c r="M392" s="199" t="s">
        <v>27</v>
      </c>
      <c r="N392" s="199"/>
      <c r="O392" s="229"/>
      <c r="P392" s="198" t="s">
        <v>1248</v>
      </c>
    </row>
    <row r="393" spans="1:17" ht="58" x14ac:dyDescent="0.35">
      <c r="A393" s="6">
        <v>61</v>
      </c>
      <c r="B393" s="7" t="s">
        <v>480</v>
      </c>
      <c r="C393" s="9" t="s">
        <v>481</v>
      </c>
      <c r="D393" s="9" t="s">
        <v>1021</v>
      </c>
      <c r="E393" s="9" t="s">
        <v>1249</v>
      </c>
      <c r="F393" s="9" t="s">
        <v>591</v>
      </c>
      <c r="G393" s="6" t="s">
        <v>135</v>
      </c>
      <c r="H393" s="6" t="s">
        <v>592</v>
      </c>
      <c r="I393" s="6" t="s">
        <v>1250</v>
      </c>
      <c r="J393" s="138">
        <v>100000000</v>
      </c>
      <c r="K393" s="6" t="s">
        <v>1025</v>
      </c>
      <c r="L393" s="126" t="s">
        <v>568</v>
      </c>
      <c r="M393" s="6" t="s">
        <v>27</v>
      </c>
      <c r="N393" s="6" t="s">
        <v>1251</v>
      </c>
      <c r="O393" s="138">
        <v>100000000</v>
      </c>
      <c r="P393" s="203" t="s">
        <v>1193</v>
      </c>
    </row>
    <row r="394" spans="1:17" ht="58" x14ac:dyDescent="0.35">
      <c r="A394" s="6">
        <v>62</v>
      </c>
      <c r="B394" s="214" t="s">
        <v>480</v>
      </c>
      <c r="C394" s="223" t="s">
        <v>481</v>
      </c>
      <c r="D394" s="223" t="s">
        <v>1021</v>
      </c>
      <c r="E394" s="223" t="s">
        <v>1252</v>
      </c>
      <c r="F394" s="223" t="s">
        <v>591</v>
      </c>
      <c r="G394" s="209" t="s">
        <v>135</v>
      </c>
      <c r="H394" s="209" t="s">
        <v>595</v>
      </c>
      <c r="I394" s="209" t="s">
        <v>1253</v>
      </c>
      <c r="J394" s="224">
        <v>100000000</v>
      </c>
      <c r="K394" s="209" t="s">
        <v>1025</v>
      </c>
      <c r="L394" s="126" t="s">
        <v>568</v>
      </c>
      <c r="M394" s="209" t="s">
        <v>27</v>
      </c>
      <c r="N394" s="209" t="s">
        <v>1254</v>
      </c>
      <c r="O394" s="224">
        <v>287857165</v>
      </c>
      <c r="P394" s="212" t="s">
        <v>1044</v>
      </c>
      <c r="Q394" s="225" t="s">
        <v>1255</v>
      </c>
    </row>
    <row r="395" spans="1:17" ht="58" x14ac:dyDescent="0.35">
      <c r="A395" s="6">
        <v>63</v>
      </c>
      <c r="B395" s="7" t="s">
        <v>480</v>
      </c>
      <c r="C395" s="9" t="s">
        <v>481</v>
      </c>
      <c r="D395" s="9" t="s">
        <v>1021</v>
      </c>
      <c r="E395" s="9" t="s">
        <v>1256</v>
      </c>
      <c r="F395" s="9" t="s">
        <v>297</v>
      </c>
      <c r="G395" s="6" t="s">
        <v>1257</v>
      </c>
      <c r="H395" s="6" t="s">
        <v>1258</v>
      </c>
      <c r="I395" s="6" t="s">
        <v>1259</v>
      </c>
      <c r="J395" s="195">
        <v>100000000</v>
      </c>
      <c r="K395" s="6" t="s">
        <v>1025</v>
      </c>
      <c r="L395" s="126" t="s">
        <v>568</v>
      </c>
      <c r="M395" s="6" t="s">
        <v>27</v>
      </c>
      <c r="N395" s="6" t="s">
        <v>1260</v>
      </c>
      <c r="O395" s="14">
        <f>75*1098901</f>
        <v>82417575</v>
      </c>
      <c r="P395" s="203" t="s">
        <v>1193</v>
      </c>
    </row>
    <row r="396" spans="1:17" ht="58" x14ac:dyDescent="0.35">
      <c r="A396" s="6">
        <v>64</v>
      </c>
      <c r="B396" s="7" t="s">
        <v>480</v>
      </c>
      <c r="C396" s="9" t="s">
        <v>481</v>
      </c>
      <c r="D396" s="9" t="s">
        <v>1021</v>
      </c>
      <c r="E396" s="9" t="s">
        <v>1256</v>
      </c>
      <c r="F396" s="9" t="s">
        <v>297</v>
      </c>
      <c r="G396" s="6" t="s">
        <v>1257</v>
      </c>
      <c r="H396" s="6" t="s">
        <v>1261</v>
      </c>
      <c r="I396" s="6" t="s">
        <v>1259</v>
      </c>
      <c r="J396" s="195">
        <v>100000000</v>
      </c>
      <c r="K396" s="6" t="s">
        <v>1025</v>
      </c>
      <c r="L396" s="126" t="s">
        <v>568</v>
      </c>
      <c r="M396" s="6" t="s">
        <v>27</v>
      </c>
      <c r="N396" s="6" t="s">
        <v>1260</v>
      </c>
      <c r="O396" s="14">
        <f>75*1098901</f>
        <v>82417575</v>
      </c>
      <c r="P396" s="203" t="s">
        <v>1193</v>
      </c>
    </row>
    <row r="397" spans="1:17" ht="58" x14ac:dyDescent="0.35">
      <c r="A397" s="6">
        <v>65</v>
      </c>
      <c r="B397" s="7" t="s">
        <v>480</v>
      </c>
      <c r="C397" s="9" t="s">
        <v>481</v>
      </c>
      <c r="D397" s="9" t="s">
        <v>1021</v>
      </c>
      <c r="E397" s="9" t="s">
        <v>1262</v>
      </c>
      <c r="F397" s="9" t="s">
        <v>1263</v>
      </c>
      <c r="G397" s="6" t="s">
        <v>1264</v>
      </c>
      <c r="H397" s="6" t="s">
        <v>1265</v>
      </c>
      <c r="I397" s="6" t="s">
        <v>1266</v>
      </c>
      <c r="J397" s="195">
        <v>200000000</v>
      </c>
      <c r="K397" s="6" t="s">
        <v>1025</v>
      </c>
      <c r="L397" s="6">
        <v>2906609</v>
      </c>
      <c r="M397" s="6" t="s">
        <v>27</v>
      </c>
      <c r="N397" s="6" t="s">
        <v>1267</v>
      </c>
      <c r="O397" s="14">
        <v>200000000</v>
      </c>
      <c r="P397" s="203" t="s">
        <v>1044</v>
      </c>
    </row>
    <row r="398" spans="1:17" ht="58" x14ac:dyDescent="0.35">
      <c r="A398" s="6">
        <v>66</v>
      </c>
      <c r="B398" s="7" t="s">
        <v>480</v>
      </c>
      <c r="C398" s="9" t="s">
        <v>481</v>
      </c>
      <c r="D398" s="9" t="s">
        <v>1021</v>
      </c>
      <c r="E398" s="9" t="s">
        <v>1268</v>
      </c>
      <c r="F398" s="9" t="s">
        <v>1269</v>
      </c>
      <c r="G398" s="228" t="s">
        <v>1270</v>
      </c>
      <c r="H398" s="6" t="s">
        <v>1271</v>
      </c>
      <c r="I398" s="6" t="s">
        <v>1272</v>
      </c>
      <c r="J398" s="138">
        <v>160000000</v>
      </c>
      <c r="K398" s="6" t="s">
        <v>1025</v>
      </c>
      <c r="L398" s="6">
        <v>2932127</v>
      </c>
      <c r="M398" s="6" t="s">
        <v>27</v>
      </c>
      <c r="N398" s="6" t="s">
        <v>1273</v>
      </c>
      <c r="O398" s="138">
        <v>197260274</v>
      </c>
      <c r="P398" s="212" t="s">
        <v>1044</v>
      </c>
    </row>
    <row r="399" spans="1:17" ht="58" x14ac:dyDescent="0.35">
      <c r="A399" s="6">
        <v>67</v>
      </c>
      <c r="B399" s="7" t="s">
        <v>480</v>
      </c>
      <c r="C399" s="9" t="s">
        <v>481</v>
      </c>
      <c r="D399" s="9" t="s">
        <v>1021</v>
      </c>
      <c r="E399" s="9" t="s">
        <v>1274</v>
      </c>
      <c r="F399" s="9" t="s">
        <v>297</v>
      </c>
      <c r="G399" s="6" t="s">
        <v>1275</v>
      </c>
      <c r="H399" s="6" t="s">
        <v>1276</v>
      </c>
      <c r="I399" s="6" t="s">
        <v>1187</v>
      </c>
      <c r="J399" s="195">
        <v>200000000</v>
      </c>
      <c r="K399" s="6" t="s">
        <v>1025</v>
      </c>
      <c r="L399" s="6">
        <v>2935808</v>
      </c>
      <c r="M399" s="6" t="s">
        <v>27</v>
      </c>
      <c r="N399" s="6" t="s">
        <v>1277</v>
      </c>
      <c r="O399" s="14">
        <v>200000000</v>
      </c>
      <c r="P399" s="203" t="s">
        <v>1193</v>
      </c>
    </row>
    <row r="400" spans="1:17" ht="58" x14ac:dyDescent="0.35">
      <c r="A400" s="6">
        <v>68</v>
      </c>
      <c r="B400" s="7" t="s">
        <v>480</v>
      </c>
      <c r="C400" s="9" t="s">
        <v>481</v>
      </c>
      <c r="D400" s="9" t="s">
        <v>1021</v>
      </c>
      <c r="E400" s="9" t="s">
        <v>1278</v>
      </c>
      <c r="F400" s="9" t="s">
        <v>1279</v>
      </c>
      <c r="G400" s="6" t="s">
        <v>361</v>
      </c>
      <c r="H400" s="6" t="s">
        <v>1280</v>
      </c>
      <c r="I400" s="6" t="s">
        <v>1281</v>
      </c>
      <c r="J400" s="138">
        <v>40000000</v>
      </c>
      <c r="K400" s="6" t="s">
        <v>1025</v>
      </c>
      <c r="L400" s="6">
        <v>2818396</v>
      </c>
      <c r="M400" s="6" t="s">
        <v>144</v>
      </c>
      <c r="N400" s="6" t="s">
        <v>1282</v>
      </c>
      <c r="O400" s="138">
        <v>70000000</v>
      </c>
      <c r="P400" s="203" t="s">
        <v>1193</v>
      </c>
      <c r="Q400" s="221"/>
    </row>
    <row r="401" spans="1:17" ht="58" x14ac:dyDescent="0.35">
      <c r="A401" s="6">
        <v>69</v>
      </c>
      <c r="B401" s="7" t="s">
        <v>480</v>
      </c>
      <c r="C401" s="9" t="s">
        <v>481</v>
      </c>
      <c r="D401" s="9" t="s">
        <v>1021</v>
      </c>
      <c r="E401" s="9" t="s">
        <v>1283</v>
      </c>
      <c r="F401" s="9" t="s">
        <v>1279</v>
      </c>
      <c r="G401" s="6" t="s">
        <v>361</v>
      </c>
      <c r="H401" s="6" t="s">
        <v>1280</v>
      </c>
      <c r="I401" s="6">
        <v>1</v>
      </c>
      <c r="J401" s="138">
        <v>30000000</v>
      </c>
      <c r="K401" s="6" t="s">
        <v>1025</v>
      </c>
      <c r="L401" s="6">
        <v>2818712</v>
      </c>
      <c r="M401" s="6" t="s">
        <v>144</v>
      </c>
      <c r="N401" s="6" t="s">
        <v>274</v>
      </c>
      <c r="O401" s="138">
        <v>30000000</v>
      </c>
      <c r="P401" s="7" t="s">
        <v>1284</v>
      </c>
      <c r="Q401" s="230"/>
    </row>
    <row r="402" spans="1:17" ht="72.5" x14ac:dyDescent="0.35">
      <c r="A402" s="6">
        <v>70</v>
      </c>
      <c r="B402" s="7" t="s">
        <v>480</v>
      </c>
      <c r="C402" s="9" t="s">
        <v>481</v>
      </c>
      <c r="D402" s="9" t="s">
        <v>1021</v>
      </c>
      <c r="E402" s="9" t="s">
        <v>1285</v>
      </c>
      <c r="F402" s="9" t="s">
        <v>1286</v>
      </c>
      <c r="G402" s="6" t="s">
        <v>154</v>
      </c>
      <c r="H402" s="6" t="s">
        <v>1287</v>
      </c>
      <c r="I402" s="6">
        <v>1</v>
      </c>
      <c r="J402" s="202">
        <v>50000000</v>
      </c>
      <c r="K402" s="6" t="s">
        <v>1025</v>
      </c>
      <c r="L402" s="6">
        <v>2826552</v>
      </c>
      <c r="M402" s="6" t="s">
        <v>144</v>
      </c>
      <c r="N402" s="6" t="s">
        <v>1288</v>
      </c>
      <c r="O402" s="138">
        <v>50000000</v>
      </c>
      <c r="P402" s="214" t="s">
        <v>1289</v>
      </c>
      <c r="Q402" s="215"/>
    </row>
    <row r="403" spans="1:17" ht="72.5" x14ac:dyDescent="0.35">
      <c r="A403" s="6">
        <v>71</v>
      </c>
      <c r="B403" s="7" t="s">
        <v>480</v>
      </c>
      <c r="C403" s="9" t="s">
        <v>481</v>
      </c>
      <c r="D403" s="9" t="s">
        <v>1021</v>
      </c>
      <c r="E403" s="9" t="s">
        <v>1285</v>
      </c>
      <c r="F403" s="9" t="s">
        <v>1286</v>
      </c>
      <c r="G403" s="6" t="s">
        <v>154</v>
      </c>
      <c r="H403" s="6" t="s">
        <v>1290</v>
      </c>
      <c r="I403" s="6">
        <v>2</v>
      </c>
      <c r="J403" s="202">
        <v>100000000</v>
      </c>
      <c r="K403" s="6" t="s">
        <v>1025</v>
      </c>
      <c r="L403" s="6">
        <v>2930532</v>
      </c>
      <c r="M403" s="6" t="s">
        <v>144</v>
      </c>
      <c r="N403" s="6" t="s">
        <v>1291</v>
      </c>
      <c r="O403" s="138">
        <v>100000000</v>
      </c>
      <c r="P403" s="214" t="s">
        <v>1289</v>
      </c>
    </row>
    <row r="404" spans="1:17" ht="72.5" x14ac:dyDescent="0.35">
      <c r="A404" s="6">
        <v>72</v>
      </c>
      <c r="B404" s="7" t="s">
        <v>480</v>
      </c>
      <c r="C404" s="9" t="s">
        <v>481</v>
      </c>
      <c r="D404" s="9" t="s">
        <v>1021</v>
      </c>
      <c r="E404" s="9" t="s">
        <v>1292</v>
      </c>
      <c r="F404" s="9" t="s">
        <v>1286</v>
      </c>
      <c r="G404" s="6" t="s">
        <v>154</v>
      </c>
      <c r="H404" s="6" t="s">
        <v>1293</v>
      </c>
      <c r="I404" s="6" t="s">
        <v>1294</v>
      </c>
      <c r="J404" s="202">
        <v>44785000</v>
      </c>
      <c r="K404" s="6" t="s">
        <v>1025</v>
      </c>
      <c r="L404" s="6">
        <v>2937380</v>
      </c>
      <c r="M404" s="6" t="s">
        <v>144</v>
      </c>
      <c r="N404" s="205" t="s">
        <v>1295</v>
      </c>
      <c r="O404" s="138">
        <v>44785000</v>
      </c>
      <c r="P404" s="212" t="s">
        <v>1045</v>
      </c>
      <c r="Q404" s="213"/>
    </row>
    <row r="405" spans="1:17" ht="101.5" x14ac:dyDescent="0.35">
      <c r="A405" s="6">
        <v>73</v>
      </c>
      <c r="B405" s="7" t="s">
        <v>480</v>
      </c>
      <c r="C405" s="9" t="s">
        <v>481</v>
      </c>
      <c r="D405" s="9" t="s">
        <v>1021</v>
      </c>
      <c r="E405" s="9" t="s">
        <v>1296</v>
      </c>
      <c r="F405" s="9" t="s">
        <v>1286</v>
      </c>
      <c r="G405" s="6" t="s">
        <v>154</v>
      </c>
      <c r="H405" s="6" t="s">
        <v>1297</v>
      </c>
      <c r="I405" s="6" t="s">
        <v>883</v>
      </c>
      <c r="J405" s="202">
        <v>30000000</v>
      </c>
      <c r="K405" s="6" t="s">
        <v>1025</v>
      </c>
      <c r="L405" s="6">
        <v>2959492</v>
      </c>
      <c r="M405" s="6" t="s">
        <v>144</v>
      </c>
      <c r="N405" s="205" t="s">
        <v>1298</v>
      </c>
      <c r="O405" s="138">
        <v>57516000</v>
      </c>
      <c r="P405" s="212" t="s">
        <v>1045</v>
      </c>
      <c r="Q405" s="213"/>
    </row>
    <row r="406" spans="1:17" ht="72.5" x14ac:dyDescent="0.35">
      <c r="A406" s="6">
        <v>74</v>
      </c>
      <c r="B406" s="7" t="s">
        <v>480</v>
      </c>
      <c r="C406" s="9" t="s">
        <v>481</v>
      </c>
      <c r="D406" s="9" t="s">
        <v>1021</v>
      </c>
      <c r="E406" s="9" t="s">
        <v>1299</v>
      </c>
      <c r="F406" s="9" t="s">
        <v>1286</v>
      </c>
      <c r="G406" s="6" t="s">
        <v>154</v>
      </c>
      <c r="H406" s="6" t="s">
        <v>155</v>
      </c>
      <c r="I406" s="6" t="s">
        <v>883</v>
      </c>
      <c r="J406" s="202">
        <v>20000000</v>
      </c>
      <c r="K406" s="6" t="s">
        <v>1025</v>
      </c>
      <c r="L406" s="6">
        <v>2959918</v>
      </c>
      <c r="M406" s="6" t="s">
        <v>144</v>
      </c>
      <c r="N406" s="205" t="s">
        <v>1300</v>
      </c>
      <c r="O406" s="138">
        <v>20000000</v>
      </c>
      <c r="P406" s="212" t="s">
        <v>1045</v>
      </c>
      <c r="Q406" s="213"/>
    </row>
    <row r="407" spans="1:17" ht="58" x14ac:dyDescent="0.35">
      <c r="A407" s="6">
        <v>75</v>
      </c>
      <c r="B407" s="7" t="s">
        <v>480</v>
      </c>
      <c r="C407" s="9" t="s">
        <v>481</v>
      </c>
      <c r="D407" s="9" t="s">
        <v>1021</v>
      </c>
      <c r="E407" s="9" t="s">
        <v>1061</v>
      </c>
      <c r="F407" s="9" t="s">
        <v>140</v>
      </c>
      <c r="G407" s="6" t="s">
        <v>1301</v>
      </c>
      <c r="H407" s="6" t="s">
        <v>1302</v>
      </c>
      <c r="I407" s="6" t="s">
        <v>1303</v>
      </c>
      <c r="J407" s="138">
        <v>100000000</v>
      </c>
      <c r="K407" s="6" t="s">
        <v>1025</v>
      </c>
      <c r="L407" s="6">
        <v>2909573</v>
      </c>
      <c r="M407" s="6" t="s">
        <v>144</v>
      </c>
      <c r="N407" s="6" t="s">
        <v>1304</v>
      </c>
      <c r="O407" s="138">
        <v>80000000</v>
      </c>
      <c r="P407" s="203" t="s">
        <v>1044</v>
      </c>
    </row>
    <row r="408" spans="1:17" ht="58" x14ac:dyDescent="0.35">
      <c r="A408" s="6">
        <v>76</v>
      </c>
      <c r="B408" s="7" t="s">
        <v>480</v>
      </c>
      <c r="C408" s="9" t="s">
        <v>481</v>
      </c>
      <c r="D408" s="9" t="s">
        <v>1021</v>
      </c>
      <c r="E408" s="9" t="s">
        <v>1305</v>
      </c>
      <c r="F408" s="9" t="s">
        <v>140</v>
      </c>
      <c r="G408" s="6" t="s">
        <v>1301</v>
      </c>
      <c r="H408" s="6" t="s">
        <v>1306</v>
      </c>
      <c r="I408" s="6" t="s">
        <v>1307</v>
      </c>
      <c r="J408" s="138">
        <v>100000000</v>
      </c>
      <c r="K408" s="6" t="s">
        <v>1025</v>
      </c>
      <c r="L408" s="6">
        <v>2967720</v>
      </c>
      <c r="M408" s="6" t="s">
        <v>144</v>
      </c>
      <c r="N408" s="6" t="s">
        <v>1308</v>
      </c>
      <c r="O408" s="138">
        <v>90000000</v>
      </c>
      <c r="P408" s="203" t="s">
        <v>1044</v>
      </c>
    </row>
    <row r="409" spans="1:17" ht="58" x14ac:dyDescent="0.35">
      <c r="A409" s="6">
        <v>77</v>
      </c>
      <c r="B409" s="7" t="s">
        <v>480</v>
      </c>
      <c r="C409" s="9" t="s">
        <v>481</v>
      </c>
      <c r="D409" s="9" t="s">
        <v>1021</v>
      </c>
      <c r="E409" s="9" t="s">
        <v>1309</v>
      </c>
      <c r="F409" s="9" t="s">
        <v>140</v>
      </c>
      <c r="G409" s="6" t="s">
        <v>157</v>
      </c>
      <c r="H409" s="6" t="s">
        <v>1310</v>
      </c>
      <c r="I409" s="6" t="s">
        <v>1311</v>
      </c>
      <c r="J409" s="138">
        <v>85000000</v>
      </c>
      <c r="K409" s="6" t="s">
        <v>1025</v>
      </c>
      <c r="L409" s="6">
        <v>2870897</v>
      </c>
      <c r="M409" s="6" t="s">
        <v>144</v>
      </c>
      <c r="N409" s="6" t="s">
        <v>1312</v>
      </c>
      <c r="O409" s="138">
        <v>100000000</v>
      </c>
      <c r="P409" s="214" t="s">
        <v>1162</v>
      </c>
      <c r="Q409" s="215"/>
    </row>
    <row r="410" spans="1:17" ht="58" x14ac:dyDescent="0.35">
      <c r="A410" s="6">
        <v>78</v>
      </c>
      <c r="B410" s="7" t="s">
        <v>480</v>
      </c>
      <c r="C410" s="9" t="s">
        <v>481</v>
      </c>
      <c r="D410" s="9" t="s">
        <v>1021</v>
      </c>
      <c r="E410" s="9" t="s">
        <v>1313</v>
      </c>
      <c r="F410" s="9" t="s">
        <v>140</v>
      </c>
      <c r="G410" s="6" t="s">
        <v>157</v>
      </c>
      <c r="H410" s="6" t="s">
        <v>1314</v>
      </c>
      <c r="I410" s="6" t="s">
        <v>1315</v>
      </c>
      <c r="J410" s="138">
        <v>75000000</v>
      </c>
      <c r="K410" s="6" t="s">
        <v>1025</v>
      </c>
      <c r="L410" s="6">
        <v>2870988</v>
      </c>
      <c r="M410" s="6" t="s">
        <v>144</v>
      </c>
      <c r="N410" s="6" t="s">
        <v>1251</v>
      </c>
      <c r="O410" s="138">
        <v>100000000</v>
      </c>
      <c r="P410" s="203" t="s">
        <v>1193</v>
      </c>
      <c r="Q410" s="221"/>
    </row>
    <row r="411" spans="1:17" ht="58" x14ac:dyDescent="0.35">
      <c r="A411" s="6">
        <v>79</v>
      </c>
      <c r="B411" s="7" t="s">
        <v>480</v>
      </c>
      <c r="C411" s="9" t="s">
        <v>481</v>
      </c>
      <c r="D411" s="9" t="s">
        <v>1021</v>
      </c>
      <c r="E411" s="9" t="s">
        <v>1316</v>
      </c>
      <c r="F411" s="9" t="s">
        <v>140</v>
      </c>
      <c r="G411" s="6" t="s">
        <v>157</v>
      </c>
      <c r="H411" s="6" t="s">
        <v>732</v>
      </c>
      <c r="I411" s="6" t="s">
        <v>1317</v>
      </c>
      <c r="J411" s="138">
        <v>30000000</v>
      </c>
      <c r="K411" s="6" t="s">
        <v>1025</v>
      </c>
      <c r="L411" s="6">
        <v>2871022</v>
      </c>
      <c r="M411" s="6" t="s">
        <v>144</v>
      </c>
      <c r="N411" s="6" t="s">
        <v>274</v>
      </c>
      <c r="O411" s="138">
        <v>30000000</v>
      </c>
      <c r="P411" s="7" t="s">
        <v>1284</v>
      </c>
      <c r="Q411" s="230"/>
    </row>
    <row r="412" spans="1:17" ht="58" x14ac:dyDescent="0.35">
      <c r="A412" s="6">
        <v>80</v>
      </c>
      <c r="B412" s="7" t="s">
        <v>480</v>
      </c>
      <c r="C412" s="9" t="s">
        <v>481</v>
      </c>
      <c r="D412" s="9" t="s">
        <v>1021</v>
      </c>
      <c r="E412" s="9" t="s">
        <v>1318</v>
      </c>
      <c r="F412" s="9" t="s">
        <v>1319</v>
      </c>
      <c r="G412" s="6" t="s">
        <v>1320</v>
      </c>
      <c r="H412" s="6" t="s">
        <v>1321</v>
      </c>
      <c r="I412" s="6">
        <v>1</v>
      </c>
      <c r="J412" s="138">
        <v>80000000</v>
      </c>
      <c r="K412" s="6" t="s">
        <v>1025</v>
      </c>
      <c r="L412" s="6">
        <v>2847490</v>
      </c>
      <c r="M412" s="6" t="s">
        <v>144</v>
      </c>
      <c r="N412" s="6" t="s">
        <v>1135</v>
      </c>
      <c r="O412" s="138">
        <v>100000000</v>
      </c>
      <c r="P412" s="212" t="s">
        <v>1322</v>
      </c>
      <c r="Q412" s="213"/>
    </row>
    <row r="413" spans="1:17" ht="58" x14ac:dyDescent="0.35">
      <c r="A413" s="6">
        <v>81</v>
      </c>
      <c r="B413" s="7" t="s">
        <v>480</v>
      </c>
      <c r="C413" s="9" t="s">
        <v>481</v>
      </c>
      <c r="D413" s="9" t="s">
        <v>1021</v>
      </c>
      <c r="E413" s="9" t="s">
        <v>1061</v>
      </c>
      <c r="F413" s="9" t="s">
        <v>373</v>
      </c>
      <c r="G413" s="6" t="s">
        <v>374</v>
      </c>
      <c r="H413" s="6" t="s">
        <v>382</v>
      </c>
      <c r="I413" s="6" t="s">
        <v>35</v>
      </c>
      <c r="J413" s="195">
        <v>200000000</v>
      </c>
      <c r="K413" s="6" t="s">
        <v>1025</v>
      </c>
      <c r="L413" s="6">
        <v>2911955</v>
      </c>
      <c r="M413" s="6" t="s">
        <v>46</v>
      </c>
      <c r="N413" s="202" t="s">
        <v>1323</v>
      </c>
      <c r="O413" s="14">
        <v>200000000</v>
      </c>
      <c r="P413" s="203" t="s">
        <v>1044</v>
      </c>
      <c r="Q413" s="221"/>
    </row>
    <row r="414" spans="1:17" ht="58" x14ac:dyDescent="0.35">
      <c r="A414" s="6">
        <v>82</v>
      </c>
      <c r="B414" s="7" t="s">
        <v>480</v>
      </c>
      <c r="C414" s="9" t="s">
        <v>481</v>
      </c>
      <c r="D414" s="9" t="s">
        <v>1021</v>
      </c>
      <c r="E414" s="9" t="s">
        <v>1324</v>
      </c>
      <c r="F414" s="9"/>
      <c r="G414" s="6" t="s">
        <v>44</v>
      </c>
      <c r="H414" s="6" t="s">
        <v>888</v>
      </c>
      <c r="I414" s="6" t="s">
        <v>28</v>
      </c>
      <c r="J414" s="195">
        <v>28000000</v>
      </c>
      <c r="K414" s="6" t="s">
        <v>1025</v>
      </c>
      <c r="L414" s="6">
        <v>2833551</v>
      </c>
      <c r="M414" s="6" t="s">
        <v>46</v>
      </c>
      <c r="N414" s="202" t="s">
        <v>1130</v>
      </c>
      <c r="O414" s="14">
        <v>168000000</v>
      </c>
      <c r="P414" s="203" t="s">
        <v>1044</v>
      </c>
    </row>
    <row r="415" spans="1:17" ht="58" x14ac:dyDescent="0.35">
      <c r="A415" s="6">
        <v>83</v>
      </c>
      <c r="B415" s="7" t="s">
        <v>480</v>
      </c>
      <c r="C415" s="9" t="s">
        <v>481</v>
      </c>
      <c r="D415" s="9" t="s">
        <v>1325</v>
      </c>
      <c r="E415" s="9" t="s">
        <v>1326</v>
      </c>
      <c r="F415" s="9"/>
      <c r="G415" s="6" t="s">
        <v>44</v>
      </c>
      <c r="H415" s="6" t="s">
        <v>888</v>
      </c>
      <c r="I415" s="6" t="s">
        <v>35</v>
      </c>
      <c r="J415" s="195">
        <v>7000000</v>
      </c>
      <c r="K415" s="6" t="s">
        <v>1025</v>
      </c>
      <c r="L415" s="6">
        <v>3008923</v>
      </c>
      <c r="M415" s="6" t="s">
        <v>46</v>
      </c>
      <c r="N415" s="202" t="s">
        <v>35</v>
      </c>
      <c r="O415" s="14">
        <v>30000000</v>
      </c>
      <c r="P415" s="7"/>
    </row>
    <row r="416" spans="1:17" ht="72.5" x14ac:dyDescent="0.35">
      <c r="A416" s="6">
        <v>84</v>
      </c>
      <c r="B416" s="7" t="s">
        <v>480</v>
      </c>
      <c r="C416" s="9" t="s">
        <v>481</v>
      </c>
      <c r="D416" s="9" t="s">
        <v>1021</v>
      </c>
      <c r="E416" s="9" t="s">
        <v>1151</v>
      </c>
      <c r="F416" s="9" t="s">
        <v>48</v>
      </c>
      <c r="G416" s="6" t="s">
        <v>49</v>
      </c>
      <c r="H416" s="6" t="s">
        <v>49</v>
      </c>
      <c r="I416" s="6" t="s">
        <v>1327</v>
      </c>
      <c r="J416" s="195">
        <v>7000000</v>
      </c>
      <c r="K416" s="6" t="s">
        <v>1025</v>
      </c>
      <c r="L416" s="6">
        <v>2818621</v>
      </c>
      <c r="M416" s="6" t="s">
        <v>46</v>
      </c>
      <c r="N416" s="6" t="s">
        <v>1328</v>
      </c>
      <c r="O416" s="14">
        <v>22500000</v>
      </c>
      <c r="P416" s="231" t="s">
        <v>1329</v>
      </c>
      <c r="Q416" s="213"/>
    </row>
    <row r="417" spans="1:17" ht="58" x14ac:dyDescent="0.35">
      <c r="A417" s="6">
        <v>85</v>
      </c>
      <c r="B417" s="198" t="s">
        <v>480</v>
      </c>
      <c r="C417" s="79" t="s">
        <v>481</v>
      </c>
      <c r="D417" s="79" t="s">
        <v>1021</v>
      </c>
      <c r="E417" s="79" t="s">
        <v>1210</v>
      </c>
      <c r="F417" s="79" t="s">
        <v>48</v>
      </c>
      <c r="G417" s="199" t="s">
        <v>49</v>
      </c>
      <c r="H417" s="199" t="s">
        <v>49</v>
      </c>
      <c r="I417" s="199" t="s">
        <v>280</v>
      </c>
      <c r="J417" s="200">
        <v>10500000</v>
      </c>
      <c r="K417" s="199" t="s">
        <v>1025</v>
      </c>
      <c r="L417" s="199">
        <v>2818706</v>
      </c>
      <c r="M417" s="199" t="s">
        <v>46</v>
      </c>
      <c r="N417" s="201"/>
      <c r="O417" s="200">
        <v>0</v>
      </c>
      <c r="P417" s="198" t="s">
        <v>1330</v>
      </c>
      <c r="Q417" s="232" t="s">
        <v>1331</v>
      </c>
    </row>
    <row r="418" spans="1:17" ht="58" x14ac:dyDescent="0.35">
      <c r="A418" s="6">
        <v>86</v>
      </c>
      <c r="B418" s="7" t="s">
        <v>480</v>
      </c>
      <c r="C418" s="9" t="s">
        <v>481</v>
      </c>
      <c r="D418" s="9" t="s">
        <v>1021</v>
      </c>
      <c r="E418" s="9" t="s">
        <v>1332</v>
      </c>
      <c r="F418" s="9" t="s">
        <v>48</v>
      </c>
      <c r="G418" s="6" t="s">
        <v>49</v>
      </c>
      <c r="H418" s="6" t="s">
        <v>613</v>
      </c>
      <c r="I418" s="6" t="s">
        <v>895</v>
      </c>
      <c r="J418" s="195">
        <v>15000000</v>
      </c>
      <c r="K418" s="6" t="s">
        <v>1025</v>
      </c>
      <c r="L418" s="6">
        <v>2818784</v>
      </c>
      <c r="M418" s="6" t="s">
        <v>46</v>
      </c>
      <c r="N418" s="202" t="s">
        <v>25</v>
      </c>
      <c r="O418" s="14">
        <v>10000000</v>
      </c>
      <c r="P418" s="214" t="s">
        <v>1081</v>
      </c>
      <c r="Q418" s="233" t="s">
        <v>1333</v>
      </c>
    </row>
    <row r="419" spans="1:17" ht="58" x14ac:dyDescent="0.35">
      <c r="A419" s="6">
        <v>87</v>
      </c>
      <c r="B419" s="7" t="s">
        <v>480</v>
      </c>
      <c r="C419" s="9" t="s">
        <v>481</v>
      </c>
      <c r="D419" s="9" t="s">
        <v>1021</v>
      </c>
      <c r="E419" s="9" t="s">
        <v>1334</v>
      </c>
      <c r="F419" s="9" t="s">
        <v>48</v>
      </c>
      <c r="G419" s="6" t="s">
        <v>405</v>
      </c>
      <c r="H419" s="6" t="s">
        <v>406</v>
      </c>
      <c r="I419" s="6" t="s">
        <v>575</v>
      </c>
      <c r="J419" s="195">
        <v>70000000</v>
      </c>
      <c r="K419" s="6" t="s">
        <v>1025</v>
      </c>
      <c r="L419" s="6">
        <v>2797680</v>
      </c>
      <c r="M419" s="6" t="s">
        <v>46</v>
      </c>
      <c r="N419" s="202" t="s">
        <v>1335</v>
      </c>
      <c r="O419" s="14">
        <v>70000000</v>
      </c>
      <c r="P419" s="203" t="s">
        <v>1193</v>
      </c>
      <c r="Q419" s="221"/>
    </row>
    <row r="420" spans="1:17" ht="72.5" x14ac:dyDescent="0.35">
      <c r="A420" s="6">
        <v>88</v>
      </c>
      <c r="B420" s="7" t="s">
        <v>480</v>
      </c>
      <c r="C420" s="9" t="s">
        <v>481</v>
      </c>
      <c r="D420" s="9" t="s">
        <v>1021</v>
      </c>
      <c r="E420" s="9" t="s">
        <v>1151</v>
      </c>
      <c r="F420" s="9" t="s">
        <v>48</v>
      </c>
      <c r="G420" s="6" t="s">
        <v>405</v>
      </c>
      <c r="H420" s="6" t="s">
        <v>1336</v>
      </c>
      <c r="I420" s="6" t="s">
        <v>826</v>
      </c>
      <c r="J420" s="195">
        <v>50000000</v>
      </c>
      <c r="K420" s="6" t="s">
        <v>1025</v>
      </c>
      <c r="L420" s="6">
        <v>2933595</v>
      </c>
      <c r="M420" s="6" t="s">
        <v>46</v>
      </c>
      <c r="N420" s="6" t="s">
        <v>1337</v>
      </c>
      <c r="O420" s="14">
        <v>50000000</v>
      </c>
      <c r="P420" s="214" t="s">
        <v>1338</v>
      </c>
      <c r="Q420" s="215"/>
    </row>
    <row r="421" spans="1:17" ht="87" x14ac:dyDescent="0.35">
      <c r="A421" s="6">
        <v>89</v>
      </c>
      <c r="B421" s="7" t="s">
        <v>480</v>
      </c>
      <c r="C421" s="9" t="s">
        <v>481</v>
      </c>
      <c r="D421" s="9" t="s">
        <v>1021</v>
      </c>
      <c r="E421" s="9" t="s">
        <v>1045</v>
      </c>
      <c r="F421" s="9"/>
      <c r="G421" s="6" t="s">
        <v>410</v>
      </c>
      <c r="H421" s="6" t="s">
        <v>411</v>
      </c>
      <c r="I421" s="6" t="s">
        <v>1339</v>
      </c>
      <c r="J421" s="195">
        <v>15000000</v>
      </c>
      <c r="K421" s="6" t="s">
        <v>1025</v>
      </c>
      <c r="L421" s="6">
        <v>2800696</v>
      </c>
      <c r="M421" s="6" t="s">
        <v>46</v>
      </c>
      <c r="N421" s="196" t="s">
        <v>1340</v>
      </c>
      <c r="O421" s="210">
        <v>30000000</v>
      </c>
      <c r="P421" s="214"/>
    </row>
    <row r="422" spans="1:17" ht="58" x14ac:dyDescent="0.35">
      <c r="A422" s="6">
        <v>90</v>
      </c>
      <c r="B422" s="7" t="s">
        <v>480</v>
      </c>
      <c r="C422" s="9" t="s">
        <v>481</v>
      </c>
      <c r="D422" s="9" t="s">
        <v>1021</v>
      </c>
      <c r="E422" s="9" t="s">
        <v>1039</v>
      </c>
      <c r="F422" s="9"/>
      <c r="G422" s="6" t="s">
        <v>410</v>
      </c>
      <c r="H422" s="6" t="s">
        <v>410</v>
      </c>
      <c r="I422" s="6" t="s">
        <v>1341</v>
      </c>
      <c r="J422" s="195">
        <v>140000000</v>
      </c>
      <c r="K422" s="6" t="s">
        <v>1025</v>
      </c>
      <c r="L422" s="6">
        <v>2798595</v>
      </c>
      <c r="M422" s="6" t="s">
        <v>46</v>
      </c>
      <c r="N422" s="202" t="s">
        <v>1260</v>
      </c>
      <c r="O422" s="14">
        <v>140000000</v>
      </c>
      <c r="P422" s="203" t="s">
        <v>1044</v>
      </c>
    </row>
    <row r="423" spans="1:17" ht="58" x14ac:dyDescent="0.35">
      <c r="A423" s="6">
        <v>91</v>
      </c>
      <c r="B423" s="7" t="s">
        <v>480</v>
      </c>
      <c r="C423" s="9" t="s">
        <v>481</v>
      </c>
      <c r="D423" s="9" t="s">
        <v>1021</v>
      </c>
      <c r="E423" s="9" t="s">
        <v>1159</v>
      </c>
      <c r="F423" s="9"/>
      <c r="G423" s="6" t="s">
        <v>410</v>
      </c>
      <c r="H423" s="6" t="s">
        <v>410</v>
      </c>
      <c r="I423" s="6" t="s">
        <v>826</v>
      </c>
      <c r="J423" s="195">
        <v>50000000</v>
      </c>
      <c r="K423" s="6" t="s">
        <v>1025</v>
      </c>
      <c r="L423" s="6">
        <v>2920250</v>
      </c>
      <c r="M423" s="6" t="s">
        <v>46</v>
      </c>
      <c r="N423" s="202" t="s">
        <v>169</v>
      </c>
      <c r="O423" s="14">
        <v>50000000</v>
      </c>
      <c r="P423" s="214" t="s">
        <v>1081</v>
      </c>
    </row>
    <row r="424" spans="1:17" ht="58" x14ac:dyDescent="0.35">
      <c r="A424" s="6">
        <v>92</v>
      </c>
      <c r="B424" s="7" t="s">
        <v>480</v>
      </c>
      <c r="C424" s="9" t="s">
        <v>481</v>
      </c>
      <c r="D424" s="9" t="s">
        <v>1021</v>
      </c>
      <c r="E424" s="9" t="s">
        <v>1334</v>
      </c>
      <c r="F424" s="9"/>
      <c r="G424" s="6" t="s">
        <v>167</v>
      </c>
      <c r="H424" s="6" t="s">
        <v>1342</v>
      </c>
      <c r="I424" s="6" t="s">
        <v>376</v>
      </c>
      <c r="J424" s="195">
        <v>65000000</v>
      </c>
      <c r="K424" s="6" t="s">
        <v>1025</v>
      </c>
      <c r="L424" s="6">
        <v>2872541</v>
      </c>
      <c r="M424" s="6" t="s">
        <v>46</v>
      </c>
      <c r="N424" s="202" t="s">
        <v>1343</v>
      </c>
      <c r="O424" s="14">
        <v>65000000</v>
      </c>
      <c r="P424" s="203" t="s">
        <v>1193</v>
      </c>
      <c r="Q424" s="221"/>
    </row>
    <row r="425" spans="1:17" ht="58" x14ac:dyDescent="0.35">
      <c r="A425" s="6">
        <v>93</v>
      </c>
      <c r="B425" s="7" t="s">
        <v>480</v>
      </c>
      <c r="C425" s="9" t="s">
        <v>481</v>
      </c>
      <c r="D425" s="9" t="s">
        <v>1021</v>
      </c>
      <c r="E425" s="9" t="s">
        <v>1344</v>
      </c>
      <c r="F425" s="9" t="s">
        <v>373</v>
      </c>
      <c r="G425" s="6" t="s">
        <v>418</v>
      </c>
      <c r="H425" s="6" t="s">
        <v>421</v>
      </c>
      <c r="I425" s="6" t="s">
        <v>826</v>
      </c>
      <c r="J425" s="195">
        <v>35000000</v>
      </c>
      <c r="K425" s="6" t="s">
        <v>1025</v>
      </c>
      <c r="L425" s="6">
        <v>2938347</v>
      </c>
      <c r="M425" s="6" t="s">
        <v>46</v>
      </c>
      <c r="N425" s="202" t="s">
        <v>25</v>
      </c>
      <c r="O425" s="14">
        <v>45000000</v>
      </c>
      <c r="P425" s="214" t="s">
        <v>1345</v>
      </c>
      <c r="Q425" s="215"/>
    </row>
    <row r="426" spans="1:17" ht="58" x14ac:dyDescent="0.35">
      <c r="A426" s="6">
        <v>94</v>
      </c>
      <c r="B426" s="7" t="s">
        <v>480</v>
      </c>
      <c r="C426" s="9" t="s">
        <v>481</v>
      </c>
      <c r="D426" s="9" t="s">
        <v>1021</v>
      </c>
      <c r="E426" s="9" t="s">
        <v>1346</v>
      </c>
      <c r="F426" s="9" t="s">
        <v>373</v>
      </c>
      <c r="G426" s="6" t="s">
        <v>418</v>
      </c>
      <c r="H426" s="6" t="s">
        <v>421</v>
      </c>
      <c r="I426" s="6" t="s">
        <v>826</v>
      </c>
      <c r="J426" s="195">
        <v>35000000</v>
      </c>
      <c r="K426" s="6" t="s">
        <v>1025</v>
      </c>
      <c r="L426" s="6">
        <v>2947314</v>
      </c>
      <c r="M426" s="6" t="s">
        <v>46</v>
      </c>
      <c r="N426" s="202" t="s">
        <v>25</v>
      </c>
      <c r="O426" s="14">
        <v>10000000</v>
      </c>
      <c r="P426" s="214" t="s">
        <v>1284</v>
      </c>
      <c r="Q426" s="215"/>
    </row>
    <row r="427" spans="1:17" ht="58" x14ac:dyDescent="0.35">
      <c r="A427" s="6">
        <v>95</v>
      </c>
      <c r="B427" s="7" t="s">
        <v>480</v>
      </c>
      <c r="C427" s="9" t="s">
        <v>481</v>
      </c>
      <c r="D427" s="9" t="s">
        <v>1021</v>
      </c>
      <c r="E427" s="9" t="s">
        <v>1347</v>
      </c>
      <c r="F427" s="9" t="s">
        <v>1348</v>
      </c>
      <c r="G427" s="6" t="s">
        <v>171</v>
      </c>
      <c r="H427" s="6" t="s">
        <v>1349</v>
      </c>
      <c r="I427" s="6" t="s">
        <v>25</v>
      </c>
      <c r="J427" s="195">
        <v>100000000</v>
      </c>
      <c r="K427" s="6" t="s">
        <v>1025</v>
      </c>
      <c r="L427" s="6">
        <v>2921970</v>
      </c>
      <c r="M427" s="6" t="s">
        <v>173</v>
      </c>
      <c r="N427" s="202" t="s">
        <v>122</v>
      </c>
      <c r="O427" s="14">
        <v>90000000</v>
      </c>
      <c r="P427" s="214" t="s">
        <v>1350</v>
      </c>
      <c r="Q427" s="215"/>
    </row>
    <row r="428" spans="1:17" ht="58" x14ac:dyDescent="0.35">
      <c r="A428" s="6">
        <v>96</v>
      </c>
      <c r="B428" s="27" t="s">
        <v>480</v>
      </c>
      <c r="C428" s="9" t="s">
        <v>481</v>
      </c>
      <c r="D428" s="9" t="s">
        <v>1021</v>
      </c>
      <c r="E428" s="9" t="s">
        <v>1183</v>
      </c>
      <c r="F428" s="9" t="s">
        <v>1351</v>
      </c>
      <c r="G428" s="6" t="s">
        <v>912</v>
      </c>
      <c r="H428" s="6" t="s">
        <v>1352</v>
      </c>
      <c r="I428" s="6" t="s">
        <v>1266</v>
      </c>
      <c r="J428" s="195">
        <v>65000000</v>
      </c>
      <c r="K428" s="6" t="s">
        <v>1025</v>
      </c>
      <c r="L428" s="6">
        <v>2790701</v>
      </c>
      <c r="M428" s="6" t="s">
        <v>173</v>
      </c>
      <c r="N428" s="234" t="s">
        <v>1353</v>
      </c>
      <c r="O428" s="210">
        <v>55000000</v>
      </c>
      <c r="P428" s="235" t="s">
        <v>1044</v>
      </c>
      <c r="Q428" s="236" t="s">
        <v>1354</v>
      </c>
    </row>
    <row r="429" spans="1:17" ht="58" x14ac:dyDescent="0.35">
      <c r="A429" s="6">
        <v>97</v>
      </c>
      <c r="B429" s="7" t="s">
        <v>480</v>
      </c>
      <c r="C429" s="9" t="s">
        <v>481</v>
      </c>
      <c r="D429" s="9" t="s">
        <v>1021</v>
      </c>
      <c r="E429" s="9" t="s">
        <v>1151</v>
      </c>
      <c r="F429" s="9" t="s">
        <v>1355</v>
      </c>
      <c r="G429" s="6" t="s">
        <v>749</v>
      </c>
      <c r="H429" s="6" t="s">
        <v>750</v>
      </c>
      <c r="I429" s="6" t="s">
        <v>1356</v>
      </c>
      <c r="J429" s="195">
        <v>40000000</v>
      </c>
      <c r="K429" s="6" t="s">
        <v>1025</v>
      </c>
      <c r="L429" s="6">
        <v>2905304</v>
      </c>
      <c r="M429" s="6" t="s">
        <v>173</v>
      </c>
      <c r="N429" s="202" t="s">
        <v>1357</v>
      </c>
      <c r="O429" s="14">
        <v>40000000</v>
      </c>
      <c r="P429" s="231" t="s">
        <v>1358</v>
      </c>
      <c r="Q429" s="237"/>
    </row>
    <row r="430" spans="1:17" ht="58" x14ac:dyDescent="0.35">
      <c r="A430" s="6">
        <v>98</v>
      </c>
      <c r="B430" s="7" t="s">
        <v>480</v>
      </c>
      <c r="C430" s="9" t="s">
        <v>481</v>
      </c>
      <c r="D430" s="9" t="s">
        <v>1021</v>
      </c>
      <c r="E430" s="9" t="s">
        <v>1359</v>
      </c>
      <c r="F430" s="9" t="s">
        <v>1360</v>
      </c>
      <c r="G430" s="6" t="s">
        <v>749</v>
      </c>
      <c r="H430" s="6" t="s">
        <v>927</v>
      </c>
      <c r="I430" s="6" t="s">
        <v>498</v>
      </c>
      <c r="J430" s="195">
        <v>54000000</v>
      </c>
      <c r="K430" s="6" t="s">
        <v>1025</v>
      </c>
      <c r="L430" s="6">
        <v>2832072</v>
      </c>
      <c r="M430" s="6" t="s">
        <v>173</v>
      </c>
      <c r="N430" s="202" t="s">
        <v>25</v>
      </c>
      <c r="O430" s="14">
        <v>45000000</v>
      </c>
      <c r="P430" s="214" t="s">
        <v>1350</v>
      </c>
    </row>
    <row r="431" spans="1:17" ht="58" x14ac:dyDescent="0.35">
      <c r="A431" s="6">
        <v>99</v>
      </c>
      <c r="B431" s="7" t="s">
        <v>480</v>
      </c>
      <c r="C431" s="9" t="s">
        <v>481</v>
      </c>
      <c r="D431" s="9" t="s">
        <v>1021</v>
      </c>
      <c r="E431" s="9" t="s">
        <v>1361</v>
      </c>
      <c r="F431" s="9" t="s">
        <v>1362</v>
      </c>
      <c r="G431" s="6" t="s">
        <v>749</v>
      </c>
      <c r="H431" s="6" t="s">
        <v>1363</v>
      </c>
      <c r="I431" s="6" t="s">
        <v>1364</v>
      </c>
      <c r="J431" s="195">
        <v>100000000</v>
      </c>
      <c r="K431" s="6" t="s">
        <v>1025</v>
      </c>
      <c r="L431" s="6">
        <v>3010551</v>
      </c>
      <c r="M431" s="6" t="s">
        <v>173</v>
      </c>
      <c r="N431" s="202" t="s">
        <v>1365</v>
      </c>
      <c r="O431" s="14">
        <v>100000000</v>
      </c>
      <c r="P431" s="231" t="s">
        <v>1366</v>
      </c>
    </row>
    <row r="432" spans="1:17" ht="58" x14ac:dyDescent="0.35">
      <c r="A432" s="6">
        <v>100</v>
      </c>
      <c r="B432" s="7" t="s">
        <v>480</v>
      </c>
      <c r="C432" s="9" t="s">
        <v>481</v>
      </c>
      <c r="D432" s="9" t="s">
        <v>1021</v>
      </c>
      <c r="E432" s="9" t="s">
        <v>1151</v>
      </c>
      <c r="F432" s="9" t="s">
        <v>1367</v>
      </c>
      <c r="G432" s="6" t="s">
        <v>749</v>
      </c>
      <c r="H432" s="6" t="s">
        <v>1368</v>
      </c>
      <c r="I432" s="6" t="s">
        <v>1369</v>
      </c>
      <c r="J432" s="195">
        <v>100000000</v>
      </c>
      <c r="K432" s="6" t="s">
        <v>1025</v>
      </c>
      <c r="L432" s="6">
        <v>2936614</v>
      </c>
      <c r="M432" s="6" t="s">
        <v>173</v>
      </c>
      <c r="N432" s="202" t="s">
        <v>1365</v>
      </c>
      <c r="O432" s="14">
        <v>100000000</v>
      </c>
      <c r="P432" s="231" t="s">
        <v>1366</v>
      </c>
    </row>
    <row r="433" spans="1:17" ht="58" x14ac:dyDescent="0.35">
      <c r="A433" s="6">
        <v>101</v>
      </c>
      <c r="B433" s="7" t="s">
        <v>480</v>
      </c>
      <c r="C433" s="9" t="s">
        <v>481</v>
      </c>
      <c r="D433" s="9" t="s">
        <v>1021</v>
      </c>
      <c r="E433" s="9" t="s">
        <v>1370</v>
      </c>
      <c r="F433" s="9" t="s">
        <v>1371</v>
      </c>
      <c r="G433" s="6" t="s">
        <v>1372</v>
      </c>
      <c r="H433" s="6" t="s">
        <v>1373</v>
      </c>
      <c r="I433" s="6" t="s">
        <v>1374</v>
      </c>
      <c r="J433" s="195">
        <v>200000000</v>
      </c>
      <c r="K433" s="6" t="s">
        <v>1025</v>
      </c>
      <c r="L433" s="6">
        <v>3011377</v>
      </c>
      <c r="M433" s="6" t="s">
        <v>226</v>
      </c>
      <c r="N433" s="202" t="s">
        <v>1150</v>
      </c>
      <c r="O433" s="14">
        <v>200000000</v>
      </c>
      <c r="P433" s="203" t="s">
        <v>1044</v>
      </c>
      <c r="Q433" s="221"/>
    </row>
    <row r="434" spans="1:17" ht="58" x14ac:dyDescent="0.35">
      <c r="A434" s="6">
        <v>102</v>
      </c>
      <c r="B434" s="7" t="s">
        <v>480</v>
      </c>
      <c r="C434" s="9" t="s">
        <v>481</v>
      </c>
      <c r="D434" s="9" t="s">
        <v>1021</v>
      </c>
      <c r="E434" s="9" t="s">
        <v>1375</v>
      </c>
      <c r="F434" s="9" t="s">
        <v>1160</v>
      </c>
      <c r="G434" s="6" t="s">
        <v>1376</v>
      </c>
      <c r="H434" s="6" t="s">
        <v>1377</v>
      </c>
      <c r="I434" s="6" t="s">
        <v>1378</v>
      </c>
      <c r="J434" s="195">
        <v>100000000</v>
      </c>
      <c r="K434" s="6" t="s">
        <v>1025</v>
      </c>
      <c r="L434" s="6">
        <v>3174597</v>
      </c>
      <c r="M434" s="6" t="s">
        <v>226</v>
      </c>
      <c r="N434" s="202" t="s">
        <v>1234</v>
      </c>
      <c r="O434" s="14">
        <v>74000000</v>
      </c>
      <c r="P434" s="203" t="s">
        <v>1193</v>
      </c>
      <c r="Q434" s="221"/>
    </row>
    <row r="435" spans="1:17" ht="58" x14ac:dyDescent="0.35">
      <c r="A435" s="6">
        <v>103</v>
      </c>
      <c r="B435" s="7" t="s">
        <v>480</v>
      </c>
      <c r="C435" s="9" t="s">
        <v>481</v>
      </c>
      <c r="D435" s="9" t="s">
        <v>1021</v>
      </c>
      <c r="E435" s="9" t="s">
        <v>1039</v>
      </c>
      <c r="F435" s="9" t="s">
        <v>1379</v>
      </c>
      <c r="G435" s="6" t="s">
        <v>429</v>
      </c>
      <c r="H435" s="6" t="s">
        <v>1380</v>
      </c>
      <c r="I435" s="6" t="s">
        <v>1381</v>
      </c>
      <c r="J435" s="195">
        <v>135000000</v>
      </c>
      <c r="K435" s="6" t="s">
        <v>1025</v>
      </c>
      <c r="L435" s="6">
        <v>2895634</v>
      </c>
      <c r="M435" s="6" t="s">
        <v>226</v>
      </c>
      <c r="N435" s="202" t="s">
        <v>1188</v>
      </c>
      <c r="O435" s="14">
        <v>135000000</v>
      </c>
      <c r="P435" s="203" t="s">
        <v>1044</v>
      </c>
    </row>
    <row r="436" spans="1:17" ht="58" x14ac:dyDescent="0.35">
      <c r="A436" s="6">
        <v>104</v>
      </c>
      <c r="B436" s="7" t="s">
        <v>480</v>
      </c>
      <c r="C436" s="9" t="s">
        <v>481</v>
      </c>
      <c r="D436" s="9" t="s">
        <v>1021</v>
      </c>
      <c r="E436" s="9" t="s">
        <v>1382</v>
      </c>
      <c r="F436" s="9" t="s">
        <v>111</v>
      </c>
      <c r="G436" s="6" t="s">
        <v>765</v>
      </c>
      <c r="H436" s="6" t="s">
        <v>1383</v>
      </c>
      <c r="I436" s="6" t="s">
        <v>48</v>
      </c>
      <c r="J436" s="195">
        <v>71523000</v>
      </c>
      <c r="K436" s="6" t="s">
        <v>1025</v>
      </c>
      <c r="L436" s="6">
        <v>2936268</v>
      </c>
      <c r="M436" s="6" t="s">
        <v>226</v>
      </c>
      <c r="N436" s="202" t="s">
        <v>1384</v>
      </c>
      <c r="O436" s="14">
        <v>71523000</v>
      </c>
      <c r="P436" s="203" t="s">
        <v>1193</v>
      </c>
    </row>
    <row r="437" spans="1:17" ht="58" x14ac:dyDescent="0.35">
      <c r="A437" s="126">
        <v>105</v>
      </c>
      <c r="B437" s="27" t="s">
        <v>480</v>
      </c>
      <c r="C437" s="29" t="s">
        <v>481</v>
      </c>
      <c r="D437" s="29" t="s">
        <v>1021</v>
      </c>
      <c r="E437" s="29" t="s">
        <v>1385</v>
      </c>
      <c r="F437" s="29" t="s">
        <v>1386</v>
      </c>
      <c r="G437" s="126" t="s">
        <v>1387</v>
      </c>
      <c r="H437" s="126" t="s">
        <v>1388</v>
      </c>
      <c r="I437" s="126" t="s">
        <v>1389</v>
      </c>
      <c r="J437" s="127">
        <v>1000000000</v>
      </c>
      <c r="K437" s="126" t="s">
        <v>1025</v>
      </c>
      <c r="L437" s="126" t="s">
        <v>1390</v>
      </c>
      <c r="M437" s="126" t="s">
        <v>226</v>
      </c>
      <c r="N437" s="238" t="s">
        <v>1389</v>
      </c>
      <c r="O437" s="127">
        <v>1000000000</v>
      </c>
      <c r="P437" s="27" t="s">
        <v>1391</v>
      </c>
    </row>
    <row r="438" spans="1:17" ht="58" x14ac:dyDescent="0.35">
      <c r="A438" s="6">
        <v>106</v>
      </c>
      <c r="B438" s="7" t="s">
        <v>480</v>
      </c>
      <c r="C438" s="9" t="s">
        <v>481</v>
      </c>
      <c r="D438" s="9" t="s">
        <v>1021</v>
      </c>
      <c r="E438" s="9" t="s">
        <v>1385</v>
      </c>
      <c r="F438" s="9" t="s">
        <v>1392</v>
      </c>
      <c r="G438" s="6" t="s">
        <v>1393</v>
      </c>
      <c r="H438" s="6" t="s">
        <v>1394</v>
      </c>
      <c r="I438" s="6" t="s">
        <v>1395</v>
      </c>
      <c r="J438" s="195">
        <v>100000000</v>
      </c>
      <c r="K438" s="6" t="s">
        <v>1025</v>
      </c>
      <c r="L438" s="6">
        <v>2857488</v>
      </c>
      <c r="M438" s="6" t="s">
        <v>226</v>
      </c>
      <c r="N438" s="202" t="s">
        <v>1066</v>
      </c>
      <c r="O438" s="14">
        <v>100000000</v>
      </c>
      <c r="P438" s="203" t="s">
        <v>1044</v>
      </c>
    </row>
    <row r="439" spans="1:17" ht="58" x14ac:dyDescent="0.35">
      <c r="A439" s="6">
        <v>107</v>
      </c>
      <c r="B439" s="7" t="s">
        <v>480</v>
      </c>
      <c r="C439" s="9" t="s">
        <v>481</v>
      </c>
      <c r="D439" s="9" t="s">
        <v>1021</v>
      </c>
      <c r="E439" s="9" t="s">
        <v>1385</v>
      </c>
      <c r="F439" s="9" t="s">
        <v>1396</v>
      </c>
      <c r="G439" s="6" t="s">
        <v>1393</v>
      </c>
      <c r="H439" s="6" t="s">
        <v>1397</v>
      </c>
      <c r="I439" s="6" t="s">
        <v>1398</v>
      </c>
      <c r="J439" s="195">
        <v>100000000</v>
      </c>
      <c r="K439" s="6" t="s">
        <v>1025</v>
      </c>
      <c r="L439" s="6">
        <v>2857451</v>
      </c>
      <c r="M439" s="6" t="s">
        <v>226</v>
      </c>
      <c r="N439" s="202" t="s">
        <v>1066</v>
      </c>
      <c r="O439" s="14">
        <v>100000000</v>
      </c>
      <c r="P439" s="203" t="s">
        <v>1044</v>
      </c>
    </row>
    <row r="440" spans="1:17" ht="58" x14ac:dyDescent="0.35">
      <c r="A440" s="6">
        <v>108</v>
      </c>
      <c r="B440" s="7" t="s">
        <v>480</v>
      </c>
      <c r="C440" s="9" t="s">
        <v>481</v>
      </c>
      <c r="D440" s="9" t="s">
        <v>1021</v>
      </c>
      <c r="E440" s="9" t="s">
        <v>1399</v>
      </c>
      <c r="F440" s="9" t="s">
        <v>1400</v>
      </c>
      <c r="G440" s="6" t="s">
        <v>978</v>
      </c>
      <c r="H440" s="6" t="s">
        <v>1401</v>
      </c>
      <c r="I440" s="6">
        <v>1</v>
      </c>
      <c r="J440" s="195">
        <v>50000000</v>
      </c>
      <c r="K440" s="6" t="s">
        <v>1025</v>
      </c>
      <c r="L440" s="6">
        <v>3011314</v>
      </c>
      <c r="M440" s="6" t="s">
        <v>226</v>
      </c>
      <c r="N440" s="202" t="s">
        <v>1174</v>
      </c>
      <c r="O440" s="14">
        <v>50000000</v>
      </c>
      <c r="P440" s="203" t="s">
        <v>1044</v>
      </c>
    </row>
    <row r="441" spans="1:17" ht="58" x14ac:dyDescent="0.35">
      <c r="A441" s="6">
        <v>109</v>
      </c>
      <c r="B441" s="7" t="s">
        <v>480</v>
      </c>
      <c r="C441" s="9" t="s">
        <v>481</v>
      </c>
      <c r="D441" s="9" t="s">
        <v>1021</v>
      </c>
      <c r="E441" s="9" t="s">
        <v>1402</v>
      </c>
      <c r="F441" s="9" t="s">
        <v>1403</v>
      </c>
      <c r="G441" s="6" t="s">
        <v>978</v>
      </c>
      <c r="H441" s="6" t="s">
        <v>1404</v>
      </c>
      <c r="I441" s="6">
        <v>1</v>
      </c>
      <c r="J441" s="195">
        <v>100000000</v>
      </c>
      <c r="K441" s="6" t="s">
        <v>1025</v>
      </c>
      <c r="L441" s="6">
        <v>3012328</v>
      </c>
      <c r="M441" s="6" t="s">
        <v>226</v>
      </c>
      <c r="N441" s="202" t="s">
        <v>1405</v>
      </c>
      <c r="O441" s="14">
        <v>90000000</v>
      </c>
      <c r="P441" s="203" t="s">
        <v>1406</v>
      </c>
      <c r="Q441" s="221"/>
    </row>
    <row r="442" spans="1:17" ht="58" x14ac:dyDescent="0.35">
      <c r="A442" s="6">
        <v>110</v>
      </c>
      <c r="B442" s="7" t="s">
        <v>480</v>
      </c>
      <c r="C442" s="9" t="s">
        <v>481</v>
      </c>
      <c r="D442" s="9" t="s">
        <v>1021</v>
      </c>
      <c r="E442" s="9" t="s">
        <v>1407</v>
      </c>
      <c r="F442" s="9" t="s">
        <v>1408</v>
      </c>
      <c r="G442" s="6" t="s">
        <v>978</v>
      </c>
      <c r="H442" s="6" t="s">
        <v>1404</v>
      </c>
      <c r="I442" s="6">
        <v>1</v>
      </c>
      <c r="J442" s="195">
        <v>31300000</v>
      </c>
      <c r="K442" s="6" t="s">
        <v>1025</v>
      </c>
      <c r="L442" s="6">
        <v>2937946</v>
      </c>
      <c r="M442" s="6" t="s">
        <v>226</v>
      </c>
      <c r="N442" s="202" t="s">
        <v>1409</v>
      </c>
      <c r="O442" s="14">
        <v>31300000</v>
      </c>
      <c r="P442" s="203" t="s">
        <v>1044</v>
      </c>
    </row>
    <row r="443" spans="1:17" ht="58" x14ac:dyDescent="0.35">
      <c r="A443" s="6">
        <v>111</v>
      </c>
      <c r="B443" s="7" t="s">
        <v>480</v>
      </c>
      <c r="C443" s="9" t="s">
        <v>481</v>
      </c>
      <c r="D443" s="9" t="s">
        <v>1021</v>
      </c>
      <c r="E443" s="9" t="s">
        <v>1399</v>
      </c>
      <c r="F443" s="9" t="s">
        <v>1410</v>
      </c>
      <c r="G443" s="6" t="s">
        <v>177</v>
      </c>
      <c r="H443" s="6" t="s">
        <v>1411</v>
      </c>
      <c r="I443" s="6" t="s">
        <v>1412</v>
      </c>
      <c r="J443" s="195">
        <v>35000000</v>
      </c>
      <c r="K443" s="6" t="s">
        <v>1025</v>
      </c>
      <c r="L443" s="6">
        <v>2946976</v>
      </c>
      <c r="M443" s="6" t="s">
        <v>180</v>
      </c>
      <c r="N443" s="202" t="s">
        <v>1135</v>
      </c>
      <c r="O443" s="14">
        <v>95000000</v>
      </c>
      <c r="P443" s="212" t="s">
        <v>1044</v>
      </c>
      <c r="Q443" s="213"/>
    </row>
    <row r="444" spans="1:17" ht="58" x14ac:dyDescent="0.35">
      <c r="A444" s="6">
        <v>112</v>
      </c>
      <c r="B444" s="7" t="s">
        <v>480</v>
      </c>
      <c r="C444" s="9" t="s">
        <v>481</v>
      </c>
      <c r="D444" s="9" t="s">
        <v>1021</v>
      </c>
      <c r="E444" s="9" t="s">
        <v>1399</v>
      </c>
      <c r="F444" s="9" t="s">
        <v>1160</v>
      </c>
      <c r="G444" s="6" t="s">
        <v>177</v>
      </c>
      <c r="H444" s="6" t="s">
        <v>1413</v>
      </c>
      <c r="I444" s="6" t="s">
        <v>1259</v>
      </c>
      <c r="J444" s="195">
        <v>40000000</v>
      </c>
      <c r="K444" s="6" t="s">
        <v>1025</v>
      </c>
      <c r="L444" s="6">
        <v>2946976</v>
      </c>
      <c r="M444" s="6" t="s">
        <v>180</v>
      </c>
      <c r="N444" s="202" t="s">
        <v>1135</v>
      </c>
      <c r="O444" s="14">
        <v>95000000</v>
      </c>
      <c r="P444" s="212" t="s">
        <v>1044</v>
      </c>
      <c r="Q444" s="213"/>
    </row>
    <row r="445" spans="1:17" ht="58" x14ac:dyDescent="0.35">
      <c r="A445" s="6">
        <v>113</v>
      </c>
      <c r="B445" s="7" t="s">
        <v>480</v>
      </c>
      <c r="C445" s="9" t="s">
        <v>481</v>
      </c>
      <c r="D445" s="9" t="s">
        <v>1021</v>
      </c>
      <c r="E445" s="9" t="s">
        <v>1399</v>
      </c>
      <c r="F445" s="9" t="s">
        <v>1160</v>
      </c>
      <c r="G445" s="6" t="s">
        <v>177</v>
      </c>
      <c r="H445" s="6" t="s">
        <v>1414</v>
      </c>
      <c r="I445" s="6" t="s">
        <v>1259</v>
      </c>
      <c r="J445" s="195">
        <v>40000000</v>
      </c>
      <c r="K445" s="6" t="s">
        <v>1025</v>
      </c>
      <c r="L445" s="6">
        <v>2946976</v>
      </c>
      <c r="M445" s="6" t="s">
        <v>180</v>
      </c>
      <c r="N445" s="202" t="s">
        <v>1135</v>
      </c>
      <c r="O445" s="14">
        <v>95000000</v>
      </c>
      <c r="P445" s="212" t="s">
        <v>1044</v>
      </c>
      <c r="Q445" s="213"/>
    </row>
    <row r="446" spans="1:17" ht="58" x14ac:dyDescent="0.35">
      <c r="A446" s="6">
        <v>114</v>
      </c>
      <c r="B446" s="7" t="s">
        <v>480</v>
      </c>
      <c r="C446" s="9" t="s">
        <v>481</v>
      </c>
      <c r="D446" s="9" t="s">
        <v>1021</v>
      </c>
      <c r="E446" s="9" t="s">
        <v>1399</v>
      </c>
      <c r="F446" s="9" t="s">
        <v>1160</v>
      </c>
      <c r="G446" s="6" t="s">
        <v>177</v>
      </c>
      <c r="H446" s="6" t="s">
        <v>1415</v>
      </c>
      <c r="I446" s="6" t="s">
        <v>1259</v>
      </c>
      <c r="J446" s="195">
        <v>40000000</v>
      </c>
      <c r="K446" s="6" t="s">
        <v>1025</v>
      </c>
      <c r="L446" s="6">
        <v>2946976</v>
      </c>
      <c r="M446" s="6" t="s">
        <v>180</v>
      </c>
      <c r="N446" s="202" t="s">
        <v>1135</v>
      </c>
      <c r="O446" s="14">
        <v>95000000</v>
      </c>
      <c r="P446" s="212" t="s">
        <v>1044</v>
      </c>
      <c r="Q446" s="213"/>
    </row>
    <row r="447" spans="1:17" ht="58" x14ac:dyDescent="0.35">
      <c r="A447" s="6">
        <v>115</v>
      </c>
      <c r="B447" s="7" t="s">
        <v>480</v>
      </c>
      <c r="C447" s="9" t="s">
        <v>481</v>
      </c>
      <c r="D447" s="9" t="s">
        <v>1021</v>
      </c>
      <c r="E447" s="9" t="s">
        <v>1416</v>
      </c>
      <c r="F447" s="9" t="s">
        <v>1165</v>
      </c>
      <c r="G447" s="6" t="s">
        <v>177</v>
      </c>
      <c r="H447" s="6" t="s">
        <v>178</v>
      </c>
      <c r="I447" s="6" t="s">
        <v>1417</v>
      </c>
      <c r="J447" s="195">
        <v>30000000</v>
      </c>
      <c r="K447" s="6" t="s">
        <v>1025</v>
      </c>
      <c r="L447" s="6">
        <v>2946477</v>
      </c>
      <c r="M447" s="6" t="s">
        <v>180</v>
      </c>
      <c r="N447" s="202" t="s">
        <v>1418</v>
      </c>
      <c r="O447" s="14">
        <v>30000000</v>
      </c>
      <c r="P447" s="231" t="s">
        <v>1419</v>
      </c>
      <c r="Q447" s="237"/>
    </row>
    <row r="448" spans="1:17" ht="58" x14ac:dyDescent="0.35">
      <c r="A448" s="6">
        <v>116</v>
      </c>
      <c r="B448" s="7" t="s">
        <v>480</v>
      </c>
      <c r="C448" s="9" t="s">
        <v>481</v>
      </c>
      <c r="D448" s="9" t="s">
        <v>1021</v>
      </c>
      <c r="E448" s="9" t="s">
        <v>1334</v>
      </c>
      <c r="F448" s="9" t="s">
        <v>636</v>
      </c>
      <c r="G448" s="6" t="s">
        <v>182</v>
      </c>
      <c r="H448" s="6" t="s">
        <v>1420</v>
      </c>
      <c r="I448" s="6" t="s">
        <v>1421</v>
      </c>
      <c r="J448" s="195">
        <v>25000000</v>
      </c>
      <c r="K448" s="6" t="s">
        <v>1025</v>
      </c>
      <c r="L448" s="6">
        <v>2948057</v>
      </c>
      <c r="M448" s="6" t="s">
        <v>180</v>
      </c>
      <c r="N448" s="202" t="s">
        <v>1077</v>
      </c>
      <c r="O448" s="14">
        <v>60000000</v>
      </c>
      <c r="P448" s="203" t="s">
        <v>1193</v>
      </c>
      <c r="Q448" s="221"/>
    </row>
    <row r="449" spans="1:17" ht="58" x14ac:dyDescent="0.35">
      <c r="A449" s="6">
        <v>117</v>
      </c>
      <c r="B449" s="7" t="s">
        <v>480</v>
      </c>
      <c r="C449" s="9" t="s">
        <v>481</v>
      </c>
      <c r="D449" s="9" t="s">
        <v>1021</v>
      </c>
      <c r="E449" s="9" t="s">
        <v>1422</v>
      </c>
      <c r="F449" s="9" t="s">
        <v>636</v>
      </c>
      <c r="G449" s="6" t="s">
        <v>182</v>
      </c>
      <c r="H449" s="6" t="s">
        <v>185</v>
      </c>
      <c r="I449" s="6" t="s">
        <v>1423</v>
      </c>
      <c r="J449" s="195">
        <v>50000000</v>
      </c>
      <c r="K449" s="6" t="s">
        <v>1025</v>
      </c>
      <c r="L449" s="6">
        <v>2952502</v>
      </c>
      <c r="M449" s="6" t="s">
        <v>180</v>
      </c>
      <c r="N449" s="202" t="s">
        <v>1222</v>
      </c>
      <c r="O449" s="14">
        <v>50000000</v>
      </c>
      <c r="P449" s="203" t="s">
        <v>1193</v>
      </c>
    </row>
    <row r="450" spans="1:17" ht="58" x14ac:dyDescent="0.35">
      <c r="A450" s="6">
        <v>118</v>
      </c>
      <c r="B450" s="7" t="s">
        <v>480</v>
      </c>
      <c r="C450" s="9" t="s">
        <v>481</v>
      </c>
      <c r="D450" s="9" t="s">
        <v>1021</v>
      </c>
      <c r="E450" s="9" t="s">
        <v>1422</v>
      </c>
      <c r="F450" s="9" t="s">
        <v>1160</v>
      </c>
      <c r="G450" s="6" t="s">
        <v>1424</v>
      </c>
      <c r="H450" s="6" t="s">
        <v>1425</v>
      </c>
      <c r="I450" s="6" t="s">
        <v>1426</v>
      </c>
      <c r="J450" s="195">
        <v>100000000</v>
      </c>
      <c r="K450" s="6" t="s">
        <v>1025</v>
      </c>
      <c r="L450" s="6">
        <v>2764204</v>
      </c>
      <c r="M450" s="6" t="s">
        <v>180</v>
      </c>
      <c r="N450" s="202" t="s">
        <v>1427</v>
      </c>
      <c r="O450" s="14">
        <v>101945000</v>
      </c>
      <c r="P450" s="203" t="s">
        <v>1193</v>
      </c>
    </row>
    <row r="451" spans="1:17" ht="58" x14ac:dyDescent="0.35">
      <c r="A451" s="6">
        <v>119</v>
      </c>
      <c r="B451" s="7" t="s">
        <v>480</v>
      </c>
      <c r="C451" s="9" t="s">
        <v>481</v>
      </c>
      <c r="D451" s="9" t="s">
        <v>1021</v>
      </c>
      <c r="E451" s="9" t="s">
        <v>1428</v>
      </c>
      <c r="F451" s="9" t="s">
        <v>441</v>
      </c>
      <c r="G451" s="6" t="s">
        <v>442</v>
      </c>
      <c r="H451" s="6" t="s">
        <v>1429</v>
      </c>
      <c r="I451" s="6"/>
      <c r="J451" s="195">
        <v>50000000</v>
      </c>
      <c r="K451" s="6" t="s">
        <v>1025</v>
      </c>
      <c r="L451" s="6">
        <v>3012204</v>
      </c>
      <c r="M451" s="6" t="s">
        <v>180</v>
      </c>
      <c r="N451" s="202" t="s">
        <v>1251</v>
      </c>
      <c r="O451" s="14">
        <v>100000000</v>
      </c>
      <c r="P451" s="203" t="s">
        <v>1193</v>
      </c>
    </row>
    <row r="452" spans="1:17" ht="58" x14ac:dyDescent="0.35">
      <c r="A452" s="6">
        <v>120</v>
      </c>
      <c r="B452" s="7" t="s">
        <v>480</v>
      </c>
      <c r="C452" s="9" t="s">
        <v>481</v>
      </c>
      <c r="D452" s="9" t="s">
        <v>1021</v>
      </c>
      <c r="E452" s="9" t="s">
        <v>1175</v>
      </c>
      <c r="F452" s="9" t="s">
        <v>1160</v>
      </c>
      <c r="G452" s="6" t="s">
        <v>187</v>
      </c>
      <c r="H452" s="6" t="s">
        <v>1430</v>
      </c>
      <c r="I452" s="6" t="s">
        <v>1431</v>
      </c>
      <c r="J452" s="195">
        <v>5000000</v>
      </c>
      <c r="K452" s="6" t="s">
        <v>1025</v>
      </c>
      <c r="L452" s="6">
        <v>2934399</v>
      </c>
      <c r="M452" s="6" t="s">
        <v>180</v>
      </c>
      <c r="N452" s="202" t="s">
        <v>1432</v>
      </c>
      <c r="O452" s="14">
        <v>5000000</v>
      </c>
      <c r="P452" s="214" t="s">
        <v>1059</v>
      </c>
    </row>
    <row r="453" spans="1:17" ht="58" x14ac:dyDescent="0.35">
      <c r="A453" s="6">
        <v>121</v>
      </c>
      <c r="B453" s="7" t="s">
        <v>480</v>
      </c>
      <c r="C453" s="9" t="s">
        <v>481</v>
      </c>
      <c r="D453" s="9" t="s">
        <v>1021</v>
      </c>
      <c r="E453" s="9" t="s">
        <v>1045</v>
      </c>
      <c r="F453" s="9" t="s">
        <v>1160</v>
      </c>
      <c r="G453" s="6" t="s">
        <v>187</v>
      </c>
      <c r="H453" s="6" t="s">
        <v>1430</v>
      </c>
      <c r="I453" s="6" t="s">
        <v>1433</v>
      </c>
      <c r="J453" s="195">
        <v>5000000</v>
      </c>
      <c r="K453" s="6" t="s">
        <v>1025</v>
      </c>
      <c r="L453" s="6">
        <v>2935235</v>
      </c>
      <c r="M453" s="6" t="s">
        <v>180</v>
      </c>
      <c r="N453" s="202" t="s">
        <v>1434</v>
      </c>
      <c r="O453" s="14">
        <v>5000000</v>
      </c>
      <c r="P453" s="7"/>
    </row>
    <row r="454" spans="1:17" ht="58" x14ac:dyDescent="0.35">
      <c r="A454" s="6">
        <v>122</v>
      </c>
      <c r="B454" s="7" t="s">
        <v>480</v>
      </c>
      <c r="C454" s="9" t="s">
        <v>481</v>
      </c>
      <c r="D454" s="9" t="s">
        <v>1021</v>
      </c>
      <c r="E454" s="9" t="s">
        <v>1159</v>
      </c>
      <c r="F454" s="9" t="s">
        <v>1160</v>
      </c>
      <c r="G454" s="6" t="s">
        <v>187</v>
      </c>
      <c r="H454" s="6" t="s">
        <v>1430</v>
      </c>
      <c r="I454" s="6" t="s">
        <v>725</v>
      </c>
      <c r="J454" s="195">
        <v>50000000</v>
      </c>
      <c r="K454" s="6" t="s">
        <v>1025</v>
      </c>
      <c r="L454" s="6">
        <v>2938807</v>
      </c>
      <c r="M454" s="6" t="s">
        <v>180</v>
      </c>
      <c r="N454" s="202" t="s">
        <v>25</v>
      </c>
      <c r="O454" s="14">
        <v>45000000</v>
      </c>
      <c r="P454" s="214" t="s">
        <v>1243</v>
      </c>
      <c r="Q454" s="215"/>
    </row>
    <row r="455" spans="1:17" ht="58" x14ac:dyDescent="0.35">
      <c r="A455" s="6">
        <v>123</v>
      </c>
      <c r="B455" s="7" t="s">
        <v>480</v>
      </c>
      <c r="C455" s="9" t="s">
        <v>481</v>
      </c>
      <c r="D455" s="9" t="s">
        <v>1021</v>
      </c>
      <c r="E455" s="9" t="s">
        <v>1151</v>
      </c>
      <c r="F455" s="9" t="s">
        <v>1165</v>
      </c>
      <c r="G455" s="6" t="s">
        <v>187</v>
      </c>
      <c r="H455" s="6" t="s">
        <v>446</v>
      </c>
      <c r="I455" s="6" t="s">
        <v>521</v>
      </c>
      <c r="J455" s="195">
        <v>5000000</v>
      </c>
      <c r="K455" s="6" t="s">
        <v>1025</v>
      </c>
      <c r="L455" s="6">
        <v>2974936</v>
      </c>
      <c r="M455" s="6" t="s">
        <v>180</v>
      </c>
      <c r="N455" s="202" t="s">
        <v>1435</v>
      </c>
      <c r="O455" s="14">
        <v>5000000</v>
      </c>
      <c r="P455" s="212" t="s">
        <v>1436</v>
      </c>
      <c r="Q455" s="213"/>
    </row>
    <row r="456" spans="1:17" ht="58" x14ac:dyDescent="0.35">
      <c r="A456" s="6">
        <v>124</v>
      </c>
      <c r="B456" s="7" t="s">
        <v>480</v>
      </c>
      <c r="C456" s="9" t="s">
        <v>481</v>
      </c>
      <c r="D456" s="9" t="s">
        <v>1021</v>
      </c>
      <c r="E456" s="9" t="s">
        <v>1204</v>
      </c>
      <c r="F456" s="9" t="s">
        <v>1165</v>
      </c>
      <c r="G456" s="6" t="s">
        <v>187</v>
      </c>
      <c r="H456" s="6" t="s">
        <v>1437</v>
      </c>
      <c r="I456" s="6" t="s">
        <v>1438</v>
      </c>
      <c r="J456" s="195">
        <v>11000000</v>
      </c>
      <c r="K456" s="6" t="s">
        <v>1025</v>
      </c>
      <c r="L456" s="6">
        <v>2938971</v>
      </c>
      <c r="M456" s="6" t="s">
        <v>180</v>
      </c>
      <c r="N456" s="202" t="s">
        <v>1439</v>
      </c>
      <c r="O456" s="14">
        <v>11000000</v>
      </c>
      <c r="P456" s="212" t="s">
        <v>1406</v>
      </c>
      <c r="Q456" s="213"/>
    </row>
    <row r="457" spans="1:17" ht="174" x14ac:dyDescent="0.35">
      <c r="A457" s="6">
        <v>125</v>
      </c>
      <c r="B457" s="7" t="s">
        <v>480</v>
      </c>
      <c r="C457" s="9" t="s">
        <v>481</v>
      </c>
      <c r="D457" s="9" t="s">
        <v>1021</v>
      </c>
      <c r="E457" s="9" t="s">
        <v>1151</v>
      </c>
      <c r="F457" s="9" t="s">
        <v>1165</v>
      </c>
      <c r="G457" s="6" t="s">
        <v>187</v>
      </c>
      <c r="H457" s="6" t="s">
        <v>1437</v>
      </c>
      <c r="I457" s="6" t="s">
        <v>1438</v>
      </c>
      <c r="J457" s="195">
        <v>30000000</v>
      </c>
      <c r="K457" s="6" t="s">
        <v>1025</v>
      </c>
      <c r="L457" s="6">
        <v>2933606</v>
      </c>
      <c r="M457" s="6" t="s">
        <v>180</v>
      </c>
      <c r="N457" s="6" t="s">
        <v>1440</v>
      </c>
      <c r="O457" s="14">
        <v>30000000</v>
      </c>
      <c r="P457" s="214" t="s">
        <v>1441</v>
      </c>
      <c r="Q457" s="215"/>
    </row>
    <row r="458" spans="1:17" ht="58" x14ac:dyDescent="0.35">
      <c r="A458" s="6">
        <v>126</v>
      </c>
      <c r="B458" s="7" t="s">
        <v>480</v>
      </c>
      <c r="C458" s="9" t="s">
        <v>481</v>
      </c>
      <c r="D458" s="9" t="s">
        <v>1021</v>
      </c>
      <c r="E458" s="9" t="s">
        <v>1159</v>
      </c>
      <c r="F458" s="9" t="s">
        <v>1160</v>
      </c>
      <c r="G458" s="6" t="s">
        <v>187</v>
      </c>
      <c r="H458" s="6" t="s">
        <v>1442</v>
      </c>
      <c r="I458" s="6" t="s">
        <v>725</v>
      </c>
      <c r="J458" s="195">
        <v>50000000</v>
      </c>
      <c r="K458" s="6" t="s">
        <v>1025</v>
      </c>
      <c r="L458" s="6">
        <v>2761221</v>
      </c>
      <c r="M458" s="6" t="s">
        <v>180</v>
      </c>
      <c r="N458" s="202" t="s">
        <v>25</v>
      </c>
      <c r="O458" s="14">
        <v>45000000</v>
      </c>
      <c r="P458" s="214" t="s">
        <v>1243</v>
      </c>
    </row>
    <row r="459" spans="1:17" ht="58" x14ac:dyDescent="0.35">
      <c r="A459" s="6">
        <v>127</v>
      </c>
      <c r="B459" s="7" t="s">
        <v>480</v>
      </c>
      <c r="C459" s="9" t="s">
        <v>481</v>
      </c>
      <c r="D459" s="9" t="s">
        <v>1021</v>
      </c>
      <c r="E459" s="9" t="s">
        <v>1175</v>
      </c>
      <c r="F459" s="9" t="s">
        <v>1160</v>
      </c>
      <c r="G459" s="6" t="s">
        <v>187</v>
      </c>
      <c r="H459" s="6" t="s">
        <v>1442</v>
      </c>
      <c r="I459" s="6" t="s">
        <v>1443</v>
      </c>
      <c r="J459" s="195">
        <v>15000000</v>
      </c>
      <c r="K459" s="6" t="s">
        <v>1025</v>
      </c>
      <c r="L459" s="6">
        <v>2762094</v>
      </c>
      <c r="M459" s="6" t="s">
        <v>180</v>
      </c>
      <c r="N459" s="202" t="s">
        <v>1444</v>
      </c>
      <c r="O459" s="14">
        <v>15000000</v>
      </c>
      <c r="P459" s="7" t="s">
        <v>1445</v>
      </c>
    </row>
    <row r="460" spans="1:17" ht="58" x14ac:dyDescent="0.35">
      <c r="A460" s="6">
        <v>128</v>
      </c>
      <c r="B460" s="7" t="s">
        <v>480</v>
      </c>
      <c r="C460" s="9" t="s">
        <v>481</v>
      </c>
      <c r="D460" s="9" t="s">
        <v>1021</v>
      </c>
      <c r="E460" s="9" t="s">
        <v>1446</v>
      </c>
      <c r="F460" s="9" t="s">
        <v>1160</v>
      </c>
      <c r="G460" s="6" t="s">
        <v>187</v>
      </c>
      <c r="H460" s="6" t="s">
        <v>1447</v>
      </c>
      <c r="I460" s="6" t="s">
        <v>1448</v>
      </c>
      <c r="J460" s="195">
        <v>35000000</v>
      </c>
      <c r="K460" s="6" t="s">
        <v>1025</v>
      </c>
      <c r="L460" s="6">
        <v>2764371</v>
      </c>
      <c r="M460" s="6" t="s">
        <v>180</v>
      </c>
      <c r="N460" s="202" t="s">
        <v>28</v>
      </c>
      <c r="O460" s="14">
        <v>35000000</v>
      </c>
      <c r="P460" s="7"/>
    </row>
    <row r="461" spans="1:17" ht="145" x14ac:dyDescent="0.35">
      <c r="A461" s="6">
        <v>129</v>
      </c>
      <c r="B461" s="7" t="s">
        <v>480</v>
      </c>
      <c r="C461" s="9" t="s">
        <v>481</v>
      </c>
      <c r="D461" s="9" t="s">
        <v>1021</v>
      </c>
      <c r="E461" s="9" t="s">
        <v>1449</v>
      </c>
      <c r="F461" s="9" t="s">
        <v>1160</v>
      </c>
      <c r="G461" s="6" t="s">
        <v>187</v>
      </c>
      <c r="H461" s="6" t="s">
        <v>1447</v>
      </c>
      <c r="I461" s="6" t="s">
        <v>1450</v>
      </c>
      <c r="J461" s="195">
        <v>15000000</v>
      </c>
      <c r="K461" s="6" t="s">
        <v>1025</v>
      </c>
      <c r="L461" s="6">
        <v>2938133</v>
      </c>
      <c r="M461" s="6" t="s">
        <v>180</v>
      </c>
      <c r="N461" s="239" t="s">
        <v>1451</v>
      </c>
      <c r="O461" s="240">
        <v>15000000</v>
      </c>
      <c r="P461" s="140"/>
    </row>
    <row r="462" spans="1:17" ht="58" x14ac:dyDescent="0.35">
      <c r="A462" s="6">
        <v>130</v>
      </c>
      <c r="B462" s="7" t="s">
        <v>480</v>
      </c>
      <c r="C462" s="9" t="s">
        <v>481</v>
      </c>
      <c r="D462" s="9" t="s">
        <v>1021</v>
      </c>
      <c r="E462" s="9" t="s">
        <v>1039</v>
      </c>
      <c r="F462" s="9" t="s">
        <v>1160</v>
      </c>
      <c r="G462" s="6" t="s">
        <v>1452</v>
      </c>
      <c r="H462" s="6" t="s">
        <v>450</v>
      </c>
      <c r="I462" s="6" t="s">
        <v>341</v>
      </c>
      <c r="J462" s="195">
        <v>45000000</v>
      </c>
      <c r="K462" s="6" t="s">
        <v>1025</v>
      </c>
      <c r="L462" s="6">
        <v>2761457</v>
      </c>
      <c r="M462" s="6" t="s">
        <v>180</v>
      </c>
      <c r="N462" s="202" t="s">
        <v>1405</v>
      </c>
      <c r="O462" s="14">
        <v>75000000</v>
      </c>
      <c r="P462" s="212" t="s">
        <v>1044</v>
      </c>
    </row>
    <row r="463" spans="1:17" ht="58" x14ac:dyDescent="0.35">
      <c r="A463" s="6">
        <v>131</v>
      </c>
      <c r="B463" s="7" t="s">
        <v>480</v>
      </c>
      <c r="C463" s="9" t="s">
        <v>481</v>
      </c>
      <c r="D463" s="9" t="s">
        <v>1021</v>
      </c>
      <c r="E463" s="9" t="s">
        <v>1039</v>
      </c>
      <c r="F463" s="9" t="s">
        <v>1160</v>
      </c>
      <c r="G463" s="6" t="s">
        <v>449</v>
      </c>
      <c r="H463" s="6" t="s">
        <v>1453</v>
      </c>
      <c r="I463" s="6" t="s">
        <v>1272</v>
      </c>
      <c r="J463" s="195">
        <v>60000000</v>
      </c>
      <c r="K463" s="6" t="s">
        <v>1025</v>
      </c>
      <c r="L463" s="6">
        <v>2761457</v>
      </c>
      <c r="M463" s="6" t="s">
        <v>180</v>
      </c>
      <c r="N463" s="202" t="s">
        <v>1454</v>
      </c>
      <c r="O463" s="14">
        <v>85000000</v>
      </c>
      <c r="P463" s="212" t="s">
        <v>1044</v>
      </c>
    </row>
    <row r="464" spans="1:17" ht="58" x14ac:dyDescent="0.35">
      <c r="A464" s="6">
        <v>132</v>
      </c>
      <c r="B464" s="7" t="s">
        <v>480</v>
      </c>
      <c r="C464" s="9" t="s">
        <v>481</v>
      </c>
      <c r="D464" s="9" t="s">
        <v>1021</v>
      </c>
      <c r="E464" s="9" t="s">
        <v>1455</v>
      </c>
      <c r="F464" s="9" t="s">
        <v>1160</v>
      </c>
      <c r="G464" s="6" t="s">
        <v>449</v>
      </c>
      <c r="H464" s="6" t="s">
        <v>1456</v>
      </c>
      <c r="I464" s="6" t="s">
        <v>725</v>
      </c>
      <c r="J464" s="195">
        <v>50000000</v>
      </c>
      <c r="K464" s="6" t="s">
        <v>1025</v>
      </c>
      <c r="L464" s="6">
        <v>2761293</v>
      </c>
      <c r="M464" s="6" t="s">
        <v>180</v>
      </c>
      <c r="N464" s="202" t="s">
        <v>280</v>
      </c>
      <c r="O464" s="14">
        <v>120000000</v>
      </c>
      <c r="P464" s="7" t="s">
        <v>1457</v>
      </c>
    </row>
    <row r="465" spans="1:17" ht="58" x14ac:dyDescent="0.35">
      <c r="A465" s="6">
        <v>133</v>
      </c>
      <c r="B465" s="7" t="s">
        <v>480</v>
      </c>
      <c r="C465" s="9" t="s">
        <v>481</v>
      </c>
      <c r="D465" s="9" t="s">
        <v>1021</v>
      </c>
      <c r="E465" s="9" t="s">
        <v>1332</v>
      </c>
      <c r="F465" s="9" t="s">
        <v>1160</v>
      </c>
      <c r="G465" s="6" t="s">
        <v>449</v>
      </c>
      <c r="H465" s="6" t="s">
        <v>1458</v>
      </c>
      <c r="I465" s="6" t="s">
        <v>725</v>
      </c>
      <c r="J465" s="195">
        <v>25000000</v>
      </c>
      <c r="K465" s="6" t="s">
        <v>1025</v>
      </c>
      <c r="L465" s="6">
        <v>2967478</v>
      </c>
      <c r="M465" s="6" t="s">
        <v>180</v>
      </c>
      <c r="N465" s="202" t="s">
        <v>25</v>
      </c>
      <c r="O465" s="14">
        <v>90000000</v>
      </c>
      <c r="P465" s="7" t="s">
        <v>1457</v>
      </c>
    </row>
    <row r="466" spans="1:17" ht="58" x14ac:dyDescent="0.35">
      <c r="A466" s="6">
        <v>134</v>
      </c>
      <c r="B466" s="7" t="s">
        <v>480</v>
      </c>
      <c r="C466" s="9" t="s">
        <v>481</v>
      </c>
      <c r="D466" s="9" t="s">
        <v>1021</v>
      </c>
      <c r="E466" s="9" t="s">
        <v>1159</v>
      </c>
      <c r="F466" s="9" t="s">
        <v>1160</v>
      </c>
      <c r="G466" s="6" t="s">
        <v>452</v>
      </c>
      <c r="H466" s="6" t="s">
        <v>1459</v>
      </c>
      <c r="I466" s="6" t="s">
        <v>179</v>
      </c>
      <c r="J466" s="195">
        <v>30000000</v>
      </c>
      <c r="K466" s="6" t="s">
        <v>1025</v>
      </c>
      <c r="L466" s="6">
        <v>2772067</v>
      </c>
      <c r="M466" s="6" t="s">
        <v>180</v>
      </c>
      <c r="N466" s="202" t="s">
        <v>25</v>
      </c>
      <c r="O466" s="14">
        <v>45000000</v>
      </c>
      <c r="P466" s="214" t="s">
        <v>1243</v>
      </c>
    </row>
    <row r="467" spans="1:17" ht="58" x14ac:dyDescent="0.35">
      <c r="A467" s="6">
        <v>135</v>
      </c>
      <c r="B467" s="7" t="s">
        <v>480</v>
      </c>
      <c r="C467" s="9" t="s">
        <v>481</v>
      </c>
      <c r="D467" s="9" t="s">
        <v>1021</v>
      </c>
      <c r="E467" s="9" t="s">
        <v>992</v>
      </c>
      <c r="F467" s="9" t="s">
        <v>1460</v>
      </c>
      <c r="G467" s="16" t="s">
        <v>457</v>
      </c>
      <c r="H467" s="6" t="s">
        <v>1461</v>
      </c>
      <c r="I467" s="16" t="s">
        <v>1272</v>
      </c>
      <c r="J467" s="241">
        <v>100000000</v>
      </c>
      <c r="K467" s="6" t="s">
        <v>1025</v>
      </c>
      <c r="L467" s="6">
        <v>2973279</v>
      </c>
      <c r="M467" s="6" t="s">
        <v>55</v>
      </c>
      <c r="N467" s="6" t="s">
        <v>1066</v>
      </c>
      <c r="O467" s="241">
        <v>100000000</v>
      </c>
      <c r="P467" s="203" t="s">
        <v>1462</v>
      </c>
      <c r="Q467" s="221"/>
    </row>
    <row r="468" spans="1:17" ht="58" x14ac:dyDescent="0.35">
      <c r="A468" s="6">
        <v>136</v>
      </c>
      <c r="B468" s="7" t="s">
        <v>480</v>
      </c>
      <c r="C468" s="9" t="s">
        <v>481</v>
      </c>
      <c r="D468" s="9" t="s">
        <v>1021</v>
      </c>
      <c r="E468" s="9" t="s">
        <v>992</v>
      </c>
      <c r="F468" s="9" t="s">
        <v>1463</v>
      </c>
      <c r="G468" s="16" t="s">
        <v>457</v>
      </c>
      <c r="H468" s="9" t="s">
        <v>1463</v>
      </c>
      <c r="I468" s="16" t="s">
        <v>1272</v>
      </c>
      <c r="J468" s="241">
        <v>100000000</v>
      </c>
      <c r="K468" s="6" t="s">
        <v>1025</v>
      </c>
      <c r="L468" s="199"/>
      <c r="M468" s="6" t="s">
        <v>55</v>
      </c>
      <c r="N468" s="6" t="s">
        <v>1066</v>
      </c>
      <c r="O468" s="241">
        <v>100000000</v>
      </c>
      <c r="P468" s="242" t="s">
        <v>1464</v>
      </c>
    </row>
    <row r="469" spans="1:17" ht="58" x14ac:dyDescent="0.35">
      <c r="A469" s="6">
        <v>137</v>
      </c>
      <c r="B469" s="7" t="s">
        <v>480</v>
      </c>
      <c r="C469" s="9" t="s">
        <v>481</v>
      </c>
      <c r="D469" s="9" t="s">
        <v>1021</v>
      </c>
      <c r="E469" s="9" t="s">
        <v>1039</v>
      </c>
      <c r="F469" s="9" t="s">
        <v>1465</v>
      </c>
      <c r="G469" s="16" t="s">
        <v>1466</v>
      </c>
      <c r="H469" s="9" t="s">
        <v>1465</v>
      </c>
      <c r="I469" s="243" t="s">
        <v>609</v>
      </c>
      <c r="J469" s="241">
        <v>75000000</v>
      </c>
      <c r="K469" s="6" t="s">
        <v>1025</v>
      </c>
      <c r="L469" s="78"/>
      <c r="M469" s="6" t="s">
        <v>46</v>
      </c>
      <c r="N469" s="243" t="s">
        <v>1467</v>
      </c>
      <c r="O469" s="241">
        <v>75000000</v>
      </c>
      <c r="P469" s="242" t="s">
        <v>1468</v>
      </c>
    </row>
    <row r="470" spans="1:17" ht="58" x14ac:dyDescent="0.35">
      <c r="A470" s="6">
        <v>138</v>
      </c>
      <c r="B470" s="7" t="s">
        <v>480</v>
      </c>
      <c r="C470" s="9" t="s">
        <v>481</v>
      </c>
      <c r="D470" s="9" t="s">
        <v>1021</v>
      </c>
      <c r="E470" s="9" t="s">
        <v>1039</v>
      </c>
      <c r="F470" s="9" t="s">
        <v>1469</v>
      </c>
      <c r="G470" s="16" t="s">
        <v>1466</v>
      </c>
      <c r="H470" s="9" t="s">
        <v>1469</v>
      </c>
      <c r="I470" s="243" t="s">
        <v>609</v>
      </c>
      <c r="J470" s="241">
        <v>50000000</v>
      </c>
      <c r="K470" s="6" t="s">
        <v>1025</v>
      </c>
      <c r="L470" s="199"/>
      <c r="M470" s="6" t="s">
        <v>46</v>
      </c>
      <c r="N470" s="243" t="s">
        <v>1470</v>
      </c>
      <c r="O470" s="241">
        <v>50000000</v>
      </c>
      <c r="P470" s="242" t="s">
        <v>1471</v>
      </c>
    </row>
    <row r="471" spans="1:17" ht="58" x14ac:dyDescent="0.35">
      <c r="A471" s="6">
        <v>139</v>
      </c>
      <c r="B471" s="7" t="s">
        <v>480</v>
      </c>
      <c r="C471" s="9" t="s">
        <v>481</v>
      </c>
      <c r="D471" s="9" t="s">
        <v>1021</v>
      </c>
      <c r="E471" s="9" t="s">
        <v>1039</v>
      </c>
      <c r="F471" s="9" t="s">
        <v>1472</v>
      </c>
      <c r="G471" s="16" t="s">
        <v>1466</v>
      </c>
      <c r="H471" s="9" t="s">
        <v>1472</v>
      </c>
      <c r="I471" s="243" t="s">
        <v>609</v>
      </c>
      <c r="J471" s="241">
        <v>150000000</v>
      </c>
      <c r="K471" s="6" t="s">
        <v>1025</v>
      </c>
      <c r="L471" s="78"/>
      <c r="M471" s="6" t="s">
        <v>46</v>
      </c>
      <c r="N471" s="243" t="s">
        <v>1473</v>
      </c>
      <c r="O471" s="241">
        <v>150000000</v>
      </c>
      <c r="P471" s="242" t="s">
        <v>1468</v>
      </c>
    </row>
    <row r="472" spans="1:17" ht="58" x14ac:dyDescent="0.35">
      <c r="A472" s="6">
        <v>140</v>
      </c>
      <c r="B472" s="7" t="s">
        <v>480</v>
      </c>
      <c r="C472" s="9" t="s">
        <v>481</v>
      </c>
      <c r="D472" s="9" t="s">
        <v>1021</v>
      </c>
      <c r="E472" s="9" t="s">
        <v>1039</v>
      </c>
      <c r="F472" s="9" t="s">
        <v>1474</v>
      </c>
      <c r="G472" s="16" t="s">
        <v>1466</v>
      </c>
      <c r="H472" s="9" t="s">
        <v>1474</v>
      </c>
      <c r="I472" s="243" t="s">
        <v>609</v>
      </c>
      <c r="J472" s="241">
        <v>100000000</v>
      </c>
      <c r="K472" s="6" t="s">
        <v>1025</v>
      </c>
      <c r="L472" s="78"/>
      <c r="M472" s="6" t="s">
        <v>46</v>
      </c>
      <c r="N472" s="243" t="s">
        <v>1475</v>
      </c>
      <c r="O472" s="241">
        <v>100000000</v>
      </c>
      <c r="P472" s="242" t="s">
        <v>1468</v>
      </c>
    </row>
    <row r="473" spans="1:17" ht="58" x14ac:dyDescent="0.35">
      <c r="A473" s="6">
        <v>141</v>
      </c>
      <c r="B473" s="7" t="s">
        <v>480</v>
      </c>
      <c r="C473" s="9" t="s">
        <v>481</v>
      </c>
      <c r="D473" s="9" t="s">
        <v>1021</v>
      </c>
      <c r="E473" s="9" t="s">
        <v>1039</v>
      </c>
      <c r="F473" s="9" t="s">
        <v>1476</v>
      </c>
      <c r="G473" s="16" t="s">
        <v>1466</v>
      </c>
      <c r="H473" s="9" t="s">
        <v>1476</v>
      </c>
      <c r="I473" s="243" t="s">
        <v>609</v>
      </c>
      <c r="J473" s="241">
        <v>100000000</v>
      </c>
      <c r="K473" s="6" t="s">
        <v>1025</v>
      </c>
      <c r="L473" s="78"/>
      <c r="M473" s="6" t="s">
        <v>46</v>
      </c>
      <c r="N473" s="243" t="s">
        <v>1475</v>
      </c>
      <c r="O473" s="241">
        <v>100000000</v>
      </c>
      <c r="P473" s="242" t="s">
        <v>1468</v>
      </c>
    </row>
    <row r="474" spans="1:17" ht="58" x14ac:dyDescent="0.35">
      <c r="A474" s="6">
        <v>142</v>
      </c>
      <c r="B474" s="7" t="s">
        <v>480</v>
      </c>
      <c r="C474" s="9" t="s">
        <v>481</v>
      </c>
      <c r="D474" s="9" t="s">
        <v>1021</v>
      </c>
      <c r="E474" s="9" t="s">
        <v>1039</v>
      </c>
      <c r="F474" s="9" t="s">
        <v>1477</v>
      </c>
      <c r="G474" s="16" t="s">
        <v>1466</v>
      </c>
      <c r="H474" s="9" t="s">
        <v>1477</v>
      </c>
      <c r="I474" s="243" t="s">
        <v>609</v>
      </c>
      <c r="J474" s="241">
        <v>100000000</v>
      </c>
      <c r="K474" s="6" t="s">
        <v>1025</v>
      </c>
      <c r="L474" s="78"/>
      <c r="M474" s="6" t="s">
        <v>46</v>
      </c>
      <c r="N474" s="243" t="s">
        <v>1475</v>
      </c>
      <c r="O474" s="241">
        <v>100000000</v>
      </c>
      <c r="P474" s="242" t="s">
        <v>1468</v>
      </c>
    </row>
    <row r="475" spans="1:17" ht="58" x14ac:dyDescent="0.35">
      <c r="A475" s="6">
        <v>143</v>
      </c>
      <c r="B475" s="7" t="s">
        <v>480</v>
      </c>
      <c r="C475" s="9" t="s">
        <v>481</v>
      </c>
      <c r="D475" s="9" t="s">
        <v>1021</v>
      </c>
      <c r="E475" s="9" t="s">
        <v>1039</v>
      </c>
      <c r="F475" s="9" t="s">
        <v>1478</v>
      </c>
      <c r="G475" s="16" t="s">
        <v>1466</v>
      </c>
      <c r="H475" s="9" t="s">
        <v>1478</v>
      </c>
      <c r="I475" s="243" t="s">
        <v>609</v>
      </c>
      <c r="J475" s="241">
        <v>100000000</v>
      </c>
      <c r="K475" s="6" t="s">
        <v>1025</v>
      </c>
      <c r="L475" s="78"/>
      <c r="M475" s="6" t="s">
        <v>46</v>
      </c>
      <c r="N475" s="243" t="s">
        <v>1475</v>
      </c>
      <c r="O475" s="241">
        <v>100000000</v>
      </c>
      <c r="P475" s="242" t="s">
        <v>1468</v>
      </c>
    </row>
    <row r="476" spans="1:17" ht="58" x14ac:dyDescent="0.35">
      <c r="A476" s="6">
        <v>144</v>
      </c>
      <c r="B476" s="7" t="s">
        <v>480</v>
      </c>
      <c r="C476" s="9" t="s">
        <v>481</v>
      </c>
      <c r="D476" s="9" t="s">
        <v>1021</v>
      </c>
      <c r="E476" s="9" t="s">
        <v>1039</v>
      </c>
      <c r="F476" s="9" t="s">
        <v>1479</v>
      </c>
      <c r="G476" s="16" t="s">
        <v>1466</v>
      </c>
      <c r="H476" s="9" t="s">
        <v>1479</v>
      </c>
      <c r="I476" s="243" t="s">
        <v>609</v>
      </c>
      <c r="J476" s="241">
        <v>100000000</v>
      </c>
      <c r="K476" s="6" t="s">
        <v>1025</v>
      </c>
      <c r="L476" s="78"/>
      <c r="M476" s="6" t="s">
        <v>46</v>
      </c>
      <c r="N476" s="243" t="s">
        <v>1475</v>
      </c>
      <c r="O476" s="241">
        <v>100000000</v>
      </c>
      <c r="P476" s="242" t="s">
        <v>1468</v>
      </c>
    </row>
    <row r="477" spans="1:17" ht="58" x14ac:dyDescent="0.35">
      <c r="A477" s="6">
        <v>145</v>
      </c>
      <c r="B477" s="7" t="s">
        <v>480</v>
      </c>
      <c r="C477" s="9" t="s">
        <v>481</v>
      </c>
      <c r="D477" s="9" t="s">
        <v>1021</v>
      </c>
      <c r="E477" s="9" t="s">
        <v>1480</v>
      </c>
      <c r="F477" s="9" t="s">
        <v>1481</v>
      </c>
      <c r="G477" s="6" t="s">
        <v>1482</v>
      </c>
      <c r="H477" s="6" t="s">
        <v>1483</v>
      </c>
      <c r="I477" s="6" t="s">
        <v>1484</v>
      </c>
      <c r="J477" s="195">
        <v>100000000</v>
      </c>
      <c r="K477" s="6" t="s">
        <v>1025</v>
      </c>
      <c r="L477" s="199"/>
      <c r="M477" s="32" t="s">
        <v>97</v>
      </c>
      <c r="N477" s="202" t="s">
        <v>1251</v>
      </c>
      <c r="O477" s="14">
        <v>100000000</v>
      </c>
      <c r="P477" s="242" t="s">
        <v>1485</v>
      </c>
    </row>
    <row r="478" spans="1:17" ht="58" x14ac:dyDescent="0.35">
      <c r="A478" s="6">
        <v>146</v>
      </c>
      <c r="B478" s="7" t="s">
        <v>480</v>
      </c>
      <c r="C478" s="9" t="s">
        <v>481</v>
      </c>
      <c r="D478" s="9" t="s">
        <v>1021</v>
      </c>
      <c r="E478" s="9" t="s">
        <v>1486</v>
      </c>
      <c r="F478" s="9" t="s">
        <v>1012</v>
      </c>
      <c r="G478" s="6" t="s">
        <v>1487</v>
      </c>
      <c r="H478" s="6" t="s">
        <v>1488</v>
      </c>
      <c r="I478" s="6"/>
      <c r="J478" s="195">
        <v>65000000</v>
      </c>
      <c r="K478" s="6" t="s">
        <v>1025</v>
      </c>
      <c r="L478" s="199"/>
      <c r="M478" s="32" t="s">
        <v>97</v>
      </c>
      <c r="N478" s="202" t="s">
        <v>1489</v>
      </c>
      <c r="O478" s="14">
        <v>65000000</v>
      </c>
      <c r="P478" s="242" t="s">
        <v>1490</v>
      </c>
    </row>
    <row r="479" spans="1:17" ht="93" x14ac:dyDescent="0.35">
      <c r="A479" s="244">
        <v>147</v>
      </c>
      <c r="B479" s="245" t="s">
        <v>480</v>
      </c>
      <c r="C479" s="246" t="s">
        <v>481</v>
      </c>
      <c r="D479" s="246" t="s">
        <v>1021</v>
      </c>
      <c r="E479" s="245" t="s">
        <v>1491</v>
      </c>
      <c r="F479" s="245" t="s">
        <v>1492</v>
      </c>
      <c r="G479" s="247" t="s">
        <v>230</v>
      </c>
      <c r="H479" s="247" t="s">
        <v>230</v>
      </c>
      <c r="I479" s="247" t="s">
        <v>313</v>
      </c>
      <c r="J479" s="248">
        <v>80000000</v>
      </c>
      <c r="K479" s="244" t="s">
        <v>1025</v>
      </c>
      <c r="L479" s="245">
        <v>2947016</v>
      </c>
      <c r="M479" s="244" t="s">
        <v>180</v>
      </c>
      <c r="N479" s="249" t="s">
        <v>1493</v>
      </c>
      <c r="O479" s="248">
        <v>80000000</v>
      </c>
      <c r="P479" s="250" t="s">
        <v>1494</v>
      </c>
      <c r="Q479" s="251" t="s">
        <v>1495</v>
      </c>
    </row>
    <row r="480" spans="1:17" ht="58" x14ac:dyDescent="0.35">
      <c r="A480" s="244">
        <v>148</v>
      </c>
      <c r="B480" s="245" t="s">
        <v>480</v>
      </c>
      <c r="C480" s="246" t="s">
        <v>481</v>
      </c>
      <c r="D480" s="246" t="s">
        <v>1021</v>
      </c>
      <c r="E480" s="245" t="s">
        <v>1496</v>
      </c>
      <c r="F480" s="245" t="s">
        <v>1492</v>
      </c>
      <c r="G480" s="247" t="s">
        <v>230</v>
      </c>
      <c r="H480" s="247" t="s">
        <v>1497</v>
      </c>
      <c r="I480" s="247" t="s">
        <v>313</v>
      </c>
      <c r="J480" s="248">
        <v>30000000</v>
      </c>
      <c r="K480" s="244" t="s">
        <v>1025</v>
      </c>
      <c r="L480" s="245">
        <v>2942106</v>
      </c>
      <c r="M480" s="244" t="s">
        <v>180</v>
      </c>
      <c r="N480" s="249" t="s">
        <v>274</v>
      </c>
      <c r="O480" s="248">
        <v>30000000</v>
      </c>
      <c r="P480" s="250" t="s">
        <v>1284</v>
      </c>
      <c r="Q480" s="251" t="s">
        <v>1495</v>
      </c>
    </row>
    <row r="481" spans="1:17" ht="77.5" x14ac:dyDescent="0.35">
      <c r="A481" s="244">
        <v>149</v>
      </c>
      <c r="B481" s="245" t="s">
        <v>480</v>
      </c>
      <c r="C481" s="246" t="s">
        <v>481</v>
      </c>
      <c r="D481" s="246" t="s">
        <v>1021</v>
      </c>
      <c r="E481" s="244" t="s">
        <v>1498</v>
      </c>
      <c r="F481" s="252"/>
      <c r="G481" s="253" t="s">
        <v>219</v>
      </c>
      <c r="H481" s="244" t="s">
        <v>1499</v>
      </c>
      <c r="I481" s="247" t="s">
        <v>660</v>
      </c>
      <c r="J481" s="254">
        <v>50000000</v>
      </c>
      <c r="K481" s="253" t="s">
        <v>1025</v>
      </c>
      <c r="L481" s="244"/>
      <c r="M481" s="244" t="s">
        <v>55</v>
      </c>
      <c r="N481" s="249" t="s">
        <v>1500</v>
      </c>
      <c r="O481" s="255">
        <v>61280000</v>
      </c>
      <c r="P481" s="256" t="s">
        <v>1329</v>
      </c>
      <c r="Q481" s="251" t="s">
        <v>1495</v>
      </c>
    </row>
    <row r="482" spans="1:17" ht="58" x14ac:dyDescent="0.35">
      <c r="A482" s="244">
        <v>150</v>
      </c>
      <c r="B482" s="245" t="s">
        <v>480</v>
      </c>
      <c r="C482" s="246" t="s">
        <v>481</v>
      </c>
      <c r="D482" s="246" t="s">
        <v>1021</v>
      </c>
      <c r="E482" s="244" t="s">
        <v>1501</v>
      </c>
      <c r="F482" s="252"/>
      <c r="G482" s="253" t="s">
        <v>219</v>
      </c>
      <c r="H482" s="244" t="s">
        <v>1499</v>
      </c>
      <c r="I482" s="247" t="s">
        <v>660</v>
      </c>
      <c r="J482" s="257">
        <v>111280000</v>
      </c>
      <c r="K482" s="253" t="s">
        <v>1025</v>
      </c>
      <c r="L482" s="244">
        <v>2974525</v>
      </c>
      <c r="M482" s="244" t="s">
        <v>55</v>
      </c>
      <c r="N482" s="258" t="s">
        <v>1502</v>
      </c>
      <c r="O482" s="259">
        <v>50000000</v>
      </c>
      <c r="P482" s="250" t="s">
        <v>1503</v>
      </c>
      <c r="Q482" s="251" t="s">
        <v>1495</v>
      </c>
    </row>
    <row r="483" spans="1:17" ht="58" x14ac:dyDescent="0.35">
      <c r="A483" s="244">
        <v>151</v>
      </c>
      <c r="B483" s="245" t="s">
        <v>480</v>
      </c>
      <c r="C483" s="246" t="s">
        <v>481</v>
      </c>
      <c r="D483" s="246" t="s">
        <v>1021</v>
      </c>
      <c r="E483" s="245" t="s">
        <v>1504</v>
      </c>
      <c r="F483" s="253" t="s">
        <v>1505</v>
      </c>
      <c r="G483" s="253" t="s">
        <v>219</v>
      </c>
      <c r="H483" s="253" t="s">
        <v>1506</v>
      </c>
      <c r="I483" s="247" t="s">
        <v>1507</v>
      </c>
      <c r="J483" s="257">
        <v>111280000</v>
      </c>
      <c r="K483" s="253" t="s">
        <v>1025</v>
      </c>
      <c r="L483" s="244">
        <v>2974570</v>
      </c>
      <c r="M483" s="244" t="s">
        <v>55</v>
      </c>
      <c r="N483" s="249" t="s">
        <v>1489</v>
      </c>
      <c r="O483" s="255">
        <v>111280000</v>
      </c>
      <c r="P483" s="260" t="s">
        <v>1468</v>
      </c>
      <c r="Q483" s="251" t="s">
        <v>1495</v>
      </c>
    </row>
    <row r="484" spans="1:17" ht="58" x14ac:dyDescent="0.35">
      <c r="A484" s="244">
        <v>152</v>
      </c>
      <c r="B484" s="245" t="s">
        <v>480</v>
      </c>
      <c r="C484" s="246" t="s">
        <v>481</v>
      </c>
      <c r="D484" s="246" t="s">
        <v>1021</v>
      </c>
      <c r="E484" s="245" t="s">
        <v>1504</v>
      </c>
      <c r="F484" s="253" t="s">
        <v>1508</v>
      </c>
      <c r="G484" s="253" t="s">
        <v>219</v>
      </c>
      <c r="H484" s="253" t="s">
        <v>1509</v>
      </c>
      <c r="I484" s="247" t="s">
        <v>1507</v>
      </c>
      <c r="J484" s="257">
        <v>111280000</v>
      </c>
      <c r="K484" s="253" t="s">
        <v>1025</v>
      </c>
      <c r="L484" s="244">
        <v>2974342</v>
      </c>
      <c r="M484" s="244" t="s">
        <v>55</v>
      </c>
      <c r="N484" s="249" t="s">
        <v>1489</v>
      </c>
      <c r="O484" s="255">
        <v>111280000</v>
      </c>
      <c r="P484" s="260" t="s">
        <v>1468</v>
      </c>
      <c r="Q484" s="251" t="s">
        <v>1495</v>
      </c>
    </row>
    <row r="485" spans="1:17" ht="58" x14ac:dyDescent="0.35">
      <c r="A485" s="244">
        <v>153</v>
      </c>
      <c r="B485" s="245" t="s">
        <v>480</v>
      </c>
      <c r="C485" s="246" t="s">
        <v>481</v>
      </c>
      <c r="D485" s="246" t="s">
        <v>1021</v>
      </c>
      <c r="E485" s="247" t="s">
        <v>1510</v>
      </c>
      <c r="F485" s="253" t="s">
        <v>1511</v>
      </c>
      <c r="G485" s="261" t="s">
        <v>1270</v>
      </c>
      <c r="H485" s="261" t="s">
        <v>1512</v>
      </c>
      <c r="I485" s="253" t="s">
        <v>1513</v>
      </c>
      <c r="J485" s="262">
        <v>167142870</v>
      </c>
      <c r="K485" s="253" t="s">
        <v>1025</v>
      </c>
      <c r="L485" s="261">
        <v>2931875</v>
      </c>
      <c r="M485" s="253" t="s">
        <v>27</v>
      </c>
      <c r="N485" s="249" t="s">
        <v>1514</v>
      </c>
      <c r="O485" s="255">
        <v>167142870</v>
      </c>
      <c r="P485" s="260" t="s">
        <v>1468</v>
      </c>
      <c r="Q485" s="251" t="s">
        <v>1495</v>
      </c>
    </row>
    <row r="486" spans="1:17" ht="43.5" x14ac:dyDescent="0.35">
      <c r="A486" s="126">
        <v>154</v>
      </c>
      <c r="B486" s="27" t="s">
        <v>18</v>
      </c>
      <c r="C486" s="27" t="s">
        <v>37</v>
      </c>
      <c r="D486" s="27" t="s">
        <v>1515</v>
      </c>
      <c r="E486" s="27" t="s">
        <v>1516</v>
      </c>
      <c r="F486" s="27" t="s">
        <v>1517</v>
      </c>
      <c r="G486" s="126" t="s">
        <v>82</v>
      </c>
      <c r="H486" s="126" t="s">
        <v>1518</v>
      </c>
      <c r="I486" s="126" t="s">
        <v>1519</v>
      </c>
      <c r="J486" s="27">
        <v>200000000</v>
      </c>
      <c r="K486" s="126" t="s">
        <v>221</v>
      </c>
      <c r="L486" s="27">
        <v>2817315</v>
      </c>
      <c r="M486" s="126" t="s">
        <v>79</v>
      </c>
      <c r="N486" s="127"/>
      <c r="O486" s="127">
        <v>200000000</v>
      </c>
      <c r="P486" s="27" t="s">
        <v>1520</v>
      </c>
      <c r="Q486" s="127" t="s">
        <v>479</v>
      </c>
    </row>
    <row r="487" spans="1:17" ht="43.5" x14ac:dyDescent="0.35">
      <c r="A487" s="126">
        <v>155</v>
      </c>
      <c r="B487" s="27" t="s">
        <v>18</v>
      </c>
      <c r="C487" s="27" t="s">
        <v>37</v>
      </c>
      <c r="D487" s="263" t="s">
        <v>1521</v>
      </c>
      <c r="E487" s="27" t="s">
        <v>1522</v>
      </c>
      <c r="F487" s="27" t="s">
        <v>1481</v>
      </c>
      <c r="G487" s="126" t="s">
        <v>1063</v>
      </c>
      <c r="H487" s="126" t="s">
        <v>1523</v>
      </c>
      <c r="I487" s="126" t="s">
        <v>1524</v>
      </c>
      <c r="J487" s="264">
        <v>100000000</v>
      </c>
      <c r="K487" s="126" t="s">
        <v>221</v>
      </c>
      <c r="L487" s="27">
        <v>2908440</v>
      </c>
      <c r="M487" s="32" t="s">
        <v>97</v>
      </c>
      <c r="N487" s="27" t="s">
        <v>35</v>
      </c>
      <c r="O487" s="127">
        <v>100000000</v>
      </c>
      <c r="P487" s="27" t="s">
        <v>1525</v>
      </c>
      <c r="Q487" s="127" t="s">
        <v>479</v>
      </c>
    </row>
    <row r="488" spans="1:17" ht="43.5" x14ac:dyDescent="0.35">
      <c r="A488" s="126">
        <v>156</v>
      </c>
      <c r="B488" s="27" t="s">
        <v>18</v>
      </c>
      <c r="C488" s="27" t="s">
        <v>37</v>
      </c>
      <c r="D488" s="27" t="s">
        <v>1515</v>
      </c>
      <c r="E488" s="27" t="s">
        <v>1526</v>
      </c>
      <c r="F488" s="27" t="s">
        <v>591</v>
      </c>
      <c r="G488" s="126" t="s">
        <v>135</v>
      </c>
      <c r="H488" s="126" t="s">
        <v>592</v>
      </c>
      <c r="I488" s="126" t="s">
        <v>1250</v>
      </c>
      <c r="J488" s="265">
        <v>100000000</v>
      </c>
      <c r="K488" s="126" t="s">
        <v>221</v>
      </c>
      <c r="L488" s="126">
        <v>2936951</v>
      </c>
      <c r="M488" s="126" t="s">
        <v>27</v>
      </c>
      <c r="N488" s="126">
        <v>18</v>
      </c>
      <c r="O488" s="222">
        <v>50080536</v>
      </c>
      <c r="P488" s="27" t="s">
        <v>1527</v>
      </c>
      <c r="Q488" s="127" t="s">
        <v>479</v>
      </c>
    </row>
    <row r="489" spans="1:17" ht="43.5" x14ac:dyDescent="0.35">
      <c r="A489" s="266">
        <v>157</v>
      </c>
      <c r="B489" s="27" t="s">
        <v>18</v>
      </c>
      <c r="C489" s="27" t="s">
        <v>37</v>
      </c>
      <c r="D489" s="27" t="s">
        <v>1521</v>
      </c>
      <c r="E489" s="27" t="s">
        <v>1528</v>
      </c>
      <c r="F489" s="27" t="s">
        <v>140</v>
      </c>
      <c r="G489" s="126" t="s">
        <v>361</v>
      </c>
      <c r="H489" s="126" t="s">
        <v>362</v>
      </c>
      <c r="I489" s="126" t="s">
        <v>1529</v>
      </c>
      <c r="J489" s="267">
        <v>50000000</v>
      </c>
      <c r="K489" s="126" t="s">
        <v>221</v>
      </c>
      <c r="L489" s="126">
        <v>2819970</v>
      </c>
      <c r="M489" s="126" t="s">
        <v>144</v>
      </c>
      <c r="N489" s="126" t="s">
        <v>341</v>
      </c>
      <c r="O489" s="222">
        <v>70000000</v>
      </c>
      <c r="P489" s="29" t="s">
        <v>1530</v>
      </c>
      <c r="Q489" s="127" t="s">
        <v>479</v>
      </c>
    </row>
    <row r="490" spans="1:17" ht="43.5" x14ac:dyDescent="0.35">
      <c r="A490" s="126">
        <v>158</v>
      </c>
      <c r="B490" s="27" t="s">
        <v>18</v>
      </c>
      <c r="C490" s="27" t="s">
        <v>37</v>
      </c>
      <c r="D490" s="27" t="s">
        <v>476</v>
      </c>
      <c r="E490" s="27" t="s">
        <v>1039</v>
      </c>
      <c r="F490" s="27" t="s">
        <v>388</v>
      </c>
      <c r="G490" s="126" t="s">
        <v>389</v>
      </c>
      <c r="H490" s="126" t="s">
        <v>390</v>
      </c>
      <c r="I490" s="126" t="s">
        <v>609</v>
      </c>
      <c r="J490" s="27">
        <v>75000000</v>
      </c>
      <c r="K490" s="126" t="s">
        <v>221</v>
      </c>
      <c r="L490" s="27">
        <v>2955493</v>
      </c>
      <c r="M490" s="126" t="s">
        <v>46</v>
      </c>
      <c r="N490" s="127"/>
      <c r="O490" s="127">
        <v>75000000</v>
      </c>
      <c r="P490" s="27" t="s">
        <v>1525</v>
      </c>
      <c r="Q490" s="127" t="s">
        <v>479</v>
      </c>
    </row>
    <row r="491" spans="1:17" ht="43.5" x14ac:dyDescent="0.35">
      <c r="A491" s="126">
        <v>159</v>
      </c>
      <c r="B491" s="27" t="s">
        <v>18</v>
      </c>
      <c r="C491" s="27" t="s">
        <v>37</v>
      </c>
      <c r="D491" s="27" t="s">
        <v>476</v>
      </c>
      <c r="E491" s="27" t="s">
        <v>1039</v>
      </c>
      <c r="F491" s="27" t="s">
        <v>48</v>
      </c>
      <c r="G491" s="126" t="s">
        <v>389</v>
      </c>
      <c r="H491" s="126" t="s">
        <v>399</v>
      </c>
      <c r="I491" s="126" t="s">
        <v>609</v>
      </c>
      <c r="J491" s="27">
        <v>50000000</v>
      </c>
      <c r="K491" s="126" t="s">
        <v>221</v>
      </c>
      <c r="L491" s="27" t="s">
        <v>48</v>
      </c>
      <c r="M491" s="126" t="s">
        <v>46</v>
      </c>
      <c r="N491" s="127"/>
      <c r="O491" s="127">
        <v>50000000</v>
      </c>
      <c r="P491" s="27" t="s">
        <v>1525</v>
      </c>
      <c r="Q491" s="127" t="s">
        <v>479</v>
      </c>
    </row>
    <row r="492" spans="1:17" ht="43.5" x14ac:dyDescent="0.35">
      <c r="A492" s="126">
        <v>160</v>
      </c>
      <c r="B492" s="27" t="s">
        <v>18</v>
      </c>
      <c r="C492" s="27" t="s">
        <v>37</v>
      </c>
      <c r="D492" s="27" t="s">
        <v>476</v>
      </c>
      <c r="E492" s="27" t="s">
        <v>1039</v>
      </c>
      <c r="F492" s="27" t="s">
        <v>1160</v>
      </c>
      <c r="G492" s="126" t="s">
        <v>1531</v>
      </c>
      <c r="H492" s="126" t="s">
        <v>1532</v>
      </c>
      <c r="I492" s="126" t="s">
        <v>609</v>
      </c>
      <c r="J492" s="27">
        <v>150000000</v>
      </c>
      <c r="K492" s="126" t="s">
        <v>221</v>
      </c>
      <c r="L492" s="27">
        <v>2950191</v>
      </c>
      <c r="M492" s="126" t="s">
        <v>46</v>
      </c>
      <c r="N492" s="127" t="s">
        <v>1533</v>
      </c>
      <c r="O492" s="127">
        <v>150000000</v>
      </c>
      <c r="P492" s="27" t="s">
        <v>1525</v>
      </c>
      <c r="Q492" s="127" t="s">
        <v>479</v>
      </c>
    </row>
    <row r="493" spans="1:17" ht="43.5" x14ac:dyDescent="0.35">
      <c r="A493" s="126">
        <v>161</v>
      </c>
      <c r="B493" s="27" t="s">
        <v>18</v>
      </c>
      <c r="C493" s="27" t="s">
        <v>37</v>
      </c>
      <c r="D493" s="27" t="s">
        <v>476</v>
      </c>
      <c r="E493" s="27" t="s">
        <v>1039</v>
      </c>
      <c r="F493" s="27" t="s">
        <v>1160</v>
      </c>
      <c r="G493" s="126" t="s">
        <v>1531</v>
      </c>
      <c r="H493" s="126" t="s">
        <v>1534</v>
      </c>
      <c r="I493" s="126" t="s">
        <v>609</v>
      </c>
      <c r="J493" s="27">
        <v>100000000</v>
      </c>
      <c r="K493" s="126" t="s">
        <v>221</v>
      </c>
      <c r="L493" s="27">
        <v>2950136</v>
      </c>
      <c r="M493" s="126" t="s">
        <v>46</v>
      </c>
      <c r="N493" s="127" t="s">
        <v>1535</v>
      </c>
      <c r="O493" s="127">
        <v>100000000</v>
      </c>
      <c r="P493" s="27" t="s">
        <v>1536</v>
      </c>
      <c r="Q493" s="127" t="s">
        <v>479</v>
      </c>
    </row>
    <row r="494" spans="1:17" ht="43.5" x14ac:dyDescent="0.35">
      <c r="A494" s="126">
        <v>162</v>
      </c>
      <c r="B494" s="27" t="s">
        <v>18</v>
      </c>
      <c r="C494" s="27" t="s">
        <v>37</v>
      </c>
      <c r="D494" s="27" t="s">
        <v>476</v>
      </c>
      <c r="E494" s="27" t="s">
        <v>1039</v>
      </c>
      <c r="F494" s="27" t="s">
        <v>1160</v>
      </c>
      <c r="G494" s="126" t="s">
        <v>1531</v>
      </c>
      <c r="H494" s="126" t="s">
        <v>1537</v>
      </c>
      <c r="I494" s="126" t="s">
        <v>609</v>
      </c>
      <c r="J494" s="27">
        <v>100000000</v>
      </c>
      <c r="K494" s="126" t="s">
        <v>221</v>
      </c>
      <c r="L494" s="27">
        <v>2950257</v>
      </c>
      <c r="M494" s="126" t="s">
        <v>46</v>
      </c>
      <c r="N494" s="127" t="s">
        <v>1535</v>
      </c>
      <c r="O494" s="127">
        <v>100000000</v>
      </c>
      <c r="P494" s="27" t="s">
        <v>1525</v>
      </c>
      <c r="Q494" s="127" t="s">
        <v>479</v>
      </c>
    </row>
    <row r="495" spans="1:17" ht="43.5" x14ac:dyDescent="0.35">
      <c r="A495" s="126">
        <v>163</v>
      </c>
      <c r="B495" s="27" t="s">
        <v>18</v>
      </c>
      <c r="C495" s="27" t="s">
        <v>37</v>
      </c>
      <c r="D495" s="27" t="s">
        <v>476</v>
      </c>
      <c r="E495" s="27" t="s">
        <v>1039</v>
      </c>
      <c r="F495" s="27" t="s">
        <v>1160</v>
      </c>
      <c r="G495" s="126" t="s">
        <v>1531</v>
      </c>
      <c r="H495" s="126" t="s">
        <v>1538</v>
      </c>
      <c r="I495" s="126" t="s">
        <v>609</v>
      </c>
      <c r="J495" s="27">
        <v>100000000</v>
      </c>
      <c r="K495" s="126" t="s">
        <v>221</v>
      </c>
      <c r="L495" s="27">
        <v>2950283</v>
      </c>
      <c r="M495" s="126" t="s">
        <v>46</v>
      </c>
      <c r="N495" s="127" t="s">
        <v>1535</v>
      </c>
      <c r="O495" s="127">
        <v>100000000</v>
      </c>
      <c r="P495" s="27" t="s">
        <v>1525</v>
      </c>
      <c r="Q495" s="127" t="s">
        <v>479</v>
      </c>
    </row>
    <row r="496" spans="1:17" ht="43.5" x14ac:dyDescent="0.35">
      <c r="A496" s="126">
        <v>164</v>
      </c>
      <c r="B496" s="27" t="s">
        <v>18</v>
      </c>
      <c r="C496" s="27" t="s">
        <v>37</v>
      </c>
      <c r="D496" s="27" t="s">
        <v>476</v>
      </c>
      <c r="E496" s="27" t="s">
        <v>1039</v>
      </c>
      <c r="F496" s="27" t="s">
        <v>1160</v>
      </c>
      <c r="G496" s="126" t="s">
        <v>1531</v>
      </c>
      <c r="H496" s="126" t="s">
        <v>1539</v>
      </c>
      <c r="I496" s="126" t="s">
        <v>609</v>
      </c>
      <c r="J496" s="27">
        <v>100000000</v>
      </c>
      <c r="K496" s="126" t="s">
        <v>221</v>
      </c>
      <c r="L496" s="27">
        <v>2950467</v>
      </c>
      <c r="M496" s="126" t="s">
        <v>46</v>
      </c>
      <c r="N496" s="127" t="s">
        <v>1535</v>
      </c>
      <c r="O496" s="127">
        <v>100000000</v>
      </c>
      <c r="P496" s="27" t="s">
        <v>1525</v>
      </c>
      <c r="Q496" s="127" t="s">
        <v>479</v>
      </c>
    </row>
    <row r="497" spans="1:17" ht="43.5" x14ac:dyDescent="0.35">
      <c r="A497" s="126">
        <v>165</v>
      </c>
      <c r="B497" s="27" t="s">
        <v>18</v>
      </c>
      <c r="C497" s="27" t="s">
        <v>37</v>
      </c>
      <c r="D497" s="27" t="s">
        <v>476</v>
      </c>
      <c r="E497" s="27" t="s">
        <v>1039</v>
      </c>
      <c r="F497" s="27" t="s">
        <v>1160</v>
      </c>
      <c r="G497" s="126" t="s">
        <v>1531</v>
      </c>
      <c r="H497" s="126" t="s">
        <v>1540</v>
      </c>
      <c r="I497" s="126" t="s">
        <v>609</v>
      </c>
      <c r="J497" s="27">
        <v>100000000</v>
      </c>
      <c r="K497" s="126" t="s">
        <v>221</v>
      </c>
      <c r="L497" s="27">
        <v>2950446</v>
      </c>
      <c r="M497" s="126" t="s">
        <v>46</v>
      </c>
      <c r="N497" s="127" t="s">
        <v>1535</v>
      </c>
      <c r="O497" s="127">
        <v>100000000</v>
      </c>
      <c r="P497" s="27" t="s">
        <v>1525</v>
      </c>
      <c r="Q497" s="127" t="s">
        <v>479</v>
      </c>
    </row>
    <row r="498" spans="1:17" ht="43.5" x14ac:dyDescent="0.35">
      <c r="A498" s="126">
        <v>166</v>
      </c>
      <c r="B498" s="27" t="s">
        <v>18</v>
      </c>
      <c r="C498" s="27" t="s">
        <v>37</v>
      </c>
      <c r="D498" s="27" t="s">
        <v>1515</v>
      </c>
      <c r="E498" s="27" t="s">
        <v>1541</v>
      </c>
      <c r="F498" s="27" t="s">
        <v>48</v>
      </c>
      <c r="G498" s="126" t="s">
        <v>240</v>
      </c>
      <c r="H498" s="126" t="s">
        <v>243</v>
      </c>
      <c r="I498" s="126" t="s">
        <v>1542</v>
      </c>
      <c r="J498" s="27">
        <v>70000000</v>
      </c>
      <c r="K498" s="126" t="s">
        <v>221</v>
      </c>
      <c r="L498" s="27">
        <v>2932947</v>
      </c>
      <c r="M498" s="126" t="s">
        <v>226</v>
      </c>
      <c r="N498" s="127">
        <v>100</v>
      </c>
      <c r="O498" s="127">
        <v>40000000</v>
      </c>
      <c r="P498" s="27" t="s">
        <v>1543</v>
      </c>
      <c r="Q498" s="127" t="s">
        <v>479</v>
      </c>
    </row>
    <row r="499" spans="1:17" ht="43.5" x14ac:dyDescent="0.35">
      <c r="A499" s="126">
        <v>167</v>
      </c>
      <c r="B499" s="27" t="s">
        <v>18</v>
      </c>
      <c r="C499" s="27" t="s">
        <v>37</v>
      </c>
      <c r="D499" s="27" t="s">
        <v>1515</v>
      </c>
      <c r="E499" s="27" t="s">
        <v>1544</v>
      </c>
      <c r="F499" s="27" t="s">
        <v>48</v>
      </c>
      <c r="G499" s="126" t="s">
        <v>1545</v>
      </c>
      <c r="H499" s="126" t="s">
        <v>1546</v>
      </c>
      <c r="I499" s="126" t="s">
        <v>1547</v>
      </c>
      <c r="J499" s="27">
        <v>100000000</v>
      </c>
      <c r="K499" s="126" t="s">
        <v>221</v>
      </c>
      <c r="L499" s="27" t="s">
        <v>48</v>
      </c>
      <c r="M499" s="126" t="s">
        <v>226</v>
      </c>
      <c r="N499" s="127">
        <v>55</v>
      </c>
      <c r="O499" s="127">
        <v>100000000</v>
      </c>
      <c r="P499" s="27" t="s">
        <v>1527</v>
      </c>
      <c r="Q499" s="127" t="s">
        <v>479</v>
      </c>
    </row>
    <row r="500" spans="1:17" ht="43.5" x14ac:dyDescent="0.35">
      <c r="A500" s="126">
        <v>168</v>
      </c>
      <c r="B500" s="27" t="s">
        <v>18</v>
      </c>
      <c r="C500" s="27" t="s">
        <v>37</v>
      </c>
      <c r="D500" s="27" t="s">
        <v>476</v>
      </c>
      <c r="E500" s="268" t="s">
        <v>992</v>
      </c>
      <c r="F500" s="268" t="s">
        <v>1548</v>
      </c>
      <c r="G500" s="126" t="s">
        <v>457</v>
      </c>
      <c r="H500" s="126" t="s">
        <v>1549</v>
      </c>
      <c r="I500" s="126" t="s">
        <v>1272</v>
      </c>
      <c r="J500" s="265">
        <v>100000000</v>
      </c>
      <c r="K500" s="126" t="s">
        <v>221</v>
      </c>
      <c r="L500" s="126" t="s">
        <v>62</v>
      </c>
      <c r="M500" s="126" t="s">
        <v>55</v>
      </c>
      <c r="N500" s="126"/>
      <c r="O500" s="222">
        <v>100000000</v>
      </c>
      <c r="P500" s="29" t="s">
        <v>1527</v>
      </c>
      <c r="Q500" s="127" t="s">
        <v>479</v>
      </c>
    </row>
    <row r="501" spans="1:17" ht="43.5" x14ac:dyDescent="0.35">
      <c r="A501" s="139">
        <v>1</v>
      </c>
      <c r="B501" s="140" t="s">
        <v>18</v>
      </c>
      <c r="C501" s="140" t="s">
        <v>37</v>
      </c>
      <c r="D501" s="140" t="s">
        <v>1515</v>
      </c>
      <c r="E501" s="140" t="s">
        <v>1550</v>
      </c>
      <c r="F501" s="140" t="s">
        <v>1551</v>
      </c>
      <c r="G501" s="139" t="s">
        <v>1552</v>
      </c>
      <c r="H501" s="139" t="s">
        <v>1553</v>
      </c>
      <c r="I501" s="139" t="s">
        <v>1554</v>
      </c>
      <c r="J501" s="269">
        <v>70000000</v>
      </c>
      <c r="K501" s="139" t="s">
        <v>221</v>
      </c>
      <c r="L501" s="139">
        <v>2848515</v>
      </c>
      <c r="M501" s="155" t="s">
        <v>79</v>
      </c>
      <c r="N501" s="13">
        <v>25</v>
      </c>
      <c r="O501" s="13">
        <v>247525000</v>
      </c>
      <c r="P501" s="141" t="s">
        <v>1555</v>
      </c>
    </row>
    <row r="502" spans="1:17" ht="43.5" x14ac:dyDescent="0.35">
      <c r="A502" s="139">
        <f>A501+1</f>
        <v>2</v>
      </c>
      <c r="B502" s="140" t="s">
        <v>18</v>
      </c>
      <c r="C502" s="140" t="s">
        <v>37</v>
      </c>
      <c r="D502" s="140" t="s">
        <v>1515</v>
      </c>
      <c r="E502" s="140" t="s">
        <v>1556</v>
      </c>
      <c r="F502" s="140" t="s">
        <v>1557</v>
      </c>
      <c r="G502" s="140" t="s">
        <v>1552</v>
      </c>
      <c r="H502" s="140" t="s">
        <v>1558</v>
      </c>
      <c r="I502" s="140" t="s">
        <v>1559</v>
      </c>
      <c r="J502" s="140">
        <v>175000000</v>
      </c>
      <c r="K502" s="139" t="s">
        <v>221</v>
      </c>
      <c r="L502" s="140">
        <v>2845123</v>
      </c>
      <c r="M502" s="155" t="s">
        <v>79</v>
      </c>
      <c r="N502" s="10">
        <v>385</v>
      </c>
      <c r="O502" s="10">
        <v>152257000</v>
      </c>
      <c r="P502" s="140"/>
    </row>
    <row r="503" spans="1:17" ht="43.5" x14ac:dyDescent="0.35">
      <c r="A503" s="139">
        <f t="shared" ref="A503:A562" si="7">A502+1</f>
        <v>3</v>
      </c>
      <c r="B503" s="140" t="s">
        <v>18</v>
      </c>
      <c r="C503" s="140" t="s">
        <v>37</v>
      </c>
      <c r="D503" s="140" t="s">
        <v>1515</v>
      </c>
      <c r="E503" s="140" t="s">
        <v>1560</v>
      </c>
      <c r="F503" s="140" t="s">
        <v>1561</v>
      </c>
      <c r="G503" s="140" t="s">
        <v>1552</v>
      </c>
      <c r="H503" s="140" t="s">
        <v>1562</v>
      </c>
      <c r="I503" s="140" t="s">
        <v>1563</v>
      </c>
      <c r="J503" s="140">
        <v>70000000</v>
      </c>
      <c r="K503" s="139" t="s">
        <v>221</v>
      </c>
      <c r="L503" s="140">
        <v>2845326</v>
      </c>
      <c r="M503" s="155" t="s">
        <v>79</v>
      </c>
      <c r="N503" s="10">
        <v>75</v>
      </c>
      <c r="O503" s="10">
        <v>129150000</v>
      </c>
      <c r="P503" s="140" t="s">
        <v>1564</v>
      </c>
    </row>
    <row r="504" spans="1:17" ht="43.5" x14ac:dyDescent="0.35">
      <c r="A504" s="139">
        <f t="shared" si="7"/>
        <v>4</v>
      </c>
      <c r="B504" s="140" t="s">
        <v>18</v>
      </c>
      <c r="C504" s="140" t="s">
        <v>37</v>
      </c>
      <c r="D504" s="140" t="s">
        <v>1515</v>
      </c>
      <c r="E504" s="140" t="s">
        <v>1565</v>
      </c>
      <c r="F504" s="140" t="s">
        <v>1566</v>
      </c>
      <c r="G504" s="140" t="s">
        <v>1552</v>
      </c>
      <c r="H504" s="140" t="s">
        <v>1567</v>
      </c>
      <c r="I504" s="140" t="s">
        <v>1568</v>
      </c>
      <c r="J504" s="140">
        <v>117000000</v>
      </c>
      <c r="K504" s="139" t="s">
        <v>221</v>
      </c>
      <c r="L504" s="140">
        <v>2843079</v>
      </c>
      <c r="M504" s="155" t="s">
        <v>79</v>
      </c>
      <c r="N504" s="10">
        <v>140</v>
      </c>
      <c r="O504" s="10">
        <v>41440000</v>
      </c>
      <c r="P504" s="140" t="s">
        <v>1555</v>
      </c>
    </row>
    <row r="505" spans="1:17" ht="43.5" x14ac:dyDescent="0.35">
      <c r="A505" s="139">
        <f t="shared" si="7"/>
        <v>5</v>
      </c>
      <c r="B505" s="140" t="s">
        <v>18</v>
      </c>
      <c r="C505" s="140" t="s">
        <v>37</v>
      </c>
      <c r="D505" s="140" t="s">
        <v>1515</v>
      </c>
      <c r="E505" s="140" t="s">
        <v>1565</v>
      </c>
      <c r="F505" s="140" t="s">
        <v>1566</v>
      </c>
      <c r="G505" s="140" t="s">
        <v>1552</v>
      </c>
      <c r="H505" s="140" t="s">
        <v>1567</v>
      </c>
      <c r="I505" s="140" t="s">
        <v>1569</v>
      </c>
      <c r="J505" s="140">
        <v>48000000</v>
      </c>
      <c r="K505" s="139" t="s">
        <v>221</v>
      </c>
      <c r="L505" s="140">
        <v>2843079</v>
      </c>
      <c r="M505" s="155" t="s">
        <v>79</v>
      </c>
      <c r="N505" s="10">
        <v>309</v>
      </c>
      <c r="O505" s="10">
        <v>101352000</v>
      </c>
      <c r="P505" s="140"/>
    </row>
    <row r="506" spans="1:17" ht="43.5" x14ac:dyDescent="0.35">
      <c r="A506" s="139">
        <f t="shared" si="7"/>
        <v>6</v>
      </c>
      <c r="B506" s="140" t="s">
        <v>18</v>
      </c>
      <c r="C506" s="140" t="s">
        <v>37</v>
      </c>
      <c r="D506" s="140" t="s">
        <v>1570</v>
      </c>
      <c r="E506" s="140" t="s">
        <v>1571</v>
      </c>
      <c r="F506" s="140" t="s">
        <v>1572</v>
      </c>
      <c r="G506" s="140" t="s">
        <v>1552</v>
      </c>
      <c r="H506" s="140" t="s">
        <v>1573</v>
      </c>
      <c r="I506" s="140" t="s">
        <v>1574</v>
      </c>
      <c r="J506" s="140">
        <v>185000000</v>
      </c>
      <c r="K506" s="139" t="s">
        <v>221</v>
      </c>
      <c r="L506" s="140">
        <v>2843176</v>
      </c>
      <c r="M506" s="155" t="s">
        <v>79</v>
      </c>
      <c r="N506" s="10">
        <v>58</v>
      </c>
      <c r="O506" s="10">
        <v>161356000</v>
      </c>
      <c r="P506" s="140"/>
    </row>
    <row r="507" spans="1:17" ht="43.5" x14ac:dyDescent="0.35">
      <c r="A507" s="139">
        <f t="shared" si="7"/>
        <v>7</v>
      </c>
      <c r="B507" s="140" t="s">
        <v>18</v>
      </c>
      <c r="C507" s="140" t="s">
        <v>37</v>
      </c>
      <c r="D507" s="140" t="s">
        <v>1570</v>
      </c>
      <c r="E507" s="140" t="s">
        <v>1571</v>
      </c>
      <c r="F507" s="140" t="s">
        <v>1575</v>
      </c>
      <c r="G507" s="140" t="s">
        <v>1552</v>
      </c>
      <c r="H507" s="140" t="s">
        <v>1576</v>
      </c>
      <c r="I507" s="140" t="s">
        <v>1577</v>
      </c>
      <c r="J507" s="140">
        <v>155000000</v>
      </c>
      <c r="K507" s="139" t="s">
        <v>221</v>
      </c>
      <c r="L507" s="140">
        <v>2846436</v>
      </c>
      <c r="M507" s="155" t="s">
        <v>79</v>
      </c>
      <c r="N507" s="10">
        <v>60</v>
      </c>
      <c r="O507" s="10">
        <v>166920000</v>
      </c>
      <c r="P507" s="140"/>
    </row>
    <row r="508" spans="1:17" ht="43.5" x14ac:dyDescent="0.35">
      <c r="A508" s="139">
        <f t="shared" si="7"/>
        <v>8</v>
      </c>
      <c r="B508" s="140" t="s">
        <v>18</v>
      </c>
      <c r="C508" s="140" t="s">
        <v>37</v>
      </c>
      <c r="D508" s="140" t="s">
        <v>1570</v>
      </c>
      <c r="E508" s="140" t="s">
        <v>1578</v>
      </c>
      <c r="F508" s="140" t="s">
        <v>1579</v>
      </c>
      <c r="G508" s="140" t="s">
        <v>205</v>
      </c>
      <c r="H508" s="140" t="s">
        <v>1580</v>
      </c>
      <c r="I508" s="140"/>
      <c r="J508" s="140">
        <v>250000000</v>
      </c>
      <c r="K508" s="139" t="s">
        <v>221</v>
      </c>
      <c r="L508" s="140">
        <v>2937837</v>
      </c>
      <c r="M508" s="155" t="s">
        <v>79</v>
      </c>
      <c r="N508" s="10">
        <v>26</v>
      </c>
      <c r="O508" s="10">
        <v>250000000</v>
      </c>
      <c r="P508" s="140"/>
    </row>
    <row r="509" spans="1:17" ht="43.5" x14ac:dyDescent="0.35">
      <c r="A509" s="139">
        <f t="shared" si="7"/>
        <v>9</v>
      </c>
      <c r="B509" s="140" t="s">
        <v>18</v>
      </c>
      <c r="C509" s="140" t="s">
        <v>37</v>
      </c>
      <c r="D509" s="140" t="s">
        <v>476</v>
      </c>
      <c r="E509" s="140" t="s">
        <v>1581</v>
      </c>
      <c r="F509" s="140" t="s">
        <v>1582</v>
      </c>
      <c r="G509" s="140" t="s">
        <v>205</v>
      </c>
      <c r="H509" s="140" t="s">
        <v>1024</v>
      </c>
      <c r="I509" s="140"/>
      <c r="J509" s="140">
        <v>300000000</v>
      </c>
      <c r="K509" s="139" t="s">
        <v>221</v>
      </c>
      <c r="L509" s="140">
        <v>2816133</v>
      </c>
      <c r="M509" s="155" t="s">
        <v>79</v>
      </c>
      <c r="N509" s="10" t="s">
        <v>1583</v>
      </c>
      <c r="O509" s="10">
        <v>300000000</v>
      </c>
      <c r="P509" s="140" t="s">
        <v>1584</v>
      </c>
    </row>
    <row r="510" spans="1:17" ht="43.5" x14ac:dyDescent="0.35">
      <c r="A510" s="139">
        <f t="shared" si="7"/>
        <v>10</v>
      </c>
      <c r="B510" s="140" t="s">
        <v>18</v>
      </c>
      <c r="C510" s="140" t="s">
        <v>37</v>
      </c>
      <c r="D510" s="140" t="s">
        <v>1515</v>
      </c>
      <c r="E510" s="140" t="s">
        <v>1585</v>
      </c>
      <c r="F510" s="140" t="s">
        <v>1586</v>
      </c>
      <c r="G510" s="140" t="s">
        <v>1029</v>
      </c>
      <c r="H510" s="140" t="s">
        <v>1587</v>
      </c>
      <c r="I510" s="140" t="s">
        <v>1588</v>
      </c>
      <c r="J510" s="140">
        <v>40000000</v>
      </c>
      <c r="K510" s="139" t="s">
        <v>221</v>
      </c>
      <c r="L510" s="140">
        <v>2969404</v>
      </c>
      <c r="M510" s="155" t="s">
        <v>79</v>
      </c>
      <c r="N510" s="10">
        <v>162.5</v>
      </c>
      <c r="O510" s="10">
        <v>41275000</v>
      </c>
      <c r="P510" s="140"/>
    </row>
    <row r="511" spans="1:17" ht="43.5" x14ac:dyDescent="0.35">
      <c r="A511" s="139">
        <f t="shared" si="7"/>
        <v>11</v>
      </c>
      <c r="B511" s="140" t="s">
        <v>18</v>
      </c>
      <c r="C511" s="140" t="s">
        <v>37</v>
      </c>
      <c r="D511" s="140" t="s">
        <v>1515</v>
      </c>
      <c r="E511" s="140" t="s">
        <v>1589</v>
      </c>
      <c r="F511" s="140" t="s">
        <v>1590</v>
      </c>
      <c r="G511" s="140" t="s">
        <v>1029</v>
      </c>
      <c r="H511" s="140" t="s">
        <v>1591</v>
      </c>
      <c r="I511" s="140" t="s">
        <v>1592</v>
      </c>
      <c r="J511" s="140">
        <v>60000000</v>
      </c>
      <c r="K511" s="139" t="s">
        <v>221</v>
      </c>
      <c r="L511" s="140">
        <v>2969726</v>
      </c>
      <c r="M511" s="155" t="s">
        <v>79</v>
      </c>
      <c r="N511" s="10">
        <v>600</v>
      </c>
      <c r="O511" s="10">
        <v>240000000</v>
      </c>
      <c r="P511" s="140"/>
    </row>
    <row r="512" spans="1:17" ht="43.5" x14ac:dyDescent="0.35">
      <c r="A512" s="139">
        <f t="shared" si="7"/>
        <v>12</v>
      </c>
      <c r="B512" s="140" t="s">
        <v>18</v>
      </c>
      <c r="C512" s="140" t="s">
        <v>37</v>
      </c>
      <c r="D512" s="140" t="s">
        <v>1515</v>
      </c>
      <c r="E512" s="140" t="s">
        <v>1593</v>
      </c>
      <c r="F512" s="140" t="s">
        <v>1594</v>
      </c>
      <c r="G512" s="140" t="s">
        <v>1029</v>
      </c>
      <c r="H512" s="140" t="s">
        <v>1595</v>
      </c>
      <c r="I512" s="140" t="s">
        <v>280</v>
      </c>
      <c r="J512" s="140">
        <v>100000000</v>
      </c>
      <c r="K512" s="139" t="s">
        <v>221</v>
      </c>
      <c r="L512" s="140">
        <v>2969943</v>
      </c>
      <c r="M512" s="155" t="s">
        <v>79</v>
      </c>
      <c r="N512" s="10">
        <v>250</v>
      </c>
      <c r="O512" s="10">
        <v>100000000</v>
      </c>
      <c r="P512" s="140"/>
    </row>
    <row r="513" spans="1:16" ht="43.5" x14ac:dyDescent="0.35">
      <c r="A513" s="139">
        <f t="shared" si="7"/>
        <v>13</v>
      </c>
      <c r="B513" s="140" t="s">
        <v>18</v>
      </c>
      <c r="C513" s="140" t="s">
        <v>37</v>
      </c>
      <c r="D513" s="140" t="s">
        <v>1515</v>
      </c>
      <c r="E513" s="140" t="s">
        <v>1596</v>
      </c>
      <c r="F513" s="140" t="s">
        <v>1597</v>
      </c>
      <c r="G513" s="140" t="s">
        <v>1029</v>
      </c>
      <c r="H513" s="140" t="s">
        <v>1598</v>
      </c>
      <c r="I513" s="140" t="s">
        <v>1599</v>
      </c>
      <c r="J513" s="140">
        <v>60000000</v>
      </c>
      <c r="K513" s="139" t="s">
        <v>221</v>
      </c>
      <c r="L513" s="140">
        <v>2970020</v>
      </c>
      <c r="M513" s="155" t="s">
        <v>79</v>
      </c>
      <c r="N513" s="10" t="s">
        <v>561</v>
      </c>
      <c r="O513" s="10">
        <v>260587760</v>
      </c>
      <c r="P513" s="140" t="s">
        <v>1600</v>
      </c>
    </row>
    <row r="514" spans="1:16" ht="43.5" x14ac:dyDescent="0.35">
      <c r="A514" s="139">
        <f t="shared" si="7"/>
        <v>14</v>
      </c>
      <c r="B514" s="140" t="s">
        <v>18</v>
      </c>
      <c r="C514" s="140" t="s">
        <v>37</v>
      </c>
      <c r="D514" s="140" t="s">
        <v>1515</v>
      </c>
      <c r="E514" s="140" t="s">
        <v>1601</v>
      </c>
      <c r="F514" s="140" t="s">
        <v>1602</v>
      </c>
      <c r="G514" s="140" t="s">
        <v>1029</v>
      </c>
      <c r="H514" s="140" t="s">
        <v>1603</v>
      </c>
      <c r="I514" s="140" t="s">
        <v>1031</v>
      </c>
      <c r="J514" s="140">
        <v>100000000</v>
      </c>
      <c r="K514" s="139" t="s">
        <v>221</v>
      </c>
      <c r="L514" s="140">
        <v>2969038</v>
      </c>
      <c r="M514" s="155" t="s">
        <v>535</v>
      </c>
      <c r="N514" s="10">
        <v>800</v>
      </c>
      <c r="O514" s="10">
        <v>203200000</v>
      </c>
      <c r="P514" s="140"/>
    </row>
    <row r="515" spans="1:16" ht="43.5" x14ac:dyDescent="0.35">
      <c r="A515" s="139">
        <f t="shared" si="7"/>
        <v>15</v>
      </c>
      <c r="B515" s="140" t="s">
        <v>18</v>
      </c>
      <c r="C515" s="140" t="s">
        <v>37</v>
      </c>
      <c r="D515" s="140" t="s">
        <v>1515</v>
      </c>
      <c r="E515" s="140" t="s">
        <v>1604</v>
      </c>
      <c r="F515" s="140" t="s">
        <v>1605</v>
      </c>
      <c r="G515" s="140" t="s">
        <v>76</v>
      </c>
      <c r="H515" s="140" t="s">
        <v>1606</v>
      </c>
      <c r="I515" s="140" t="s">
        <v>1607</v>
      </c>
      <c r="J515" s="140">
        <v>300000000</v>
      </c>
      <c r="K515" s="139" t="s">
        <v>221</v>
      </c>
      <c r="L515" s="140">
        <v>2933422</v>
      </c>
      <c r="M515" s="155" t="s">
        <v>79</v>
      </c>
      <c r="N515" s="10">
        <v>340</v>
      </c>
      <c r="O515" s="10">
        <v>945880000</v>
      </c>
      <c r="P515" s="140"/>
    </row>
    <row r="516" spans="1:16" ht="43.5" x14ac:dyDescent="0.35">
      <c r="A516" s="139">
        <f t="shared" si="7"/>
        <v>16</v>
      </c>
      <c r="B516" s="140" t="s">
        <v>18</v>
      </c>
      <c r="C516" s="140" t="s">
        <v>37</v>
      </c>
      <c r="D516" s="140" t="s">
        <v>1521</v>
      </c>
      <c r="E516" s="140" t="s">
        <v>1608</v>
      </c>
      <c r="F516" s="140" t="s">
        <v>1609</v>
      </c>
      <c r="G516" s="140" t="s">
        <v>82</v>
      </c>
      <c r="H516" s="140" t="s">
        <v>540</v>
      </c>
      <c r="I516" s="140" t="s">
        <v>1250</v>
      </c>
      <c r="J516" s="140">
        <v>100000000</v>
      </c>
      <c r="K516" s="139" t="s">
        <v>221</v>
      </c>
      <c r="L516" s="140">
        <v>2816891</v>
      </c>
      <c r="M516" s="155" t="s">
        <v>79</v>
      </c>
      <c r="N516" s="10" t="s">
        <v>1250</v>
      </c>
      <c r="O516" s="10">
        <v>100000000</v>
      </c>
      <c r="P516" s="140"/>
    </row>
    <row r="517" spans="1:16" ht="43.5" x14ac:dyDescent="0.35">
      <c r="A517" s="139" t="e">
        <f>#REF!+1</f>
        <v>#REF!</v>
      </c>
      <c r="B517" s="140" t="s">
        <v>18</v>
      </c>
      <c r="C517" s="140" t="s">
        <v>37</v>
      </c>
      <c r="D517" s="140" t="s">
        <v>1515</v>
      </c>
      <c r="E517" s="140" t="s">
        <v>1610</v>
      </c>
      <c r="F517" s="140"/>
      <c r="G517" s="140" t="s">
        <v>82</v>
      </c>
      <c r="H517" s="140" t="s">
        <v>534</v>
      </c>
      <c r="I517" s="140"/>
      <c r="J517" s="140"/>
      <c r="K517" s="139" t="s">
        <v>221</v>
      </c>
      <c r="L517" s="140"/>
      <c r="M517" s="155" t="s">
        <v>79</v>
      </c>
      <c r="N517" s="10" t="s">
        <v>1611</v>
      </c>
      <c r="O517" s="10">
        <v>96000000</v>
      </c>
      <c r="P517" s="140" t="s">
        <v>275</v>
      </c>
    </row>
    <row r="518" spans="1:16" ht="43.5" x14ac:dyDescent="0.35">
      <c r="A518" s="139" t="e">
        <f t="shared" si="7"/>
        <v>#REF!</v>
      </c>
      <c r="B518" s="140" t="s">
        <v>18</v>
      </c>
      <c r="C518" s="140" t="s">
        <v>37</v>
      </c>
      <c r="D518" s="140" t="s">
        <v>1515</v>
      </c>
      <c r="E518" s="140" t="s">
        <v>1612</v>
      </c>
      <c r="F518" s="140"/>
      <c r="G518" s="140" t="s">
        <v>82</v>
      </c>
      <c r="H518" s="140" t="s">
        <v>1613</v>
      </c>
      <c r="I518" s="140"/>
      <c r="J518" s="140"/>
      <c r="K518" s="139" t="s">
        <v>221</v>
      </c>
      <c r="L518" s="140"/>
      <c r="M518" s="155" t="s">
        <v>79</v>
      </c>
      <c r="N518" s="10" t="s">
        <v>1614</v>
      </c>
      <c r="O518" s="10">
        <v>264800000</v>
      </c>
      <c r="P518" s="140" t="s">
        <v>275</v>
      </c>
    </row>
    <row r="519" spans="1:16" ht="43.5" x14ac:dyDescent="0.35">
      <c r="A519" s="139" t="e">
        <f t="shared" si="7"/>
        <v>#REF!</v>
      </c>
      <c r="B519" s="140" t="s">
        <v>18</v>
      </c>
      <c r="C519" s="140" t="s">
        <v>37</v>
      </c>
      <c r="D519" s="140" t="s">
        <v>1515</v>
      </c>
      <c r="E519" s="140" t="s">
        <v>1615</v>
      </c>
      <c r="F519" s="140" t="s">
        <v>1616</v>
      </c>
      <c r="G519" s="140" t="s">
        <v>266</v>
      </c>
      <c r="H519" s="140" t="s">
        <v>1617</v>
      </c>
      <c r="I519" s="140"/>
      <c r="J519" s="140">
        <v>31500000</v>
      </c>
      <c r="K519" s="139" t="s">
        <v>221</v>
      </c>
      <c r="L519" s="140">
        <v>2924126</v>
      </c>
      <c r="M519" s="155" t="s">
        <v>79</v>
      </c>
      <c r="N519" s="10">
        <v>250</v>
      </c>
      <c r="O519" s="10">
        <v>74000000</v>
      </c>
      <c r="P519" s="140"/>
    </row>
    <row r="520" spans="1:16" ht="43.5" x14ac:dyDescent="0.35">
      <c r="A520" s="139" t="e">
        <f t="shared" si="7"/>
        <v>#REF!</v>
      </c>
      <c r="B520" s="140" t="s">
        <v>18</v>
      </c>
      <c r="C520" s="140" t="s">
        <v>37</v>
      </c>
      <c r="D520" s="140" t="s">
        <v>1515</v>
      </c>
      <c r="E520" s="140" t="s">
        <v>1618</v>
      </c>
      <c r="F520" s="140" t="s">
        <v>1616</v>
      </c>
      <c r="G520" s="140" t="s">
        <v>266</v>
      </c>
      <c r="H520" s="140" t="s">
        <v>1617</v>
      </c>
      <c r="I520" s="140"/>
      <c r="J520" s="140">
        <v>28500000</v>
      </c>
      <c r="K520" s="139" t="s">
        <v>221</v>
      </c>
      <c r="L520" s="140">
        <v>2847463</v>
      </c>
      <c r="M520" s="155" t="s">
        <v>79</v>
      </c>
      <c r="N520" s="10">
        <v>250</v>
      </c>
      <c r="O520" s="10">
        <v>63500000</v>
      </c>
      <c r="P520" s="140"/>
    </row>
    <row r="521" spans="1:16" ht="43.5" x14ac:dyDescent="0.35">
      <c r="A521" s="139" t="e">
        <f t="shared" si="7"/>
        <v>#REF!</v>
      </c>
      <c r="B521" s="140" t="s">
        <v>18</v>
      </c>
      <c r="C521" s="140" t="s">
        <v>37</v>
      </c>
      <c r="D521" s="140" t="s">
        <v>1570</v>
      </c>
      <c r="E521" s="140" t="s">
        <v>1619</v>
      </c>
      <c r="F521" s="140" t="s">
        <v>1620</v>
      </c>
      <c r="G521" s="140" t="s">
        <v>266</v>
      </c>
      <c r="H521" s="140" t="s">
        <v>1621</v>
      </c>
      <c r="I521" s="140"/>
      <c r="J521" s="140">
        <v>130750000</v>
      </c>
      <c r="K521" s="139" t="s">
        <v>221</v>
      </c>
      <c r="L521" s="140">
        <v>2908560</v>
      </c>
      <c r="M521" s="155" t="s">
        <v>79</v>
      </c>
      <c r="N521" s="10">
        <v>77</v>
      </c>
      <c r="O521" s="10">
        <v>214214000</v>
      </c>
      <c r="P521" s="140"/>
    </row>
    <row r="522" spans="1:16" ht="43.5" x14ac:dyDescent="0.35">
      <c r="A522" s="139" t="e">
        <f t="shared" si="7"/>
        <v>#REF!</v>
      </c>
      <c r="B522" s="140" t="s">
        <v>18</v>
      </c>
      <c r="C522" s="140" t="s">
        <v>37</v>
      </c>
      <c r="D522" s="140" t="s">
        <v>1515</v>
      </c>
      <c r="E522" s="140" t="s">
        <v>1622</v>
      </c>
      <c r="F522" s="140" t="s">
        <v>1623</v>
      </c>
      <c r="G522" s="140" t="s">
        <v>266</v>
      </c>
      <c r="H522" s="140" t="s">
        <v>1624</v>
      </c>
      <c r="I522" s="140"/>
      <c r="J522" s="140">
        <v>64000000</v>
      </c>
      <c r="K522" s="139" t="s">
        <v>221</v>
      </c>
      <c r="L522" s="140">
        <v>2935887</v>
      </c>
      <c r="M522" s="155" t="s">
        <v>79</v>
      </c>
      <c r="N522" s="10">
        <v>250</v>
      </c>
      <c r="O522" s="10">
        <v>74000000</v>
      </c>
      <c r="P522" s="140"/>
    </row>
    <row r="523" spans="1:16" ht="43.5" x14ac:dyDescent="0.35">
      <c r="A523" s="139" t="e">
        <f t="shared" si="7"/>
        <v>#REF!</v>
      </c>
      <c r="B523" s="140" t="s">
        <v>18</v>
      </c>
      <c r="C523" s="140" t="s">
        <v>37</v>
      </c>
      <c r="D523" s="140" t="s">
        <v>1515</v>
      </c>
      <c r="E523" s="140" t="s">
        <v>1625</v>
      </c>
      <c r="F523" s="140" t="s">
        <v>265</v>
      </c>
      <c r="G523" s="140" t="s">
        <v>266</v>
      </c>
      <c r="H523" s="140" t="s">
        <v>266</v>
      </c>
      <c r="I523" s="140"/>
      <c r="J523" s="140">
        <v>40000000</v>
      </c>
      <c r="K523" s="139" t="s">
        <v>221</v>
      </c>
      <c r="L523" s="140">
        <v>2845714</v>
      </c>
      <c r="M523" s="155" t="s">
        <v>79</v>
      </c>
      <c r="N523" s="10">
        <v>250</v>
      </c>
      <c r="O523" s="10">
        <v>63500000</v>
      </c>
      <c r="P523" s="140"/>
    </row>
    <row r="524" spans="1:16" ht="43.5" x14ac:dyDescent="0.35">
      <c r="A524" s="139" t="e">
        <f t="shared" si="7"/>
        <v>#REF!</v>
      </c>
      <c r="B524" s="140" t="s">
        <v>18</v>
      </c>
      <c r="C524" s="140" t="s">
        <v>37</v>
      </c>
      <c r="D524" s="140" t="s">
        <v>1515</v>
      </c>
      <c r="E524" s="140" t="s">
        <v>1626</v>
      </c>
      <c r="F524" s="140" t="s">
        <v>1627</v>
      </c>
      <c r="G524" s="140" t="s">
        <v>266</v>
      </c>
      <c r="H524" s="140" t="s">
        <v>1628</v>
      </c>
      <c r="I524" s="140"/>
      <c r="J524" s="140">
        <v>20500000</v>
      </c>
      <c r="K524" s="139" t="s">
        <v>221</v>
      </c>
      <c r="L524" s="140">
        <v>2953134</v>
      </c>
      <c r="M524" s="155" t="s">
        <v>79</v>
      </c>
      <c r="N524" s="10">
        <v>250</v>
      </c>
      <c r="O524" s="10">
        <v>63500000</v>
      </c>
      <c r="P524" s="140"/>
    </row>
    <row r="525" spans="1:16" ht="43.5" x14ac:dyDescent="0.35">
      <c r="A525" s="139" t="e">
        <f t="shared" si="7"/>
        <v>#REF!</v>
      </c>
      <c r="B525" s="140" t="s">
        <v>18</v>
      </c>
      <c r="C525" s="140" t="s">
        <v>37</v>
      </c>
      <c r="D525" s="140" t="s">
        <v>1570</v>
      </c>
      <c r="E525" s="140" t="s">
        <v>1629</v>
      </c>
      <c r="F525" s="140" t="s">
        <v>1630</v>
      </c>
      <c r="G525" s="140" t="s">
        <v>266</v>
      </c>
      <c r="H525" s="140" t="s">
        <v>1628</v>
      </c>
      <c r="I525" s="140"/>
      <c r="J525" s="140">
        <v>110500000</v>
      </c>
      <c r="K525" s="139" t="s">
        <v>221</v>
      </c>
      <c r="L525" s="140">
        <v>2952488</v>
      </c>
      <c r="M525" s="155" t="s">
        <v>79</v>
      </c>
      <c r="N525" s="10">
        <v>60</v>
      </c>
      <c r="O525" s="10">
        <v>166920000</v>
      </c>
      <c r="P525" s="140"/>
    </row>
    <row r="526" spans="1:16" ht="43.5" x14ac:dyDescent="0.35">
      <c r="A526" s="139" t="e">
        <f t="shared" si="7"/>
        <v>#REF!</v>
      </c>
      <c r="B526" s="140" t="s">
        <v>18</v>
      </c>
      <c r="C526" s="140" t="s">
        <v>37</v>
      </c>
      <c r="D526" s="140" t="s">
        <v>1515</v>
      </c>
      <c r="E526" s="140" t="s">
        <v>1631</v>
      </c>
      <c r="F526" s="140" t="s">
        <v>1632</v>
      </c>
      <c r="G526" s="140" t="s">
        <v>266</v>
      </c>
      <c r="H526" s="140" t="s">
        <v>1633</v>
      </c>
      <c r="I526" s="140"/>
      <c r="J526" s="140">
        <v>65000000</v>
      </c>
      <c r="K526" s="139" t="s">
        <v>221</v>
      </c>
      <c r="L526" s="140">
        <v>2851251</v>
      </c>
      <c r="M526" s="155" t="s">
        <v>79</v>
      </c>
      <c r="N526" s="10">
        <v>250</v>
      </c>
      <c r="O526" s="10">
        <v>74000000</v>
      </c>
      <c r="P526" s="140"/>
    </row>
    <row r="527" spans="1:16" ht="43.5" x14ac:dyDescent="0.35">
      <c r="A527" s="139" t="e">
        <f t="shared" si="7"/>
        <v>#REF!</v>
      </c>
      <c r="B527" s="140" t="s">
        <v>18</v>
      </c>
      <c r="C527" s="140" t="s">
        <v>37</v>
      </c>
      <c r="D527" s="140" t="s">
        <v>1634</v>
      </c>
      <c r="E527" s="140" t="s">
        <v>1635</v>
      </c>
      <c r="F527" s="140" t="s">
        <v>1636</v>
      </c>
      <c r="G527" s="140" t="s">
        <v>658</v>
      </c>
      <c r="H527" s="140" t="s">
        <v>1637</v>
      </c>
      <c r="I527" s="140" t="s">
        <v>25</v>
      </c>
      <c r="J527" s="140">
        <v>25000000</v>
      </c>
      <c r="K527" s="139" t="s">
        <v>221</v>
      </c>
      <c r="L527" s="140">
        <v>2947206</v>
      </c>
      <c r="M527" s="155" t="s">
        <v>79</v>
      </c>
      <c r="N527" s="10">
        <v>1</v>
      </c>
      <c r="O527" s="10">
        <v>25000000</v>
      </c>
      <c r="P527" s="140"/>
    </row>
    <row r="528" spans="1:16" ht="43.5" x14ac:dyDescent="0.35">
      <c r="A528" s="139" t="e">
        <f t="shared" si="7"/>
        <v>#REF!</v>
      </c>
      <c r="B528" s="140" t="s">
        <v>18</v>
      </c>
      <c r="C528" s="140" t="s">
        <v>37</v>
      </c>
      <c r="D528" s="140" t="s">
        <v>1515</v>
      </c>
      <c r="E528" s="140" t="s">
        <v>1638</v>
      </c>
      <c r="F528" s="140" t="s">
        <v>1639</v>
      </c>
      <c r="G528" s="140" t="s">
        <v>658</v>
      </c>
      <c r="H528" s="140" t="s">
        <v>1640</v>
      </c>
      <c r="I528" s="140" t="s">
        <v>1641</v>
      </c>
      <c r="J528" s="140">
        <v>70400000</v>
      </c>
      <c r="K528" s="139" t="s">
        <v>221</v>
      </c>
      <c r="L528" s="140">
        <v>2935100</v>
      </c>
      <c r="M528" s="155" t="s">
        <v>79</v>
      </c>
      <c r="N528" s="10">
        <v>250</v>
      </c>
      <c r="O528" s="10">
        <v>99000000</v>
      </c>
      <c r="P528" s="140"/>
    </row>
    <row r="529" spans="1:16" ht="43.5" x14ac:dyDescent="0.35">
      <c r="A529" s="139" t="e">
        <f t="shared" si="7"/>
        <v>#REF!</v>
      </c>
      <c r="B529" s="140" t="s">
        <v>18</v>
      </c>
      <c r="C529" s="140" t="s">
        <v>37</v>
      </c>
      <c r="D529" s="140" t="s">
        <v>1515</v>
      </c>
      <c r="E529" s="140" t="s">
        <v>1642</v>
      </c>
      <c r="F529" s="140" t="s">
        <v>1643</v>
      </c>
      <c r="G529" s="140" t="s">
        <v>658</v>
      </c>
      <c r="H529" s="140" t="s">
        <v>1644</v>
      </c>
      <c r="I529" s="140" t="s">
        <v>1645</v>
      </c>
      <c r="J529" s="140">
        <v>52000000</v>
      </c>
      <c r="K529" s="139" t="s">
        <v>221</v>
      </c>
      <c r="L529" s="140">
        <v>2935204</v>
      </c>
      <c r="M529" s="155" t="s">
        <v>79</v>
      </c>
      <c r="N529" s="10">
        <v>250</v>
      </c>
      <c r="O529" s="10">
        <v>99000000</v>
      </c>
      <c r="P529" s="140"/>
    </row>
    <row r="530" spans="1:16" ht="43.5" x14ac:dyDescent="0.35">
      <c r="A530" s="139" t="e">
        <f t="shared" si="7"/>
        <v>#REF!</v>
      </c>
      <c r="B530" s="140" t="s">
        <v>18</v>
      </c>
      <c r="C530" s="140" t="s">
        <v>37</v>
      </c>
      <c r="D530" s="140" t="s">
        <v>1515</v>
      </c>
      <c r="E530" s="140" t="s">
        <v>1646</v>
      </c>
      <c r="F530" s="140" t="s">
        <v>1647</v>
      </c>
      <c r="G530" s="140" t="s">
        <v>658</v>
      </c>
      <c r="H530" s="140" t="s">
        <v>1648</v>
      </c>
      <c r="I530" s="140" t="s">
        <v>1649</v>
      </c>
      <c r="J530" s="140">
        <v>75000000</v>
      </c>
      <c r="K530" s="139" t="s">
        <v>221</v>
      </c>
      <c r="L530" s="140">
        <v>2935482</v>
      </c>
      <c r="M530" s="155" t="s">
        <v>79</v>
      </c>
      <c r="N530" s="10">
        <v>300</v>
      </c>
      <c r="O530" s="10">
        <v>118800000</v>
      </c>
      <c r="P530" s="140"/>
    </row>
    <row r="531" spans="1:16" ht="43.5" x14ac:dyDescent="0.35">
      <c r="A531" s="139" t="e">
        <f t="shared" si="7"/>
        <v>#REF!</v>
      </c>
      <c r="B531" s="140" t="s">
        <v>18</v>
      </c>
      <c r="C531" s="140" t="s">
        <v>37</v>
      </c>
      <c r="D531" s="140" t="s">
        <v>1515</v>
      </c>
      <c r="E531" s="140" t="s">
        <v>1650</v>
      </c>
      <c r="F531" s="140" t="s">
        <v>1651</v>
      </c>
      <c r="G531" s="140" t="s">
        <v>658</v>
      </c>
      <c r="H531" s="140" t="s">
        <v>1652</v>
      </c>
      <c r="I531" s="140" t="s">
        <v>1653</v>
      </c>
      <c r="J531" s="140">
        <v>54000000</v>
      </c>
      <c r="K531" s="139" t="s">
        <v>221</v>
      </c>
      <c r="L531" s="140">
        <v>2935797</v>
      </c>
      <c r="M531" s="155" t="s">
        <v>79</v>
      </c>
      <c r="N531" s="10">
        <v>450</v>
      </c>
      <c r="O531" s="10">
        <v>133200000</v>
      </c>
      <c r="P531" s="140"/>
    </row>
    <row r="532" spans="1:16" ht="43.5" x14ac:dyDescent="0.35">
      <c r="A532" s="139" t="e">
        <f t="shared" si="7"/>
        <v>#REF!</v>
      </c>
      <c r="B532" s="140" t="s">
        <v>18</v>
      </c>
      <c r="C532" s="140" t="s">
        <v>37</v>
      </c>
      <c r="D532" s="140" t="s">
        <v>1515</v>
      </c>
      <c r="E532" s="140" t="s">
        <v>1654</v>
      </c>
      <c r="F532" s="140" t="s">
        <v>1655</v>
      </c>
      <c r="G532" s="140" t="s">
        <v>658</v>
      </c>
      <c r="H532" s="140" t="s">
        <v>1656</v>
      </c>
      <c r="I532" s="140" t="s">
        <v>1657</v>
      </c>
      <c r="J532" s="140">
        <v>100000000</v>
      </c>
      <c r="K532" s="139" t="s">
        <v>221</v>
      </c>
      <c r="L532" s="140">
        <v>2934549</v>
      </c>
      <c r="M532" s="155" t="s">
        <v>79</v>
      </c>
      <c r="N532" s="10">
        <v>400</v>
      </c>
      <c r="O532" s="10">
        <v>118400000</v>
      </c>
      <c r="P532" s="140"/>
    </row>
    <row r="533" spans="1:16" ht="43.5" x14ac:dyDescent="0.35">
      <c r="A533" s="139" t="e">
        <f t="shared" si="7"/>
        <v>#REF!</v>
      </c>
      <c r="B533" s="140" t="s">
        <v>18</v>
      </c>
      <c r="C533" s="140" t="s">
        <v>37</v>
      </c>
      <c r="D533" s="140" t="s">
        <v>1570</v>
      </c>
      <c r="E533" s="140" t="s">
        <v>1658</v>
      </c>
      <c r="F533" s="140" t="s">
        <v>1659</v>
      </c>
      <c r="G533" s="140" t="s">
        <v>658</v>
      </c>
      <c r="H533" s="140" t="s">
        <v>1660</v>
      </c>
      <c r="I533" s="140" t="s">
        <v>1661</v>
      </c>
      <c r="J533" s="140">
        <v>70400000</v>
      </c>
      <c r="K533" s="139" t="s">
        <v>221</v>
      </c>
      <c r="L533" s="140">
        <v>2936104</v>
      </c>
      <c r="M533" s="155" t="s">
        <v>79</v>
      </c>
      <c r="N533" s="10">
        <v>230</v>
      </c>
      <c r="O533" s="10">
        <v>195500000</v>
      </c>
      <c r="P533" s="140"/>
    </row>
    <row r="534" spans="1:16" ht="43.5" x14ac:dyDescent="0.35">
      <c r="A534" s="139" t="e">
        <f t="shared" si="7"/>
        <v>#REF!</v>
      </c>
      <c r="B534" s="140" t="s">
        <v>18</v>
      </c>
      <c r="C534" s="140" t="s">
        <v>37</v>
      </c>
      <c r="D534" s="140" t="s">
        <v>1515</v>
      </c>
      <c r="E534" s="140" t="s">
        <v>1662</v>
      </c>
      <c r="F534" s="140" t="s">
        <v>1663</v>
      </c>
      <c r="G534" s="140" t="s">
        <v>658</v>
      </c>
      <c r="H534" s="140" t="s">
        <v>1664</v>
      </c>
      <c r="I534" s="140" t="s">
        <v>1250</v>
      </c>
      <c r="J534" s="140">
        <v>65000000</v>
      </c>
      <c r="K534" s="139" t="s">
        <v>221</v>
      </c>
      <c r="L534" s="140">
        <v>2934955</v>
      </c>
      <c r="M534" s="155" t="s">
        <v>79</v>
      </c>
      <c r="N534" s="10">
        <v>400</v>
      </c>
      <c r="O534" s="10">
        <v>158400000</v>
      </c>
      <c r="P534" s="140"/>
    </row>
    <row r="535" spans="1:16" ht="43.5" x14ac:dyDescent="0.35">
      <c r="A535" s="139" t="e">
        <f t="shared" si="7"/>
        <v>#REF!</v>
      </c>
      <c r="B535" s="140" t="s">
        <v>18</v>
      </c>
      <c r="C535" s="140" t="s">
        <v>37</v>
      </c>
      <c r="D535" s="140" t="s">
        <v>1515</v>
      </c>
      <c r="E535" s="140" t="s">
        <v>1646</v>
      </c>
      <c r="F535" s="140" t="s">
        <v>1665</v>
      </c>
      <c r="G535" s="140" t="s">
        <v>658</v>
      </c>
      <c r="H535" s="140" t="s">
        <v>1666</v>
      </c>
      <c r="I535" s="140" t="s">
        <v>1250</v>
      </c>
      <c r="J535" s="140">
        <v>65000000</v>
      </c>
      <c r="K535" s="139" t="s">
        <v>221</v>
      </c>
      <c r="L535" s="140">
        <v>2934221</v>
      </c>
      <c r="M535" s="155" t="s">
        <v>79</v>
      </c>
      <c r="N535" s="10">
        <v>400</v>
      </c>
      <c r="O535" s="10">
        <v>198000000</v>
      </c>
      <c r="P535" s="140"/>
    </row>
    <row r="536" spans="1:16" ht="43.5" x14ac:dyDescent="0.35">
      <c r="A536" s="139" t="e">
        <f t="shared" si="7"/>
        <v>#REF!</v>
      </c>
      <c r="B536" s="140" t="s">
        <v>18</v>
      </c>
      <c r="C536" s="140" t="s">
        <v>37</v>
      </c>
      <c r="D536" s="140" t="s">
        <v>1515</v>
      </c>
      <c r="E536" s="140" t="s">
        <v>1667</v>
      </c>
      <c r="F536" s="140" t="s">
        <v>1668</v>
      </c>
      <c r="G536" s="140" t="s">
        <v>658</v>
      </c>
      <c r="H536" s="140" t="s">
        <v>1669</v>
      </c>
      <c r="I536" s="140" t="s">
        <v>1250</v>
      </c>
      <c r="J536" s="140">
        <v>75000000</v>
      </c>
      <c r="K536" s="139" t="s">
        <v>221</v>
      </c>
      <c r="L536" s="140">
        <v>2934069</v>
      </c>
      <c r="M536" s="155" t="s">
        <v>79</v>
      </c>
      <c r="N536" s="10">
        <v>500</v>
      </c>
      <c r="O536" s="10">
        <v>127000000</v>
      </c>
      <c r="P536" s="140"/>
    </row>
    <row r="537" spans="1:16" ht="43.5" x14ac:dyDescent="0.35">
      <c r="A537" s="139" t="e">
        <f t="shared" si="7"/>
        <v>#REF!</v>
      </c>
      <c r="B537" s="140" t="s">
        <v>18</v>
      </c>
      <c r="C537" s="140" t="s">
        <v>37</v>
      </c>
      <c r="D537" s="140" t="s">
        <v>1634</v>
      </c>
      <c r="E537" s="140" t="s">
        <v>1670</v>
      </c>
      <c r="F537" s="140" t="s">
        <v>1671</v>
      </c>
      <c r="G537" s="140" t="s">
        <v>658</v>
      </c>
      <c r="H537" s="140" t="s">
        <v>1672</v>
      </c>
      <c r="I537" s="140" t="s">
        <v>35</v>
      </c>
      <c r="J537" s="140">
        <v>25000000</v>
      </c>
      <c r="K537" s="139" t="s">
        <v>221</v>
      </c>
      <c r="L537" s="140">
        <v>2823037</v>
      </c>
      <c r="M537" s="155" t="s">
        <v>79</v>
      </c>
      <c r="N537" s="10">
        <v>1</v>
      </c>
      <c r="O537" s="10">
        <v>25000000</v>
      </c>
      <c r="P537" s="140"/>
    </row>
    <row r="538" spans="1:16" ht="43.5" x14ac:dyDescent="0.35">
      <c r="A538" s="139" t="e">
        <f t="shared" si="7"/>
        <v>#REF!</v>
      </c>
      <c r="B538" s="140" t="s">
        <v>18</v>
      </c>
      <c r="C538" s="140" t="s">
        <v>37</v>
      </c>
      <c r="D538" s="140" t="s">
        <v>1515</v>
      </c>
      <c r="E538" s="140" t="s">
        <v>1673</v>
      </c>
      <c r="F538" s="140" t="s">
        <v>1674</v>
      </c>
      <c r="G538" s="140" t="s">
        <v>816</v>
      </c>
      <c r="H538" s="140" t="s">
        <v>817</v>
      </c>
      <c r="I538" s="140" t="s">
        <v>1675</v>
      </c>
      <c r="J538" s="140">
        <v>20000000</v>
      </c>
      <c r="K538" s="139" t="s">
        <v>221</v>
      </c>
      <c r="L538" s="140">
        <v>2931915</v>
      </c>
      <c r="M538" s="155" t="s">
        <v>79</v>
      </c>
      <c r="N538" s="10">
        <v>513.38</v>
      </c>
      <c r="O538" s="10">
        <v>151960480</v>
      </c>
      <c r="P538" s="140"/>
    </row>
    <row r="539" spans="1:16" ht="43.5" x14ac:dyDescent="0.35">
      <c r="A539" s="139" t="e">
        <f t="shared" si="7"/>
        <v>#REF!</v>
      </c>
      <c r="B539" s="140" t="s">
        <v>18</v>
      </c>
      <c r="C539" s="140" t="s">
        <v>37</v>
      </c>
      <c r="D539" s="140" t="s">
        <v>476</v>
      </c>
      <c r="E539" s="140" t="s">
        <v>1676</v>
      </c>
      <c r="F539" s="140" t="s">
        <v>1677</v>
      </c>
      <c r="G539" s="140" t="s">
        <v>816</v>
      </c>
      <c r="H539" s="140" t="s">
        <v>820</v>
      </c>
      <c r="I539" s="140">
        <v>800</v>
      </c>
      <c r="J539" s="140">
        <v>374000000</v>
      </c>
      <c r="K539" s="139" t="s">
        <v>221</v>
      </c>
      <c r="L539" s="140">
        <v>2842548</v>
      </c>
      <c r="M539" s="155" t="s">
        <v>79</v>
      </c>
      <c r="N539" s="10">
        <v>500</v>
      </c>
      <c r="O539" s="10">
        <v>524817920</v>
      </c>
      <c r="P539" s="140" t="s">
        <v>1678</v>
      </c>
    </row>
    <row r="540" spans="1:16" ht="43.5" x14ac:dyDescent="0.35">
      <c r="A540" s="139" t="e">
        <f t="shared" si="7"/>
        <v>#REF!</v>
      </c>
      <c r="B540" s="140" t="s">
        <v>18</v>
      </c>
      <c r="C540" s="140" t="s">
        <v>37</v>
      </c>
      <c r="D540" s="140" t="s">
        <v>1515</v>
      </c>
      <c r="E540" s="140" t="s">
        <v>1679</v>
      </c>
      <c r="F540" s="140" t="s">
        <v>1680</v>
      </c>
      <c r="G540" s="140" t="s">
        <v>816</v>
      </c>
      <c r="H540" s="140" t="s">
        <v>822</v>
      </c>
      <c r="I540" s="140">
        <v>200</v>
      </c>
      <c r="J540" s="140">
        <v>45000000</v>
      </c>
      <c r="K540" s="139" t="s">
        <v>221</v>
      </c>
      <c r="L540" s="140">
        <v>2932294</v>
      </c>
      <c r="M540" s="155" t="s">
        <v>79</v>
      </c>
      <c r="N540" s="10">
        <v>400</v>
      </c>
      <c r="O540" s="10">
        <v>101600000</v>
      </c>
      <c r="P540" s="140"/>
    </row>
    <row r="541" spans="1:16" ht="43.5" x14ac:dyDescent="0.35">
      <c r="A541" s="139" t="e">
        <f t="shared" si="7"/>
        <v>#REF!</v>
      </c>
      <c r="B541" s="140" t="s">
        <v>18</v>
      </c>
      <c r="C541" s="140" t="s">
        <v>37</v>
      </c>
      <c r="D541" s="140" t="s">
        <v>1515</v>
      </c>
      <c r="E541" s="140" t="s">
        <v>1681</v>
      </c>
      <c r="F541" s="140" t="s">
        <v>1682</v>
      </c>
      <c r="G541" s="140" t="s">
        <v>816</v>
      </c>
      <c r="H541" s="140" t="s">
        <v>824</v>
      </c>
      <c r="I541" s="140">
        <v>166.13</v>
      </c>
      <c r="J541" s="140">
        <v>40000000</v>
      </c>
      <c r="K541" s="139" t="s">
        <v>221</v>
      </c>
      <c r="L541" s="140">
        <v>2933090</v>
      </c>
      <c r="M541" s="155" t="s">
        <v>79</v>
      </c>
      <c r="N541" s="10">
        <v>332.26</v>
      </c>
      <c r="O541" s="10">
        <v>98348960</v>
      </c>
      <c r="P541" s="140"/>
    </row>
    <row r="542" spans="1:16" ht="43.5" x14ac:dyDescent="0.35">
      <c r="A542" s="139" t="e">
        <f t="shared" si="7"/>
        <v>#REF!</v>
      </c>
      <c r="B542" s="140" t="s">
        <v>18</v>
      </c>
      <c r="C542" s="140" t="s">
        <v>37</v>
      </c>
      <c r="D542" s="140" t="s">
        <v>1515</v>
      </c>
      <c r="E542" s="140" t="s">
        <v>1683</v>
      </c>
      <c r="F542" s="140" t="s">
        <v>1684</v>
      </c>
      <c r="G542" s="140" t="s">
        <v>816</v>
      </c>
      <c r="H542" s="140" t="s">
        <v>1685</v>
      </c>
      <c r="I542" s="140" t="s">
        <v>1686</v>
      </c>
      <c r="J542" s="140">
        <v>22000000</v>
      </c>
      <c r="K542" s="139" t="s">
        <v>221</v>
      </c>
      <c r="L542" s="140">
        <v>2933564</v>
      </c>
      <c r="M542" s="155" t="s">
        <v>79</v>
      </c>
      <c r="N542" s="10">
        <v>294.84000000000003</v>
      </c>
      <c r="O542" s="10">
        <v>87272640.000000015</v>
      </c>
      <c r="P542" s="140"/>
    </row>
    <row r="543" spans="1:16" ht="43.5" x14ac:dyDescent="0.35">
      <c r="A543" s="139" t="e">
        <f t="shared" si="7"/>
        <v>#REF!</v>
      </c>
      <c r="B543" s="140" t="s">
        <v>18</v>
      </c>
      <c r="C543" s="140" t="s">
        <v>37</v>
      </c>
      <c r="D543" s="140" t="s">
        <v>476</v>
      </c>
      <c r="E543" s="140" t="s">
        <v>1687</v>
      </c>
      <c r="F543" s="140" t="s">
        <v>1688</v>
      </c>
      <c r="G543" s="140" t="s">
        <v>535</v>
      </c>
      <c r="H543" s="140" t="s">
        <v>1689</v>
      </c>
      <c r="I543" s="140" t="s">
        <v>561</v>
      </c>
      <c r="J543" s="140">
        <v>100000000</v>
      </c>
      <c r="K543" s="139" t="s">
        <v>221</v>
      </c>
      <c r="L543" s="140">
        <v>2933068</v>
      </c>
      <c r="M543" s="155" t="s">
        <v>79</v>
      </c>
      <c r="N543" s="10">
        <v>100</v>
      </c>
      <c r="O543" s="10">
        <v>172200000</v>
      </c>
      <c r="P543" s="140"/>
    </row>
    <row r="544" spans="1:16" ht="43.5" x14ac:dyDescent="0.35">
      <c r="A544" s="139" t="e">
        <f t="shared" si="7"/>
        <v>#REF!</v>
      </c>
      <c r="B544" s="140" t="s">
        <v>18</v>
      </c>
      <c r="C544" s="140" t="s">
        <v>37</v>
      </c>
      <c r="D544" s="140" t="s">
        <v>1570</v>
      </c>
      <c r="E544" s="140" t="s">
        <v>1571</v>
      </c>
      <c r="F544" s="140" t="s">
        <v>1690</v>
      </c>
      <c r="G544" s="140" t="s">
        <v>535</v>
      </c>
      <c r="H544" s="140" t="s">
        <v>1691</v>
      </c>
      <c r="I544" s="140" t="s">
        <v>1266</v>
      </c>
      <c r="J544" s="140">
        <v>100000000</v>
      </c>
      <c r="K544" s="139" t="s">
        <v>221</v>
      </c>
      <c r="L544" s="140">
        <v>2932669</v>
      </c>
      <c r="M544" s="155" t="s">
        <v>79</v>
      </c>
      <c r="N544" s="10">
        <v>59</v>
      </c>
      <c r="O544" s="10">
        <v>164138000</v>
      </c>
      <c r="P544" s="140"/>
    </row>
    <row r="545" spans="1:16" ht="43.5" x14ac:dyDescent="0.35">
      <c r="A545" s="139" t="e">
        <f t="shared" si="7"/>
        <v>#REF!</v>
      </c>
      <c r="B545" s="140" t="s">
        <v>18</v>
      </c>
      <c r="C545" s="140" t="s">
        <v>37</v>
      </c>
      <c r="D545" s="140" t="s">
        <v>476</v>
      </c>
      <c r="E545" s="140" t="s">
        <v>1687</v>
      </c>
      <c r="F545" s="140" t="s">
        <v>1692</v>
      </c>
      <c r="G545" s="140" t="s">
        <v>535</v>
      </c>
      <c r="H545" s="140" t="s">
        <v>1693</v>
      </c>
      <c r="I545" s="140" t="s">
        <v>561</v>
      </c>
      <c r="J545" s="140">
        <v>100000000</v>
      </c>
      <c r="K545" s="139" t="s">
        <v>221</v>
      </c>
      <c r="L545" s="140">
        <v>2933008</v>
      </c>
      <c r="M545" s="155" t="s">
        <v>79</v>
      </c>
      <c r="N545" s="10">
        <v>90</v>
      </c>
      <c r="O545" s="10">
        <v>154980000</v>
      </c>
      <c r="P545" s="140"/>
    </row>
    <row r="546" spans="1:16" ht="43.5" x14ac:dyDescent="0.35">
      <c r="A546" s="139" t="e">
        <f t="shared" si="7"/>
        <v>#REF!</v>
      </c>
      <c r="B546" s="140" t="s">
        <v>18</v>
      </c>
      <c r="C546" s="140" t="s">
        <v>37</v>
      </c>
      <c r="D546" s="140" t="s">
        <v>1570</v>
      </c>
      <c r="E546" s="140" t="s">
        <v>1694</v>
      </c>
      <c r="F546" s="140" t="s">
        <v>1695</v>
      </c>
      <c r="G546" s="140" t="s">
        <v>535</v>
      </c>
      <c r="H546" s="140" t="s">
        <v>1696</v>
      </c>
      <c r="I546" s="140" t="s">
        <v>1080</v>
      </c>
      <c r="J546" s="140">
        <v>100000000</v>
      </c>
      <c r="K546" s="139" t="s">
        <v>221</v>
      </c>
      <c r="L546" s="140">
        <v>2932611</v>
      </c>
      <c r="M546" s="155" t="s">
        <v>79</v>
      </c>
      <c r="N546" s="10" t="s">
        <v>1080</v>
      </c>
      <c r="O546" s="10">
        <v>130293880</v>
      </c>
      <c r="P546" s="140"/>
    </row>
    <row r="547" spans="1:16" ht="43.5" x14ac:dyDescent="0.35">
      <c r="A547" s="139" t="e">
        <f t="shared" si="7"/>
        <v>#REF!</v>
      </c>
      <c r="B547" s="140" t="s">
        <v>18</v>
      </c>
      <c r="C547" s="140" t="s">
        <v>37</v>
      </c>
      <c r="D547" s="140" t="s">
        <v>476</v>
      </c>
      <c r="E547" s="140" t="s">
        <v>1697</v>
      </c>
      <c r="F547" s="140" t="s">
        <v>1698</v>
      </c>
      <c r="G547" s="140" t="s">
        <v>535</v>
      </c>
      <c r="H547" s="140" t="s">
        <v>1699</v>
      </c>
      <c r="I547" s="140" t="s">
        <v>1700</v>
      </c>
      <c r="J547" s="140">
        <v>100000000</v>
      </c>
      <c r="K547" s="139" t="s">
        <v>221</v>
      </c>
      <c r="L547" s="140">
        <v>2932780</v>
      </c>
      <c r="M547" s="155" t="s">
        <v>79</v>
      </c>
      <c r="N547" s="10" t="s">
        <v>1701</v>
      </c>
      <c r="O547" s="10">
        <v>278388120</v>
      </c>
      <c r="P547" s="140" t="s">
        <v>1702</v>
      </c>
    </row>
    <row r="548" spans="1:16" ht="43.5" x14ac:dyDescent="0.35">
      <c r="A548" s="139" t="e">
        <f t="shared" si="7"/>
        <v>#REF!</v>
      </c>
      <c r="B548" s="140" t="s">
        <v>18</v>
      </c>
      <c r="C548" s="140" t="s">
        <v>37</v>
      </c>
      <c r="D548" s="140" t="s">
        <v>1515</v>
      </c>
      <c r="E548" s="140" t="s">
        <v>992</v>
      </c>
      <c r="F548" s="140" t="s">
        <v>1703</v>
      </c>
      <c r="G548" s="144" t="s">
        <v>271</v>
      </c>
      <c r="H548" s="144" t="s">
        <v>1704</v>
      </c>
      <c r="I548" s="144" t="s">
        <v>1705</v>
      </c>
      <c r="J548" s="270">
        <v>100000000</v>
      </c>
      <c r="K548" s="139" t="s">
        <v>221</v>
      </c>
      <c r="L548" s="140">
        <v>2935129</v>
      </c>
      <c r="M548" s="32" t="s">
        <v>97</v>
      </c>
      <c r="N548" s="140">
        <v>400</v>
      </c>
      <c r="O548" s="10">
        <v>101600000</v>
      </c>
      <c r="P548" s="271"/>
    </row>
    <row r="549" spans="1:16" ht="43.5" x14ac:dyDescent="0.35">
      <c r="A549" s="139" t="e">
        <f t="shared" si="7"/>
        <v>#REF!</v>
      </c>
      <c r="B549" s="140" t="s">
        <v>18</v>
      </c>
      <c r="C549" s="140" t="s">
        <v>37</v>
      </c>
      <c r="D549" s="140" t="s">
        <v>1515</v>
      </c>
      <c r="E549" s="140" t="s">
        <v>1706</v>
      </c>
      <c r="F549" s="140" t="s">
        <v>1707</v>
      </c>
      <c r="G549" s="144" t="s">
        <v>271</v>
      </c>
      <c r="H549" s="144" t="s">
        <v>1708</v>
      </c>
      <c r="I549" s="144"/>
      <c r="J549" s="270"/>
      <c r="K549" s="139" t="s">
        <v>221</v>
      </c>
      <c r="L549" s="140" t="s">
        <v>273</v>
      </c>
      <c r="M549" s="32" t="s">
        <v>97</v>
      </c>
      <c r="N549" s="140">
        <v>260</v>
      </c>
      <c r="O549" s="10">
        <v>102960000</v>
      </c>
      <c r="P549" s="140" t="s">
        <v>1709</v>
      </c>
    </row>
    <row r="550" spans="1:16" ht="43.5" x14ac:dyDescent="0.35">
      <c r="A550" s="139" t="e">
        <f t="shared" si="7"/>
        <v>#REF!</v>
      </c>
      <c r="B550" s="140" t="s">
        <v>18</v>
      </c>
      <c r="C550" s="140" t="s">
        <v>37</v>
      </c>
      <c r="D550" s="140" t="s">
        <v>1515</v>
      </c>
      <c r="E550" s="140" t="s">
        <v>1710</v>
      </c>
      <c r="F550" s="140" t="s">
        <v>1711</v>
      </c>
      <c r="G550" s="144" t="s">
        <v>271</v>
      </c>
      <c r="H550" s="144" t="s">
        <v>1712</v>
      </c>
      <c r="I550" s="144"/>
      <c r="J550" s="270"/>
      <c r="K550" s="139" t="s">
        <v>221</v>
      </c>
      <c r="L550" s="140" t="s">
        <v>273</v>
      </c>
      <c r="M550" s="32" t="s">
        <v>97</v>
      </c>
      <c r="N550" s="140">
        <f>25*1.5</f>
        <v>37.5</v>
      </c>
      <c r="O550" s="10">
        <v>102960000</v>
      </c>
      <c r="P550" s="140" t="s">
        <v>1713</v>
      </c>
    </row>
    <row r="551" spans="1:16" ht="43.5" x14ac:dyDescent="0.35">
      <c r="A551" s="139" t="e">
        <f t="shared" si="7"/>
        <v>#REF!</v>
      </c>
      <c r="B551" s="140" t="s">
        <v>18</v>
      </c>
      <c r="C551" s="140" t="s">
        <v>37</v>
      </c>
      <c r="D551" s="140" t="s">
        <v>1515</v>
      </c>
      <c r="E551" s="140" t="s">
        <v>1714</v>
      </c>
      <c r="F551" s="140" t="s">
        <v>1715</v>
      </c>
      <c r="G551" s="144" t="s">
        <v>271</v>
      </c>
      <c r="H551" s="144" t="s">
        <v>663</v>
      </c>
      <c r="I551" s="144" t="s">
        <v>1716</v>
      </c>
      <c r="J551" s="270">
        <v>50000000</v>
      </c>
      <c r="K551" s="139" t="s">
        <v>221</v>
      </c>
      <c r="L551" s="140">
        <v>2934745</v>
      </c>
      <c r="M551" s="32" t="s">
        <v>97</v>
      </c>
      <c r="N551" s="272">
        <v>85</v>
      </c>
      <c r="O551" s="10">
        <v>59670000</v>
      </c>
      <c r="P551" s="140" t="s">
        <v>1717</v>
      </c>
    </row>
    <row r="552" spans="1:16" ht="43.5" x14ac:dyDescent="0.35">
      <c r="A552" s="139" t="e">
        <f t="shared" si="7"/>
        <v>#REF!</v>
      </c>
      <c r="B552" s="140" t="s">
        <v>18</v>
      </c>
      <c r="C552" s="140" t="s">
        <v>37</v>
      </c>
      <c r="D552" s="140" t="s">
        <v>1515</v>
      </c>
      <c r="E552" s="140" t="s">
        <v>1718</v>
      </c>
      <c r="F552" s="140" t="s">
        <v>1719</v>
      </c>
      <c r="G552" s="144" t="s">
        <v>271</v>
      </c>
      <c r="H552" s="144" t="s">
        <v>1720</v>
      </c>
      <c r="I552" s="144"/>
      <c r="J552" s="270"/>
      <c r="K552" s="139" t="s">
        <v>221</v>
      </c>
      <c r="L552" s="140" t="s">
        <v>273</v>
      </c>
      <c r="M552" s="32" t="s">
        <v>97</v>
      </c>
      <c r="N552" s="140">
        <v>400</v>
      </c>
      <c r="O552" s="10">
        <v>131147539.99999999</v>
      </c>
      <c r="P552" s="140" t="s">
        <v>1721</v>
      </c>
    </row>
    <row r="553" spans="1:16" ht="43.5" x14ac:dyDescent="0.35">
      <c r="A553" s="139" t="e">
        <f t="shared" si="7"/>
        <v>#REF!</v>
      </c>
      <c r="B553" s="140" t="s">
        <v>18</v>
      </c>
      <c r="C553" s="140" t="s">
        <v>37</v>
      </c>
      <c r="D553" s="140" t="s">
        <v>1570</v>
      </c>
      <c r="E553" s="140" t="s">
        <v>1221</v>
      </c>
      <c r="F553" s="140" t="s">
        <v>1722</v>
      </c>
      <c r="G553" s="144" t="s">
        <v>271</v>
      </c>
      <c r="H553" s="144" t="s">
        <v>1723</v>
      </c>
      <c r="I553" s="144" t="s">
        <v>1645</v>
      </c>
      <c r="J553" s="270">
        <v>70000000</v>
      </c>
      <c r="K553" s="139" t="s">
        <v>221</v>
      </c>
      <c r="L553" s="140">
        <v>2933058</v>
      </c>
      <c r="M553" s="32" t="s">
        <v>97</v>
      </c>
      <c r="N553" s="140">
        <v>50</v>
      </c>
      <c r="O553" s="10">
        <v>139100000</v>
      </c>
      <c r="P553" s="140" t="s">
        <v>1724</v>
      </c>
    </row>
    <row r="554" spans="1:16" ht="43.5" x14ac:dyDescent="0.35">
      <c r="A554" s="139" t="e">
        <f t="shared" si="7"/>
        <v>#REF!</v>
      </c>
      <c r="B554" s="140" t="s">
        <v>18</v>
      </c>
      <c r="C554" s="140" t="s">
        <v>37</v>
      </c>
      <c r="D554" s="140" t="s">
        <v>1570</v>
      </c>
      <c r="E554" s="140" t="s">
        <v>1221</v>
      </c>
      <c r="F554" s="140" t="s">
        <v>1725</v>
      </c>
      <c r="G554" s="144" t="s">
        <v>271</v>
      </c>
      <c r="H554" s="144" t="s">
        <v>1726</v>
      </c>
      <c r="I554" s="144" t="s">
        <v>1727</v>
      </c>
      <c r="J554" s="270">
        <v>100000000</v>
      </c>
      <c r="K554" s="139" t="s">
        <v>221</v>
      </c>
      <c r="L554" s="140">
        <v>2932560</v>
      </c>
      <c r="M554" s="32" t="s">
        <v>97</v>
      </c>
      <c r="N554" s="140">
        <v>50</v>
      </c>
      <c r="O554" s="10">
        <v>139100000</v>
      </c>
      <c r="P554" s="140" t="s">
        <v>1728</v>
      </c>
    </row>
    <row r="555" spans="1:16" ht="43.5" x14ac:dyDescent="0.35">
      <c r="A555" s="139" t="e">
        <f t="shared" si="7"/>
        <v>#REF!</v>
      </c>
      <c r="B555" s="140" t="s">
        <v>18</v>
      </c>
      <c r="C555" s="140" t="s">
        <v>37</v>
      </c>
      <c r="D555" s="140" t="s">
        <v>1515</v>
      </c>
      <c r="E555" s="140" t="s">
        <v>1729</v>
      </c>
      <c r="F555" s="140" t="s">
        <v>1053</v>
      </c>
      <c r="G555" s="140" t="s">
        <v>278</v>
      </c>
      <c r="H555" s="140" t="s">
        <v>1054</v>
      </c>
      <c r="I555" s="140" t="s">
        <v>1730</v>
      </c>
      <c r="J555" s="270">
        <v>40000000</v>
      </c>
      <c r="K555" s="139" t="s">
        <v>221</v>
      </c>
      <c r="L555" s="140">
        <v>2969493</v>
      </c>
      <c r="M555" s="32" t="s">
        <v>97</v>
      </c>
      <c r="N555" s="140">
        <v>225</v>
      </c>
      <c r="O555" s="10">
        <v>89100000</v>
      </c>
      <c r="P555" s="140"/>
    </row>
    <row r="556" spans="1:16" ht="43.5" x14ac:dyDescent="0.35">
      <c r="A556" s="139" t="e">
        <f t="shared" si="7"/>
        <v>#REF!</v>
      </c>
      <c r="B556" s="140" t="s">
        <v>18</v>
      </c>
      <c r="C556" s="140" t="s">
        <v>37</v>
      </c>
      <c r="D556" s="140" t="s">
        <v>1515</v>
      </c>
      <c r="E556" s="140" t="s">
        <v>1731</v>
      </c>
      <c r="F556" s="140" t="s">
        <v>1732</v>
      </c>
      <c r="G556" s="140" t="s">
        <v>278</v>
      </c>
      <c r="H556" s="140" t="s">
        <v>1733</v>
      </c>
      <c r="I556" s="140" t="s">
        <v>1187</v>
      </c>
      <c r="J556" s="270">
        <v>10000000</v>
      </c>
      <c r="K556" s="139" t="s">
        <v>221</v>
      </c>
      <c r="L556" s="140">
        <v>2969599</v>
      </c>
      <c r="M556" s="32" t="s">
        <v>97</v>
      </c>
      <c r="N556" s="140">
        <v>385.32</v>
      </c>
      <c r="O556" s="10">
        <v>60000000</v>
      </c>
      <c r="P556" s="271"/>
    </row>
    <row r="557" spans="1:16" ht="43.5" x14ac:dyDescent="0.35">
      <c r="A557" s="139" t="e">
        <f>#REF!+1</f>
        <v>#REF!</v>
      </c>
      <c r="B557" s="140" t="s">
        <v>18</v>
      </c>
      <c r="C557" s="140" t="s">
        <v>37</v>
      </c>
      <c r="D557" s="140" t="s">
        <v>1515</v>
      </c>
      <c r="E557" s="140" t="s">
        <v>1734</v>
      </c>
      <c r="F557" s="140" t="s">
        <v>1732</v>
      </c>
      <c r="G557" s="140" t="s">
        <v>278</v>
      </c>
      <c r="H557" s="140" t="s">
        <v>1733</v>
      </c>
      <c r="I557" s="140" t="s">
        <v>1735</v>
      </c>
      <c r="J557" s="270">
        <v>35000000</v>
      </c>
      <c r="K557" s="139" t="s">
        <v>221</v>
      </c>
      <c r="L557" s="140">
        <v>2970033</v>
      </c>
      <c r="M557" s="32" t="s">
        <v>97</v>
      </c>
      <c r="N557" s="140">
        <v>20</v>
      </c>
      <c r="O557" s="10">
        <v>198020000</v>
      </c>
      <c r="P557" s="140" t="s">
        <v>1736</v>
      </c>
    </row>
    <row r="558" spans="1:16" ht="43.5" x14ac:dyDescent="0.35">
      <c r="A558" s="139" t="e">
        <f t="shared" si="7"/>
        <v>#REF!</v>
      </c>
      <c r="B558" s="140" t="s">
        <v>18</v>
      </c>
      <c r="C558" s="140" t="s">
        <v>37</v>
      </c>
      <c r="D558" s="140" t="s">
        <v>1515</v>
      </c>
      <c r="E558" s="140" t="s">
        <v>1737</v>
      </c>
      <c r="F558" s="140" t="s">
        <v>1738</v>
      </c>
      <c r="G558" s="140" t="s">
        <v>278</v>
      </c>
      <c r="H558" s="140" t="s">
        <v>1739</v>
      </c>
      <c r="I558" s="140" t="s">
        <v>1065</v>
      </c>
      <c r="J558" s="270">
        <v>60000000</v>
      </c>
      <c r="K558" s="139" t="s">
        <v>221</v>
      </c>
      <c r="L558" s="140">
        <v>2970303</v>
      </c>
      <c r="M558" s="32" t="s">
        <v>97</v>
      </c>
      <c r="N558" s="140">
        <v>300</v>
      </c>
      <c r="O558" s="10">
        <v>98360655</v>
      </c>
      <c r="P558" s="140"/>
    </row>
    <row r="559" spans="1:16" ht="43.5" x14ac:dyDescent="0.35">
      <c r="A559" s="139" t="e">
        <f>#REF!+1</f>
        <v>#REF!</v>
      </c>
      <c r="B559" s="140" t="s">
        <v>18</v>
      </c>
      <c r="C559" s="140" t="s">
        <v>37</v>
      </c>
      <c r="D559" s="140" t="s">
        <v>1515</v>
      </c>
      <c r="E559" s="140" t="s">
        <v>1740</v>
      </c>
      <c r="F559" s="140" t="s">
        <v>282</v>
      </c>
      <c r="G559" s="140" t="s">
        <v>278</v>
      </c>
      <c r="H559" s="140" t="s">
        <v>1741</v>
      </c>
      <c r="I559" s="140" t="s">
        <v>1742</v>
      </c>
      <c r="J559" s="270">
        <v>50000000</v>
      </c>
      <c r="K559" s="139" t="s">
        <v>221</v>
      </c>
      <c r="L559" s="140">
        <v>2971078</v>
      </c>
      <c r="M559" s="32" t="s">
        <v>97</v>
      </c>
      <c r="N559" s="140">
        <v>75</v>
      </c>
      <c r="O559" s="10">
        <v>75000000</v>
      </c>
      <c r="P559" s="140" t="s">
        <v>1743</v>
      </c>
    </row>
    <row r="560" spans="1:16" ht="43.5" x14ac:dyDescent="0.35">
      <c r="A560" s="139" t="e">
        <f t="shared" si="7"/>
        <v>#REF!</v>
      </c>
      <c r="B560" s="140" t="s">
        <v>18</v>
      </c>
      <c r="C560" s="140" t="s">
        <v>37</v>
      </c>
      <c r="D560" s="140" t="s">
        <v>1515</v>
      </c>
      <c r="E560" s="140" t="s">
        <v>1744</v>
      </c>
      <c r="F560" s="140" t="s">
        <v>1745</v>
      </c>
      <c r="G560" s="140" t="s">
        <v>1063</v>
      </c>
      <c r="H560" s="140" t="s">
        <v>1746</v>
      </c>
      <c r="I560" s="140" t="s">
        <v>1398</v>
      </c>
      <c r="J560" s="270">
        <v>100000000</v>
      </c>
      <c r="K560" s="139" t="s">
        <v>221</v>
      </c>
      <c r="L560" s="140">
        <v>2908292</v>
      </c>
      <c r="M560" s="32" t="s">
        <v>97</v>
      </c>
      <c r="N560" s="273">
        <v>0.58563267361812654</v>
      </c>
      <c r="O560" s="10">
        <v>100000000</v>
      </c>
      <c r="P560" s="274" t="s">
        <v>1747</v>
      </c>
    </row>
    <row r="561" spans="1:16" ht="43.5" x14ac:dyDescent="0.35">
      <c r="A561" s="139" t="e">
        <f t="shared" si="7"/>
        <v>#REF!</v>
      </c>
      <c r="B561" s="140" t="s">
        <v>18</v>
      </c>
      <c r="C561" s="140" t="s">
        <v>37</v>
      </c>
      <c r="D561" s="140" t="s">
        <v>1515</v>
      </c>
      <c r="E561" s="140" t="s">
        <v>1748</v>
      </c>
      <c r="F561" s="140" t="s">
        <v>1749</v>
      </c>
      <c r="G561" s="140" t="s">
        <v>1063</v>
      </c>
      <c r="H561" s="140" t="s">
        <v>1750</v>
      </c>
      <c r="I561" s="140" t="s">
        <v>1219</v>
      </c>
      <c r="J561" s="270">
        <v>100000000</v>
      </c>
      <c r="K561" s="139" t="s">
        <v>221</v>
      </c>
      <c r="L561" s="140">
        <v>2907947</v>
      </c>
      <c r="M561" s="32" t="s">
        <v>97</v>
      </c>
      <c r="N561" s="272">
        <v>305.00000228750002</v>
      </c>
      <c r="O561" s="10">
        <v>100000000</v>
      </c>
      <c r="P561" s="271"/>
    </row>
    <row r="562" spans="1:16" ht="43.5" x14ac:dyDescent="0.35">
      <c r="A562" s="139" t="e">
        <f t="shared" si="7"/>
        <v>#REF!</v>
      </c>
      <c r="B562" s="140" t="s">
        <v>18</v>
      </c>
      <c r="C562" s="140" t="s">
        <v>37</v>
      </c>
      <c r="D562" s="140" t="s">
        <v>1515</v>
      </c>
      <c r="E562" s="140" t="s">
        <v>1718</v>
      </c>
      <c r="F562" s="140" t="s">
        <v>1751</v>
      </c>
      <c r="G562" s="140" t="s">
        <v>1063</v>
      </c>
      <c r="H562" s="140" t="s">
        <v>1752</v>
      </c>
      <c r="I562" s="140"/>
      <c r="J562" s="270"/>
      <c r="K562" s="139" t="s">
        <v>221</v>
      </c>
      <c r="L562" s="140" t="s">
        <v>273</v>
      </c>
      <c r="M562" s="32" t="s">
        <v>97</v>
      </c>
      <c r="N562" s="272">
        <v>333.66700033366698</v>
      </c>
      <c r="O562" s="10">
        <v>100000000</v>
      </c>
      <c r="P562" s="271" t="s">
        <v>275</v>
      </c>
    </row>
    <row r="563" spans="1:16" ht="43.5" x14ac:dyDescent="0.35">
      <c r="A563" s="139" t="e">
        <f>#REF!+1</f>
        <v>#REF!</v>
      </c>
      <c r="B563" s="140" t="s">
        <v>18</v>
      </c>
      <c r="C563" s="140" t="s">
        <v>37</v>
      </c>
      <c r="D563" s="140" t="s">
        <v>1515</v>
      </c>
      <c r="E563" s="140" t="s">
        <v>1744</v>
      </c>
      <c r="F563" s="140" t="s">
        <v>1753</v>
      </c>
      <c r="G563" s="140" t="s">
        <v>1063</v>
      </c>
      <c r="H563" s="140" t="s">
        <v>1754</v>
      </c>
      <c r="I563" s="140" t="s">
        <v>1398</v>
      </c>
      <c r="J563" s="270">
        <v>100000000</v>
      </c>
      <c r="K563" s="139" t="s">
        <v>221</v>
      </c>
      <c r="L563" s="140" t="s">
        <v>273</v>
      </c>
      <c r="M563" s="32" t="s">
        <v>97</v>
      </c>
      <c r="N563" s="140" t="s">
        <v>61</v>
      </c>
      <c r="O563" s="10">
        <v>100000000</v>
      </c>
      <c r="P563" s="271" t="s">
        <v>275</v>
      </c>
    </row>
    <row r="564" spans="1:16" ht="43.5" x14ac:dyDescent="0.35">
      <c r="A564" s="139" t="e">
        <f t="shared" ref="A564:A627" si="8">A563+1</f>
        <v>#REF!</v>
      </c>
      <c r="B564" s="140" t="s">
        <v>18</v>
      </c>
      <c r="C564" s="140" t="s">
        <v>37</v>
      </c>
      <c r="D564" s="140" t="s">
        <v>1515</v>
      </c>
      <c r="E564" s="140" t="s">
        <v>1744</v>
      </c>
      <c r="F564" s="140" t="s">
        <v>1755</v>
      </c>
      <c r="G564" s="140" t="s">
        <v>1063</v>
      </c>
      <c r="H564" s="140" t="s">
        <v>1756</v>
      </c>
      <c r="I564" s="140" t="s">
        <v>1398</v>
      </c>
      <c r="J564" s="270">
        <v>100000000</v>
      </c>
      <c r="K564" s="139" t="s">
        <v>221</v>
      </c>
      <c r="L564" s="140">
        <v>2887772</v>
      </c>
      <c r="M564" s="32" t="s">
        <v>97</v>
      </c>
      <c r="N564" s="140" t="s">
        <v>35</v>
      </c>
      <c r="O564" s="10">
        <v>100000000</v>
      </c>
      <c r="P564" s="140" t="s">
        <v>1747</v>
      </c>
    </row>
    <row r="565" spans="1:16" ht="43.5" x14ac:dyDescent="0.35">
      <c r="A565" s="139" t="e">
        <f t="shared" si="8"/>
        <v>#REF!</v>
      </c>
      <c r="B565" s="140" t="s">
        <v>18</v>
      </c>
      <c r="C565" s="140" t="s">
        <v>37</v>
      </c>
      <c r="D565" s="140" t="s">
        <v>1515</v>
      </c>
      <c r="E565" s="140" t="s">
        <v>1744</v>
      </c>
      <c r="F565" s="140" t="s">
        <v>1757</v>
      </c>
      <c r="G565" s="140" t="s">
        <v>1063</v>
      </c>
      <c r="H565" s="140" t="s">
        <v>1758</v>
      </c>
      <c r="I565" s="140" t="s">
        <v>1398</v>
      </c>
      <c r="J565" s="270">
        <v>100000000</v>
      </c>
      <c r="K565" s="139" t="s">
        <v>221</v>
      </c>
      <c r="L565" s="140">
        <v>2908292</v>
      </c>
      <c r="M565" s="32" t="s">
        <v>97</v>
      </c>
      <c r="N565" s="140" t="s">
        <v>35</v>
      </c>
      <c r="O565" s="10">
        <v>100000000</v>
      </c>
      <c r="P565" s="274" t="s">
        <v>1747</v>
      </c>
    </row>
    <row r="566" spans="1:16" ht="43.5" x14ac:dyDescent="0.35">
      <c r="A566" s="139" t="e">
        <f t="shared" si="8"/>
        <v>#REF!</v>
      </c>
      <c r="B566" s="140" t="s">
        <v>18</v>
      </c>
      <c r="C566" s="140" t="s">
        <v>37</v>
      </c>
      <c r="D566" s="140" t="s">
        <v>1570</v>
      </c>
      <c r="E566" s="140" t="s">
        <v>1744</v>
      </c>
      <c r="F566" s="140" t="s">
        <v>1759</v>
      </c>
      <c r="G566" s="140" t="s">
        <v>1063</v>
      </c>
      <c r="H566" s="140" t="s">
        <v>1760</v>
      </c>
      <c r="I566" s="140" t="s">
        <v>1233</v>
      </c>
      <c r="J566" s="270">
        <v>100000000</v>
      </c>
      <c r="K566" s="139" t="s">
        <v>221</v>
      </c>
      <c r="L566" s="140">
        <v>2908037</v>
      </c>
      <c r="M566" s="32" t="s">
        <v>97</v>
      </c>
      <c r="N566" s="140" t="s">
        <v>1761</v>
      </c>
      <c r="O566" s="10">
        <v>100000000</v>
      </c>
      <c r="P566" s="271"/>
    </row>
    <row r="567" spans="1:16" ht="43.5" x14ac:dyDescent="0.35">
      <c r="A567" s="139" t="e">
        <f t="shared" si="8"/>
        <v>#REF!</v>
      </c>
      <c r="B567" s="140" t="s">
        <v>18</v>
      </c>
      <c r="C567" s="140" t="s">
        <v>37</v>
      </c>
      <c r="D567" s="140" t="s">
        <v>1515</v>
      </c>
      <c r="E567" s="140" t="s">
        <v>1762</v>
      </c>
      <c r="F567" s="140" t="s">
        <v>1763</v>
      </c>
      <c r="G567" s="144" t="s">
        <v>1074</v>
      </c>
      <c r="H567" s="144" t="s">
        <v>1764</v>
      </c>
      <c r="I567" s="144" t="s">
        <v>561</v>
      </c>
      <c r="J567" s="270">
        <v>62439000</v>
      </c>
      <c r="K567" s="139" t="s">
        <v>221</v>
      </c>
      <c r="L567" s="140">
        <v>2958704</v>
      </c>
      <c r="M567" s="32" t="s">
        <v>97</v>
      </c>
      <c r="N567" s="144">
        <v>120</v>
      </c>
      <c r="O567" s="10">
        <v>110240000</v>
      </c>
      <c r="P567" s="271" t="s">
        <v>1765</v>
      </c>
    </row>
    <row r="568" spans="1:16" ht="43.5" x14ac:dyDescent="0.35">
      <c r="A568" s="139" t="e">
        <f t="shared" si="8"/>
        <v>#REF!</v>
      </c>
      <c r="B568" s="140" t="s">
        <v>18</v>
      </c>
      <c r="C568" s="140" t="s">
        <v>37</v>
      </c>
      <c r="D568" s="140" t="s">
        <v>1515</v>
      </c>
      <c r="E568" s="140" t="s">
        <v>1766</v>
      </c>
      <c r="F568" s="140" t="s">
        <v>1767</v>
      </c>
      <c r="G568" s="144" t="s">
        <v>1074</v>
      </c>
      <c r="H568" s="144" t="s">
        <v>1768</v>
      </c>
      <c r="I568" s="144" t="s">
        <v>1769</v>
      </c>
      <c r="J568" s="270">
        <v>20073000</v>
      </c>
      <c r="K568" s="139" t="s">
        <v>221</v>
      </c>
      <c r="L568" s="140">
        <v>2959326</v>
      </c>
      <c r="M568" s="32" t="s">
        <v>97</v>
      </c>
      <c r="N568" s="144">
        <v>200</v>
      </c>
      <c r="O568" s="10">
        <v>65574000</v>
      </c>
      <c r="P568" s="140" t="s">
        <v>1770</v>
      </c>
    </row>
    <row r="569" spans="1:16" ht="43.5" x14ac:dyDescent="0.35">
      <c r="A569" s="139" t="e">
        <f t="shared" si="8"/>
        <v>#REF!</v>
      </c>
      <c r="B569" s="140" t="s">
        <v>18</v>
      </c>
      <c r="C569" s="140" t="s">
        <v>37</v>
      </c>
      <c r="D569" s="140" t="s">
        <v>1515</v>
      </c>
      <c r="E569" s="140" t="s">
        <v>1762</v>
      </c>
      <c r="F569" s="140" t="s">
        <v>1771</v>
      </c>
      <c r="G569" s="144" t="s">
        <v>1074</v>
      </c>
      <c r="H569" s="144" t="s">
        <v>1772</v>
      </c>
      <c r="I569" s="144" t="s">
        <v>561</v>
      </c>
      <c r="J569" s="270">
        <v>43464000</v>
      </c>
      <c r="K569" s="139" t="s">
        <v>221</v>
      </c>
      <c r="L569" s="140">
        <v>2967032</v>
      </c>
      <c r="M569" s="32" t="s">
        <v>97</v>
      </c>
      <c r="N569" s="144">
        <v>120</v>
      </c>
      <c r="O569" s="10">
        <v>110240000</v>
      </c>
      <c r="P569" s="140" t="s">
        <v>1765</v>
      </c>
    </row>
    <row r="570" spans="1:16" ht="43.5" x14ac:dyDescent="0.35">
      <c r="A570" s="139" t="e">
        <f t="shared" si="8"/>
        <v>#REF!</v>
      </c>
      <c r="B570" s="140" t="s">
        <v>18</v>
      </c>
      <c r="C570" s="140" t="s">
        <v>37</v>
      </c>
      <c r="D570" s="140" t="s">
        <v>1515</v>
      </c>
      <c r="E570" s="140" t="s">
        <v>1762</v>
      </c>
      <c r="F570" s="140" t="s">
        <v>1773</v>
      </c>
      <c r="G570" s="144" t="s">
        <v>1074</v>
      </c>
      <c r="H570" s="144" t="s">
        <v>1774</v>
      </c>
      <c r="I570" s="144" t="s">
        <v>1484</v>
      </c>
      <c r="J570" s="270">
        <v>65121000</v>
      </c>
      <c r="K570" s="139" t="s">
        <v>221</v>
      </c>
      <c r="L570" s="140">
        <v>2966933</v>
      </c>
      <c r="M570" s="32" t="s">
        <v>97</v>
      </c>
      <c r="N570" s="144">
        <v>40</v>
      </c>
      <c r="O570" s="10">
        <v>222560000</v>
      </c>
      <c r="P570" s="140" t="s">
        <v>1775</v>
      </c>
    </row>
    <row r="571" spans="1:16" ht="43.5" x14ac:dyDescent="0.35">
      <c r="A571" s="139" t="e">
        <f t="shared" si="8"/>
        <v>#REF!</v>
      </c>
      <c r="B571" s="140" t="s">
        <v>18</v>
      </c>
      <c r="C571" s="140" t="s">
        <v>37</v>
      </c>
      <c r="D571" s="140" t="s">
        <v>1515</v>
      </c>
      <c r="E571" s="140" t="s">
        <v>1776</v>
      </c>
      <c r="F571" s="140" t="s">
        <v>1777</v>
      </c>
      <c r="G571" s="144" t="s">
        <v>1074</v>
      </c>
      <c r="H571" s="144" t="s">
        <v>1778</v>
      </c>
      <c r="I571" s="144" t="s">
        <v>1769</v>
      </c>
      <c r="J571" s="270">
        <v>20687000</v>
      </c>
      <c r="K571" s="139" t="s">
        <v>221</v>
      </c>
      <c r="L571" s="140">
        <v>2958899</v>
      </c>
      <c r="M571" s="32" t="s">
        <v>97</v>
      </c>
      <c r="N571" s="275">
        <v>333.66700033366698</v>
      </c>
      <c r="O571" s="10">
        <v>73493333</v>
      </c>
      <c r="P571" s="144" t="s">
        <v>1779</v>
      </c>
    </row>
    <row r="572" spans="1:16" ht="43.5" x14ac:dyDescent="0.35">
      <c r="A572" s="139" t="e">
        <f t="shared" si="8"/>
        <v>#REF!</v>
      </c>
      <c r="B572" s="140" t="s">
        <v>18</v>
      </c>
      <c r="C572" s="140" t="s">
        <v>37</v>
      </c>
      <c r="D572" s="140" t="s">
        <v>1515</v>
      </c>
      <c r="E572" s="140" t="s">
        <v>1762</v>
      </c>
      <c r="F572" s="140" t="s">
        <v>1780</v>
      </c>
      <c r="G572" s="144" t="s">
        <v>1074</v>
      </c>
      <c r="H572" s="144" t="s">
        <v>1781</v>
      </c>
      <c r="I572" s="144" t="s">
        <v>1782</v>
      </c>
      <c r="J572" s="270">
        <v>67422000</v>
      </c>
      <c r="K572" s="139" t="s">
        <v>221</v>
      </c>
      <c r="L572" s="140">
        <v>2958814</v>
      </c>
      <c r="M572" s="32" t="s">
        <v>97</v>
      </c>
      <c r="N572" s="275">
        <v>689.65517241379314</v>
      </c>
      <c r="O572" s="10">
        <v>100000000</v>
      </c>
      <c r="P572" s="140" t="s">
        <v>1783</v>
      </c>
    </row>
    <row r="573" spans="1:16" ht="43.5" x14ac:dyDescent="0.35">
      <c r="A573" s="139" t="e">
        <f t="shared" si="8"/>
        <v>#REF!</v>
      </c>
      <c r="B573" s="140" t="s">
        <v>18</v>
      </c>
      <c r="C573" s="140" t="s">
        <v>37</v>
      </c>
      <c r="D573" s="140" t="s">
        <v>1515</v>
      </c>
      <c r="E573" s="140" t="s">
        <v>1784</v>
      </c>
      <c r="F573" s="140" t="s">
        <v>1785</v>
      </c>
      <c r="G573" s="144" t="s">
        <v>1074</v>
      </c>
      <c r="H573" s="144" t="s">
        <v>1786</v>
      </c>
      <c r="I573" s="144"/>
      <c r="J573" s="270"/>
      <c r="K573" s="139" t="s">
        <v>221</v>
      </c>
      <c r="L573" s="140" t="s">
        <v>841</v>
      </c>
      <c r="M573" s="32" t="s">
        <v>97</v>
      </c>
      <c r="N573" s="144">
        <v>300</v>
      </c>
      <c r="O573" s="10">
        <v>100000000</v>
      </c>
      <c r="P573" s="140" t="s">
        <v>1787</v>
      </c>
    </row>
    <row r="574" spans="1:16" ht="43.5" x14ac:dyDescent="0.35">
      <c r="A574" s="139" t="e">
        <f t="shared" si="8"/>
        <v>#REF!</v>
      </c>
      <c r="B574" s="140" t="s">
        <v>18</v>
      </c>
      <c r="C574" s="140" t="s">
        <v>37</v>
      </c>
      <c r="D574" s="140" t="s">
        <v>1515</v>
      </c>
      <c r="E574" s="140" t="s">
        <v>1762</v>
      </c>
      <c r="F574" s="140" t="s">
        <v>1788</v>
      </c>
      <c r="G574" s="144" t="s">
        <v>1074</v>
      </c>
      <c r="H574" s="144" t="s">
        <v>1789</v>
      </c>
      <c r="I574" s="144" t="s">
        <v>561</v>
      </c>
      <c r="J574" s="270">
        <v>52952000</v>
      </c>
      <c r="K574" s="139" t="s">
        <v>221</v>
      </c>
      <c r="L574" s="140">
        <v>2959141</v>
      </c>
      <c r="M574" s="32" t="s">
        <v>97</v>
      </c>
      <c r="N574" s="275">
        <v>333.66700033366698</v>
      </c>
      <c r="O574" s="10">
        <v>110240000</v>
      </c>
      <c r="P574" s="140" t="s">
        <v>1765</v>
      </c>
    </row>
    <row r="575" spans="1:16" ht="43.5" x14ac:dyDescent="0.35">
      <c r="A575" s="139" t="e">
        <f>#REF!+1</f>
        <v>#REF!</v>
      </c>
      <c r="B575" s="140" t="s">
        <v>18</v>
      </c>
      <c r="C575" s="140" t="s">
        <v>37</v>
      </c>
      <c r="D575" s="140" t="s">
        <v>1515</v>
      </c>
      <c r="E575" s="140" t="s">
        <v>1790</v>
      </c>
      <c r="F575" s="140" t="s">
        <v>1012</v>
      </c>
      <c r="G575" s="144" t="s">
        <v>496</v>
      </c>
      <c r="H575" s="144" t="s">
        <v>1013</v>
      </c>
      <c r="I575" s="144" t="s">
        <v>561</v>
      </c>
      <c r="J575" s="270">
        <v>50000000</v>
      </c>
      <c r="K575" s="139" t="s">
        <v>221</v>
      </c>
      <c r="L575" s="140">
        <v>2906952</v>
      </c>
      <c r="M575" s="32" t="s">
        <v>97</v>
      </c>
      <c r="N575" s="140">
        <v>150</v>
      </c>
      <c r="O575" s="10">
        <v>49180327.5</v>
      </c>
      <c r="P575" s="140"/>
    </row>
    <row r="576" spans="1:16" ht="43.5" x14ac:dyDescent="0.35">
      <c r="A576" s="139" t="e">
        <f t="shared" si="8"/>
        <v>#REF!</v>
      </c>
      <c r="B576" s="140" t="s">
        <v>18</v>
      </c>
      <c r="C576" s="140" t="s">
        <v>37</v>
      </c>
      <c r="D576" s="140" t="s">
        <v>1515</v>
      </c>
      <c r="E576" s="140" t="s">
        <v>992</v>
      </c>
      <c r="F576" s="140" t="s">
        <v>1791</v>
      </c>
      <c r="G576" s="144" t="s">
        <v>1083</v>
      </c>
      <c r="H576" s="144" t="s">
        <v>1792</v>
      </c>
      <c r="I576" s="144" t="s">
        <v>1793</v>
      </c>
      <c r="J576" s="270">
        <v>300000000</v>
      </c>
      <c r="K576" s="139" t="s">
        <v>221</v>
      </c>
      <c r="L576" s="140">
        <v>2792235</v>
      </c>
      <c r="M576" s="32" t="s">
        <v>97</v>
      </c>
      <c r="N576" s="140">
        <v>1500</v>
      </c>
      <c r="O576" s="10">
        <v>381000000</v>
      </c>
      <c r="P576" s="271"/>
    </row>
    <row r="577" spans="1:16" ht="43.5" x14ac:dyDescent="0.35">
      <c r="A577" s="139" t="e">
        <f t="shared" si="8"/>
        <v>#REF!</v>
      </c>
      <c r="B577" s="140" t="s">
        <v>18</v>
      </c>
      <c r="C577" s="140" t="s">
        <v>37</v>
      </c>
      <c r="D577" s="140" t="s">
        <v>1515</v>
      </c>
      <c r="E577" s="140" t="s">
        <v>1610</v>
      </c>
      <c r="F577" s="140" t="s">
        <v>1794</v>
      </c>
      <c r="G577" s="140" t="s">
        <v>1083</v>
      </c>
      <c r="H577" s="140" t="s">
        <v>1795</v>
      </c>
      <c r="I577" s="140"/>
      <c r="J577" s="276"/>
      <c r="K577" s="139" t="s">
        <v>221</v>
      </c>
      <c r="L577" s="140" t="s">
        <v>273</v>
      </c>
      <c r="M577" s="32" t="s">
        <v>97</v>
      </c>
      <c r="N577" s="140">
        <v>397.5</v>
      </c>
      <c r="O577" s="10">
        <v>100965000</v>
      </c>
      <c r="P577" s="140" t="s">
        <v>1796</v>
      </c>
    </row>
    <row r="578" spans="1:16" ht="43.5" x14ac:dyDescent="0.35">
      <c r="A578" s="139" t="e">
        <f t="shared" si="8"/>
        <v>#REF!</v>
      </c>
      <c r="B578" s="140" t="s">
        <v>18</v>
      </c>
      <c r="C578" s="140" t="s">
        <v>37</v>
      </c>
      <c r="D578" s="140" t="s">
        <v>1515</v>
      </c>
      <c r="E578" s="140" t="s">
        <v>992</v>
      </c>
      <c r="F578" s="140" t="s">
        <v>1797</v>
      </c>
      <c r="G578" s="144" t="s">
        <v>1083</v>
      </c>
      <c r="H578" s="144" t="s">
        <v>1798</v>
      </c>
      <c r="I578" s="144" t="s">
        <v>1799</v>
      </c>
      <c r="J578" s="270">
        <v>125000000</v>
      </c>
      <c r="K578" s="139" t="s">
        <v>221</v>
      </c>
      <c r="L578" s="140">
        <v>2912696</v>
      </c>
      <c r="M578" s="32" t="s">
        <v>97</v>
      </c>
      <c r="N578" s="140">
        <v>1000</v>
      </c>
      <c r="O578" s="10">
        <v>254000000</v>
      </c>
      <c r="P578" s="140"/>
    </row>
    <row r="579" spans="1:16" ht="43.5" x14ac:dyDescent="0.35">
      <c r="A579" s="139" t="e">
        <f t="shared" si="8"/>
        <v>#REF!</v>
      </c>
      <c r="B579" s="140" t="s">
        <v>18</v>
      </c>
      <c r="C579" s="140" t="s">
        <v>37</v>
      </c>
      <c r="D579" s="140" t="s">
        <v>1515</v>
      </c>
      <c r="E579" s="140" t="s">
        <v>1784</v>
      </c>
      <c r="F579" s="140" t="s">
        <v>1800</v>
      </c>
      <c r="G579" s="140" t="s">
        <v>1083</v>
      </c>
      <c r="H579" s="140" t="s">
        <v>1801</v>
      </c>
      <c r="I579" s="140"/>
      <c r="J579" s="276"/>
      <c r="K579" s="139" t="s">
        <v>221</v>
      </c>
      <c r="L579" s="140" t="s">
        <v>273</v>
      </c>
      <c r="M579" s="32" t="s">
        <v>97</v>
      </c>
      <c r="N579" s="140">
        <v>165.6</v>
      </c>
      <c r="O579" s="10">
        <v>116251200</v>
      </c>
      <c r="P579" s="140" t="s">
        <v>1802</v>
      </c>
    </row>
    <row r="580" spans="1:16" ht="43.5" x14ac:dyDescent="0.35">
      <c r="A580" s="139" t="e">
        <f t="shared" si="8"/>
        <v>#REF!</v>
      </c>
      <c r="B580" s="140" t="s">
        <v>18</v>
      </c>
      <c r="C580" s="140" t="s">
        <v>37</v>
      </c>
      <c r="D580" s="140" t="s">
        <v>1803</v>
      </c>
      <c r="E580" s="140" t="s">
        <v>1804</v>
      </c>
      <c r="F580" s="140" t="s">
        <v>673</v>
      </c>
      <c r="G580" s="140" t="s">
        <v>670</v>
      </c>
      <c r="H580" s="140" t="s">
        <v>674</v>
      </c>
      <c r="I580" s="140" t="s">
        <v>1805</v>
      </c>
      <c r="J580" s="270">
        <v>100000000</v>
      </c>
      <c r="K580" s="139" t="s">
        <v>221</v>
      </c>
      <c r="L580" s="140"/>
      <c r="M580" s="32" t="s">
        <v>97</v>
      </c>
      <c r="N580" s="140"/>
      <c r="O580" s="10">
        <v>150000000</v>
      </c>
      <c r="P580" s="140" t="s">
        <v>275</v>
      </c>
    </row>
    <row r="581" spans="1:16" ht="43.5" x14ac:dyDescent="0.35">
      <c r="A581" s="139" t="e">
        <f t="shared" si="8"/>
        <v>#REF!</v>
      </c>
      <c r="B581" s="140" t="s">
        <v>18</v>
      </c>
      <c r="C581" s="140" t="s">
        <v>37</v>
      </c>
      <c r="D581" s="140" t="s">
        <v>1515</v>
      </c>
      <c r="E581" s="140" t="s">
        <v>1806</v>
      </c>
      <c r="F581" s="140" t="s">
        <v>669</v>
      </c>
      <c r="G581" s="144" t="s">
        <v>670</v>
      </c>
      <c r="H581" s="144" t="s">
        <v>671</v>
      </c>
      <c r="I581" s="144" t="s">
        <v>1341</v>
      </c>
      <c r="J581" s="270">
        <v>140000000</v>
      </c>
      <c r="K581" s="139" t="s">
        <v>221</v>
      </c>
      <c r="L581" s="140">
        <v>2917028</v>
      </c>
      <c r="M581" s="32" t="s">
        <v>97</v>
      </c>
      <c r="N581" s="273">
        <v>502.00000000000006</v>
      </c>
      <c r="O581" s="10">
        <v>127508000.00000001</v>
      </c>
      <c r="P581" s="140"/>
    </row>
    <row r="582" spans="1:16" ht="43.5" x14ac:dyDescent="0.35">
      <c r="A582" s="139" t="e">
        <f t="shared" si="8"/>
        <v>#REF!</v>
      </c>
      <c r="B582" s="140" t="s">
        <v>18</v>
      </c>
      <c r="C582" s="140" t="s">
        <v>37</v>
      </c>
      <c r="D582" s="140" t="s">
        <v>1515</v>
      </c>
      <c r="E582" s="140" t="s">
        <v>1807</v>
      </c>
      <c r="F582" s="140" t="s">
        <v>673</v>
      </c>
      <c r="G582" s="144" t="s">
        <v>670</v>
      </c>
      <c r="H582" s="144" t="s">
        <v>674</v>
      </c>
      <c r="I582" s="144" t="s">
        <v>609</v>
      </c>
      <c r="J582" s="270">
        <v>48000000</v>
      </c>
      <c r="K582" s="139" t="s">
        <v>221</v>
      </c>
      <c r="L582" s="140">
        <v>2917185</v>
      </c>
      <c r="M582" s="32" t="s">
        <v>97</v>
      </c>
      <c r="N582" s="273">
        <v>256</v>
      </c>
      <c r="O582" s="10">
        <v>101376000</v>
      </c>
      <c r="P582" s="140"/>
    </row>
    <row r="583" spans="1:16" ht="43.5" x14ac:dyDescent="0.35">
      <c r="A583" s="139" t="e">
        <f t="shared" si="8"/>
        <v>#REF!</v>
      </c>
      <c r="B583" s="140" t="s">
        <v>18</v>
      </c>
      <c r="C583" s="140" t="s">
        <v>37</v>
      </c>
      <c r="D583" s="140" t="s">
        <v>1515</v>
      </c>
      <c r="E583" s="140" t="s">
        <v>1808</v>
      </c>
      <c r="F583" s="140" t="s">
        <v>676</v>
      </c>
      <c r="G583" s="144" t="s">
        <v>670</v>
      </c>
      <c r="H583" s="144" t="s">
        <v>677</v>
      </c>
      <c r="I583" s="144" t="s">
        <v>1809</v>
      </c>
      <c r="J583" s="270">
        <v>100000000</v>
      </c>
      <c r="K583" s="139" t="s">
        <v>221</v>
      </c>
      <c r="L583" s="140">
        <v>2916963</v>
      </c>
      <c r="M583" s="32" t="s">
        <v>97</v>
      </c>
      <c r="N583" s="273">
        <v>216</v>
      </c>
      <c r="O583" s="10">
        <v>54864000</v>
      </c>
      <c r="P583" s="273" t="s">
        <v>1810</v>
      </c>
    </row>
    <row r="584" spans="1:16" ht="43.5" x14ac:dyDescent="0.35">
      <c r="A584" s="139" t="e">
        <f t="shared" si="8"/>
        <v>#REF!</v>
      </c>
      <c r="B584" s="140" t="s">
        <v>18</v>
      </c>
      <c r="C584" s="140" t="s">
        <v>37</v>
      </c>
      <c r="D584" s="277" t="s">
        <v>1521</v>
      </c>
      <c r="E584" s="140" t="s">
        <v>1811</v>
      </c>
      <c r="F584" s="140" t="s">
        <v>1812</v>
      </c>
      <c r="G584" s="140" t="s">
        <v>208</v>
      </c>
      <c r="H584" s="140" t="s">
        <v>1813</v>
      </c>
      <c r="I584" s="140" t="s">
        <v>1814</v>
      </c>
      <c r="J584" s="270">
        <v>98000000</v>
      </c>
      <c r="K584" s="139" t="s">
        <v>221</v>
      </c>
      <c r="L584" s="140">
        <v>2932623</v>
      </c>
      <c r="M584" s="32" t="s">
        <v>97</v>
      </c>
      <c r="N584" s="273">
        <v>56.91056910569106</v>
      </c>
      <c r="O584" s="10">
        <v>98000000</v>
      </c>
      <c r="P584" s="278"/>
    </row>
    <row r="585" spans="1:16" ht="43.5" x14ac:dyDescent="0.35">
      <c r="A585" s="139" t="e">
        <f t="shared" si="8"/>
        <v>#REF!</v>
      </c>
      <c r="B585" s="140" t="s">
        <v>18</v>
      </c>
      <c r="C585" s="140" t="s">
        <v>37</v>
      </c>
      <c r="D585" s="140" t="s">
        <v>1634</v>
      </c>
      <c r="E585" s="140" t="s">
        <v>1811</v>
      </c>
      <c r="F585" s="140" t="s">
        <v>1815</v>
      </c>
      <c r="G585" s="140" t="s">
        <v>208</v>
      </c>
      <c r="H585" s="140" t="s">
        <v>1816</v>
      </c>
      <c r="I585" s="140" t="s">
        <v>1817</v>
      </c>
      <c r="J585" s="270">
        <v>100000000</v>
      </c>
      <c r="K585" s="139" t="s">
        <v>221</v>
      </c>
      <c r="L585" s="140">
        <v>2935457</v>
      </c>
      <c r="M585" s="32" t="s">
        <v>97</v>
      </c>
      <c r="N585" s="273">
        <v>58.072009291521489</v>
      </c>
      <c r="O585" s="10">
        <v>100000000</v>
      </c>
      <c r="P585" s="140"/>
    </row>
    <row r="586" spans="1:16" ht="43.5" x14ac:dyDescent="0.35">
      <c r="A586" s="139" t="e">
        <f t="shared" si="8"/>
        <v>#REF!</v>
      </c>
      <c r="B586" s="140" t="s">
        <v>18</v>
      </c>
      <c r="C586" s="140" t="s">
        <v>37</v>
      </c>
      <c r="D586" s="140" t="s">
        <v>1570</v>
      </c>
      <c r="E586" s="140" t="s">
        <v>1818</v>
      </c>
      <c r="F586" s="140" t="s">
        <v>92</v>
      </c>
      <c r="G586" s="140" t="s">
        <v>208</v>
      </c>
      <c r="H586" s="140" t="s">
        <v>94</v>
      </c>
      <c r="I586" s="140" t="s">
        <v>1819</v>
      </c>
      <c r="J586" s="270">
        <v>32000000</v>
      </c>
      <c r="K586" s="139" t="s">
        <v>221</v>
      </c>
      <c r="L586" s="140">
        <v>2959491</v>
      </c>
      <c r="M586" s="32" t="s">
        <v>97</v>
      </c>
      <c r="N586" s="273">
        <v>33.10104529616725</v>
      </c>
      <c r="O586" s="10">
        <v>57000000</v>
      </c>
      <c r="P586" s="278"/>
    </row>
    <row r="587" spans="1:16" ht="43.5" x14ac:dyDescent="0.35">
      <c r="A587" s="139" t="e">
        <f t="shared" si="8"/>
        <v>#REF!</v>
      </c>
      <c r="B587" s="140" t="s">
        <v>18</v>
      </c>
      <c r="C587" s="140" t="s">
        <v>37</v>
      </c>
      <c r="D587" s="140" t="s">
        <v>1515</v>
      </c>
      <c r="E587" s="140" t="s">
        <v>1820</v>
      </c>
      <c r="F587" s="140" t="s">
        <v>92</v>
      </c>
      <c r="G587" s="140" t="s">
        <v>208</v>
      </c>
      <c r="H587" s="140" t="s">
        <v>94</v>
      </c>
      <c r="I587" s="140" t="s">
        <v>1821</v>
      </c>
      <c r="J587" s="270">
        <v>32000000</v>
      </c>
      <c r="K587" s="139" t="s">
        <v>221</v>
      </c>
      <c r="L587" s="140">
        <v>2959651</v>
      </c>
      <c r="M587" s="32" t="s">
        <v>97</v>
      </c>
      <c r="N587" s="273" t="s">
        <v>35</v>
      </c>
      <c r="O587" s="10">
        <v>32000000</v>
      </c>
      <c r="P587" s="140"/>
    </row>
    <row r="588" spans="1:16" ht="43.5" x14ac:dyDescent="0.35">
      <c r="A588" s="139" t="e">
        <f t="shared" si="8"/>
        <v>#REF!</v>
      </c>
      <c r="B588" s="140" t="s">
        <v>18</v>
      </c>
      <c r="C588" s="140" t="s">
        <v>37</v>
      </c>
      <c r="D588" s="140" t="s">
        <v>1515</v>
      </c>
      <c r="E588" s="140" t="s">
        <v>1811</v>
      </c>
      <c r="F588" s="140" t="s">
        <v>92</v>
      </c>
      <c r="G588" s="140" t="s">
        <v>208</v>
      </c>
      <c r="H588" s="140" t="s">
        <v>94</v>
      </c>
      <c r="I588" s="140" t="s">
        <v>1822</v>
      </c>
      <c r="J588" s="270">
        <v>33600000</v>
      </c>
      <c r="K588" s="139" t="s">
        <v>221</v>
      </c>
      <c r="L588" s="140">
        <v>2962816</v>
      </c>
      <c r="M588" s="32" t="s">
        <v>97</v>
      </c>
      <c r="N588" s="273">
        <v>19.512195121951219</v>
      </c>
      <c r="O588" s="10">
        <v>33600000</v>
      </c>
      <c r="P588" s="140">
        <f>O588/N588</f>
        <v>1722000</v>
      </c>
    </row>
    <row r="589" spans="1:16" ht="43.5" x14ac:dyDescent="0.35">
      <c r="A589" s="139" t="e">
        <f t="shared" si="8"/>
        <v>#REF!</v>
      </c>
      <c r="B589" s="140" t="s">
        <v>18</v>
      </c>
      <c r="C589" s="140" t="s">
        <v>37</v>
      </c>
      <c r="D589" s="140" t="s">
        <v>1515</v>
      </c>
      <c r="E589" s="140" t="s">
        <v>1823</v>
      </c>
      <c r="F589" s="140" t="s">
        <v>554</v>
      </c>
      <c r="G589" s="140" t="s">
        <v>208</v>
      </c>
      <c r="H589" s="140" t="s">
        <v>555</v>
      </c>
      <c r="I589" s="140"/>
      <c r="J589" s="270"/>
      <c r="K589" s="139" t="s">
        <v>221</v>
      </c>
      <c r="L589" s="140" t="s">
        <v>273</v>
      </c>
      <c r="M589" s="32" t="s">
        <v>97</v>
      </c>
      <c r="N589" s="140">
        <v>260</v>
      </c>
      <c r="O589" s="10">
        <v>102960000</v>
      </c>
      <c r="P589" s="140" t="s">
        <v>1824</v>
      </c>
    </row>
    <row r="590" spans="1:16" ht="43.5" x14ac:dyDescent="0.35">
      <c r="A590" s="139" t="e">
        <f t="shared" si="8"/>
        <v>#REF!</v>
      </c>
      <c r="B590" s="140" t="s">
        <v>18</v>
      </c>
      <c r="C590" s="140" t="s">
        <v>37</v>
      </c>
      <c r="D590" s="140" t="s">
        <v>1515</v>
      </c>
      <c r="E590" s="140" t="s">
        <v>1825</v>
      </c>
      <c r="F590" s="140" t="s">
        <v>1826</v>
      </c>
      <c r="G590" s="140" t="s">
        <v>208</v>
      </c>
      <c r="H590" s="140" t="s">
        <v>1827</v>
      </c>
      <c r="I590" s="140" t="s">
        <v>1828</v>
      </c>
      <c r="J590" s="270">
        <v>100000000</v>
      </c>
      <c r="K590" s="139" t="s">
        <v>221</v>
      </c>
      <c r="L590" s="140">
        <v>2959939</v>
      </c>
      <c r="M590" s="32" t="s">
        <v>97</v>
      </c>
      <c r="N590" s="273">
        <v>58.072009291521489</v>
      </c>
      <c r="O590" s="10">
        <v>100000000</v>
      </c>
      <c r="P590" s="140"/>
    </row>
    <row r="591" spans="1:16" ht="43.5" x14ac:dyDescent="0.35">
      <c r="A591" s="139" t="e">
        <f t="shared" si="8"/>
        <v>#REF!</v>
      </c>
      <c r="B591" s="140" t="s">
        <v>18</v>
      </c>
      <c r="C591" s="140" t="s">
        <v>37</v>
      </c>
      <c r="D591" s="140" t="s">
        <v>1515</v>
      </c>
      <c r="E591" s="140" t="s">
        <v>1089</v>
      </c>
      <c r="F591" s="140" t="s">
        <v>1829</v>
      </c>
      <c r="G591" s="140" t="s">
        <v>208</v>
      </c>
      <c r="H591" s="140" t="s">
        <v>1830</v>
      </c>
      <c r="I591" s="140" t="s">
        <v>1831</v>
      </c>
      <c r="J591" s="270">
        <v>100000000</v>
      </c>
      <c r="K591" s="139" t="s">
        <v>221</v>
      </c>
      <c r="L591" s="140">
        <v>2959721</v>
      </c>
      <c r="M591" s="32" t="s">
        <v>97</v>
      </c>
      <c r="N591" s="273">
        <v>333.66700033366698</v>
      </c>
      <c r="O591" s="10">
        <v>100000000</v>
      </c>
      <c r="P591" s="278"/>
    </row>
    <row r="592" spans="1:16" ht="43.5" x14ac:dyDescent="0.35">
      <c r="A592" s="139" t="e">
        <f t="shared" si="8"/>
        <v>#REF!</v>
      </c>
      <c r="B592" s="140" t="s">
        <v>18</v>
      </c>
      <c r="C592" s="140" t="s">
        <v>37</v>
      </c>
      <c r="D592" s="140" t="s">
        <v>1515</v>
      </c>
      <c r="E592" s="279" t="s">
        <v>1832</v>
      </c>
      <c r="F592" s="279" t="s">
        <v>1833</v>
      </c>
      <c r="G592" s="140" t="s">
        <v>839</v>
      </c>
      <c r="H592" s="140" t="s">
        <v>1834</v>
      </c>
      <c r="I592" s="140" t="s">
        <v>35</v>
      </c>
      <c r="J592" s="270">
        <v>50000000</v>
      </c>
      <c r="K592" s="139" t="s">
        <v>221</v>
      </c>
      <c r="L592" s="140">
        <v>2871193</v>
      </c>
      <c r="M592" s="32" t="s">
        <v>97</v>
      </c>
      <c r="N592" s="272">
        <v>196.85039370078741</v>
      </c>
      <c r="O592" s="10">
        <v>50000000</v>
      </c>
      <c r="P592" s="140"/>
    </row>
    <row r="593" spans="1:16" ht="43.5" x14ac:dyDescent="0.35">
      <c r="A593" s="139" t="e">
        <f t="shared" si="8"/>
        <v>#REF!</v>
      </c>
      <c r="B593" s="140" t="s">
        <v>18</v>
      </c>
      <c r="C593" s="140" t="s">
        <v>37</v>
      </c>
      <c r="D593" s="140" t="s">
        <v>1515</v>
      </c>
      <c r="E593" s="279" t="s">
        <v>1835</v>
      </c>
      <c r="F593" s="279" t="s">
        <v>1833</v>
      </c>
      <c r="G593" s="140" t="s">
        <v>839</v>
      </c>
      <c r="H593" s="140" t="s">
        <v>1834</v>
      </c>
      <c r="I593" s="140" t="s">
        <v>35</v>
      </c>
      <c r="J593" s="270">
        <v>50000000</v>
      </c>
      <c r="K593" s="139" t="s">
        <v>221</v>
      </c>
      <c r="L593" s="140">
        <v>2871225</v>
      </c>
      <c r="M593" s="32" t="s">
        <v>97</v>
      </c>
      <c r="N593" s="272">
        <v>54.426705370101601</v>
      </c>
      <c r="O593" s="10">
        <v>50000000</v>
      </c>
      <c r="P593" s="140" t="s">
        <v>1836</v>
      </c>
    </row>
    <row r="594" spans="1:16" ht="43.5" x14ac:dyDescent="0.35">
      <c r="A594" s="139" t="e">
        <f t="shared" si="8"/>
        <v>#REF!</v>
      </c>
      <c r="B594" s="140" t="s">
        <v>18</v>
      </c>
      <c r="C594" s="140" t="s">
        <v>37</v>
      </c>
      <c r="D594" s="277" t="s">
        <v>1521</v>
      </c>
      <c r="E594" s="279" t="s">
        <v>1550</v>
      </c>
      <c r="F594" s="279" t="s">
        <v>1837</v>
      </c>
      <c r="G594" s="140" t="s">
        <v>839</v>
      </c>
      <c r="H594" s="140" t="s">
        <v>1838</v>
      </c>
      <c r="I594" s="140"/>
      <c r="J594" s="270"/>
      <c r="K594" s="139" t="s">
        <v>221</v>
      </c>
      <c r="L594" s="140" t="s">
        <v>841</v>
      </c>
      <c r="M594" s="32" t="s">
        <v>97</v>
      </c>
      <c r="N594" s="272">
        <v>58.072009291521489</v>
      </c>
      <c r="O594" s="10">
        <v>100000000</v>
      </c>
      <c r="P594" s="140" t="s">
        <v>1839</v>
      </c>
    </row>
    <row r="595" spans="1:16" ht="43.5" x14ac:dyDescent="0.35">
      <c r="A595" s="139" t="e">
        <f t="shared" si="8"/>
        <v>#REF!</v>
      </c>
      <c r="B595" s="140" t="s">
        <v>18</v>
      </c>
      <c r="C595" s="140" t="s">
        <v>37</v>
      </c>
      <c r="D595" s="140" t="s">
        <v>1515</v>
      </c>
      <c r="E595" s="279" t="s">
        <v>1840</v>
      </c>
      <c r="F595" s="279" t="s">
        <v>1841</v>
      </c>
      <c r="G595" s="140" t="s">
        <v>839</v>
      </c>
      <c r="H595" s="140" t="s">
        <v>1842</v>
      </c>
      <c r="I595" s="140" t="s">
        <v>35</v>
      </c>
      <c r="J595" s="270">
        <v>100000000</v>
      </c>
      <c r="K595" s="139" t="s">
        <v>221</v>
      </c>
      <c r="L595" s="140">
        <v>2906719</v>
      </c>
      <c r="M595" s="32" t="s">
        <v>97</v>
      </c>
      <c r="N595" s="272">
        <v>305.00000228750002</v>
      </c>
      <c r="O595" s="10">
        <v>100000000</v>
      </c>
      <c r="P595" s="140"/>
    </row>
    <row r="596" spans="1:16" ht="43.5" x14ac:dyDescent="0.35">
      <c r="A596" s="139" t="e">
        <f t="shared" si="8"/>
        <v>#REF!</v>
      </c>
      <c r="B596" s="140" t="s">
        <v>18</v>
      </c>
      <c r="C596" s="140" t="s">
        <v>37</v>
      </c>
      <c r="D596" s="140" t="s">
        <v>1515</v>
      </c>
      <c r="E596" s="279" t="s">
        <v>1843</v>
      </c>
      <c r="F596" s="279" t="s">
        <v>1844</v>
      </c>
      <c r="G596" s="140" t="s">
        <v>839</v>
      </c>
      <c r="H596" s="140" t="s">
        <v>1845</v>
      </c>
      <c r="I596" s="140" t="s">
        <v>35</v>
      </c>
      <c r="J596" s="270">
        <v>20000000</v>
      </c>
      <c r="K596" s="139" t="s">
        <v>221</v>
      </c>
      <c r="L596" s="140" t="s">
        <v>841</v>
      </c>
      <c r="M596" s="32" t="s">
        <v>97</v>
      </c>
      <c r="N596" s="272">
        <v>305.00000228750002</v>
      </c>
      <c r="O596" s="10">
        <v>100000000</v>
      </c>
      <c r="P596" s="140" t="s">
        <v>1846</v>
      </c>
    </row>
    <row r="597" spans="1:16" ht="43.5" x14ac:dyDescent="0.35">
      <c r="A597" s="139" t="e">
        <f t="shared" si="8"/>
        <v>#REF!</v>
      </c>
      <c r="B597" s="140" t="s">
        <v>18</v>
      </c>
      <c r="C597" s="140" t="s">
        <v>37</v>
      </c>
      <c r="D597" s="277" t="s">
        <v>476</v>
      </c>
      <c r="E597" s="279" t="s">
        <v>1840</v>
      </c>
      <c r="F597" s="279" t="s">
        <v>1847</v>
      </c>
      <c r="G597" s="140" t="s">
        <v>839</v>
      </c>
      <c r="H597" s="140" t="s">
        <v>1848</v>
      </c>
      <c r="I597" s="140" t="s">
        <v>35</v>
      </c>
      <c r="J597" s="270">
        <v>100000000</v>
      </c>
      <c r="K597" s="139" t="s">
        <v>221</v>
      </c>
      <c r="L597" s="140" t="s">
        <v>841</v>
      </c>
      <c r="M597" s="32" t="s">
        <v>97</v>
      </c>
      <c r="N597" s="272">
        <v>305.00000228750002</v>
      </c>
      <c r="O597" s="10">
        <v>100000000</v>
      </c>
      <c r="P597" s="140" t="s">
        <v>1839</v>
      </c>
    </row>
    <row r="598" spans="1:16" ht="43.5" x14ac:dyDescent="0.35">
      <c r="A598" s="139" t="e">
        <f t="shared" si="8"/>
        <v>#REF!</v>
      </c>
      <c r="B598" s="140" t="s">
        <v>18</v>
      </c>
      <c r="C598" s="140" t="s">
        <v>37</v>
      </c>
      <c r="D598" s="140" t="s">
        <v>1515</v>
      </c>
      <c r="E598" s="279" t="s">
        <v>1849</v>
      </c>
      <c r="F598" s="279" t="s">
        <v>1850</v>
      </c>
      <c r="G598" s="140" t="s">
        <v>839</v>
      </c>
      <c r="H598" s="140" t="s">
        <v>1851</v>
      </c>
      <c r="I598" s="140" t="s">
        <v>35</v>
      </c>
      <c r="J598" s="270">
        <v>100000000</v>
      </c>
      <c r="K598" s="139" t="s">
        <v>221</v>
      </c>
      <c r="L598" s="140">
        <v>2871063</v>
      </c>
      <c r="M598" s="32" t="s">
        <v>97</v>
      </c>
      <c r="N598" s="272">
        <v>82.372322899505761</v>
      </c>
      <c r="O598" s="10">
        <v>100000000</v>
      </c>
      <c r="P598" s="140"/>
    </row>
    <row r="599" spans="1:16" ht="43.5" x14ac:dyDescent="0.35">
      <c r="A599" s="139" t="e">
        <f t="shared" si="8"/>
        <v>#REF!</v>
      </c>
      <c r="B599" s="140" t="s">
        <v>18</v>
      </c>
      <c r="C599" s="140" t="s">
        <v>37</v>
      </c>
      <c r="D599" s="140" t="s">
        <v>1515</v>
      </c>
      <c r="E599" s="279" t="s">
        <v>1852</v>
      </c>
      <c r="F599" s="279" t="s">
        <v>1853</v>
      </c>
      <c r="G599" s="140" t="s">
        <v>839</v>
      </c>
      <c r="H599" s="140" t="s">
        <v>1854</v>
      </c>
      <c r="I599" s="140" t="s">
        <v>35</v>
      </c>
      <c r="J599" s="270">
        <v>100000000</v>
      </c>
      <c r="K599" s="139" t="s">
        <v>221</v>
      </c>
      <c r="L599" s="140">
        <v>2870787</v>
      </c>
      <c r="M599" s="32" t="s">
        <v>97</v>
      </c>
      <c r="N599" s="272">
        <v>160.427807486631</v>
      </c>
      <c r="O599" s="10">
        <v>100000000</v>
      </c>
      <c r="P599" s="140"/>
    </row>
    <row r="600" spans="1:16" ht="43.5" x14ac:dyDescent="0.35">
      <c r="A600" s="139" t="e">
        <f t="shared" si="8"/>
        <v>#REF!</v>
      </c>
      <c r="B600" s="140" t="s">
        <v>18</v>
      </c>
      <c r="C600" s="140" t="s">
        <v>37</v>
      </c>
      <c r="D600" s="277" t="s">
        <v>1521</v>
      </c>
      <c r="E600" s="279" t="s">
        <v>1855</v>
      </c>
      <c r="F600" s="279" t="s">
        <v>1856</v>
      </c>
      <c r="G600" s="140" t="s">
        <v>839</v>
      </c>
      <c r="H600" s="140" t="s">
        <v>1857</v>
      </c>
      <c r="I600" s="140" t="s">
        <v>35</v>
      </c>
      <c r="J600" s="270">
        <v>100000000</v>
      </c>
      <c r="K600" s="139" t="s">
        <v>221</v>
      </c>
      <c r="L600" s="140" t="s">
        <v>841</v>
      </c>
      <c r="M600" s="32" t="s">
        <v>97</v>
      </c>
      <c r="N600" s="273">
        <v>58.072009291521489</v>
      </c>
      <c r="O600" s="10">
        <v>100000000</v>
      </c>
      <c r="P600" s="140" t="s">
        <v>275</v>
      </c>
    </row>
    <row r="601" spans="1:16" ht="43.5" x14ac:dyDescent="0.35">
      <c r="A601" s="139" t="e">
        <f>#REF!+1</f>
        <v>#REF!</v>
      </c>
      <c r="B601" s="140" t="s">
        <v>18</v>
      </c>
      <c r="C601" s="140" t="s">
        <v>37</v>
      </c>
      <c r="D601" s="140" t="s">
        <v>1515</v>
      </c>
      <c r="E601" s="279" t="s">
        <v>1852</v>
      </c>
      <c r="F601" s="279" t="s">
        <v>1016</v>
      </c>
      <c r="G601" s="140" t="s">
        <v>839</v>
      </c>
      <c r="H601" s="140" t="s">
        <v>1017</v>
      </c>
      <c r="I601" s="140" t="s">
        <v>35</v>
      </c>
      <c r="J601" s="270">
        <v>50000000</v>
      </c>
      <c r="K601" s="139" t="s">
        <v>221</v>
      </c>
      <c r="L601" s="140">
        <v>2871012</v>
      </c>
      <c r="M601" s="32" t="s">
        <v>97</v>
      </c>
      <c r="N601" s="272">
        <v>64.850843060959789</v>
      </c>
      <c r="O601" s="10">
        <v>50000000</v>
      </c>
      <c r="P601" s="140"/>
    </row>
    <row r="602" spans="1:16" ht="43.5" x14ac:dyDescent="0.35">
      <c r="A602" s="139" t="e">
        <f t="shared" si="8"/>
        <v>#REF!</v>
      </c>
      <c r="B602" s="140" t="s">
        <v>18</v>
      </c>
      <c r="C602" s="140" t="s">
        <v>37</v>
      </c>
      <c r="D602" s="140" t="s">
        <v>1515</v>
      </c>
      <c r="E602" s="279" t="s">
        <v>1852</v>
      </c>
      <c r="F602" s="279" t="s">
        <v>852</v>
      </c>
      <c r="G602" s="140" t="s">
        <v>839</v>
      </c>
      <c r="H602" s="140" t="s">
        <v>1858</v>
      </c>
      <c r="I602" s="140" t="s">
        <v>35</v>
      </c>
      <c r="J602" s="270">
        <v>100000000</v>
      </c>
      <c r="K602" s="139" t="s">
        <v>221</v>
      </c>
      <c r="L602" s="140">
        <v>2906777</v>
      </c>
      <c r="M602" s="32" t="s">
        <v>97</v>
      </c>
      <c r="N602" s="272">
        <v>108.8534107402032</v>
      </c>
      <c r="O602" s="10">
        <v>100000000</v>
      </c>
      <c r="P602" s="140"/>
    </row>
    <row r="603" spans="1:16" ht="43.5" x14ac:dyDescent="0.35">
      <c r="A603" s="139" t="e">
        <f t="shared" si="8"/>
        <v>#REF!</v>
      </c>
      <c r="B603" s="140" t="s">
        <v>18</v>
      </c>
      <c r="C603" s="140" t="s">
        <v>37</v>
      </c>
      <c r="D603" s="140" t="s">
        <v>1515</v>
      </c>
      <c r="E603" s="279" t="s">
        <v>1859</v>
      </c>
      <c r="F603" s="279" t="s">
        <v>1860</v>
      </c>
      <c r="G603" s="140" t="s">
        <v>839</v>
      </c>
      <c r="H603" s="140" t="s">
        <v>1861</v>
      </c>
      <c r="I603" s="140" t="s">
        <v>35</v>
      </c>
      <c r="J603" s="270">
        <v>100000000</v>
      </c>
      <c r="K603" s="139" t="s">
        <v>221</v>
      </c>
      <c r="L603" s="140">
        <v>2906741</v>
      </c>
      <c r="M603" s="32" t="s">
        <v>97</v>
      </c>
      <c r="N603" s="272">
        <v>249.44568180589096</v>
      </c>
      <c r="O603" s="10">
        <v>100000000</v>
      </c>
      <c r="P603" s="140"/>
    </row>
    <row r="604" spans="1:16" ht="43.5" x14ac:dyDescent="0.35">
      <c r="A604" s="139" t="e">
        <f t="shared" si="8"/>
        <v>#REF!</v>
      </c>
      <c r="B604" s="140" t="s">
        <v>18</v>
      </c>
      <c r="C604" s="140" t="s">
        <v>37</v>
      </c>
      <c r="D604" s="277" t="s">
        <v>1521</v>
      </c>
      <c r="E604" s="279" t="s">
        <v>1550</v>
      </c>
      <c r="F604" s="279" t="s">
        <v>1862</v>
      </c>
      <c r="G604" s="140" t="s">
        <v>839</v>
      </c>
      <c r="H604" s="140" t="s">
        <v>1863</v>
      </c>
      <c r="I604" s="140" t="s">
        <v>35</v>
      </c>
      <c r="J604" s="270">
        <v>100000000</v>
      </c>
      <c r="K604" s="139" t="s">
        <v>221</v>
      </c>
      <c r="L604" s="140" t="s">
        <v>841</v>
      </c>
      <c r="M604" s="32" t="s">
        <v>97</v>
      </c>
      <c r="N604" s="280">
        <v>142.45014245014244</v>
      </c>
      <c r="O604" s="10">
        <v>99999999.999999985</v>
      </c>
      <c r="P604" s="140" t="s">
        <v>275</v>
      </c>
    </row>
    <row r="605" spans="1:16" ht="43.5" x14ac:dyDescent="0.35">
      <c r="A605" s="139" t="e">
        <f t="shared" si="8"/>
        <v>#REF!</v>
      </c>
      <c r="B605" s="140" t="s">
        <v>18</v>
      </c>
      <c r="C605" s="140" t="s">
        <v>37</v>
      </c>
      <c r="D605" s="140" t="s">
        <v>1515</v>
      </c>
      <c r="E605" s="279" t="s">
        <v>1864</v>
      </c>
      <c r="F605" s="279" t="s">
        <v>1865</v>
      </c>
      <c r="G605" s="140" t="s">
        <v>839</v>
      </c>
      <c r="H605" s="140" t="s">
        <v>271</v>
      </c>
      <c r="I605" s="140" t="s">
        <v>35</v>
      </c>
      <c r="J605" s="270">
        <v>100000000</v>
      </c>
      <c r="K605" s="139" t="s">
        <v>221</v>
      </c>
      <c r="L605" s="140" t="s">
        <v>841</v>
      </c>
      <c r="M605" s="32" t="s">
        <v>97</v>
      </c>
      <c r="N605" s="272">
        <v>305.00000228750002</v>
      </c>
      <c r="O605" s="10">
        <v>100000000</v>
      </c>
      <c r="P605" s="140" t="s">
        <v>275</v>
      </c>
    </row>
    <row r="606" spans="1:16" ht="43.5" x14ac:dyDescent="0.35">
      <c r="A606" s="139" t="e">
        <f>#REF!+1</f>
        <v>#REF!</v>
      </c>
      <c r="B606" s="140" t="s">
        <v>18</v>
      </c>
      <c r="C606" s="140" t="s">
        <v>37</v>
      </c>
      <c r="D606" s="140" t="s">
        <v>1515</v>
      </c>
      <c r="E606" s="140" t="s">
        <v>1866</v>
      </c>
      <c r="F606" s="140" t="s">
        <v>236</v>
      </c>
      <c r="G606" s="140" t="s">
        <v>238</v>
      </c>
      <c r="H606" s="144" t="s">
        <v>682</v>
      </c>
      <c r="I606" s="140" t="s">
        <v>1272</v>
      </c>
      <c r="J606" s="270">
        <v>45000000</v>
      </c>
      <c r="K606" s="139" t="s">
        <v>221</v>
      </c>
      <c r="L606" s="140">
        <v>2969127</v>
      </c>
      <c r="M606" s="32" t="s">
        <v>97</v>
      </c>
      <c r="N606" s="140">
        <v>300</v>
      </c>
      <c r="O606" s="10">
        <v>98360655</v>
      </c>
      <c r="P606" s="140"/>
    </row>
    <row r="607" spans="1:16" ht="43.5" x14ac:dyDescent="0.35">
      <c r="A607" s="139" t="e">
        <f t="shared" si="8"/>
        <v>#REF!</v>
      </c>
      <c r="B607" s="140" t="s">
        <v>18</v>
      </c>
      <c r="C607" s="140" t="s">
        <v>37</v>
      </c>
      <c r="D607" s="140" t="s">
        <v>1515</v>
      </c>
      <c r="E607" s="140" t="s">
        <v>1867</v>
      </c>
      <c r="F607" s="140" t="s">
        <v>559</v>
      </c>
      <c r="G607" s="140" t="s">
        <v>238</v>
      </c>
      <c r="H607" s="144" t="s">
        <v>560</v>
      </c>
      <c r="I607" s="140" t="s">
        <v>1868</v>
      </c>
      <c r="J607" s="270">
        <v>45000000</v>
      </c>
      <c r="K607" s="139" t="s">
        <v>221</v>
      </c>
      <c r="L607" s="140">
        <v>2970211</v>
      </c>
      <c r="M607" s="32" t="s">
        <v>97</v>
      </c>
      <c r="N607" s="140">
        <v>300</v>
      </c>
      <c r="O607" s="10">
        <v>98360655</v>
      </c>
      <c r="P607" s="140"/>
    </row>
    <row r="608" spans="1:16" ht="43.5" x14ac:dyDescent="0.35">
      <c r="A608" s="139" t="e">
        <f t="shared" si="8"/>
        <v>#REF!</v>
      </c>
      <c r="B608" s="140" t="s">
        <v>18</v>
      </c>
      <c r="C608" s="140" t="s">
        <v>37</v>
      </c>
      <c r="D608" s="140" t="s">
        <v>1515</v>
      </c>
      <c r="E608" s="140" t="s">
        <v>1869</v>
      </c>
      <c r="F608" s="140" t="s">
        <v>687</v>
      </c>
      <c r="G608" s="140" t="s">
        <v>238</v>
      </c>
      <c r="H608" s="144" t="s">
        <v>688</v>
      </c>
      <c r="I608" s="140" t="s">
        <v>1870</v>
      </c>
      <c r="J608" s="270">
        <v>60000000</v>
      </c>
      <c r="K608" s="139" t="s">
        <v>221</v>
      </c>
      <c r="L608" s="140">
        <v>2932176</v>
      </c>
      <c r="M608" s="32" t="s">
        <v>97</v>
      </c>
      <c r="N608" s="140">
        <v>400</v>
      </c>
      <c r="O608" s="10">
        <v>131147539.99999999</v>
      </c>
      <c r="P608" s="140"/>
    </row>
    <row r="609" spans="1:16" ht="43.5" x14ac:dyDescent="0.35">
      <c r="A609" s="139" t="e">
        <f t="shared" si="8"/>
        <v>#REF!</v>
      </c>
      <c r="B609" s="140" t="s">
        <v>18</v>
      </c>
      <c r="C609" s="140" t="s">
        <v>37</v>
      </c>
      <c r="D609" s="140" t="s">
        <v>1515</v>
      </c>
      <c r="E609" s="140" t="s">
        <v>1871</v>
      </c>
      <c r="F609" s="140" t="s">
        <v>563</v>
      </c>
      <c r="G609" s="140" t="s">
        <v>238</v>
      </c>
      <c r="H609" s="144" t="s">
        <v>286</v>
      </c>
      <c r="I609" s="140" t="s">
        <v>1542</v>
      </c>
      <c r="J609" s="270">
        <v>30000000</v>
      </c>
      <c r="K609" s="139" t="s">
        <v>221</v>
      </c>
      <c r="L609" s="140">
        <v>2970211</v>
      </c>
      <c r="M609" s="32" t="s">
        <v>97</v>
      </c>
      <c r="N609" s="140">
        <v>200</v>
      </c>
      <c r="O609" s="10">
        <v>65573769.999999993</v>
      </c>
      <c r="P609" s="140"/>
    </row>
    <row r="610" spans="1:16" ht="43.5" x14ac:dyDescent="0.35">
      <c r="A610" s="139" t="e">
        <f t="shared" si="8"/>
        <v>#REF!</v>
      </c>
      <c r="B610" s="140" t="s">
        <v>18</v>
      </c>
      <c r="C610" s="140" t="s">
        <v>37</v>
      </c>
      <c r="D610" s="277" t="s">
        <v>476</v>
      </c>
      <c r="E610" s="140" t="s">
        <v>1872</v>
      </c>
      <c r="F610" s="140" t="s">
        <v>844</v>
      </c>
      <c r="G610" s="140" t="s">
        <v>504</v>
      </c>
      <c r="H610" s="140" t="s">
        <v>845</v>
      </c>
      <c r="I610" s="140"/>
      <c r="J610" s="270"/>
      <c r="K610" s="139" t="s">
        <v>221</v>
      </c>
      <c r="L610" s="140" t="s">
        <v>273</v>
      </c>
      <c r="M610" s="32" t="s">
        <v>97</v>
      </c>
      <c r="N610" s="140" t="s">
        <v>1873</v>
      </c>
      <c r="O610" s="10">
        <v>120000000</v>
      </c>
      <c r="P610" s="140" t="s">
        <v>1839</v>
      </c>
    </row>
    <row r="611" spans="1:16" ht="43.5" x14ac:dyDescent="0.35">
      <c r="A611" s="139" t="e">
        <f t="shared" si="8"/>
        <v>#REF!</v>
      </c>
      <c r="B611" s="140" t="s">
        <v>18</v>
      </c>
      <c r="C611" s="140" t="s">
        <v>37</v>
      </c>
      <c r="D611" s="277" t="s">
        <v>476</v>
      </c>
      <c r="E611" s="140" t="s">
        <v>1874</v>
      </c>
      <c r="F611" s="140" t="s">
        <v>849</v>
      </c>
      <c r="G611" s="140" t="s">
        <v>504</v>
      </c>
      <c r="H611" s="140" t="s">
        <v>1875</v>
      </c>
      <c r="I611" s="140"/>
      <c r="J611" s="270"/>
      <c r="K611" s="139" t="s">
        <v>221</v>
      </c>
      <c r="L611" s="140" t="s">
        <v>273</v>
      </c>
      <c r="M611" s="32" t="s">
        <v>97</v>
      </c>
      <c r="N611" s="140" t="s">
        <v>1876</v>
      </c>
      <c r="O611" s="10">
        <v>150000000</v>
      </c>
      <c r="P611" s="140" t="s">
        <v>1839</v>
      </c>
    </row>
    <row r="612" spans="1:16" ht="43.5" x14ac:dyDescent="0.35">
      <c r="A612" s="139" t="e">
        <f t="shared" si="8"/>
        <v>#REF!</v>
      </c>
      <c r="B612" s="140" t="s">
        <v>18</v>
      </c>
      <c r="C612" s="140" t="s">
        <v>37</v>
      </c>
      <c r="D612" s="140" t="s">
        <v>1515</v>
      </c>
      <c r="E612" s="140" t="s">
        <v>1877</v>
      </c>
      <c r="F612" s="140" t="s">
        <v>852</v>
      </c>
      <c r="G612" s="144" t="s">
        <v>504</v>
      </c>
      <c r="H612" s="144" t="s">
        <v>853</v>
      </c>
      <c r="I612" s="140" t="s">
        <v>1878</v>
      </c>
      <c r="J612" s="270">
        <v>105000000</v>
      </c>
      <c r="K612" s="139" t="s">
        <v>221</v>
      </c>
      <c r="L612" s="140">
        <v>2933817</v>
      </c>
      <c r="M612" s="32" t="s">
        <v>97</v>
      </c>
      <c r="N612" s="140" t="s">
        <v>1873</v>
      </c>
      <c r="O612" s="10">
        <v>110000000</v>
      </c>
      <c r="P612" s="140" t="s">
        <v>1879</v>
      </c>
    </row>
    <row r="613" spans="1:16" ht="43.5" x14ac:dyDescent="0.35">
      <c r="A613" s="139" t="e">
        <f t="shared" si="8"/>
        <v>#REF!</v>
      </c>
      <c r="B613" s="140" t="s">
        <v>18</v>
      </c>
      <c r="C613" s="140" t="s">
        <v>37</v>
      </c>
      <c r="D613" s="140" t="s">
        <v>1515</v>
      </c>
      <c r="E613" s="140" t="s">
        <v>992</v>
      </c>
      <c r="F613" s="140" t="s">
        <v>503</v>
      </c>
      <c r="G613" s="144" t="s">
        <v>504</v>
      </c>
      <c r="H613" s="144" t="s">
        <v>505</v>
      </c>
      <c r="I613" s="140" t="s">
        <v>35</v>
      </c>
      <c r="J613" s="270">
        <v>15000000</v>
      </c>
      <c r="K613" s="139" t="s">
        <v>221</v>
      </c>
      <c r="L613" s="140">
        <v>2870301</v>
      </c>
      <c r="M613" s="32" t="s">
        <v>97</v>
      </c>
      <c r="N613" s="140" t="s">
        <v>1880</v>
      </c>
      <c r="O613" s="10">
        <v>50000000</v>
      </c>
      <c r="P613" s="140"/>
    </row>
    <row r="614" spans="1:16" ht="43.5" x14ac:dyDescent="0.35">
      <c r="A614" s="139" t="e">
        <f t="shared" si="8"/>
        <v>#REF!</v>
      </c>
      <c r="B614" s="144" t="s">
        <v>18</v>
      </c>
      <c r="C614" s="144" t="s">
        <v>37</v>
      </c>
      <c r="D614" s="140" t="s">
        <v>1515</v>
      </c>
      <c r="E614" s="144" t="s">
        <v>992</v>
      </c>
      <c r="F614" s="144" t="s">
        <v>503</v>
      </c>
      <c r="G614" s="144" t="s">
        <v>504</v>
      </c>
      <c r="H614" s="144" t="s">
        <v>505</v>
      </c>
      <c r="I614" s="144" t="s">
        <v>1881</v>
      </c>
      <c r="J614" s="281">
        <v>100000000</v>
      </c>
      <c r="K614" s="143" t="s">
        <v>221</v>
      </c>
      <c r="L614" s="140" t="s">
        <v>273</v>
      </c>
      <c r="M614" s="32" t="s">
        <v>97</v>
      </c>
      <c r="N614" s="144" t="s">
        <v>1881</v>
      </c>
      <c r="O614" s="282">
        <v>100000000</v>
      </c>
      <c r="P614" s="140" t="s">
        <v>275</v>
      </c>
    </row>
    <row r="615" spans="1:16" ht="43.5" x14ac:dyDescent="0.35">
      <c r="A615" s="139" t="e">
        <f t="shared" si="8"/>
        <v>#REF!</v>
      </c>
      <c r="B615" s="140" t="s">
        <v>18</v>
      </c>
      <c r="C615" s="140" t="s">
        <v>37</v>
      </c>
      <c r="D615" s="277" t="s">
        <v>476</v>
      </c>
      <c r="E615" s="140" t="s">
        <v>1714</v>
      </c>
      <c r="F615" s="140" t="s">
        <v>508</v>
      </c>
      <c r="G615" s="144" t="s">
        <v>504</v>
      </c>
      <c r="H615" s="144" t="s">
        <v>509</v>
      </c>
      <c r="I615" s="140" t="s">
        <v>35</v>
      </c>
      <c r="J615" s="270">
        <v>25000000</v>
      </c>
      <c r="K615" s="139" t="s">
        <v>221</v>
      </c>
      <c r="L615" s="140">
        <v>2847887</v>
      </c>
      <c r="M615" s="32" t="s">
        <v>97</v>
      </c>
      <c r="N615" s="140">
        <v>13</v>
      </c>
      <c r="O615" s="10">
        <v>45000000</v>
      </c>
      <c r="P615" s="140" t="s">
        <v>1839</v>
      </c>
    </row>
    <row r="616" spans="1:16" ht="43.5" x14ac:dyDescent="0.35">
      <c r="A616" s="139" t="e">
        <f t="shared" si="8"/>
        <v>#REF!</v>
      </c>
      <c r="B616" s="140" t="s">
        <v>18</v>
      </c>
      <c r="C616" s="140" t="s">
        <v>37</v>
      </c>
      <c r="D616" s="277" t="s">
        <v>476</v>
      </c>
      <c r="E616" s="140" t="s">
        <v>1882</v>
      </c>
      <c r="F616" s="140" t="s">
        <v>508</v>
      </c>
      <c r="G616" s="144" t="s">
        <v>504</v>
      </c>
      <c r="H616" s="144" t="s">
        <v>509</v>
      </c>
      <c r="I616" s="140" t="s">
        <v>35</v>
      </c>
      <c r="J616" s="270">
        <v>100000000</v>
      </c>
      <c r="K616" s="139" t="s">
        <v>221</v>
      </c>
      <c r="L616" s="140">
        <v>2849227</v>
      </c>
      <c r="M616" s="32" t="s">
        <v>97</v>
      </c>
      <c r="N616" s="140" t="s">
        <v>1883</v>
      </c>
      <c r="O616" s="10">
        <v>100000000</v>
      </c>
      <c r="P616" s="140" t="s">
        <v>1839</v>
      </c>
    </row>
    <row r="617" spans="1:16" ht="43.5" x14ac:dyDescent="0.35">
      <c r="A617" s="139" t="e">
        <f t="shared" si="8"/>
        <v>#REF!</v>
      </c>
      <c r="B617" s="140" t="s">
        <v>18</v>
      </c>
      <c r="C617" s="140" t="s">
        <v>37</v>
      </c>
      <c r="D617" s="277" t="s">
        <v>476</v>
      </c>
      <c r="E617" s="140" t="s">
        <v>992</v>
      </c>
      <c r="F617" s="140" t="s">
        <v>513</v>
      </c>
      <c r="G617" s="144" t="s">
        <v>504</v>
      </c>
      <c r="H617" s="144" t="s">
        <v>514</v>
      </c>
      <c r="I617" s="140" t="s">
        <v>35</v>
      </c>
      <c r="J617" s="270">
        <v>15000000</v>
      </c>
      <c r="K617" s="139" t="s">
        <v>221</v>
      </c>
      <c r="L617" s="140">
        <v>2847887</v>
      </c>
      <c r="M617" s="32" t="s">
        <v>97</v>
      </c>
      <c r="N617" s="140">
        <v>200</v>
      </c>
      <c r="O617" s="10">
        <v>40000000</v>
      </c>
      <c r="P617" s="140" t="s">
        <v>1839</v>
      </c>
    </row>
    <row r="618" spans="1:16" ht="43.5" x14ac:dyDescent="0.35">
      <c r="A618" s="139" t="e">
        <f t="shared" si="8"/>
        <v>#REF!</v>
      </c>
      <c r="B618" s="140" t="s">
        <v>18</v>
      </c>
      <c r="C618" s="140" t="s">
        <v>37</v>
      </c>
      <c r="D618" s="277" t="s">
        <v>476</v>
      </c>
      <c r="E618" s="140" t="s">
        <v>1882</v>
      </c>
      <c r="F618" s="140" t="s">
        <v>513</v>
      </c>
      <c r="G618" s="144" t="s">
        <v>504</v>
      </c>
      <c r="H618" s="144" t="s">
        <v>514</v>
      </c>
      <c r="I618" s="140" t="s">
        <v>35</v>
      </c>
      <c r="J618" s="270">
        <v>100000000</v>
      </c>
      <c r="K618" s="139" t="s">
        <v>221</v>
      </c>
      <c r="L618" s="140">
        <v>2849227</v>
      </c>
      <c r="M618" s="32" t="s">
        <v>97</v>
      </c>
      <c r="N618" s="140" t="s">
        <v>1884</v>
      </c>
      <c r="O618" s="10">
        <v>100000000</v>
      </c>
      <c r="P618" s="140" t="s">
        <v>1839</v>
      </c>
    </row>
    <row r="619" spans="1:16" ht="43.5" x14ac:dyDescent="0.35">
      <c r="A619" s="139" t="e">
        <f t="shared" si="8"/>
        <v>#REF!</v>
      </c>
      <c r="B619" s="140" t="s">
        <v>18</v>
      </c>
      <c r="C619" s="140" t="s">
        <v>37</v>
      </c>
      <c r="D619" s="140" t="s">
        <v>1515</v>
      </c>
      <c r="E619" s="140" t="s">
        <v>1885</v>
      </c>
      <c r="F619" s="140" t="s">
        <v>1886</v>
      </c>
      <c r="G619" s="140" t="s">
        <v>1887</v>
      </c>
      <c r="H619" s="140" t="s">
        <v>1888</v>
      </c>
      <c r="I619" s="140" t="s">
        <v>1889</v>
      </c>
      <c r="J619" s="270">
        <v>100000000</v>
      </c>
      <c r="K619" s="139" t="s">
        <v>221</v>
      </c>
      <c r="L619" s="140">
        <v>2932693</v>
      </c>
      <c r="M619" s="32" t="s">
        <v>97</v>
      </c>
      <c r="N619" s="272">
        <v>450</v>
      </c>
      <c r="O619" s="10">
        <v>114300000</v>
      </c>
      <c r="P619" s="271"/>
    </row>
    <row r="620" spans="1:16" ht="43.5" x14ac:dyDescent="0.35">
      <c r="A620" s="139" t="e">
        <f t="shared" si="8"/>
        <v>#REF!</v>
      </c>
      <c r="B620" s="140" t="s">
        <v>18</v>
      </c>
      <c r="C620" s="140" t="s">
        <v>37</v>
      </c>
      <c r="D620" s="140" t="s">
        <v>1515</v>
      </c>
      <c r="E620" s="140" t="s">
        <v>1885</v>
      </c>
      <c r="F620" s="140" t="s">
        <v>1890</v>
      </c>
      <c r="G620" s="140" t="s">
        <v>1887</v>
      </c>
      <c r="H620" s="140" t="s">
        <v>1891</v>
      </c>
      <c r="I620" s="140" t="s">
        <v>1892</v>
      </c>
      <c r="J620" s="270">
        <v>50000000</v>
      </c>
      <c r="K620" s="139" t="s">
        <v>221</v>
      </c>
      <c r="L620" s="140">
        <v>2862955</v>
      </c>
      <c r="M620" s="32" t="s">
        <v>97</v>
      </c>
      <c r="N620" s="272">
        <v>450</v>
      </c>
      <c r="O620" s="10">
        <v>114300000</v>
      </c>
      <c r="P620" s="271"/>
    </row>
    <row r="621" spans="1:16" ht="43.5" x14ac:dyDescent="0.35">
      <c r="A621" s="139" t="e">
        <f t="shared" si="8"/>
        <v>#REF!</v>
      </c>
      <c r="B621" s="140" t="s">
        <v>18</v>
      </c>
      <c r="C621" s="140" t="s">
        <v>37</v>
      </c>
      <c r="D621" s="140" t="s">
        <v>1515</v>
      </c>
      <c r="E621" s="140" t="s">
        <v>1885</v>
      </c>
      <c r="F621" s="140" t="s">
        <v>1893</v>
      </c>
      <c r="G621" s="140" t="s">
        <v>1887</v>
      </c>
      <c r="H621" s="140" t="s">
        <v>1894</v>
      </c>
      <c r="I621" s="140" t="s">
        <v>1895</v>
      </c>
      <c r="J621" s="270">
        <v>100000000</v>
      </c>
      <c r="K621" s="139" t="s">
        <v>221</v>
      </c>
      <c r="L621" s="140">
        <v>2862405</v>
      </c>
      <c r="M621" s="32" t="s">
        <v>97</v>
      </c>
      <c r="N621" s="140">
        <v>462.5</v>
      </c>
      <c r="O621" s="10">
        <v>117475000</v>
      </c>
      <c r="P621" s="140"/>
    </row>
    <row r="622" spans="1:16" ht="43.5" x14ac:dyDescent="0.35">
      <c r="A622" s="139" t="e">
        <f t="shared" si="8"/>
        <v>#REF!</v>
      </c>
      <c r="B622" s="140" t="s">
        <v>18</v>
      </c>
      <c r="C622" s="140" t="s">
        <v>37</v>
      </c>
      <c r="D622" s="140" t="s">
        <v>1515</v>
      </c>
      <c r="E622" s="140" t="s">
        <v>1885</v>
      </c>
      <c r="F622" s="140" t="s">
        <v>1896</v>
      </c>
      <c r="G622" s="140" t="s">
        <v>1887</v>
      </c>
      <c r="H622" s="140" t="s">
        <v>1897</v>
      </c>
      <c r="I622" s="140" t="s">
        <v>1898</v>
      </c>
      <c r="J622" s="270">
        <v>50000000</v>
      </c>
      <c r="K622" s="139" t="s">
        <v>221</v>
      </c>
      <c r="L622" s="140">
        <v>2950748</v>
      </c>
      <c r="M622" s="32" t="s">
        <v>97</v>
      </c>
      <c r="N622" s="140">
        <v>450</v>
      </c>
      <c r="O622" s="10">
        <v>114300000</v>
      </c>
      <c r="P622" s="140"/>
    </row>
    <row r="623" spans="1:16" ht="43.5" x14ac:dyDescent="0.35">
      <c r="A623" s="139" t="e">
        <f t="shared" si="8"/>
        <v>#REF!</v>
      </c>
      <c r="B623" s="140" t="s">
        <v>18</v>
      </c>
      <c r="C623" s="140" t="s">
        <v>37</v>
      </c>
      <c r="D623" s="140" t="s">
        <v>1515</v>
      </c>
      <c r="E623" s="140" t="s">
        <v>1885</v>
      </c>
      <c r="F623" s="140" t="s">
        <v>1899</v>
      </c>
      <c r="G623" s="140" t="s">
        <v>1887</v>
      </c>
      <c r="H623" s="140" t="s">
        <v>1900</v>
      </c>
      <c r="I623" s="140" t="s">
        <v>1901</v>
      </c>
      <c r="J623" s="270">
        <v>200000000</v>
      </c>
      <c r="K623" s="139" t="s">
        <v>221</v>
      </c>
      <c r="L623" s="140">
        <v>2862216</v>
      </c>
      <c r="M623" s="32" t="s">
        <v>97</v>
      </c>
      <c r="N623" s="140">
        <v>860</v>
      </c>
      <c r="O623" s="10">
        <v>218440000</v>
      </c>
      <c r="P623" s="271"/>
    </row>
    <row r="624" spans="1:16" ht="43.5" x14ac:dyDescent="0.35">
      <c r="A624" s="139" t="e">
        <f t="shared" si="8"/>
        <v>#REF!</v>
      </c>
      <c r="B624" s="140" t="s">
        <v>18</v>
      </c>
      <c r="C624" s="140" t="s">
        <v>37</v>
      </c>
      <c r="D624" s="140" t="s">
        <v>1515</v>
      </c>
      <c r="E624" s="140" t="s">
        <v>1885</v>
      </c>
      <c r="F624" s="140" t="s">
        <v>1902</v>
      </c>
      <c r="G624" s="140" t="s">
        <v>1887</v>
      </c>
      <c r="H624" s="140" t="s">
        <v>1903</v>
      </c>
      <c r="I624" s="140" t="s">
        <v>1904</v>
      </c>
      <c r="J624" s="270">
        <v>100000000</v>
      </c>
      <c r="K624" s="139" t="s">
        <v>221</v>
      </c>
      <c r="L624" s="140">
        <v>2862569</v>
      </c>
      <c r="M624" s="32" t="s">
        <v>97</v>
      </c>
      <c r="N624" s="140">
        <v>450</v>
      </c>
      <c r="O624" s="10">
        <v>114300000</v>
      </c>
      <c r="P624" s="140"/>
    </row>
    <row r="625" spans="1:16" ht="43.5" x14ac:dyDescent="0.35">
      <c r="A625" s="139" t="e">
        <f t="shared" si="8"/>
        <v>#REF!</v>
      </c>
      <c r="B625" s="140" t="s">
        <v>18</v>
      </c>
      <c r="C625" s="140" t="s">
        <v>37</v>
      </c>
      <c r="D625" s="140" t="s">
        <v>1515</v>
      </c>
      <c r="E625" s="140" t="s">
        <v>1885</v>
      </c>
      <c r="F625" s="140" t="s">
        <v>1905</v>
      </c>
      <c r="G625" s="140" t="s">
        <v>1887</v>
      </c>
      <c r="H625" s="140" t="s">
        <v>1906</v>
      </c>
      <c r="I625" s="140" t="s">
        <v>1904</v>
      </c>
      <c r="J625" s="270">
        <v>100000000</v>
      </c>
      <c r="K625" s="139" t="s">
        <v>221</v>
      </c>
      <c r="L625" s="140">
        <v>2862311</v>
      </c>
      <c r="M625" s="32" t="s">
        <v>97</v>
      </c>
      <c r="N625" s="140">
        <v>860</v>
      </c>
      <c r="O625" s="10">
        <v>218440000</v>
      </c>
      <c r="P625" s="140"/>
    </row>
    <row r="626" spans="1:16" ht="43.5" x14ac:dyDescent="0.35">
      <c r="A626" s="139" t="e">
        <f t="shared" si="8"/>
        <v>#REF!</v>
      </c>
      <c r="B626" s="140" t="s">
        <v>18</v>
      </c>
      <c r="C626" s="140" t="s">
        <v>37</v>
      </c>
      <c r="D626" s="277" t="s">
        <v>476</v>
      </c>
      <c r="E626" s="140" t="s">
        <v>1907</v>
      </c>
      <c r="F626" s="140" t="s">
        <v>1116</v>
      </c>
      <c r="G626" s="140" t="s">
        <v>566</v>
      </c>
      <c r="H626" s="140" t="s">
        <v>1117</v>
      </c>
      <c r="I626" s="144" t="s">
        <v>1423</v>
      </c>
      <c r="J626" s="283">
        <v>52000000</v>
      </c>
      <c r="K626" s="143" t="s">
        <v>221</v>
      </c>
      <c r="L626" s="140">
        <v>2878332</v>
      </c>
      <c r="M626" s="32" t="s">
        <v>97</v>
      </c>
      <c r="N626" s="140">
        <v>50</v>
      </c>
      <c r="O626" s="10">
        <v>24811100</v>
      </c>
      <c r="P626" s="140" t="s">
        <v>1908</v>
      </c>
    </row>
    <row r="627" spans="1:16" ht="43.5" x14ac:dyDescent="0.35">
      <c r="A627" s="139" t="e">
        <f t="shared" si="8"/>
        <v>#REF!</v>
      </c>
      <c r="B627" s="140" t="s">
        <v>18</v>
      </c>
      <c r="C627" s="140" t="s">
        <v>37</v>
      </c>
      <c r="D627" s="277" t="s">
        <v>476</v>
      </c>
      <c r="E627" s="140" t="s">
        <v>1907</v>
      </c>
      <c r="F627" s="140" t="s">
        <v>1116</v>
      </c>
      <c r="G627" s="140" t="s">
        <v>566</v>
      </c>
      <c r="H627" s="140" t="s">
        <v>1117</v>
      </c>
      <c r="I627" s="144" t="s">
        <v>1423</v>
      </c>
      <c r="J627" s="284">
        <v>52000000</v>
      </c>
      <c r="K627" s="143" t="s">
        <v>221</v>
      </c>
      <c r="L627" s="140">
        <v>2878332</v>
      </c>
      <c r="M627" s="32" t="s">
        <v>97</v>
      </c>
      <c r="N627" s="140">
        <v>50</v>
      </c>
      <c r="O627" s="10">
        <v>24811100</v>
      </c>
      <c r="P627" s="140" t="s">
        <v>1909</v>
      </c>
    </row>
    <row r="628" spans="1:16" ht="43.5" x14ac:dyDescent="0.35">
      <c r="A628" s="139" t="e">
        <f>#REF!+1</f>
        <v>#REF!</v>
      </c>
      <c r="B628" s="140" t="s">
        <v>18</v>
      </c>
      <c r="C628" s="140" t="s">
        <v>37</v>
      </c>
      <c r="D628" s="140" t="s">
        <v>1515</v>
      </c>
      <c r="E628" s="140" t="s">
        <v>1910</v>
      </c>
      <c r="F628" s="140" t="s">
        <v>1119</v>
      </c>
      <c r="G628" s="140" t="s">
        <v>566</v>
      </c>
      <c r="H628" s="140" t="s">
        <v>1120</v>
      </c>
      <c r="I628" s="144" t="s">
        <v>1911</v>
      </c>
      <c r="J628" s="284">
        <v>200000000</v>
      </c>
      <c r="K628" s="143" t="s">
        <v>221</v>
      </c>
      <c r="L628" s="140">
        <v>2959017</v>
      </c>
      <c r="M628" s="32" t="s">
        <v>97</v>
      </c>
      <c r="N628" s="140">
        <v>636</v>
      </c>
      <c r="O628" s="10">
        <v>208524590</v>
      </c>
      <c r="P628" s="140" t="s">
        <v>1909</v>
      </c>
    </row>
    <row r="629" spans="1:16" ht="43.5" x14ac:dyDescent="0.35">
      <c r="A629" s="139" t="e">
        <f t="shared" ref="A629:A692" si="9">A628+1</f>
        <v>#REF!</v>
      </c>
      <c r="B629" s="140" t="s">
        <v>18</v>
      </c>
      <c r="C629" s="140" t="s">
        <v>37</v>
      </c>
      <c r="D629" s="140" t="s">
        <v>1515</v>
      </c>
      <c r="E629" s="140" t="s">
        <v>1912</v>
      </c>
      <c r="F629" s="140" t="s">
        <v>849</v>
      </c>
      <c r="G629" s="140" t="s">
        <v>1913</v>
      </c>
      <c r="H629" s="140" t="s">
        <v>1875</v>
      </c>
      <c r="I629" s="140"/>
      <c r="J629" s="276"/>
      <c r="K629" s="139" t="s">
        <v>221</v>
      </c>
      <c r="L629" s="140" t="s">
        <v>273</v>
      </c>
      <c r="M629" s="32" t="s">
        <v>97</v>
      </c>
      <c r="N629" s="140">
        <v>450</v>
      </c>
      <c r="O629" s="10">
        <v>114300000</v>
      </c>
      <c r="P629" s="140" t="s">
        <v>1914</v>
      </c>
    </row>
    <row r="630" spans="1:16" ht="43.5" x14ac:dyDescent="0.35">
      <c r="A630" s="139" t="e">
        <f t="shared" si="9"/>
        <v>#REF!</v>
      </c>
      <c r="B630" s="140" t="s">
        <v>18</v>
      </c>
      <c r="C630" s="140" t="s">
        <v>37</v>
      </c>
      <c r="D630" s="140" t="s">
        <v>1515</v>
      </c>
      <c r="E630" s="140" t="s">
        <v>1912</v>
      </c>
      <c r="F630" s="140" t="s">
        <v>1915</v>
      </c>
      <c r="G630" s="144" t="s">
        <v>1913</v>
      </c>
      <c r="H630" s="144" t="s">
        <v>1916</v>
      </c>
      <c r="I630" s="144" t="s">
        <v>1917</v>
      </c>
      <c r="J630" s="270">
        <v>170000000</v>
      </c>
      <c r="K630" s="139" t="s">
        <v>221</v>
      </c>
      <c r="L630" s="140">
        <v>2899612</v>
      </c>
      <c r="M630" s="32" t="s">
        <v>97</v>
      </c>
      <c r="N630" s="140">
        <v>808</v>
      </c>
      <c r="O630" s="10">
        <v>205232000</v>
      </c>
      <c r="P630" s="271"/>
    </row>
    <row r="631" spans="1:16" ht="43.5" x14ac:dyDescent="0.35">
      <c r="A631" s="139" t="e">
        <f t="shared" si="9"/>
        <v>#REF!</v>
      </c>
      <c r="B631" s="140" t="s">
        <v>18</v>
      </c>
      <c r="C631" s="140" t="s">
        <v>37</v>
      </c>
      <c r="D631" s="140" t="s">
        <v>1515</v>
      </c>
      <c r="E631" s="140" t="s">
        <v>1912</v>
      </c>
      <c r="F631" s="140" t="s">
        <v>1918</v>
      </c>
      <c r="G631" s="144" t="s">
        <v>1913</v>
      </c>
      <c r="H631" s="144" t="s">
        <v>1919</v>
      </c>
      <c r="I631" s="144" t="s">
        <v>1920</v>
      </c>
      <c r="J631" s="270">
        <v>170000000</v>
      </c>
      <c r="K631" s="139" t="s">
        <v>221</v>
      </c>
      <c r="L631" s="140">
        <v>2899737</v>
      </c>
      <c r="M631" s="32" t="s">
        <v>97</v>
      </c>
      <c r="N631" s="140">
        <v>750</v>
      </c>
      <c r="O631" s="10">
        <v>190500000</v>
      </c>
      <c r="P631" s="140"/>
    </row>
    <row r="632" spans="1:16" ht="43.5" x14ac:dyDescent="0.35">
      <c r="A632" s="139" t="e">
        <f t="shared" si="9"/>
        <v>#REF!</v>
      </c>
      <c r="B632" s="140" t="s">
        <v>18</v>
      </c>
      <c r="C632" s="140" t="s">
        <v>37</v>
      </c>
      <c r="D632" s="277" t="s">
        <v>476</v>
      </c>
      <c r="E632" s="140" t="s">
        <v>1714</v>
      </c>
      <c r="F632" s="140" t="s">
        <v>1921</v>
      </c>
      <c r="G632" s="140" t="s">
        <v>1913</v>
      </c>
      <c r="H632" s="140" t="s">
        <v>1922</v>
      </c>
      <c r="I632" s="140"/>
      <c r="J632" s="276"/>
      <c r="K632" s="139" t="s">
        <v>221</v>
      </c>
      <c r="L632" s="140" t="s">
        <v>273</v>
      </c>
      <c r="M632" s="32" t="s">
        <v>97</v>
      </c>
      <c r="N632" s="140">
        <v>170</v>
      </c>
      <c r="O632" s="10">
        <v>119340000</v>
      </c>
      <c r="P632" s="140" t="s">
        <v>1923</v>
      </c>
    </row>
    <row r="633" spans="1:16" ht="43.5" x14ac:dyDescent="0.35">
      <c r="A633" s="139" t="e">
        <f t="shared" si="9"/>
        <v>#REF!</v>
      </c>
      <c r="B633" s="140" t="s">
        <v>18</v>
      </c>
      <c r="C633" s="140" t="s">
        <v>37</v>
      </c>
      <c r="D633" s="140" t="s">
        <v>1515</v>
      </c>
      <c r="E633" s="140" t="s">
        <v>1912</v>
      </c>
      <c r="F633" s="140" t="s">
        <v>1924</v>
      </c>
      <c r="G633" s="144" t="s">
        <v>1913</v>
      </c>
      <c r="H633" s="144" t="s">
        <v>1913</v>
      </c>
      <c r="I633" s="144" t="s">
        <v>1925</v>
      </c>
      <c r="J633" s="270">
        <v>170000000</v>
      </c>
      <c r="K633" s="139" t="s">
        <v>221</v>
      </c>
      <c r="L633" s="140">
        <v>2899553</v>
      </c>
      <c r="M633" s="32" t="s">
        <v>97</v>
      </c>
      <c r="N633" s="140">
        <v>800</v>
      </c>
      <c r="O633" s="10">
        <v>203200000</v>
      </c>
      <c r="P633" s="140"/>
    </row>
    <row r="634" spans="1:16" ht="43.5" x14ac:dyDescent="0.35">
      <c r="A634" s="139" t="e">
        <f t="shared" si="9"/>
        <v>#REF!</v>
      </c>
      <c r="B634" s="140" t="s">
        <v>18</v>
      </c>
      <c r="C634" s="140" t="s">
        <v>37</v>
      </c>
      <c r="D634" s="140" t="s">
        <v>1515</v>
      </c>
      <c r="E634" s="140" t="s">
        <v>1912</v>
      </c>
      <c r="F634" s="140" t="s">
        <v>1926</v>
      </c>
      <c r="G634" s="144" t="s">
        <v>1913</v>
      </c>
      <c r="H634" s="144" t="s">
        <v>1927</v>
      </c>
      <c r="I634" s="144" t="s">
        <v>1928</v>
      </c>
      <c r="J634" s="270">
        <v>170000000</v>
      </c>
      <c r="K634" s="139" t="s">
        <v>221</v>
      </c>
      <c r="L634" s="140">
        <v>2899698</v>
      </c>
      <c r="M634" s="32" t="s">
        <v>97</v>
      </c>
      <c r="N634" s="140">
        <v>810</v>
      </c>
      <c r="O634" s="10">
        <v>205740000</v>
      </c>
      <c r="P634" s="140"/>
    </row>
    <row r="635" spans="1:16" ht="43.5" x14ac:dyDescent="0.35">
      <c r="A635" s="139" t="e">
        <f t="shared" si="9"/>
        <v>#REF!</v>
      </c>
      <c r="B635" s="140" t="s">
        <v>18</v>
      </c>
      <c r="C635" s="140" t="s">
        <v>37</v>
      </c>
      <c r="D635" s="277" t="s">
        <v>476</v>
      </c>
      <c r="E635" s="140" t="s">
        <v>1929</v>
      </c>
      <c r="F635" s="140" t="s">
        <v>1930</v>
      </c>
      <c r="G635" s="140" t="s">
        <v>1127</v>
      </c>
      <c r="H635" s="140" t="s">
        <v>1931</v>
      </c>
      <c r="I635" s="140" t="s">
        <v>1932</v>
      </c>
      <c r="J635" s="270">
        <v>139000000</v>
      </c>
      <c r="K635" s="139" t="s">
        <v>221</v>
      </c>
      <c r="L635" s="140">
        <v>2960625</v>
      </c>
      <c r="M635" s="32" t="s">
        <v>97</v>
      </c>
      <c r="N635" s="273" t="s">
        <v>1933</v>
      </c>
      <c r="O635" s="10">
        <v>100163554</v>
      </c>
      <c r="P635" s="140" t="s">
        <v>1839</v>
      </c>
    </row>
    <row r="636" spans="1:16" ht="43.5" x14ac:dyDescent="0.35">
      <c r="A636" s="139" t="e">
        <f t="shared" si="9"/>
        <v>#REF!</v>
      </c>
      <c r="B636" s="140" t="s">
        <v>18</v>
      </c>
      <c r="C636" s="140" t="s">
        <v>37</v>
      </c>
      <c r="D636" s="140" t="s">
        <v>1515</v>
      </c>
      <c r="E636" s="140" t="s">
        <v>1718</v>
      </c>
      <c r="F636" s="140" t="s">
        <v>1126</v>
      </c>
      <c r="G636" s="140" t="s">
        <v>1127</v>
      </c>
      <c r="H636" s="140" t="s">
        <v>1128</v>
      </c>
      <c r="I636" s="140" t="s">
        <v>1934</v>
      </c>
      <c r="J636" s="270">
        <v>197853000</v>
      </c>
      <c r="K636" s="139" t="s">
        <v>221</v>
      </c>
      <c r="L636" s="140">
        <v>2870926</v>
      </c>
      <c r="M636" s="32" t="s">
        <v>97</v>
      </c>
      <c r="N636" s="273">
        <v>789</v>
      </c>
      <c r="O636" s="10">
        <v>258688522.64999998</v>
      </c>
      <c r="P636" s="140"/>
    </row>
    <row r="637" spans="1:16" ht="43.5" x14ac:dyDescent="0.35">
      <c r="A637" s="139" t="e">
        <f t="shared" si="9"/>
        <v>#REF!</v>
      </c>
      <c r="B637" s="140" t="s">
        <v>18</v>
      </c>
      <c r="C637" s="140" t="s">
        <v>37</v>
      </c>
      <c r="D637" s="140" t="s">
        <v>1515</v>
      </c>
      <c r="E637" s="140" t="s">
        <v>1718</v>
      </c>
      <c r="F637" s="140" t="s">
        <v>1935</v>
      </c>
      <c r="G637" s="140" t="s">
        <v>1127</v>
      </c>
      <c r="H637" s="140" t="s">
        <v>1936</v>
      </c>
      <c r="I637" s="140" t="s">
        <v>1937</v>
      </c>
      <c r="J637" s="270">
        <v>147145000</v>
      </c>
      <c r="K637" s="139" t="s">
        <v>221</v>
      </c>
      <c r="L637" s="140">
        <v>2843287</v>
      </c>
      <c r="M637" s="32" t="s">
        <v>97</v>
      </c>
      <c r="N637" s="273">
        <v>649</v>
      </c>
      <c r="O637" s="10">
        <v>212786883.64999998</v>
      </c>
      <c r="P637" s="140"/>
    </row>
    <row r="638" spans="1:16" ht="43.5" x14ac:dyDescent="0.35">
      <c r="A638" s="139" t="e">
        <f t="shared" si="9"/>
        <v>#REF!</v>
      </c>
      <c r="B638" s="140" t="s">
        <v>18</v>
      </c>
      <c r="C638" s="140" t="s">
        <v>37</v>
      </c>
      <c r="D638" s="140" t="s">
        <v>1515</v>
      </c>
      <c r="E638" s="140" t="s">
        <v>1938</v>
      </c>
      <c r="F638" s="140" t="s">
        <v>1939</v>
      </c>
      <c r="G638" s="140" t="s">
        <v>1127</v>
      </c>
      <c r="H638" s="140" t="s">
        <v>1940</v>
      </c>
      <c r="I638" s="140" t="s">
        <v>1941</v>
      </c>
      <c r="J638" s="270">
        <v>77000000</v>
      </c>
      <c r="K638" s="139" t="s">
        <v>221</v>
      </c>
      <c r="L638" s="140">
        <v>2894929</v>
      </c>
      <c r="M638" s="32" t="s">
        <v>97</v>
      </c>
      <c r="N638" s="273">
        <v>51</v>
      </c>
      <c r="O638" s="10">
        <v>74249268</v>
      </c>
      <c r="P638" s="140"/>
    </row>
    <row r="639" spans="1:16" ht="43.5" x14ac:dyDescent="0.35">
      <c r="A639" s="139" t="e">
        <f t="shared" si="9"/>
        <v>#REF!</v>
      </c>
      <c r="B639" s="140" t="s">
        <v>18</v>
      </c>
      <c r="C639" s="140" t="s">
        <v>37</v>
      </c>
      <c r="D639" s="140" t="s">
        <v>1515</v>
      </c>
      <c r="E639" s="140" t="s">
        <v>1718</v>
      </c>
      <c r="F639" s="140" t="s">
        <v>1939</v>
      </c>
      <c r="G639" s="140" t="s">
        <v>1127</v>
      </c>
      <c r="H639" s="140" t="s">
        <v>1940</v>
      </c>
      <c r="I639" s="140" t="s">
        <v>1942</v>
      </c>
      <c r="J639" s="270">
        <v>23000000</v>
      </c>
      <c r="K639" s="139" t="s">
        <v>221</v>
      </c>
      <c r="L639" s="140">
        <v>2799074</v>
      </c>
      <c r="M639" s="32" t="s">
        <v>97</v>
      </c>
      <c r="N639" s="273">
        <v>84</v>
      </c>
      <c r="O639" s="10">
        <v>27540983</v>
      </c>
      <c r="P639" s="140" t="s">
        <v>1943</v>
      </c>
    </row>
    <row r="640" spans="1:16" ht="43.5" x14ac:dyDescent="0.35">
      <c r="A640" s="139" t="e">
        <f t="shared" si="9"/>
        <v>#REF!</v>
      </c>
      <c r="B640" s="140" t="s">
        <v>18</v>
      </c>
      <c r="C640" s="140" t="s">
        <v>37</v>
      </c>
      <c r="D640" s="140" t="s">
        <v>1515</v>
      </c>
      <c r="E640" s="140" t="s">
        <v>1944</v>
      </c>
      <c r="F640" s="140" t="s">
        <v>1945</v>
      </c>
      <c r="G640" s="140" t="s">
        <v>1127</v>
      </c>
      <c r="H640" s="140" t="s">
        <v>1946</v>
      </c>
      <c r="I640" s="140" t="s">
        <v>1947</v>
      </c>
      <c r="J640" s="270">
        <v>24908000</v>
      </c>
      <c r="K640" s="139" t="s">
        <v>221</v>
      </c>
      <c r="L640" s="140">
        <v>2964762</v>
      </c>
      <c r="M640" s="32" t="s">
        <v>97</v>
      </c>
      <c r="N640" s="273" t="s">
        <v>1948</v>
      </c>
      <c r="O640" s="10">
        <v>55674666</v>
      </c>
      <c r="P640" s="140" t="s">
        <v>992</v>
      </c>
    </row>
    <row r="641" spans="1:16" ht="58" x14ac:dyDescent="0.35">
      <c r="A641" s="139" t="e">
        <f t="shared" si="9"/>
        <v>#REF!</v>
      </c>
      <c r="B641" s="140" t="s">
        <v>18</v>
      </c>
      <c r="C641" s="140" t="s">
        <v>37</v>
      </c>
      <c r="D641" s="277" t="s">
        <v>1570</v>
      </c>
      <c r="E641" s="140" t="s">
        <v>1949</v>
      </c>
      <c r="F641" s="140" t="s">
        <v>1945</v>
      </c>
      <c r="G641" s="140" t="s">
        <v>1127</v>
      </c>
      <c r="H641" s="140" t="s">
        <v>1946</v>
      </c>
      <c r="I641" s="140" t="s">
        <v>1950</v>
      </c>
      <c r="J641" s="270">
        <v>33300000</v>
      </c>
      <c r="K641" s="139" t="s">
        <v>221</v>
      </c>
      <c r="L641" s="140">
        <v>2913784</v>
      </c>
      <c r="M641" s="32" t="s">
        <v>97</v>
      </c>
      <c r="N641" s="273" t="s">
        <v>1951</v>
      </c>
      <c r="O641" s="10">
        <v>119074216</v>
      </c>
      <c r="P641" s="140"/>
    </row>
    <row r="642" spans="1:16" ht="43.5" x14ac:dyDescent="0.35">
      <c r="A642" s="139" t="e">
        <f t="shared" si="9"/>
        <v>#REF!</v>
      </c>
      <c r="B642" s="140" t="s">
        <v>18</v>
      </c>
      <c r="C642" s="140" t="s">
        <v>37</v>
      </c>
      <c r="D642" s="277" t="s">
        <v>1570</v>
      </c>
      <c r="E642" s="140" t="s">
        <v>1952</v>
      </c>
      <c r="F642" s="140" t="s">
        <v>1953</v>
      </c>
      <c r="G642" s="144" t="s">
        <v>101</v>
      </c>
      <c r="H642" s="144" t="s">
        <v>1954</v>
      </c>
      <c r="I642" s="144" t="s">
        <v>1215</v>
      </c>
      <c r="J642" s="270">
        <v>150000000</v>
      </c>
      <c r="K642" s="139" t="s">
        <v>221</v>
      </c>
      <c r="L642" s="140">
        <v>2965468</v>
      </c>
      <c r="M642" s="32" t="s">
        <v>97</v>
      </c>
      <c r="N642" s="140">
        <v>200</v>
      </c>
      <c r="O642" s="10">
        <v>177200000</v>
      </c>
      <c r="P642" s="140" t="s">
        <v>1955</v>
      </c>
    </row>
    <row r="643" spans="1:16" ht="72.5" x14ac:dyDescent="0.35">
      <c r="A643" s="139" t="e">
        <f t="shared" si="9"/>
        <v>#REF!</v>
      </c>
      <c r="B643" s="140" t="s">
        <v>18</v>
      </c>
      <c r="C643" s="140" t="s">
        <v>37</v>
      </c>
      <c r="D643" s="140" t="s">
        <v>1515</v>
      </c>
      <c r="E643" s="140" t="s">
        <v>1956</v>
      </c>
      <c r="F643" s="140" t="s">
        <v>100</v>
      </c>
      <c r="G643" s="144" t="s">
        <v>101</v>
      </c>
      <c r="H643" s="144" t="s">
        <v>102</v>
      </c>
      <c r="I643" s="144" t="s">
        <v>1957</v>
      </c>
      <c r="J643" s="270">
        <v>98000000</v>
      </c>
      <c r="K643" s="139" t="s">
        <v>221</v>
      </c>
      <c r="L643" s="140">
        <v>2820271</v>
      </c>
      <c r="M643" s="32" t="s">
        <v>97</v>
      </c>
      <c r="N643" s="140" t="s">
        <v>1958</v>
      </c>
      <c r="O643" s="10">
        <v>273390000</v>
      </c>
      <c r="P643" s="140" t="s">
        <v>1955</v>
      </c>
    </row>
    <row r="644" spans="1:16" ht="43.5" x14ac:dyDescent="0.35">
      <c r="A644" s="139" t="e">
        <f t="shared" si="9"/>
        <v>#REF!</v>
      </c>
      <c r="B644" s="140" t="s">
        <v>18</v>
      </c>
      <c r="C644" s="140" t="s">
        <v>37</v>
      </c>
      <c r="D644" s="277" t="s">
        <v>1570</v>
      </c>
      <c r="E644" s="140" t="s">
        <v>1952</v>
      </c>
      <c r="F644" s="140" t="s">
        <v>292</v>
      </c>
      <c r="G644" s="144" t="s">
        <v>101</v>
      </c>
      <c r="H644" s="144" t="s">
        <v>293</v>
      </c>
      <c r="I644" s="144" t="s">
        <v>1959</v>
      </c>
      <c r="J644" s="270">
        <v>187000000</v>
      </c>
      <c r="K644" s="139" t="s">
        <v>221</v>
      </c>
      <c r="L644" s="140">
        <v>2821211</v>
      </c>
      <c r="M644" s="32" t="s">
        <v>97</v>
      </c>
      <c r="N644" s="140">
        <v>200</v>
      </c>
      <c r="O644" s="10">
        <v>177200000</v>
      </c>
      <c r="P644" s="140" t="s">
        <v>1960</v>
      </c>
    </row>
    <row r="645" spans="1:16" ht="78" x14ac:dyDescent="0.35">
      <c r="A645" s="145" t="e">
        <f t="shared" si="9"/>
        <v>#REF!</v>
      </c>
      <c r="B645" s="146" t="s">
        <v>18</v>
      </c>
      <c r="C645" s="146" t="s">
        <v>37</v>
      </c>
      <c r="D645" s="140" t="s">
        <v>1515</v>
      </c>
      <c r="E645" s="146" t="s">
        <v>1961</v>
      </c>
      <c r="F645" s="146" t="s">
        <v>1962</v>
      </c>
      <c r="G645" s="145" t="s">
        <v>334</v>
      </c>
      <c r="H645" s="145" t="s">
        <v>335</v>
      </c>
      <c r="I645" s="145" t="s">
        <v>1963</v>
      </c>
      <c r="J645" s="285">
        <v>134825000</v>
      </c>
      <c r="K645" s="145" t="s">
        <v>221</v>
      </c>
      <c r="L645" s="145">
        <v>2847693</v>
      </c>
      <c r="M645" s="145" t="s">
        <v>109</v>
      </c>
      <c r="N645" s="13">
        <v>264</v>
      </c>
      <c r="O645" s="13">
        <v>105600000</v>
      </c>
      <c r="P645" s="141"/>
    </row>
    <row r="646" spans="1:16" ht="52" x14ac:dyDescent="0.35">
      <c r="A646" s="145" t="e">
        <f t="shared" si="9"/>
        <v>#REF!</v>
      </c>
      <c r="B646" s="146" t="s">
        <v>18</v>
      </c>
      <c r="C646" s="146" t="s">
        <v>37</v>
      </c>
      <c r="D646" s="146" t="s">
        <v>1570</v>
      </c>
      <c r="E646" s="146" t="s">
        <v>1964</v>
      </c>
      <c r="F646" s="146" t="s">
        <v>1962</v>
      </c>
      <c r="G646" s="145" t="s">
        <v>334</v>
      </c>
      <c r="H646" s="145" t="s">
        <v>335</v>
      </c>
      <c r="I646" s="145" t="s">
        <v>1965</v>
      </c>
      <c r="J646" s="285">
        <v>30000000</v>
      </c>
      <c r="K646" s="145" t="s">
        <v>221</v>
      </c>
      <c r="L646" s="145">
        <v>2852312</v>
      </c>
      <c r="M646" s="145" t="s">
        <v>109</v>
      </c>
      <c r="N646" s="13">
        <v>50</v>
      </c>
      <c r="O646" s="13">
        <v>139100000</v>
      </c>
      <c r="P646" s="141"/>
    </row>
    <row r="647" spans="1:16" ht="39" x14ac:dyDescent="0.35">
      <c r="A647" s="145" t="e">
        <f t="shared" si="9"/>
        <v>#REF!</v>
      </c>
      <c r="B647" s="146" t="s">
        <v>18</v>
      </c>
      <c r="C647" s="146" t="s">
        <v>37</v>
      </c>
      <c r="D647" s="140" t="s">
        <v>1515</v>
      </c>
      <c r="E647" s="146"/>
      <c r="F647" s="146"/>
      <c r="G647" s="145" t="s">
        <v>334</v>
      </c>
      <c r="H647" s="145" t="s">
        <v>1966</v>
      </c>
      <c r="I647" s="145" t="s">
        <v>1967</v>
      </c>
      <c r="J647" s="285">
        <v>37500000</v>
      </c>
      <c r="K647" s="145" t="s">
        <v>221</v>
      </c>
      <c r="L647" s="145">
        <v>2871772</v>
      </c>
      <c r="M647" s="145" t="s">
        <v>109</v>
      </c>
      <c r="N647" s="13">
        <v>200</v>
      </c>
      <c r="O647" s="13">
        <v>50800000</v>
      </c>
      <c r="P647" s="141"/>
    </row>
    <row r="648" spans="1:16" ht="91" x14ac:dyDescent="0.35">
      <c r="A648" s="145" t="e">
        <f t="shared" si="9"/>
        <v>#REF!</v>
      </c>
      <c r="B648" s="146" t="s">
        <v>18</v>
      </c>
      <c r="C648" s="146" t="s">
        <v>37</v>
      </c>
      <c r="D648" s="140" t="s">
        <v>1515</v>
      </c>
      <c r="E648" s="146" t="s">
        <v>1968</v>
      </c>
      <c r="F648" s="146" t="s">
        <v>297</v>
      </c>
      <c r="G648" s="145" t="s">
        <v>1969</v>
      </c>
      <c r="H648" s="145" t="s">
        <v>1970</v>
      </c>
      <c r="I648" s="145" t="s">
        <v>1971</v>
      </c>
      <c r="J648" s="285">
        <v>150000000</v>
      </c>
      <c r="K648" s="145" t="s">
        <v>221</v>
      </c>
      <c r="L648" s="145">
        <v>2906992</v>
      </c>
      <c r="M648" s="145" t="s">
        <v>109</v>
      </c>
      <c r="N648" s="13">
        <v>1000</v>
      </c>
      <c r="O648" s="13">
        <v>396000000</v>
      </c>
      <c r="P648" s="141"/>
    </row>
    <row r="649" spans="1:16" ht="39" x14ac:dyDescent="0.35">
      <c r="A649" s="145" t="e">
        <f t="shared" si="9"/>
        <v>#REF!</v>
      </c>
      <c r="B649" s="146" t="s">
        <v>18</v>
      </c>
      <c r="C649" s="146" t="s">
        <v>37</v>
      </c>
      <c r="D649" s="146" t="s">
        <v>1570</v>
      </c>
      <c r="E649" s="146" t="s">
        <v>1972</v>
      </c>
      <c r="F649" s="146" t="s">
        <v>373</v>
      </c>
      <c r="G649" s="145" t="s">
        <v>1969</v>
      </c>
      <c r="H649" s="145" t="s">
        <v>1973</v>
      </c>
      <c r="I649" s="145" t="s">
        <v>1374</v>
      </c>
      <c r="J649" s="285">
        <v>674588000</v>
      </c>
      <c r="K649" s="145" t="s">
        <v>221</v>
      </c>
      <c r="L649" s="145">
        <v>2907115</v>
      </c>
      <c r="M649" s="145" t="s">
        <v>109</v>
      </c>
      <c r="N649" s="13" t="s">
        <v>1974</v>
      </c>
      <c r="O649" s="13">
        <v>139100000</v>
      </c>
      <c r="P649" s="141"/>
    </row>
    <row r="650" spans="1:16" ht="91" x14ac:dyDescent="0.35">
      <c r="A650" s="145" t="e">
        <f t="shared" si="9"/>
        <v>#REF!</v>
      </c>
      <c r="B650" s="146" t="s">
        <v>18</v>
      </c>
      <c r="C650" s="146" t="s">
        <v>37</v>
      </c>
      <c r="D650" s="146" t="s">
        <v>1570</v>
      </c>
      <c r="E650" s="146" t="s">
        <v>1975</v>
      </c>
      <c r="F650" s="146" t="s">
        <v>373</v>
      </c>
      <c r="G650" s="145" t="s">
        <v>1969</v>
      </c>
      <c r="H650" s="145" t="s">
        <v>1976</v>
      </c>
      <c r="I650" s="145" t="s">
        <v>1977</v>
      </c>
      <c r="J650" s="285">
        <v>202500000</v>
      </c>
      <c r="K650" s="145" t="s">
        <v>221</v>
      </c>
      <c r="L650" s="145">
        <v>2907171</v>
      </c>
      <c r="M650" s="145" t="s">
        <v>109</v>
      </c>
      <c r="N650" s="13" t="s">
        <v>1211</v>
      </c>
      <c r="O650" s="13">
        <v>278200000</v>
      </c>
      <c r="P650" s="141"/>
    </row>
    <row r="651" spans="1:16" ht="91" x14ac:dyDescent="0.35">
      <c r="A651" s="145" t="e">
        <f t="shared" si="9"/>
        <v>#REF!</v>
      </c>
      <c r="B651" s="146" t="s">
        <v>18</v>
      </c>
      <c r="C651" s="146" t="s">
        <v>37</v>
      </c>
      <c r="D651" s="140" t="s">
        <v>1515</v>
      </c>
      <c r="E651" s="146" t="s">
        <v>1968</v>
      </c>
      <c r="F651" s="146" t="s">
        <v>373</v>
      </c>
      <c r="G651" s="145" t="s">
        <v>1969</v>
      </c>
      <c r="H651" s="145" t="s">
        <v>1978</v>
      </c>
      <c r="I651" s="145" t="s">
        <v>1971</v>
      </c>
      <c r="J651" s="285">
        <v>150000000</v>
      </c>
      <c r="K651" s="145" t="s">
        <v>221</v>
      </c>
      <c r="L651" s="145">
        <v>2907217</v>
      </c>
      <c r="M651" s="145" t="s">
        <v>109</v>
      </c>
      <c r="N651" s="13">
        <v>1000</v>
      </c>
      <c r="O651" s="13">
        <v>254000000</v>
      </c>
      <c r="P651" s="141"/>
    </row>
    <row r="652" spans="1:16" ht="78" x14ac:dyDescent="0.35">
      <c r="A652" s="145" t="e">
        <f t="shared" si="9"/>
        <v>#REF!</v>
      </c>
      <c r="B652" s="146" t="s">
        <v>18</v>
      </c>
      <c r="C652" s="146" t="s">
        <v>37</v>
      </c>
      <c r="D652" s="140" t="s">
        <v>1515</v>
      </c>
      <c r="E652" s="146" t="s">
        <v>1979</v>
      </c>
      <c r="F652" s="146" t="s">
        <v>373</v>
      </c>
      <c r="G652" s="145" t="s">
        <v>1969</v>
      </c>
      <c r="H652" s="145" t="s">
        <v>1980</v>
      </c>
      <c r="I652" s="145" t="s">
        <v>1981</v>
      </c>
      <c r="J652" s="285">
        <v>337500000</v>
      </c>
      <c r="K652" s="145" t="s">
        <v>221</v>
      </c>
      <c r="L652" s="145">
        <v>2907357</v>
      </c>
      <c r="M652" s="145" t="s">
        <v>109</v>
      </c>
      <c r="N652" s="13">
        <v>450</v>
      </c>
      <c r="O652" s="13">
        <v>114300000</v>
      </c>
      <c r="P652" s="141"/>
    </row>
    <row r="653" spans="1:16" ht="39" x14ac:dyDescent="0.35">
      <c r="A653" s="145" t="e">
        <f t="shared" si="9"/>
        <v>#REF!</v>
      </c>
      <c r="B653" s="146" t="s">
        <v>18</v>
      </c>
      <c r="C653" s="146" t="s">
        <v>37</v>
      </c>
      <c r="D653" s="146" t="s">
        <v>1521</v>
      </c>
      <c r="E653" s="146" t="s">
        <v>1982</v>
      </c>
      <c r="F653" s="146" t="s">
        <v>302</v>
      </c>
      <c r="G653" s="145" t="s">
        <v>107</v>
      </c>
      <c r="H653" s="145" t="s">
        <v>1983</v>
      </c>
      <c r="I653" s="145" t="s">
        <v>1984</v>
      </c>
      <c r="J653" s="285">
        <v>100000000</v>
      </c>
      <c r="K653" s="145" t="s">
        <v>221</v>
      </c>
      <c r="L653" s="145">
        <v>2789654</v>
      </c>
      <c r="M653" s="145" t="s">
        <v>109</v>
      </c>
      <c r="N653" s="13" t="s">
        <v>1985</v>
      </c>
      <c r="O653" s="13">
        <v>100000000</v>
      </c>
      <c r="P653" s="141"/>
    </row>
    <row r="654" spans="1:16" ht="39" x14ac:dyDescent="0.35">
      <c r="A654" s="145" t="e">
        <f t="shared" si="9"/>
        <v>#REF!</v>
      </c>
      <c r="B654" s="146" t="s">
        <v>18</v>
      </c>
      <c r="C654" s="146" t="s">
        <v>37</v>
      </c>
      <c r="D654" s="146" t="s">
        <v>1521</v>
      </c>
      <c r="E654" s="146" t="s">
        <v>1986</v>
      </c>
      <c r="F654" s="146" t="s">
        <v>302</v>
      </c>
      <c r="G654" s="145" t="s">
        <v>107</v>
      </c>
      <c r="H654" s="145" t="s">
        <v>107</v>
      </c>
      <c r="I654" s="145" t="s">
        <v>1987</v>
      </c>
      <c r="J654" s="285">
        <v>115000000</v>
      </c>
      <c r="K654" s="145" t="s">
        <v>221</v>
      </c>
      <c r="L654" s="145">
        <v>2789660</v>
      </c>
      <c r="M654" s="145" t="s">
        <v>109</v>
      </c>
      <c r="N654" s="13" t="s">
        <v>1988</v>
      </c>
      <c r="O654" s="13">
        <v>115000000</v>
      </c>
      <c r="P654" s="141"/>
    </row>
    <row r="655" spans="1:16" ht="39" x14ac:dyDescent="0.35">
      <c r="A655" s="145" t="e">
        <f t="shared" si="9"/>
        <v>#REF!</v>
      </c>
      <c r="B655" s="146" t="s">
        <v>18</v>
      </c>
      <c r="C655" s="146" t="s">
        <v>37</v>
      </c>
      <c r="D655" s="146" t="s">
        <v>1570</v>
      </c>
      <c r="E655" s="146" t="s">
        <v>1989</v>
      </c>
      <c r="F655" s="146" t="s">
        <v>302</v>
      </c>
      <c r="G655" s="145" t="s">
        <v>107</v>
      </c>
      <c r="H655" s="145" t="s">
        <v>1990</v>
      </c>
      <c r="I655" s="145" t="s">
        <v>1426</v>
      </c>
      <c r="J655" s="285">
        <v>62650000</v>
      </c>
      <c r="K655" s="145" t="s">
        <v>221</v>
      </c>
      <c r="L655" s="145">
        <v>2792588</v>
      </c>
      <c r="M655" s="145" t="s">
        <v>109</v>
      </c>
      <c r="N655" s="13" t="s">
        <v>1991</v>
      </c>
      <c r="O655" s="13">
        <v>98000000</v>
      </c>
      <c r="P655" s="141" t="s">
        <v>1989</v>
      </c>
    </row>
    <row r="656" spans="1:16" ht="39" x14ac:dyDescent="0.35">
      <c r="A656" s="145" t="e">
        <f t="shared" si="9"/>
        <v>#REF!</v>
      </c>
      <c r="B656" s="146" t="s">
        <v>18</v>
      </c>
      <c r="C656" s="146" t="s">
        <v>37</v>
      </c>
      <c r="D656" s="140" t="s">
        <v>1515</v>
      </c>
      <c r="E656" s="146" t="s">
        <v>1992</v>
      </c>
      <c r="F656" s="146" t="s">
        <v>302</v>
      </c>
      <c r="G656" s="145" t="s">
        <v>107</v>
      </c>
      <c r="H656" s="145" t="s">
        <v>1993</v>
      </c>
      <c r="I656" s="145" t="s">
        <v>1984</v>
      </c>
      <c r="J656" s="285">
        <v>100000000</v>
      </c>
      <c r="K656" s="145" t="s">
        <v>221</v>
      </c>
      <c r="L656" s="145">
        <v>2789674</v>
      </c>
      <c r="M656" s="145" t="s">
        <v>109</v>
      </c>
      <c r="N656" s="13">
        <v>393.70078740157481</v>
      </c>
      <c r="O656" s="13">
        <v>114300000</v>
      </c>
      <c r="P656" s="141"/>
    </row>
    <row r="657" spans="1:16" ht="39" x14ac:dyDescent="0.35">
      <c r="A657" s="145" t="e">
        <f t="shared" si="9"/>
        <v>#REF!</v>
      </c>
      <c r="B657" s="146" t="s">
        <v>18</v>
      </c>
      <c r="C657" s="146" t="s">
        <v>37</v>
      </c>
      <c r="D657" s="140" t="s">
        <v>1515</v>
      </c>
      <c r="E657" s="146" t="s">
        <v>1994</v>
      </c>
      <c r="F657" s="146" t="s">
        <v>302</v>
      </c>
      <c r="G657" s="145" t="s">
        <v>107</v>
      </c>
      <c r="H657" s="145" t="s">
        <v>1995</v>
      </c>
      <c r="I657" s="145" t="s">
        <v>1996</v>
      </c>
      <c r="J657" s="285">
        <v>150000000</v>
      </c>
      <c r="K657" s="145" t="s">
        <v>221</v>
      </c>
      <c r="L657" s="145">
        <v>2790141</v>
      </c>
      <c r="M657" s="145" t="s">
        <v>109</v>
      </c>
      <c r="N657" s="13">
        <v>250</v>
      </c>
      <c r="O657" s="13">
        <v>120300000</v>
      </c>
      <c r="P657" s="141"/>
    </row>
    <row r="658" spans="1:16" ht="39" x14ac:dyDescent="0.35">
      <c r="A658" s="145" t="e">
        <f t="shared" si="9"/>
        <v>#REF!</v>
      </c>
      <c r="B658" s="146" t="s">
        <v>18</v>
      </c>
      <c r="C658" s="146" t="s">
        <v>37</v>
      </c>
      <c r="D658" s="140" t="s">
        <v>1515</v>
      </c>
      <c r="E658" s="146" t="s">
        <v>1997</v>
      </c>
      <c r="F658" s="146" t="s">
        <v>302</v>
      </c>
      <c r="G658" s="145" t="s">
        <v>107</v>
      </c>
      <c r="H658" s="145" t="s">
        <v>1998</v>
      </c>
      <c r="I658" s="145" t="s">
        <v>1999</v>
      </c>
      <c r="J658" s="285">
        <v>92640000</v>
      </c>
      <c r="K658" s="145" t="s">
        <v>221</v>
      </c>
      <c r="L658" s="145">
        <v>2792489</v>
      </c>
      <c r="M658" s="145" t="s">
        <v>109</v>
      </c>
      <c r="N658" s="13">
        <v>231.6</v>
      </c>
      <c r="O658" s="13">
        <v>96240000</v>
      </c>
      <c r="P658" s="141"/>
    </row>
    <row r="659" spans="1:16" ht="39" x14ac:dyDescent="0.35">
      <c r="A659" s="145" t="e">
        <f t="shared" si="9"/>
        <v>#REF!</v>
      </c>
      <c r="B659" s="146" t="s">
        <v>18</v>
      </c>
      <c r="C659" s="146" t="s">
        <v>37</v>
      </c>
      <c r="D659" s="146" t="s">
        <v>1521</v>
      </c>
      <c r="E659" s="146" t="s">
        <v>2000</v>
      </c>
      <c r="F659" s="146" t="s">
        <v>302</v>
      </c>
      <c r="G659" s="145" t="s">
        <v>107</v>
      </c>
      <c r="H659" s="145" t="s">
        <v>2001</v>
      </c>
      <c r="I659" s="145" t="s">
        <v>1974</v>
      </c>
      <c r="J659" s="285">
        <v>127000000</v>
      </c>
      <c r="K659" s="145" t="s">
        <v>221</v>
      </c>
      <c r="L659" s="145">
        <v>2792540</v>
      </c>
      <c r="M659" s="145" t="s">
        <v>109</v>
      </c>
      <c r="N659" s="13" t="s">
        <v>2002</v>
      </c>
      <c r="O659" s="13">
        <v>127000000</v>
      </c>
      <c r="P659" s="141"/>
    </row>
    <row r="660" spans="1:16" ht="39" x14ac:dyDescent="0.35">
      <c r="A660" s="145" t="e">
        <f t="shared" si="9"/>
        <v>#REF!</v>
      </c>
      <c r="B660" s="146" t="s">
        <v>18</v>
      </c>
      <c r="C660" s="146" t="s">
        <v>37</v>
      </c>
      <c r="D660" s="146" t="s">
        <v>1521</v>
      </c>
      <c r="E660" s="146" t="s">
        <v>2003</v>
      </c>
      <c r="F660" s="146" t="s">
        <v>302</v>
      </c>
      <c r="G660" s="145" t="s">
        <v>107</v>
      </c>
      <c r="H660" s="145" t="s">
        <v>2004</v>
      </c>
      <c r="I660" s="145" t="s">
        <v>1999</v>
      </c>
      <c r="J660" s="285">
        <v>80000000</v>
      </c>
      <c r="K660" s="145" t="s">
        <v>221</v>
      </c>
      <c r="L660" s="145">
        <v>2801016</v>
      </c>
      <c r="M660" s="145" t="s">
        <v>109</v>
      </c>
      <c r="N660" s="13" t="s">
        <v>2005</v>
      </c>
      <c r="O660" s="13">
        <v>111000000</v>
      </c>
      <c r="P660" s="141" t="s">
        <v>1839</v>
      </c>
    </row>
    <row r="661" spans="1:16" ht="39" x14ac:dyDescent="0.35">
      <c r="A661" s="145" t="e">
        <f t="shared" si="9"/>
        <v>#REF!</v>
      </c>
      <c r="B661" s="146" t="s">
        <v>18</v>
      </c>
      <c r="C661" s="146" t="s">
        <v>37</v>
      </c>
      <c r="D661" s="140" t="s">
        <v>1515</v>
      </c>
      <c r="E661" s="146" t="s">
        <v>2006</v>
      </c>
      <c r="F661" s="146" t="s">
        <v>302</v>
      </c>
      <c r="G661" s="145" t="s">
        <v>107</v>
      </c>
      <c r="H661" s="145" t="s">
        <v>2007</v>
      </c>
      <c r="I661" s="145" t="s">
        <v>2008</v>
      </c>
      <c r="J661" s="285">
        <v>121400000</v>
      </c>
      <c r="K661" s="145" t="s">
        <v>221</v>
      </c>
      <c r="L661" s="145">
        <v>2938873</v>
      </c>
      <c r="M661" s="145" t="s">
        <v>109</v>
      </c>
      <c r="N661" s="13">
        <v>250</v>
      </c>
      <c r="O661" s="13">
        <v>132330000</v>
      </c>
      <c r="P661" s="141"/>
    </row>
    <row r="662" spans="1:16" ht="39" x14ac:dyDescent="0.35">
      <c r="A662" s="145" t="e">
        <f t="shared" si="9"/>
        <v>#REF!</v>
      </c>
      <c r="B662" s="146" t="s">
        <v>18</v>
      </c>
      <c r="C662" s="146" t="s">
        <v>37</v>
      </c>
      <c r="D662" s="140" t="s">
        <v>1634</v>
      </c>
      <c r="E662" s="146"/>
      <c r="F662" s="146"/>
      <c r="G662" s="145" t="s">
        <v>334</v>
      </c>
      <c r="H662" s="145" t="s">
        <v>1966</v>
      </c>
      <c r="I662" s="145" t="s">
        <v>2009</v>
      </c>
      <c r="J662" s="285">
        <v>160000000</v>
      </c>
      <c r="K662" s="145" t="s">
        <v>221</v>
      </c>
      <c r="L662" s="145">
        <v>2792618</v>
      </c>
      <c r="M662" s="145" t="s">
        <v>109</v>
      </c>
      <c r="N662" s="13">
        <v>5</v>
      </c>
      <c r="O662" s="13">
        <v>175000000</v>
      </c>
      <c r="P662" s="141"/>
    </row>
    <row r="663" spans="1:16" ht="65" x14ac:dyDescent="0.35">
      <c r="A663" s="145" t="e">
        <f t="shared" si="9"/>
        <v>#REF!</v>
      </c>
      <c r="B663" s="146" t="s">
        <v>18</v>
      </c>
      <c r="C663" s="146" t="s">
        <v>37</v>
      </c>
      <c r="D663" s="140" t="s">
        <v>1515</v>
      </c>
      <c r="E663" s="146" t="s">
        <v>2010</v>
      </c>
      <c r="F663" s="146" t="s">
        <v>373</v>
      </c>
      <c r="G663" s="145" t="s">
        <v>334</v>
      </c>
      <c r="H663" s="145" t="s">
        <v>2011</v>
      </c>
      <c r="I663" s="145" t="s">
        <v>2012</v>
      </c>
      <c r="J663" s="285">
        <v>30000000</v>
      </c>
      <c r="K663" s="145" t="s">
        <v>221</v>
      </c>
      <c r="L663" s="145">
        <v>2870951</v>
      </c>
      <c r="M663" s="145" t="s">
        <v>109</v>
      </c>
      <c r="N663" s="13">
        <v>60</v>
      </c>
      <c r="O663" s="13">
        <v>15240000</v>
      </c>
      <c r="P663" s="141"/>
    </row>
    <row r="664" spans="1:16" ht="52" x14ac:dyDescent="0.35">
      <c r="A664" s="145" t="e">
        <f t="shared" si="9"/>
        <v>#REF!</v>
      </c>
      <c r="B664" s="146" t="s">
        <v>18</v>
      </c>
      <c r="C664" s="146" t="s">
        <v>37</v>
      </c>
      <c r="D664" s="140" t="s">
        <v>1515</v>
      </c>
      <c r="E664" s="146" t="s">
        <v>2013</v>
      </c>
      <c r="F664" s="146" t="s">
        <v>373</v>
      </c>
      <c r="G664" s="145" t="s">
        <v>334</v>
      </c>
      <c r="H664" s="145" t="s">
        <v>2011</v>
      </c>
      <c r="I664" s="145" t="s">
        <v>2014</v>
      </c>
      <c r="J664" s="285">
        <v>30000000</v>
      </c>
      <c r="K664" s="145" t="s">
        <v>221</v>
      </c>
      <c r="L664" s="145">
        <v>2871044</v>
      </c>
      <c r="M664" s="145" t="s">
        <v>109</v>
      </c>
      <c r="N664" s="13">
        <v>200</v>
      </c>
      <c r="O664" s="13">
        <v>50800000</v>
      </c>
      <c r="P664" s="141"/>
    </row>
    <row r="665" spans="1:16" ht="39" x14ac:dyDescent="0.35">
      <c r="A665" s="145" t="e">
        <f t="shared" si="9"/>
        <v>#REF!</v>
      </c>
      <c r="B665" s="146" t="s">
        <v>18</v>
      </c>
      <c r="C665" s="146" t="s">
        <v>37</v>
      </c>
      <c r="D665" s="140" t="s">
        <v>1515</v>
      </c>
      <c r="E665" s="146" t="s">
        <v>2015</v>
      </c>
      <c r="F665" s="146" t="s">
        <v>373</v>
      </c>
      <c r="G665" s="145" t="s">
        <v>334</v>
      </c>
      <c r="H665" s="145" t="s">
        <v>2016</v>
      </c>
      <c r="I665" s="145" t="s">
        <v>2017</v>
      </c>
      <c r="J665" s="285">
        <v>50789000</v>
      </c>
      <c r="K665" s="145" t="s">
        <v>221</v>
      </c>
      <c r="L665" s="145">
        <v>2872235</v>
      </c>
      <c r="M665" s="145" t="s">
        <v>109</v>
      </c>
      <c r="N665" s="13">
        <v>217.5</v>
      </c>
      <c r="O665" s="13">
        <v>55245000</v>
      </c>
      <c r="P665" s="141"/>
    </row>
    <row r="666" spans="1:16" ht="39" x14ac:dyDescent="0.35">
      <c r="A666" s="145" t="e">
        <f t="shared" si="9"/>
        <v>#REF!</v>
      </c>
      <c r="B666" s="146" t="s">
        <v>18</v>
      </c>
      <c r="C666" s="146" t="s">
        <v>37</v>
      </c>
      <c r="D666" s="146" t="s">
        <v>1803</v>
      </c>
      <c r="E666" s="146" t="s">
        <v>2018</v>
      </c>
      <c r="F666" s="146" t="s">
        <v>373</v>
      </c>
      <c r="G666" s="145" t="s">
        <v>334</v>
      </c>
      <c r="H666" s="145" t="s">
        <v>2019</v>
      </c>
      <c r="I666" s="145" t="s">
        <v>510</v>
      </c>
      <c r="J666" s="285">
        <v>50000000</v>
      </c>
      <c r="K666" s="145" t="s">
        <v>221</v>
      </c>
      <c r="L666" s="145">
        <v>2825910</v>
      </c>
      <c r="M666" s="145" t="s">
        <v>109</v>
      </c>
      <c r="N666" s="13">
        <v>25</v>
      </c>
      <c r="O666" s="13">
        <v>125000000</v>
      </c>
      <c r="P666" s="141" t="s">
        <v>2020</v>
      </c>
    </row>
    <row r="667" spans="1:16" ht="52" x14ac:dyDescent="0.35">
      <c r="A667" s="145" t="e">
        <f t="shared" si="9"/>
        <v>#REF!</v>
      </c>
      <c r="B667" s="146" t="s">
        <v>18</v>
      </c>
      <c r="C667" s="146" t="s">
        <v>37</v>
      </c>
      <c r="D667" s="140" t="s">
        <v>1515</v>
      </c>
      <c r="E667" s="146" t="s">
        <v>2021</v>
      </c>
      <c r="F667" s="146" t="s">
        <v>373</v>
      </c>
      <c r="G667" s="145" t="s">
        <v>334</v>
      </c>
      <c r="H667" s="145" t="s">
        <v>1142</v>
      </c>
      <c r="I667" s="145" t="s">
        <v>2022</v>
      </c>
      <c r="J667" s="285">
        <v>26764000</v>
      </c>
      <c r="K667" s="145" t="s">
        <v>221</v>
      </c>
      <c r="L667" s="145">
        <v>2871253</v>
      </c>
      <c r="M667" s="145" t="s">
        <v>109</v>
      </c>
      <c r="N667" s="13" t="s">
        <v>2023</v>
      </c>
      <c r="O667" s="13">
        <v>40400000</v>
      </c>
      <c r="P667" s="141"/>
    </row>
    <row r="668" spans="1:16" ht="52" x14ac:dyDescent="0.35">
      <c r="A668" s="145" t="e">
        <f t="shared" si="9"/>
        <v>#REF!</v>
      </c>
      <c r="B668" s="146" t="s">
        <v>18</v>
      </c>
      <c r="C668" s="146" t="s">
        <v>37</v>
      </c>
      <c r="D668" s="140" t="s">
        <v>1515</v>
      </c>
      <c r="E668" s="146" t="s">
        <v>2021</v>
      </c>
      <c r="F668" s="146" t="s">
        <v>373</v>
      </c>
      <c r="G668" s="145" t="s">
        <v>334</v>
      </c>
      <c r="H668" s="145" t="s">
        <v>1142</v>
      </c>
      <c r="I668" s="145" t="s">
        <v>2014</v>
      </c>
      <c r="J668" s="285">
        <v>37500000</v>
      </c>
      <c r="K668" s="145" t="s">
        <v>221</v>
      </c>
      <c r="L668" s="145">
        <v>2871253</v>
      </c>
      <c r="M668" s="145" t="s">
        <v>109</v>
      </c>
      <c r="N668" s="13" t="s">
        <v>1716</v>
      </c>
      <c r="O668" s="13">
        <v>38100000</v>
      </c>
      <c r="P668" s="141"/>
    </row>
    <row r="669" spans="1:16" ht="78" x14ac:dyDescent="0.35">
      <c r="A669" s="145" t="e">
        <f t="shared" si="9"/>
        <v>#REF!</v>
      </c>
      <c r="B669" s="146" t="s">
        <v>18</v>
      </c>
      <c r="C669" s="146" t="s">
        <v>37</v>
      </c>
      <c r="D669" s="140" t="s">
        <v>1515</v>
      </c>
      <c r="E669" s="146" t="s">
        <v>1979</v>
      </c>
      <c r="F669" s="146" t="s">
        <v>2024</v>
      </c>
      <c r="G669" s="145" t="s">
        <v>2025</v>
      </c>
      <c r="H669" s="145" t="s">
        <v>2026</v>
      </c>
      <c r="I669" s="145" t="s">
        <v>2027</v>
      </c>
      <c r="J669" s="285">
        <v>149557000</v>
      </c>
      <c r="K669" s="145" t="s">
        <v>221</v>
      </c>
      <c r="L669" s="145">
        <v>2948037</v>
      </c>
      <c r="M669" s="145" t="s">
        <v>109</v>
      </c>
      <c r="N669" s="13" t="s">
        <v>1130</v>
      </c>
      <c r="O669" s="13">
        <v>100000000</v>
      </c>
      <c r="P669" s="141"/>
    </row>
    <row r="670" spans="1:16" ht="39" x14ac:dyDescent="0.35">
      <c r="A670" s="145" t="e">
        <f t="shared" si="9"/>
        <v>#REF!</v>
      </c>
      <c r="B670" s="146" t="s">
        <v>18</v>
      </c>
      <c r="C670" s="146" t="s">
        <v>37</v>
      </c>
      <c r="D670" s="146" t="s">
        <v>1521</v>
      </c>
      <c r="E670" s="146" t="s">
        <v>2028</v>
      </c>
      <c r="F670" s="146" t="s">
        <v>302</v>
      </c>
      <c r="G670" s="145" t="s">
        <v>2025</v>
      </c>
      <c r="H670" s="145" t="s">
        <v>2029</v>
      </c>
      <c r="I670" s="145"/>
      <c r="J670" s="285">
        <v>186552000</v>
      </c>
      <c r="K670" s="145" t="s">
        <v>221</v>
      </c>
      <c r="L670" s="145">
        <v>2882881</v>
      </c>
      <c r="M670" s="145" t="s">
        <v>109</v>
      </c>
      <c r="N670" s="13" t="s">
        <v>2030</v>
      </c>
      <c r="O670" s="13">
        <v>84240000</v>
      </c>
      <c r="P670" s="141"/>
    </row>
    <row r="671" spans="1:16" ht="39" x14ac:dyDescent="0.35">
      <c r="A671" s="145" t="e">
        <f t="shared" si="9"/>
        <v>#REF!</v>
      </c>
      <c r="B671" s="146" t="s">
        <v>18</v>
      </c>
      <c r="C671" s="146" t="s">
        <v>37</v>
      </c>
      <c r="D671" s="140" t="s">
        <v>1515</v>
      </c>
      <c r="E671" s="146" t="s">
        <v>2028</v>
      </c>
      <c r="F671" s="146" t="s">
        <v>302</v>
      </c>
      <c r="G671" s="145" t="s">
        <v>2025</v>
      </c>
      <c r="H671" s="145" t="s">
        <v>2029</v>
      </c>
      <c r="I671" s="145"/>
      <c r="J671" s="285">
        <v>186552000</v>
      </c>
      <c r="K671" s="145" t="s">
        <v>221</v>
      </c>
      <c r="L671" s="145">
        <v>2948250</v>
      </c>
      <c r="M671" s="145" t="s">
        <v>109</v>
      </c>
      <c r="N671" s="13" t="s">
        <v>2031</v>
      </c>
      <c r="O671" s="13">
        <v>61776000</v>
      </c>
      <c r="P671" s="141"/>
    </row>
    <row r="672" spans="1:16" ht="78" x14ac:dyDescent="0.35">
      <c r="A672" s="145" t="e">
        <f t="shared" si="9"/>
        <v>#REF!</v>
      </c>
      <c r="B672" s="146" t="s">
        <v>18</v>
      </c>
      <c r="C672" s="146" t="s">
        <v>37</v>
      </c>
      <c r="D672" s="140" t="s">
        <v>1515</v>
      </c>
      <c r="E672" s="146" t="s">
        <v>1979</v>
      </c>
      <c r="F672" s="146" t="s">
        <v>302</v>
      </c>
      <c r="G672" s="145" t="s">
        <v>2025</v>
      </c>
      <c r="H672" s="145" t="s">
        <v>2032</v>
      </c>
      <c r="I672" s="145" t="s">
        <v>2033</v>
      </c>
      <c r="J672" s="285">
        <v>186552000</v>
      </c>
      <c r="K672" s="145" t="s">
        <v>221</v>
      </c>
      <c r="L672" s="145">
        <v>2948062</v>
      </c>
      <c r="M672" s="145" t="s">
        <v>109</v>
      </c>
      <c r="N672" s="13" t="s">
        <v>1130</v>
      </c>
      <c r="O672" s="13">
        <v>100000000</v>
      </c>
      <c r="P672" s="141"/>
    </row>
    <row r="673" spans="1:16" ht="52" x14ac:dyDescent="0.35">
      <c r="A673" s="145" t="e">
        <f t="shared" si="9"/>
        <v>#REF!</v>
      </c>
      <c r="B673" s="146" t="s">
        <v>18</v>
      </c>
      <c r="C673" s="146" t="s">
        <v>37</v>
      </c>
      <c r="D673" s="146" t="s">
        <v>1570</v>
      </c>
      <c r="E673" s="146" t="s">
        <v>2034</v>
      </c>
      <c r="F673" s="146" t="s">
        <v>302</v>
      </c>
      <c r="G673" s="145" t="s">
        <v>2025</v>
      </c>
      <c r="H673" s="145" t="s">
        <v>2035</v>
      </c>
      <c r="I673" s="145" t="s">
        <v>2036</v>
      </c>
      <c r="J673" s="285">
        <v>199636800</v>
      </c>
      <c r="K673" s="145" t="s">
        <v>221</v>
      </c>
      <c r="L673" s="145">
        <v>2948502</v>
      </c>
      <c r="M673" s="145" t="s">
        <v>109</v>
      </c>
      <c r="N673" s="13" t="s">
        <v>2037</v>
      </c>
      <c r="O673" s="13">
        <v>152400000</v>
      </c>
      <c r="P673" s="141"/>
    </row>
    <row r="674" spans="1:16" ht="39" x14ac:dyDescent="0.35">
      <c r="A674" s="145" t="e">
        <f t="shared" si="9"/>
        <v>#REF!</v>
      </c>
      <c r="B674" s="146" t="s">
        <v>18</v>
      </c>
      <c r="C674" s="146" t="s">
        <v>37</v>
      </c>
      <c r="D674" s="146" t="s">
        <v>1521</v>
      </c>
      <c r="E674" s="146" t="s">
        <v>2028</v>
      </c>
      <c r="F674" s="146" t="s">
        <v>302</v>
      </c>
      <c r="G674" s="145" t="s">
        <v>2025</v>
      </c>
      <c r="H674" s="145" t="s">
        <v>2038</v>
      </c>
      <c r="I674" s="145"/>
      <c r="J674" s="285">
        <v>135149000</v>
      </c>
      <c r="K674" s="145" t="s">
        <v>221</v>
      </c>
      <c r="L674" s="145">
        <v>2883510</v>
      </c>
      <c r="M674" s="145" t="s">
        <v>109</v>
      </c>
      <c r="N674" s="13">
        <v>150</v>
      </c>
      <c r="O674" s="13">
        <v>105300000</v>
      </c>
      <c r="P674" s="141"/>
    </row>
    <row r="675" spans="1:16" ht="91" x14ac:dyDescent="0.35">
      <c r="A675" s="145" t="e">
        <f t="shared" si="9"/>
        <v>#REF!</v>
      </c>
      <c r="B675" s="146" t="s">
        <v>18</v>
      </c>
      <c r="C675" s="146" t="s">
        <v>37</v>
      </c>
      <c r="D675" s="140" t="s">
        <v>1515</v>
      </c>
      <c r="E675" s="146" t="s">
        <v>2039</v>
      </c>
      <c r="F675" s="146" t="s">
        <v>302</v>
      </c>
      <c r="G675" s="145" t="s">
        <v>2025</v>
      </c>
      <c r="H675" s="145" t="s">
        <v>2038</v>
      </c>
      <c r="I675" s="145" t="s">
        <v>2040</v>
      </c>
      <c r="J675" s="285">
        <v>133091200</v>
      </c>
      <c r="K675" s="145" t="s">
        <v>221</v>
      </c>
      <c r="L675" s="145">
        <v>2948546</v>
      </c>
      <c r="M675" s="145" t="s">
        <v>109</v>
      </c>
      <c r="N675" s="13" t="s">
        <v>2041</v>
      </c>
      <c r="O675" s="13">
        <v>50800000</v>
      </c>
      <c r="P675" s="141"/>
    </row>
    <row r="676" spans="1:16" ht="91" x14ac:dyDescent="0.35">
      <c r="A676" s="145" t="e">
        <f t="shared" si="9"/>
        <v>#REF!</v>
      </c>
      <c r="B676" s="146" t="s">
        <v>18</v>
      </c>
      <c r="C676" s="146" t="s">
        <v>37</v>
      </c>
      <c r="D676" s="146" t="s">
        <v>476</v>
      </c>
      <c r="E676" s="146" t="s">
        <v>2039</v>
      </c>
      <c r="F676" s="146" t="s">
        <v>302</v>
      </c>
      <c r="G676" s="145" t="s">
        <v>2025</v>
      </c>
      <c r="H676" s="145" t="s">
        <v>2042</v>
      </c>
      <c r="I676" s="145" t="s">
        <v>2043</v>
      </c>
      <c r="J676" s="285">
        <v>199636800</v>
      </c>
      <c r="K676" s="145" t="s">
        <v>221</v>
      </c>
      <c r="L676" s="145">
        <v>2883247</v>
      </c>
      <c r="M676" s="145" t="s">
        <v>109</v>
      </c>
      <c r="N676" s="13" t="s">
        <v>1645</v>
      </c>
      <c r="O676" s="13">
        <v>101600000</v>
      </c>
      <c r="P676" s="141" t="s">
        <v>1839</v>
      </c>
    </row>
    <row r="677" spans="1:16" ht="39" x14ac:dyDescent="0.35">
      <c r="A677" s="145" t="e">
        <f t="shared" si="9"/>
        <v>#REF!</v>
      </c>
      <c r="B677" s="146" t="s">
        <v>18</v>
      </c>
      <c r="C677" s="146" t="s">
        <v>37</v>
      </c>
      <c r="D677" s="146" t="s">
        <v>1803</v>
      </c>
      <c r="E677" s="146" t="s">
        <v>2044</v>
      </c>
      <c r="F677" s="146" t="s">
        <v>302</v>
      </c>
      <c r="G677" s="145" t="s">
        <v>2025</v>
      </c>
      <c r="H677" s="145" t="s">
        <v>2042</v>
      </c>
      <c r="I677" s="145"/>
      <c r="J677" s="285">
        <v>64303000</v>
      </c>
      <c r="K677" s="145" t="s">
        <v>221</v>
      </c>
      <c r="L677" s="145">
        <v>2962444</v>
      </c>
      <c r="M677" s="145" t="s">
        <v>109</v>
      </c>
      <c r="N677" s="13">
        <v>13</v>
      </c>
      <c r="O677" s="13">
        <v>65000000</v>
      </c>
      <c r="P677" s="141" t="s">
        <v>2020</v>
      </c>
    </row>
    <row r="678" spans="1:16" ht="39" x14ac:dyDescent="0.35">
      <c r="A678" s="145" t="e">
        <f t="shared" si="9"/>
        <v>#REF!</v>
      </c>
      <c r="B678" s="146" t="s">
        <v>18</v>
      </c>
      <c r="C678" s="146" t="s">
        <v>37</v>
      </c>
      <c r="D678" s="146" t="s">
        <v>1521</v>
      </c>
      <c r="E678" s="146" t="s">
        <v>2028</v>
      </c>
      <c r="F678" s="146" t="s">
        <v>302</v>
      </c>
      <c r="G678" s="145" t="s">
        <v>2025</v>
      </c>
      <c r="H678" s="145" t="s">
        <v>2045</v>
      </c>
      <c r="I678" s="145"/>
      <c r="J678" s="285">
        <v>109159500</v>
      </c>
      <c r="K678" s="145" t="s">
        <v>221</v>
      </c>
      <c r="L678" s="145">
        <v>2883271</v>
      </c>
      <c r="M678" s="145" t="s">
        <v>109</v>
      </c>
      <c r="N678" s="13">
        <v>200</v>
      </c>
      <c r="O678" s="13">
        <v>140400000</v>
      </c>
      <c r="P678" s="141"/>
    </row>
    <row r="679" spans="1:16" ht="91" x14ac:dyDescent="0.35">
      <c r="A679" s="145" t="e">
        <f t="shared" si="9"/>
        <v>#REF!</v>
      </c>
      <c r="B679" s="146" t="s">
        <v>18</v>
      </c>
      <c r="C679" s="146" t="s">
        <v>37</v>
      </c>
      <c r="D679" s="146" t="s">
        <v>476</v>
      </c>
      <c r="E679" s="146" t="s">
        <v>2039</v>
      </c>
      <c r="F679" s="146" t="s">
        <v>302</v>
      </c>
      <c r="G679" s="145" t="s">
        <v>2025</v>
      </c>
      <c r="H679" s="145" t="s">
        <v>2045</v>
      </c>
      <c r="I679" s="145" t="s">
        <v>2043</v>
      </c>
      <c r="J679" s="285">
        <v>199636800</v>
      </c>
      <c r="K679" s="145" t="s">
        <v>221</v>
      </c>
      <c r="L679" s="145">
        <v>2883373</v>
      </c>
      <c r="M679" s="145" t="s">
        <v>109</v>
      </c>
      <c r="N679" s="13">
        <v>600</v>
      </c>
      <c r="O679" s="13">
        <v>50800000</v>
      </c>
      <c r="P679" s="141" t="s">
        <v>1839</v>
      </c>
    </row>
    <row r="680" spans="1:16" ht="39" x14ac:dyDescent="0.35">
      <c r="A680" s="145" t="e">
        <f t="shared" si="9"/>
        <v>#REF!</v>
      </c>
      <c r="B680" s="146" t="s">
        <v>18</v>
      </c>
      <c r="C680" s="146" t="s">
        <v>37</v>
      </c>
      <c r="D680" s="146" t="s">
        <v>1803</v>
      </c>
      <c r="E680" s="146" t="s">
        <v>2044</v>
      </c>
      <c r="F680" s="146" t="s">
        <v>297</v>
      </c>
      <c r="G680" s="145" t="s">
        <v>579</v>
      </c>
      <c r="H680" s="145" t="s">
        <v>2046</v>
      </c>
      <c r="I680" s="145" t="s">
        <v>48</v>
      </c>
      <c r="J680" s="285">
        <v>250000000</v>
      </c>
      <c r="K680" s="145" t="s">
        <v>221</v>
      </c>
      <c r="L680" s="145">
        <v>2766855</v>
      </c>
      <c r="M680" s="145" t="s">
        <v>109</v>
      </c>
      <c r="N680" s="13">
        <v>50</v>
      </c>
      <c r="O680" s="13">
        <v>250000000</v>
      </c>
      <c r="P680" s="141" t="s">
        <v>2020</v>
      </c>
    </row>
    <row r="681" spans="1:16" ht="39" x14ac:dyDescent="0.35">
      <c r="A681" s="145" t="e">
        <f t="shared" si="9"/>
        <v>#REF!</v>
      </c>
      <c r="B681" s="146" t="s">
        <v>18</v>
      </c>
      <c r="C681" s="146" t="s">
        <v>37</v>
      </c>
      <c r="D681" s="140" t="s">
        <v>1515</v>
      </c>
      <c r="E681" s="146" t="s">
        <v>2047</v>
      </c>
      <c r="F681" s="146" t="s">
        <v>2048</v>
      </c>
      <c r="G681" s="145" t="s">
        <v>579</v>
      </c>
      <c r="H681" s="145" t="s">
        <v>2049</v>
      </c>
      <c r="I681" s="145" t="s">
        <v>48</v>
      </c>
      <c r="J681" s="285">
        <v>100000000</v>
      </c>
      <c r="K681" s="145" t="s">
        <v>221</v>
      </c>
      <c r="L681" s="145"/>
      <c r="M681" s="145" t="s">
        <v>109</v>
      </c>
      <c r="N681" s="13"/>
      <c r="O681" s="13">
        <v>95040000</v>
      </c>
      <c r="P681" s="141"/>
    </row>
    <row r="682" spans="1:16" ht="39" x14ac:dyDescent="0.35">
      <c r="A682" s="145" t="e">
        <f t="shared" si="9"/>
        <v>#REF!</v>
      </c>
      <c r="B682" s="146" t="s">
        <v>18</v>
      </c>
      <c r="C682" s="146" t="s">
        <v>37</v>
      </c>
      <c r="D682" s="140" t="s">
        <v>1515</v>
      </c>
      <c r="E682" s="146" t="s">
        <v>2047</v>
      </c>
      <c r="F682" s="146" t="s">
        <v>2048</v>
      </c>
      <c r="G682" s="145" t="s">
        <v>579</v>
      </c>
      <c r="H682" s="145" t="s">
        <v>2050</v>
      </c>
      <c r="I682" s="145" t="s">
        <v>48</v>
      </c>
      <c r="J682" s="285">
        <v>100000000</v>
      </c>
      <c r="K682" s="145" t="s">
        <v>221</v>
      </c>
      <c r="L682" s="145">
        <v>2768996</v>
      </c>
      <c r="M682" s="145" t="s">
        <v>109</v>
      </c>
      <c r="N682" s="13">
        <v>150</v>
      </c>
      <c r="O682" s="13">
        <v>59400000</v>
      </c>
      <c r="P682" s="141" t="s">
        <v>2051</v>
      </c>
    </row>
    <row r="683" spans="1:16" ht="39" x14ac:dyDescent="0.35">
      <c r="A683" s="145" t="e">
        <f t="shared" si="9"/>
        <v>#REF!</v>
      </c>
      <c r="B683" s="146" t="s">
        <v>18</v>
      </c>
      <c r="C683" s="146" t="s">
        <v>37</v>
      </c>
      <c r="D683" s="140" t="s">
        <v>1515</v>
      </c>
      <c r="E683" s="146" t="s">
        <v>2047</v>
      </c>
      <c r="F683" s="146" t="s">
        <v>2048</v>
      </c>
      <c r="G683" s="145" t="s">
        <v>579</v>
      </c>
      <c r="H683" s="145" t="s">
        <v>2050</v>
      </c>
      <c r="I683" s="145" t="s">
        <v>48</v>
      </c>
      <c r="J683" s="285">
        <v>100000000</v>
      </c>
      <c r="K683" s="145" t="s">
        <v>221</v>
      </c>
      <c r="L683" s="145">
        <v>2768996</v>
      </c>
      <c r="M683" s="145" t="s">
        <v>109</v>
      </c>
      <c r="N683" s="13">
        <v>244</v>
      </c>
      <c r="O683" s="13">
        <v>96624000</v>
      </c>
      <c r="P683" s="141" t="s">
        <v>2052</v>
      </c>
    </row>
    <row r="684" spans="1:16" ht="78" x14ac:dyDescent="0.35">
      <c r="A684" s="145" t="e">
        <f t="shared" si="9"/>
        <v>#REF!</v>
      </c>
      <c r="B684" s="146" t="s">
        <v>18</v>
      </c>
      <c r="C684" s="146" t="s">
        <v>37</v>
      </c>
      <c r="D684" s="140" t="s">
        <v>1515</v>
      </c>
      <c r="E684" s="146" t="s">
        <v>1979</v>
      </c>
      <c r="F684" s="146" t="s">
        <v>2048</v>
      </c>
      <c r="G684" s="145" t="s">
        <v>579</v>
      </c>
      <c r="H684" s="145" t="s">
        <v>2053</v>
      </c>
      <c r="I684" s="145" t="s">
        <v>1782</v>
      </c>
      <c r="J684" s="285">
        <v>74530000</v>
      </c>
      <c r="K684" s="145" t="s">
        <v>221</v>
      </c>
      <c r="L684" s="145">
        <v>2768849</v>
      </c>
      <c r="M684" s="145" t="s">
        <v>109</v>
      </c>
      <c r="N684" s="13">
        <v>108</v>
      </c>
      <c r="O684" s="13">
        <v>300456000</v>
      </c>
      <c r="P684" s="141"/>
    </row>
    <row r="685" spans="1:16" ht="39" x14ac:dyDescent="0.35">
      <c r="A685" s="145" t="e">
        <f t="shared" si="9"/>
        <v>#REF!</v>
      </c>
      <c r="B685" s="146" t="s">
        <v>18</v>
      </c>
      <c r="C685" s="146" t="s">
        <v>37</v>
      </c>
      <c r="D685" s="140" t="s">
        <v>1515</v>
      </c>
      <c r="E685" s="146" t="s">
        <v>2047</v>
      </c>
      <c r="F685" s="146" t="s">
        <v>2048</v>
      </c>
      <c r="G685" s="145" t="s">
        <v>579</v>
      </c>
      <c r="H685" s="145" t="s">
        <v>2050</v>
      </c>
      <c r="I685" s="145" t="s">
        <v>48</v>
      </c>
      <c r="J685" s="285">
        <v>100000000</v>
      </c>
      <c r="K685" s="145" t="s">
        <v>221</v>
      </c>
      <c r="L685" s="145">
        <v>2768996</v>
      </c>
      <c r="M685" s="145" t="s">
        <v>109</v>
      </c>
      <c r="N685" s="13">
        <v>200</v>
      </c>
      <c r="O685" s="13">
        <v>79200000</v>
      </c>
      <c r="P685" s="141"/>
    </row>
    <row r="686" spans="1:16" ht="39" x14ac:dyDescent="0.35">
      <c r="A686" s="145" t="e">
        <f t="shared" si="9"/>
        <v>#REF!</v>
      </c>
      <c r="B686" s="146" t="s">
        <v>18</v>
      </c>
      <c r="C686" s="146" t="s">
        <v>37</v>
      </c>
      <c r="D686" s="140" t="s">
        <v>1634</v>
      </c>
      <c r="E686" s="146" t="s">
        <v>2054</v>
      </c>
      <c r="F686" s="146" t="s">
        <v>2055</v>
      </c>
      <c r="G686" s="145" t="s">
        <v>1147</v>
      </c>
      <c r="H686" s="145" t="s">
        <v>1148</v>
      </c>
      <c r="I686" s="145" t="s">
        <v>54</v>
      </c>
      <c r="J686" s="285">
        <v>100000000</v>
      </c>
      <c r="K686" s="145" t="s">
        <v>221</v>
      </c>
      <c r="L686" s="145">
        <v>2940843</v>
      </c>
      <c r="M686" s="145" t="s">
        <v>109</v>
      </c>
      <c r="N686" s="13">
        <v>3</v>
      </c>
      <c r="O686" s="13">
        <v>105000000</v>
      </c>
      <c r="P686" s="141" t="s">
        <v>2056</v>
      </c>
    </row>
    <row r="687" spans="1:16" ht="39" x14ac:dyDescent="0.35">
      <c r="A687" s="145" t="e">
        <f t="shared" si="9"/>
        <v>#REF!</v>
      </c>
      <c r="B687" s="146" t="s">
        <v>18</v>
      </c>
      <c r="C687" s="146" t="s">
        <v>37</v>
      </c>
      <c r="D687" s="140" t="s">
        <v>1634</v>
      </c>
      <c r="E687" s="146" t="s">
        <v>2054</v>
      </c>
      <c r="F687" s="146" t="s">
        <v>1152</v>
      </c>
      <c r="G687" s="145" t="s">
        <v>1147</v>
      </c>
      <c r="H687" s="145" t="s">
        <v>2057</v>
      </c>
      <c r="I687" s="145" t="s">
        <v>54</v>
      </c>
      <c r="J687" s="285">
        <v>100000000</v>
      </c>
      <c r="K687" s="145" t="s">
        <v>221</v>
      </c>
      <c r="L687" s="145">
        <v>2940771</v>
      </c>
      <c r="M687" s="145" t="s">
        <v>109</v>
      </c>
      <c r="N687" s="13">
        <v>3</v>
      </c>
      <c r="O687" s="13">
        <v>105000000</v>
      </c>
      <c r="P687" s="141" t="s">
        <v>2058</v>
      </c>
    </row>
    <row r="688" spans="1:16" ht="39" x14ac:dyDescent="0.35">
      <c r="A688" s="145" t="e">
        <f t="shared" si="9"/>
        <v>#REF!</v>
      </c>
      <c r="B688" s="146" t="s">
        <v>18</v>
      </c>
      <c r="C688" s="146" t="s">
        <v>37</v>
      </c>
      <c r="D688" s="140" t="s">
        <v>1634</v>
      </c>
      <c r="E688" s="146" t="s">
        <v>2054</v>
      </c>
      <c r="F688" s="146" t="s">
        <v>1155</v>
      </c>
      <c r="G688" s="145" t="s">
        <v>1147</v>
      </c>
      <c r="H688" s="145" t="s">
        <v>1156</v>
      </c>
      <c r="I688" s="145" t="s">
        <v>54</v>
      </c>
      <c r="J688" s="285">
        <v>100000000</v>
      </c>
      <c r="K688" s="145" t="s">
        <v>221</v>
      </c>
      <c r="L688" s="145">
        <v>2940908</v>
      </c>
      <c r="M688" s="145" t="s">
        <v>109</v>
      </c>
      <c r="N688" s="13">
        <v>3</v>
      </c>
      <c r="O688" s="13">
        <v>105000000</v>
      </c>
      <c r="P688" s="141" t="s">
        <v>2058</v>
      </c>
    </row>
    <row r="689" spans="1:16" ht="39" x14ac:dyDescent="0.35">
      <c r="A689" s="145" t="e">
        <f t="shared" si="9"/>
        <v>#REF!</v>
      </c>
      <c r="B689" s="146" t="s">
        <v>18</v>
      </c>
      <c r="C689" s="146" t="s">
        <v>37</v>
      </c>
      <c r="D689" s="140" t="s">
        <v>1634</v>
      </c>
      <c r="E689" s="146" t="s">
        <v>2054</v>
      </c>
      <c r="F689" s="146" t="s">
        <v>1157</v>
      </c>
      <c r="G689" s="145" t="s">
        <v>1147</v>
      </c>
      <c r="H689" s="145" t="s">
        <v>1158</v>
      </c>
      <c r="I689" s="145" t="s">
        <v>54</v>
      </c>
      <c r="J689" s="285">
        <v>100000000</v>
      </c>
      <c r="K689" s="145" t="s">
        <v>221</v>
      </c>
      <c r="L689" s="145">
        <v>2940963</v>
      </c>
      <c r="M689" s="145" t="s">
        <v>109</v>
      </c>
      <c r="N689" s="13">
        <v>3</v>
      </c>
      <c r="O689" s="13">
        <v>105000000</v>
      </c>
      <c r="P689" s="141" t="s">
        <v>2059</v>
      </c>
    </row>
    <row r="690" spans="1:16" ht="39" x14ac:dyDescent="0.35">
      <c r="A690" s="145" t="e">
        <f t="shared" si="9"/>
        <v>#REF!</v>
      </c>
      <c r="B690" s="146" t="s">
        <v>18</v>
      </c>
      <c r="C690" s="146" t="s">
        <v>37</v>
      </c>
      <c r="D690" s="140" t="s">
        <v>1634</v>
      </c>
      <c r="E690" s="146" t="s">
        <v>2054</v>
      </c>
      <c r="F690" s="146" t="s">
        <v>2060</v>
      </c>
      <c r="G690" s="145" t="s">
        <v>1147</v>
      </c>
      <c r="H690" s="145" t="s">
        <v>2061</v>
      </c>
      <c r="I690" s="145" t="s">
        <v>54</v>
      </c>
      <c r="J690" s="285">
        <v>100000000</v>
      </c>
      <c r="K690" s="145" t="s">
        <v>221</v>
      </c>
      <c r="L690" s="145">
        <v>2940659</v>
      </c>
      <c r="M690" s="145" t="s">
        <v>109</v>
      </c>
      <c r="N690" s="13">
        <v>3</v>
      </c>
      <c r="O690" s="13">
        <v>105000000</v>
      </c>
      <c r="P690" s="141" t="s">
        <v>2058</v>
      </c>
    </row>
    <row r="691" spans="1:16" ht="39" x14ac:dyDescent="0.35">
      <c r="A691" s="145" t="e">
        <f t="shared" si="9"/>
        <v>#REF!</v>
      </c>
      <c r="B691" s="146" t="s">
        <v>18</v>
      </c>
      <c r="C691" s="146" t="s">
        <v>37</v>
      </c>
      <c r="D691" s="140" t="s">
        <v>1515</v>
      </c>
      <c r="E691" s="146" t="s">
        <v>2062</v>
      </c>
      <c r="F691" s="146" t="s">
        <v>2063</v>
      </c>
      <c r="G691" s="145" t="s">
        <v>1185</v>
      </c>
      <c r="H691" s="145" t="s">
        <v>2064</v>
      </c>
      <c r="I691" s="145" t="s">
        <v>1187</v>
      </c>
      <c r="J691" s="285">
        <v>80000000</v>
      </c>
      <c r="K691" s="145" t="s">
        <v>221</v>
      </c>
      <c r="L691" s="145">
        <v>2769332</v>
      </c>
      <c r="M691" s="145" t="s">
        <v>109</v>
      </c>
      <c r="N691" s="13">
        <v>500</v>
      </c>
      <c r="O691" s="13">
        <v>149850000</v>
      </c>
      <c r="P691" s="141"/>
    </row>
    <row r="692" spans="1:16" ht="39" x14ac:dyDescent="0.35">
      <c r="A692" s="145" t="e">
        <f t="shared" si="9"/>
        <v>#REF!</v>
      </c>
      <c r="B692" s="146" t="s">
        <v>18</v>
      </c>
      <c r="C692" s="146" t="s">
        <v>37</v>
      </c>
      <c r="D692" s="140" t="s">
        <v>1515</v>
      </c>
      <c r="E692" s="146" t="s">
        <v>2062</v>
      </c>
      <c r="F692" s="146" t="s">
        <v>2065</v>
      </c>
      <c r="G692" s="145" t="s">
        <v>1185</v>
      </c>
      <c r="H692" s="145" t="s">
        <v>2066</v>
      </c>
      <c r="I692" s="145" t="s">
        <v>1272</v>
      </c>
      <c r="J692" s="285">
        <v>100000000</v>
      </c>
      <c r="K692" s="145" t="s">
        <v>221</v>
      </c>
      <c r="L692" s="145">
        <v>2769373</v>
      </c>
      <c r="M692" s="145" t="s">
        <v>109</v>
      </c>
      <c r="N692" s="13">
        <v>600</v>
      </c>
      <c r="O692" s="13">
        <v>179820000</v>
      </c>
      <c r="P692" s="141"/>
    </row>
    <row r="693" spans="1:16" ht="39" x14ac:dyDescent="0.35">
      <c r="A693" s="145" t="e">
        <f t="shared" ref="A693:A736" si="10">A692+1</f>
        <v>#REF!</v>
      </c>
      <c r="B693" s="146" t="s">
        <v>18</v>
      </c>
      <c r="C693" s="146" t="s">
        <v>37</v>
      </c>
      <c r="D693" s="140" t="s">
        <v>1515</v>
      </c>
      <c r="E693" s="146" t="s">
        <v>2062</v>
      </c>
      <c r="F693" s="146" t="s">
        <v>2067</v>
      </c>
      <c r="G693" s="145" t="s">
        <v>1185</v>
      </c>
      <c r="H693" s="145" t="s">
        <v>2068</v>
      </c>
      <c r="I693" s="145" t="s">
        <v>1187</v>
      </c>
      <c r="J693" s="285">
        <v>100000000</v>
      </c>
      <c r="K693" s="145" t="s">
        <v>221</v>
      </c>
      <c r="L693" s="145">
        <v>2769456</v>
      </c>
      <c r="M693" s="145" t="s">
        <v>109</v>
      </c>
      <c r="N693" s="13">
        <v>450</v>
      </c>
      <c r="O693" s="13">
        <v>134865000</v>
      </c>
      <c r="P693" s="141"/>
    </row>
    <row r="694" spans="1:16" ht="39" x14ac:dyDescent="0.35">
      <c r="A694" s="145" t="e">
        <f t="shared" si="10"/>
        <v>#REF!</v>
      </c>
      <c r="B694" s="146" t="s">
        <v>18</v>
      </c>
      <c r="C694" s="146" t="s">
        <v>37</v>
      </c>
      <c r="D694" s="140" t="s">
        <v>1515</v>
      </c>
      <c r="E694" s="146" t="s">
        <v>2062</v>
      </c>
      <c r="F694" s="146" t="s">
        <v>2069</v>
      </c>
      <c r="G694" s="145" t="s">
        <v>1185</v>
      </c>
      <c r="H694" s="145" t="s">
        <v>2070</v>
      </c>
      <c r="I694" s="145" t="s">
        <v>1272</v>
      </c>
      <c r="J694" s="285">
        <v>100000000</v>
      </c>
      <c r="K694" s="145" t="s">
        <v>221</v>
      </c>
      <c r="L694" s="145">
        <v>2769075</v>
      </c>
      <c r="M694" s="145" t="s">
        <v>109</v>
      </c>
      <c r="N694" s="13">
        <v>450</v>
      </c>
      <c r="O694" s="13">
        <v>134865000</v>
      </c>
      <c r="P694" s="141"/>
    </row>
    <row r="695" spans="1:16" ht="39" x14ac:dyDescent="0.35">
      <c r="A695" s="145" t="e">
        <f t="shared" si="10"/>
        <v>#REF!</v>
      </c>
      <c r="B695" s="146" t="s">
        <v>18</v>
      </c>
      <c r="C695" s="146" t="s">
        <v>37</v>
      </c>
      <c r="D695" s="140" t="s">
        <v>1515</v>
      </c>
      <c r="E695" s="146" t="s">
        <v>2062</v>
      </c>
      <c r="F695" s="146" t="s">
        <v>2071</v>
      </c>
      <c r="G695" s="145" t="s">
        <v>1185</v>
      </c>
      <c r="H695" s="145" t="s">
        <v>2072</v>
      </c>
      <c r="I695" s="145" t="s">
        <v>1272</v>
      </c>
      <c r="J695" s="285">
        <v>100000000</v>
      </c>
      <c r="K695" s="145" t="s">
        <v>221</v>
      </c>
      <c r="L695" s="145">
        <v>2769031</v>
      </c>
      <c r="M695" s="145" t="s">
        <v>109</v>
      </c>
      <c r="N695" s="13">
        <v>450</v>
      </c>
      <c r="O695" s="13">
        <v>134865000</v>
      </c>
      <c r="P695" s="141"/>
    </row>
    <row r="696" spans="1:16" ht="39" x14ac:dyDescent="0.35">
      <c r="A696" s="145" t="e">
        <f t="shared" si="10"/>
        <v>#REF!</v>
      </c>
      <c r="B696" s="146" t="s">
        <v>18</v>
      </c>
      <c r="C696" s="146" t="s">
        <v>37</v>
      </c>
      <c r="D696" s="146" t="s">
        <v>476</v>
      </c>
      <c r="E696" s="146" t="s">
        <v>2073</v>
      </c>
      <c r="F696" s="146" t="s">
        <v>297</v>
      </c>
      <c r="G696" s="145" t="s">
        <v>298</v>
      </c>
      <c r="H696" s="145" t="s">
        <v>2074</v>
      </c>
      <c r="I696" s="145" t="s">
        <v>2075</v>
      </c>
      <c r="J696" s="285">
        <v>225000000</v>
      </c>
      <c r="K696" s="145" t="s">
        <v>221</v>
      </c>
      <c r="L696" s="145">
        <v>2941098</v>
      </c>
      <c r="M696" s="145" t="s">
        <v>109</v>
      </c>
      <c r="N696" s="13" t="s">
        <v>2076</v>
      </c>
      <c r="O696" s="13">
        <v>225000000</v>
      </c>
      <c r="P696" s="141" t="s">
        <v>2077</v>
      </c>
    </row>
    <row r="697" spans="1:16" ht="143" x14ac:dyDescent="0.35">
      <c r="A697" s="145" t="e">
        <f t="shared" si="10"/>
        <v>#REF!</v>
      </c>
      <c r="B697" s="146" t="s">
        <v>18</v>
      </c>
      <c r="C697" s="146" t="s">
        <v>37</v>
      </c>
      <c r="D697" s="140" t="s">
        <v>1515</v>
      </c>
      <c r="E697" s="146" t="s">
        <v>1979</v>
      </c>
      <c r="F697" s="146" t="s">
        <v>302</v>
      </c>
      <c r="G697" s="145" t="s">
        <v>303</v>
      </c>
      <c r="H697" s="145" t="s">
        <v>2078</v>
      </c>
      <c r="I697" s="145" t="s">
        <v>2079</v>
      </c>
      <c r="J697" s="285">
        <v>150000000</v>
      </c>
      <c r="K697" s="145" t="s">
        <v>221</v>
      </c>
      <c r="L697" s="145">
        <v>2847165</v>
      </c>
      <c r="M697" s="145" t="s">
        <v>109</v>
      </c>
      <c r="N697" s="13" t="s">
        <v>2080</v>
      </c>
      <c r="O697" s="13">
        <v>99608000</v>
      </c>
      <c r="P697" s="141" t="s">
        <v>584</v>
      </c>
    </row>
    <row r="698" spans="1:16" ht="65" x14ac:dyDescent="0.35">
      <c r="A698" s="145" t="e">
        <f t="shared" si="10"/>
        <v>#REF!</v>
      </c>
      <c r="B698" s="146" t="s">
        <v>18</v>
      </c>
      <c r="C698" s="146" t="s">
        <v>37</v>
      </c>
      <c r="D698" s="140" t="s">
        <v>1515</v>
      </c>
      <c r="E698" s="146" t="s">
        <v>2081</v>
      </c>
      <c r="F698" s="146" t="s">
        <v>302</v>
      </c>
      <c r="G698" s="145" t="s">
        <v>303</v>
      </c>
      <c r="H698" s="145" t="s">
        <v>2082</v>
      </c>
      <c r="I698" s="145" t="s">
        <v>2083</v>
      </c>
      <c r="J698" s="285">
        <v>100000000</v>
      </c>
      <c r="K698" s="145" t="s">
        <v>221</v>
      </c>
      <c r="L698" s="145">
        <v>2847299</v>
      </c>
      <c r="M698" s="145" t="s">
        <v>109</v>
      </c>
      <c r="N698" s="13" t="s">
        <v>2084</v>
      </c>
      <c r="O698" s="13">
        <v>113886000</v>
      </c>
      <c r="P698" s="141" t="s">
        <v>2085</v>
      </c>
    </row>
    <row r="699" spans="1:16" ht="156" x14ac:dyDescent="0.35">
      <c r="A699" s="145" t="e">
        <f t="shared" si="10"/>
        <v>#REF!</v>
      </c>
      <c r="B699" s="146" t="s">
        <v>18</v>
      </c>
      <c r="C699" s="146" t="s">
        <v>37</v>
      </c>
      <c r="D699" s="140" t="s">
        <v>1515</v>
      </c>
      <c r="E699" s="146" t="s">
        <v>1979</v>
      </c>
      <c r="F699" s="146" t="s">
        <v>302</v>
      </c>
      <c r="G699" s="145" t="s">
        <v>303</v>
      </c>
      <c r="H699" s="145" t="s">
        <v>2086</v>
      </c>
      <c r="I699" s="145" t="s">
        <v>2087</v>
      </c>
      <c r="J699" s="285">
        <v>100000000</v>
      </c>
      <c r="K699" s="145" t="s">
        <v>221</v>
      </c>
      <c r="L699" s="145">
        <v>2848430</v>
      </c>
      <c r="M699" s="145" t="s">
        <v>109</v>
      </c>
      <c r="N699" s="13" t="s">
        <v>2088</v>
      </c>
      <c r="O699" s="13">
        <v>100000000</v>
      </c>
      <c r="P699" s="141"/>
    </row>
    <row r="700" spans="1:16" ht="78" x14ac:dyDescent="0.35">
      <c r="A700" s="145" t="e">
        <f t="shared" si="10"/>
        <v>#REF!</v>
      </c>
      <c r="B700" s="146" t="s">
        <v>18</v>
      </c>
      <c r="C700" s="146" t="s">
        <v>37</v>
      </c>
      <c r="D700" s="140" t="s">
        <v>1515</v>
      </c>
      <c r="E700" s="146" t="s">
        <v>1979</v>
      </c>
      <c r="F700" s="146" t="s">
        <v>302</v>
      </c>
      <c r="G700" s="145" t="s">
        <v>303</v>
      </c>
      <c r="H700" s="145" t="s">
        <v>2089</v>
      </c>
      <c r="I700" s="145" t="s">
        <v>2090</v>
      </c>
      <c r="J700" s="285">
        <v>100000000</v>
      </c>
      <c r="K700" s="145" t="s">
        <v>221</v>
      </c>
      <c r="L700" s="145">
        <v>2960050</v>
      </c>
      <c r="M700" s="145" t="s">
        <v>109</v>
      </c>
      <c r="N700" s="13">
        <v>600</v>
      </c>
      <c r="O700" s="13">
        <v>152400000</v>
      </c>
      <c r="P700" s="141" t="s">
        <v>1544</v>
      </c>
    </row>
    <row r="701" spans="1:16" ht="39" x14ac:dyDescent="0.35">
      <c r="A701" s="145" t="e">
        <f t="shared" si="10"/>
        <v>#REF!</v>
      </c>
      <c r="B701" s="146" t="s">
        <v>18</v>
      </c>
      <c r="C701" s="146" t="s">
        <v>37</v>
      </c>
      <c r="D701" s="146" t="s">
        <v>1570</v>
      </c>
      <c r="E701" s="146" t="s">
        <v>1256</v>
      </c>
      <c r="F701" s="146" t="s">
        <v>302</v>
      </c>
      <c r="G701" s="145" t="s">
        <v>303</v>
      </c>
      <c r="H701" s="145" t="s">
        <v>2091</v>
      </c>
      <c r="I701" s="145" t="s">
        <v>2092</v>
      </c>
      <c r="J701" s="285">
        <v>100000000</v>
      </c>
      <c r="K701" s="145" t="s">
        <v>221</v>
      </c>
      <c r="L701" s="145">
        <v>2959686</v>
      </c>
      <c r="M701" s="145" t="s">
        <v>109</v>
      </c>
      <c r="N701" s="13">
        <v>100</v>
      </c>
      <c r="O701" s="13">
        <v>85000000</v>
      </c>
      <c r="P701" s="141" t="s">
        <v>584</v>
      </c>
    </row>
    <row r="702" spans="1:16" ht="78" x14ac:dyDescent="0.35">
      <c r="A702" s="145" t="e">
        <f t="shared" si="10"/>
        <v>#REF!</v>
      </c>
      <c r="B702" s="146" t="s">
        <v>18</v>
      </c>
      <c r="C702" s="146" t="s">
        <v>37</v>
      </c>
      <c r="D702" s="140" t="s">
        <v>1515</v>
      </c>
      <c r="E702" s="146" t="s">
        <v>1979</v>
      </c>
      <c r="F702" s="146" t="s">
        <v>302</v>
      </c>
      <c r="G702" s="145" t="s">
        <v>303</v>
      </c>
      <c r="H702" s="145" t="s">
        <v>2093</v>
      </c>
      <c r="I702" s="145" t="s">
        <v>2094</v>
      </c>
      <c r="J702" s="285">
        <v>100000000</v>
      </c>
      <c r="K702" s="145" t="s">
        <v>221</v>
      </c>
      <c r="L702" s="145">
        <v>2959433</v>
      </c>
      <c r="M702" s="145" t="s">
        <v>109</v>
      </c>
      <c r="N702" s="13">
        <v>500</v>
      </c>
      <c r="O702" s="13">
        <v>127000000</v>
      </c>
      <c r="P702" s="141"/>
    </row>
    <row r="703" spans="1:16" ht="65" x14ac:dyDescent="0.35">
      <c r="A703" s="145" t="e">
        <f t="shared" si="10"/>
        <v>#REF!</v>
      </c>
      <c r="B703" s="146" t="s">
        <v>18</v>
      </c>
      <c r="C703" s="146" t="s">
        <v>37</v>
      </c>
      <c r="D703" s="146" t="s">
        <v>476</v>
      </c>
      <c r="E703" s="146" t="s">
        <v>2095</v>
      </c>
      <c r="F703" s="146" t="s">
        <v>302</v>
      </c>
      <c r="G703" s="145" t="s">
        <v>303</v>
      </c>
      <c r="H703" s="145" t="s">
        <v>2096</v>
      </c>
      <c r="I703" s="145" t="s">
        <v>2097</v>
      </c>
      <c r="J703" s="285">
        <v>100000000</v>
      </c>
      <c r="K703" s="145" t="s">
        <v>221</v>
      </c>
      <c r="L703" s="145">
        <v>2959267</v>
      </c>
      <c r="M703" s="145" t="s">
        <v>109</v>
      </c>
      <c r="N703" s="13" t="s">
        <v>2098</v>
      </c>
      <c r="O703" s="13">
        <v>100000000</v>
      </c>
      <c r="P703" s="141" t="s">
        <v>2099</v>
      </c>
    </row>
    <row r="704" spans="1:16" ht="39" x14ac:dyDescent="0.35">
      <c r="A704" s="145" t="e">
        <f t="shared" si="10"/>
        <v>#REF!</v>
      </c>
      <c r="B704" s="146" t="s">
        <v>18</v>
      </c>
      <c r="C704" s="146" t="s">
        <v>37</v>
      </c>
      <c r="D704" s="140" t="s">
        <v>1515</v>
      </c>
      <c r="E704" s="146" t="s">
        <v>2100</v>
      </c>
      <c r="F704" s="146" t="s">
        <v>307</v>
      </c>
      <c r="G704" s="145" t="s">
        <v>308</v>
      </c>
      <c r="H704" s="145" t="s">
        <v>309</v>
      </c>
      <c r="I704" s="145" t="s">
        <v>2101</v>
      </c>
      <c r="J704" s="285">
        <v>150000000</v>
      </c>
      <c r="K704" s="145" t="s">
        <v>221</v>
      </c>
      <c r="L704" s="145">
        <v>2873487</v>
      </c>
      <c r="M704" s="145" t="s">
        <v>109</v>
      </c>
      <c r="N704" s="13">
        <v>450</v>
      </c>
      <c r="O704" s="13">
        <v>134865000</v>
      </c>
      <c r="P704" s="141" t="s">
        <v>2102</v>
      </c>
    </row>
    <row r="705" spans="1:16" ht="78" x14ac:dyDescent="0.35">
      <c r="A705" s="145" t="e">
        <f t="shared" si="10"/>
        <v>#REF!</v>
      </c>
      <c r="B705" s="146" t="s">
        <v>18</v>
      </c>
      <c r="C705" s="146" t="s">
        <v>37</v>
      </c>
      <c r="D705" s="140" t="s">
        <v>1515</v>
      </c>
      <c r="E705" s="146" t="s">
        <v>1979</v>
      </c>
      <c r="F705" s="146" t="s">
        <v>2103</v>
      </c>
      <c r="G705" s="145" t="s">
        <v>308</v>
      </c>
      <c r="H705" s="145" t="s">
        <v>2104</v>
      </c>
      <c r="I705" s="145" t="s">
        <v>2105</v>
      </c>
      <c r="J705" s="285">
        <v>200000000</v>
      </c>
      <c r="K705" s="145" t="s">
        <v>221</v>
      </c>
      <c r="L705" s="145">
        <v>2907382</v>
      </c>
      <c r="M705" s="145" t="s">
        <v>109</v>
      </c>
      <c r="N705" s="13">
        <v>450</v>
      </c>
      <c r="O705" s="13">
        <v>114300000</v>
      </c>
      <c r="P705" s="141" t="s">
        <v>1810</v>
      </c>
    </row>
    <row r="706" spans="1:16" ht="78" x14ac:dyDescent="0.35">
      <c r="A706" s="145" t="e">
        <f t="shared" si="10"/>
        <v>#REF!</v>
      </c>
      <c r="B706" s="146" t="s">
        <v>18</v>
      </c>
      <c r="C706" s="146" t="s">
        <v>37</v>
      </c>
      <c r="D706" s="140" t="s">
        <v>1515</v>
      </c>
      <c r="E706" s="146" t="s">
        <v>1979</v>
      </c>
      <c r="F706" s="146" t="s">
        <v>1168</v>
      </c>
      <c r="G706" s="145" t="s">
        <v>308</v>
      </c>
      <c r="H706" s="145" t="s">
        <v>1169</v>
      </c>
      <c r="I706" s="145" t="s">
        <v>2106</v>
      </c>
      <c r="J706" s="285">
        <v>50000000</v>
      </c>
      <c r="K706" s="145" t="s">
        <v>221</v>
      </c>
      <c r="L706" s="145">
        <v>2907424</v>
      </c>
      <c r="M706" s="145" t="s">
        <v>109</v>
      </c>
      <c r="N706" s="13">
        <v>150</v>
      </c>
      <c r="O706" s="13">
        <v>38100000</v>
      </c>
      <c r="P706" s="141" t="s">
        <v>1810</v>
      </c>
    </row>
    <row r="707" spans="1:16" ht="39" x14ac:dyDescent="0.35">
      <c r="A707" s="145" t="e">
        <f t="shared" si="10"/>
        <v>#REF!</v>
      </c>
      <c r="B707" s="146" t="s">
        <v>18</v>
      </c>
      <c r="C707" s="146" t="s">
        <v>37</v>
      </c>
      <c r="D707" s="140" t="s">
        <v>1634</v>
      </c>
      <c r="E707" s="146" t="s">
        <v>2054</v>
      </c>
      <c r="F707" s="146" t="s">
        <v>315</v>
      </c>
      <c r="G707" s="145" t="s">
        <v>308</v>
      </c>
      <c r="H707" s="145" t="s">
        <v>316</v>
      </c>
      <c r="I707" s="145" t="s">
        <v>25</v>
      </c>
      <c r="J707" s="285">
        <v>25000000</v>
      </c>
      <c r="K707" s="145" t="s">
        <v>221</v>
      </c>
      <c r="L707" s="145">
        <v>2910959</v>
      </c>
      <c r="M707" s="145" t="s">
        <v>109</v>
      </c>
      <c r="N707" s="13">
        <v>1</v>
      </c>
      <c r="O707" s="13">
        <v>25000000</v>
      </c>
      <c r="P707" s="141" t="s">
        <v>2107</v>
      </c>
    </row>
    <row r="708" spans="1:16" ht="39" x14ac:dyDescent="0.35">
      <c r="A708" s="145" t="e">
        <f t="shared" si="10"/>
        <v>#REF!</v>
      </c>
      <c r="B708" s="146" t="s">
        <v>18</v>
      </c>
      <c r="C708" s="146" t="s">
        <v>37</v>
      </c>
      <c r="D708" s="140" t="s">
        <v>1634</v>
      </c>
      <c r="E708" s="146" t="s">
        <v>2054</v>
      </c>
      <c r="F708" s="146" t="s">
        <v>315</v>
      </c>
      <c r="G708" s="145" t="s">
        <v>308</v>
      </c>
      <c r="H708" s="145" t="s">
        <v>316</v>
      </c>
      <c r="I708" s="145" t="s">
        <v>25</v>
      </c>
      <c r="J708" s="285">
        <v>25000000</v>
      </c>
      <c r="K708" s="145" t="s">
        <v>221</v>
      </c>
      <c r="L708" s="145">
        <v>2911039</v>
      </c>
      <c r="M708" s="145" t="s">
        <v>109</v>
      </c>
      <c r="N708" s="13">
        <v>1</v>
      </c>
      <c r="O708" s="13">
        <v>25000000</v>
      </c>
      <c r="P708" s="141" t="s">
        <v>2107</v>
      </c>
    </row>
    <row r="709" spans="1:16" ht="39" x14ac:dyDescent="0.35">
      <c r="A709" s="145" t="e">
        <f t="shared" si="10"/>
        <v>#REF!</v>
      </c>
      <c r="B709" s="146" t="s">
        <v>18</v>
      </c>
      <c r="C709" s="146" t="s">
        <v>37</v>
      </c>
      <c r="D709" s="140" t="s">
        <v>1634</v>
      </c>
      <c r="E709" s="146" t="s">
        <v>2054</v>
      </c>
      <c r="F709" s="146" t="s">
        <v>315</v>
      </c>
      <c r="G709" s="145" t="s">
        <v>308</v>
      </c>
      <c r="H709" s="145" t="s">
        <v>316</v>
      </c>
      <c r="I709" s="145" t="s">
        <v>25</v>
      </c>
      <c r="J709" s="285">
        <v>25000000</v>
      </c>
      <c r="K709" s="145" t="s">
        <v>221</v>
      </c>
      <c r="L709" s="145">
        <v>2911085</v>
      </c>
      <c r="M709" s="145" t="s">
        <v>109</v>
      </c>
      <c r="N709" s="13">
        <v>1</v>
      </c>
      <c r="O709" s="13">
        <v>25000000</v>
      </c>
      <c r="P709" s="141" t="s">
        <v>2107</v>
      </c>
    </row>
    <row r="710" spans="1:16" ht="39" x14ac:dyDescent="0.35">
      <c r="A710" s="145" t="e">
        <f t="shared" si="10"/>
        <v>#REF!</v>
      </c>
      <c r="B710" s="146" t="s">
        <v>18</v>
      </c>
      <c r="C710" s="146" t="s">
        <v>37</v>
      </c>
      <c r="D710" s="146" t="s">
        <v>1803</v>
      </c>
      <c r="E710" s="146" t="s">
        <v>2044</v>
      </c>
      <c r="F710" s="146" t="s">
        <v>690</v>
      </c>
      <c r="G710" s="145" t="s">
        <v>308</v>
      </c>
      <c r="H710" s="145" t="s">
        <v>691</v>
      </c>
      <c r="I710" s="145" t="s">
        <v>25</v>
      </c>
      <c r="J710" s="285">
        <v>50000000</v>
      </c>
      <c r="K710" s="145" t="s">
        <v>221</v>
      </c>
      <c r="L710" s="145">
        <v>2913002</v>
      </c>
      <c r="M710" s="145" t="s">
        <v>109</v>
      </c>
      <c r="N710" s="13">
        <v>10</v>
      </c>
      <c r="O710" s="13">
        <v>50000000</v>
      </c>
      <c r="P710" s="141" t="s">
        <v>2020</v>
      </c>
    </row>
    <row r="711" spans="1:16" ht="39" x14ac:dyDescent="0.35">
      <c r="A711" s="145" t="e">
        <f t="shared" si="10"/>
        <v>#REF!</v>
      </c>
      <c r="B711" s="146" t="s">
        <v>18</v>
      </c>
      <c r="C711" s="146" t="s">
        <v>37</v>
      </c>
      <c r="D711" s="146" t="s">
        <v>1803</v>
      </c>
      <c r="E711" s="146" t="s">
        <v>2108</v>
      </c>
      <c r="F711" s="146" t="s">
        <v>690</v>
      </c>
      <c r="G711" s="145" t="s">
        <v>308</v>
      </c>
      <c r="H711" s="145" t="s">
        <v>691</v>
      </c>
      <c r="I711" s="145" t="s">
        <v>1170</v>
      </c>
      <c r="J711" s="285">
        <v>50000000</v>
      </c>
      <c r="K711" s="145" t="s">
        <v>221</v>
      </c>
      <c r="L711" s="145">
        <v>2913564</v>
      </c>
      <c r="M711" s="145" t="s">
        <v>109</v>
      </c>
      <c r="N711" s="13">
        <v>10</v>
      </c>
      <c r="O711" s="13">
        <v>50000000</v>
      </c>
      <c r="P711" s="141" t="s">
        <v>2020</v>
      </c>
    </row>
    <row r="712" spans="1:16" ht="78" x14ac:dyDescent="0.35">
      <c r="A712" s="145" t="e">
        <f t="shared" si="10"/>
        <v>#REF!</v>
      </c>
      <c r="B712" s="146" t="s">
        <v>18</v>
      </c>
      <c r="C712" s="146" t="s">
        <v>37</v>
      </c>
      <c r="D712" s="140" t="s">
        <v>1515</v>
      </c>
      <c r="E712" s="146" t="s">
        <v>1979</v>
      </c>
      <c r="F712" s="146" t="s">
        <v>2109</v>
      </c>
      <c r="G712" s="145" t="s">
        <v>308</v>
      </c>
      <c r="H712" s="145" t="s">
        <v>1172</v>
      </c>
      <c r="I712" s="145" t="s">
        <v>2110</v>
      </c>
      <c r="J712" s="285">
        <v>150000000</v>
      </c>
      <c r="K712" s="145" t="s">
        <v>221</v>
      </c>
      <c r="L712" s="145">
        <v>2913971</v>
      </c>
      <c r="M712" s="145" t="s">
        <v>109</v>
      </c>
      <c r="N712" s="13">
        <v>400</v>
      </c>
      <c r="O712" s="13">
        <v>131147539.99999999</v>
      </c>
      <c r="P712" s="141" t="s">
        <v>2102</v>
      </c>
    </row>
    <row r="713" spans="1:16" ht="65" x14ac:dyDescent="0.35">
      <c r="A713" s="145" t="e">
        <f t="shared" si="10"/>
        <v>#REF!</v>
      </c>
      <c r="B713" s="146" t="s">
        <v>18</v>
      </c>
      <c r="C713" s="146" t="s">
        <v>37</v>
      </c>
      <c r="D713" s="140" t="s">
        <v>1515</v>
      </c>
      <c r="E713" s="146" t="s">
        <v>2111</v>
      </c>
      <c r="F713" s="146" t="s">
        <v>302</v>
      </c>
      <c r="G713" s="145" t="s">
        <v>587</v>
      </c>
      <c r="H713" s="145" t="s">
        <v>2112</v>
      </c>
      <c r="I713" s="145" t="s">
        <v>2113</v>
      </c>
      <c r="J713" s="285">
        <v>300000000</v>
      </c>
      <c r="K713" s="145" t="s">
        <v>221</v>
      </c>
      <c r="L713" s="145">
        <v>2870355</v>
      </c>
      <c r="M713" s="145" t="s">
        <v>109</v>
      </c>
      <c r="N713" s="13" t="s">
        <v>2114</v>
      </c>
      <c r="O713" s="13">
        <v>177800000</v>
      </c>
      <c r="P713" s="141" t="s">
        <v>1810</v>
      </c>
    </row>
    <row r="714" spans="1:16" ht="39" x14ac:dyDescent="0.35">
      <c r="A714" s="145" t="e">
        <f t="shared" si="10"/>
        <v>#REF!</v>
      </c>
      <c r="B714" s="146" t="s">
        <v>18</v>
      </c>
      <c r="C714" s="146" t="s">
        <v>37</v>
      </c>
      <c r="D714" s="140" t="s">
        <v>1515</v>
      </c>
      <c r="E714" s="146" t="s">
        <v>2115</v>
      </c>
      <c r="F714" s="146" t="s">
        <v>302</v>
      </c>
      <c r="G714" s="145" t="s">
        <v>587</v>
      </c>
      <c r="H714" s="145" t="s">
        <v>2116</v>
      </c>
      <c r="I714" s="145" t="s">
        <v>2117</v>
      </c>
      <c r="J714" s="285">
        <v>250000000</v>
      </c>
      <c r="K714" s="145" t="s">
        <v>221</v>
      </c>
      <c r="L714" s="145">
        <v>2870555</v>
      </c>
      <c r="M714" s="145" t="s">
        <v>109</v>
      </c>
      <c r="N714" s="13" t="s">
        <v>2117</v>
      </c>
      <c r="O714" s="13">
        <v>250000000</v>
      </c>
      <c r="P714" s="141"/>
    </row>
    <row r="715" spans="1:16" ht="39" x14ac:dyDescent="0.35">
      <c r="A715" s="145" t="e">
        <f t="shared" si="10"/>
        <v>#REF!</v>
      </c>
      <c r="B715" s="146" t="s">
        <v>18</v>
      </c>
      <c r="C715" s="146" t="s">
        <v>37</v>
      </c>
      <c r="D715" s="140" t="s">
        <v>1515</v>
      </c>
      <c r="E715" s="146" t="s">
        <v>2118</v>
      </c>
      <c r="F715" s="146" t="s">
        <v>302</v>
      </c>
      <c r="G715" s="145" t="s">
        <v>587</v>
      </c>
      <c r="H715" s="145" t="s">
        <v>2119</v>
      </c>
      <c r="I715" s="145" t="s">
        <v>2120</v>
      </c>
      <c r="J715" s="285">
        <v>300000000</v>
      </c>
      <c r="K715" s="145" t="s">
        <v>221</v>
      </c>
      <c r="L715" s="145">
        <v>2870462</v>
      </c>
      <c r="M715" s="145" t="s">
        <v>109</v>
      </c>
      <c r="N715" s="13" t="s">
        <v>2121</v>
      </c>
      <c r="O715" s="13">
        <v>190500000</v>
      </c>
      <c r="P715" s="141"/>
    </row>
    <row r="716" spans="1:16" ht="39" x14ac:dyDescent="0.35">
      <c r="A716" s="145" t="e">
        <f t="shared" si="10"/>
        <v>#REF!</v>
      </c>
      <c r="B716" s="146" t="s">
        <v>18</v>
      </c>
      <c r="C716" s="146" t="s">
        <v>37</v>
      </c>
      <c r="D716" s="140" t="s">
        <v>1515</v>
      </c>
      <c r="E716" s="146" t="s">
        <v>2122</v>
      </c>
      <c r="F716" s="146" t="s">
        <v>302</v>
      </c>
      <c r="G716" s="145" t="s">
        <v>587</v>
      </c>
      <c r="H716" s="145" t="s">
        <v>2123</v>
      </c>
      <c r="I716" s="145" t="s">
        <v>1213</v>
      </c>
      <c r="J716" s="285">
        <v>150000000</v>
      </c>
      <c r="K716" s="145" t="s">
        <v>221</v>
      </c>
      <c r="L716" s="145">
        <v>3011148</v>
      </c>
      <c r="M716" s="145" t="s">
        <v>109</v>
      </c>
      <c r="N716" s="13" t="s">
        <v>1213</v>
      </c>
      <c r="O716" s="13">
        <v>150000000</v>
      </c>
      <c r="P716" s="141"/>
    </row>
    <row r="717" spans="1:16" ht="39" x14ac:dyDescent="0.35">
      <c r="A717" s="145" t="e">
        <f t="shared" si="10"/>
        <v>#REF!</v>
      </c>
      <c r="B717" s="146" t="s">
        <v>18</v>
      </c>
      <c r="C717" s="146" t="s">
        <v>37</v>
      </c>
      <c r="D717" s="140" t="s">
        <v>1515</v>
      </c>
      <c r="E717" s="146" t="s">
        <v>2124</v>
      </c>
      <c r="F717" s="146" t="s">
        <v>302</v>
      </c>
      <c r="G717" s="145" t="s">
        <v>587</v>
      </c>
      <c r="H717" s="145" t="s">
        <v>2125</v>
      </c>
      <c r="I717" s="145" t="s">
        <v>341</v>
      </c>
      <c r="J717" s="285">
        <v>100000000</v>
      </c>
      <c r="K717" s="145" t="s">
        <v>221</v>
      </c>
      <c r="L717" s="145">
        <v>3011136</v>
      </c>
      <c r="M717" s="145" t="s">
        <v>109</v>
      </c>
      <c r="N717" s="13">
        <v>600</v>
      </c>
      <c r="O717" s="13">
        <v>152400000</v>
      </c>
      <c r="P717" s="141" t="s">
        <v>1810</v>
      </c>
    </row>
    <row r="718" spans="1:16" ht="39" x14ac:dyDescent="0.35">
      <c r="A718" s="145" t="e">
        <f t="shared" si="10"/>
        <v>#REF!</v>
      </c>
      <c r="B718" s="146" t="s">
        <v>18</v>
      </c>
      <c r="C718" s="146" t="s">
        <v>37</v>
      </c>
      <c r="D718" s="140" t="s">
        <v>1634</v>
      </c>
      <c r="E718" s="146" t="s">
        <v>2126</v>
      </c>
      <c r="F718" s="146" t="s">
        <v>302</v>
      </c>
      <c r="G718" s="145" t="s">
        <v>319</v>
      </c>
      <c r="H718" s="145" t="s">
        <v>2127</v>
      </c>
      <c r="I718" s="145" t="s">
        <v>2128</v>
      </c>
      <c r="J718" s="285">
        <v>100000000</v>
      </c>
      <c r="K718" s="145" t="s">
        <v>221</v>
      </c>
      <c r="L718" s="145">
        <v>2913054</v>
      </c>
      <c r="M718" s="145" t="s">
        <v>109</v>
      </c>
      <c r="N718" s="13">
        <v>70</v>
      </c>
      <c r="O718" s="13">
        <v>49140000</v>
      </c>
      <c r="P718" s="141"/>
    </row>
    <row r="719" spans="1:16" ht="104" x14ac:dyDescent="0.35">
      <c r="A719" s="145" t="e">
        <f t="shared" si="10"/>
        <v>#REF!</v>
      </c>
      <c r="B719" s="146" t="s">
        <v>18</v>
      </c>
      <c r="C719" s="146" t="s">
        <v>37</v>
      </c>
      <c r="D719" s="140" t="s">
        <v>1515</v>
      </c>
      <c r="E719" s="146" t="s">
        <v>2129</v>
      </c>
      <c r="F719" s="146" t="s">
        <v>302</v>
      </c>
      <c r="G719" s="145" t="s">
        <v>319</v>
      </c>
      <c r="H719" s="145" t="s">
        <v>2130</v>
      </c>
      <c r="I719" s="145" t="s">
        <v>695</v>
      </c>
      <c r="J719" s="285">
        <v>100000000</v>
      </c>
      <c r="K719" s="145" t="s">
        <v>221</v>
      </c>
      <c r="L719" s="145">
        <v>2913451</v>
      </c>
      <c r="M719" s="145" t="s">
        <v>109</v>
      </c>
      <c r="N719" s="13" t="s">
        <v>2131</v>
      </c>
      <c r="O719" s="13">
        <v>148515000</v>
      </c>
      <c r="P719" s="141" t="s">
        <v>2132</v>
      </c>
    </row>
    <row r="720" spans="1:16" ht="39" x14ac:dyDescent="0.35">
      <c r="A720" s="145" t="e">
        <f t="shared" si="10"/>
        <v>#REF!</v>
      </c>
      <c r="B720" s="146" t="s">
        <v>18</v>
      </c>
      <c r="C720" s="146" t="s">
        <v>37</v>
      </c>
      <c r="D720" s="140" t="s">
        <v>1634</v>
      </c>
      <c r="E720" s="146" t="s">
        <v>2133</v>
      </c>
      <c r="F720" s="146" t="s">
        <v>302</v>
      </c>
      <c r="G720" s="145" t="s">
        <v>319</v>
      </c>
      <c r="H720" s="145" t="s">
        <v>2134</v>
      </c>
      <c r="I720" s="145" t="s">
        <v>2135</v>
      </c>
      <c r="J720" s="285">
        <v>100000000</v>
      </c>
      <c r="K720" s="145" t="s">
        <v>221</v>
      </c>
      <c r="L720" s="145">
        <v>2913788</v>
      </c>
      <c r="M720" s="145" t="s">
        <v>109</v>
      </c>
      <c r="N720" s="13">
        <v>3</v>
      </c>
      <c r="O720" s="13">
        <v>100500000</v>
      </c>
      <c r="P720" s="141"/>
    </row>
    <row r="721" spans="1:16" ht="39" x14ac:dyDescent="0.35">
      <c r="A721" s="145" t="e">
        <f t="shared" si="10"/>
        <v>#REF!</v>
      </c>
      <c r="B721" s="146" t="s">
        <v>18</v>
      </c>
      <c r="C721" s="146" t="s">
        <v>37</v>
      </c>
      <c r="D721" s="146" t="s">
        <v>1521</v>
      </c>
      <c r="E721" s="146" t="s">
        <v>2136</v>
      </c>
      <c r="F721" s="146" t="s">
        <v>302</v>
      </c>
      <c r="G721" s="145" t="s">
        <v>319</v>
      </c>
      <c r="H721" s="145" t="s">
        <v>2137</v>
      </c>
      <c r="I721" s="145" t="s">
        <v>1259</v>
      </c>
      <c r="J721" s="285">
        <v>100000000</v>
      </c>
      <c r="K721" s="145" t="s">
        <v>221</v>
      </c>
      <c r="L721" s="145">
        <v>2913996</v>
      </c>
      <c r="M721" s="145" t="s">
        <v>109</v>
      </c>
      <c r="N721" s="13" t="s">
        <v>2138</v>
      </c>
      <c r="O721" s="13">
        <v>116425000</v>
      </c>
      <c r="P721" s="141"/>
    </row>
    <row r="722" spans="1:16" ht="39" x14ac:dyDescent="0.35">
      <c r="A722" s="145" t="e">
        <f t="shared" si="10"/>
        <v>#REF!</v>
      </c>
      <c r="B722" s="146" t="s">
        <v>18</v>
      </c>
      <c r="C722" s="146" t="s">
        <v>37</v>
      </c>
      <c r="D722" s="146" t="s">
        <v>476</v>
      </c>
      <c r="E722" s="146" t="s">
        <v>2139</v>
      </c>
      <c r="F722" s="146" t="s">
        <v>302</v>
      </c>
      <c r="G722" s="145" t="s">
        <v>319</v>
      </c>
      <c r="H722" s="145" t="s">
        <v>2140</v>
      </c>
      <c r="I722" s="145" t="s">
        <v>1187</v>
      </c>
      <c r="J722" s="285">
        <v>100000000</v>
      </c>
      <c r="K722" s="145" t="s">
        <v>221</v>
      </c>
      <c r="L722" s="145">
        <v>2916046</v>
      </c>
      <c r="M722" s="145" t="s">
        <v>109</v>
      </c>
      <c r="N722" s="13">
        <v>400</v>
      </c>
      <c r="O722" s="13">
        <v>101600000</v>
      </c>
      <c r="P722" s="141" t="s">
        <v>1839</v>
      </c>
    </row>
    <row r="723" spans="1:16" ht="39" x14ac:dyDescent="0.35">
      <c r="A723" s="145" t="e">
        <f t="shared" si="10"/>
        <v>#REF!</v>
      </c>
      <c r="B723" s="146" t="s">
        <v>18</v>
      </c>
      <c r="C723" s="146" t="s">
        <v>37</v>
      </c>
      <c r="D723" s="146" t="s">
        <v>1803</v>
      </c>
      <c r="E723" s="146" t="s">
        <v>2141</v>
      </c>
      <c r="F723" s="146" t="s">
        <v>302</v>
      </c>
      <c r="G723" s="145" t="s">
        <v>319</v>
      </c>
      <c r="H723" s="145" t="s">
        <v>2142</v>
      </c>
      <c r="I723" s="145" t="s">
        <v>2143</v>
      </c>
      <c r="J723" s="285">
        <v>100000000</v>
      </c>
      <c r="K723" s="145" t="s">
        <v>221</v>
      </c>
      <c r="L723" s="145">
        <v>2916611</v>
      </c>
      <c r="M723" s="145" t="s">
        <v>109</v>
      </c>
      <c r="N723" s="13">
        <v>20</v>
      </c>
      <c r="O723" s="13">
        <v>100000000</v>
      </c>
      <c r="P723" s="141" t="s">
        <v>2020</v>
      </c>
    </row>
    <row r="724" spans="1:16" ht="52" x14ac:dyDescent="0.35">
      <c r="A724" s="145" t="e">
        <f t="shared" si="10"/>
        <v>#REF!</v>
      </c>
      <c r="B724" s="146" t="s">
        <v>18</v>
      </c>
      <c r="C724" s="146" t="s">
        <v>37</v>
      </c>
      <c r="D724" s="140" t="s">
        <v>1634</v>
      </c>
      <c r="E724" s="146" t="s">
        <v>2144</v>
      </c>
      <c r="F724" s="146" t="s">
        <v>302</v>
      </c>
      <c r="G724" s="145" t="s">
        <v>319</v>
      </c>
      <c r="H724" s="145" t="s">
        <v>2145</v>
      </c>
      <c r="I724" s="145" t="s">
        <v>2146</v>
      </c>
      <c r="J724" s="285">
        <v>50000000</v>
      </c>
      <c r="K724" s="145" t="s">
        <v>221</v>
      </c>
      <c r="L724" s="145">
        <v>2918035</v>
      </c>
      <c r="M724" s="145" t="s">
        <v>109</v>
      </c>
      <c r="N724" s="13" t="s">
        <v>2147</v>
      </c>
      <c r="O724" s="13">
        <v>166920000</v>
      </c>
      <c r="P724" s="141"/>
    </row>
    <row r="725" spans="1:16" ht="39" x14ac:dyDescent="0.35">
      <c r="A725" s="145" t="e">
        <f t="shared" si="10"/>
        <v>#REF!</v>
      </c>
      <c r="B725" s="146" t="s">
        <v>18</v>
      </c>
      <c r="C725" s="146" t="s">
        <v>37</v>
      </c>
      <c r="D725" s="146" t="s">
        <v>1570</v>
      </c>
      <c r="E725" s="146" t="s">
        <v>2148</v>
      </c>
      <c r="F725" s="146" t="s">
        <v>302</v>
      </c>
      <c r="G725" s="145" t="s">
        <v>319</v>
      </c>
      <c r="H725" s="145" t="s">
        <v>2149</v>
      </c>
      <c r="I725" s="145" t="s">
        <v>1259</v>
      </c>
      <c r="J725" s="285">
        <v>60000000</v>
      </c>
      <c r="K725" s="145" t="s">
        <v>221</v>
      </c>
      <c r="L725" s="145">
        <v>2932574</v>
      </c>
      <c r="M725" s="145" t="s">
        <v>109</v>
      </c>
      <c r="N725" s="13" t="s">
        <v>2138</v>
      </c>
      <c r="O725" s="13">
        <v>69550000</v>
      </c>
      <c r="P725" s="141" t="s">
        <v>2150</v>
      </c>
    </row>
    <row r="726" spans="1:16" ht="104" x14ac:dyDescent="0.35">
      <c r="A726" s="145" t="e">
        <f t="shared" si="10"/>
        <v>#REF!</v>
      </c>
      <c r="B726" s="146" t="s">
        <v>18</v>
      </c>
      <c r="C726" s="146" t="s">
        <v>37</v>
      </c>
      <c r="D726" s="140" t="s">
        <v>1515</v>
      </c>
      <c r="E726" s="146" t="s">
        <v>2151</v>
      </c>
      <c r="F726" s="146" t="s">
        <v>302</v>
      </c>
      <c r="G726" s="145" t="s">
        <v>319</v>
      </c>
      <c r="H726" s="145" t="s">
        <v>2149</v>
      </c>
      <c r="I726" s="145" t="s">
        <v>2152</v>
      </c>
      <c r="J726" s="285">
        <v>40000000</v>
      </c>
      <c r="K726" s="145" t="s">
        <v>221</v>
      </c>
      <c r="L726" s="145">
        <v>2932493</v>
      </c>
      <c r="M726" s="145" t="s">
        <v>109</v>
      </c>
      <c r="N726" s="13">
        <v>178</v>
      </c>
      <c r="O726" s="13">
        <v>45212000</v>
      </c>
      <c r="P726" s="141"/>
    </row>
    <row r="727" spans="1:16" ht="52" x14ac:dyDescent="0.35">
      <c r="A727" s="145" t="e">
        <f t="shared" si="10"/>
        <v>#REF!</v>
      </c>
      <c r="B727" s="146" t="s">
        <v>18</v>
      </c>
      <c r="C727" s="146" t="s">
        <v>37</v>
      </c>
      <c r="D727" s="140" t="s">
        <v>1515</v>
      </c>
      <c r="E727" s="146" t="s">
        <v>2153</v>
      </c>
      <c r="F727" s="146" t="s">
        <v>2154</v>
      </c>
      <c r="G727" s="145" t="s">
        <v>325</v>
      </c>
      <c r="H727" s="145" t="s">
        <v>2155</v>
      </c>
      <c r="I727" s="145" t="s">
        <v>2156</v>
      </c>
      <c r="J727" s="285">
        <v>104902000</v>
      </c>
      <c r="K727" s="145" t="s">
        <v>221</v>
      </c>
      <c r="L727" s="145">
        <v>3149868</v>
      </c>
      <c r="M727" s="145" t="s">
        <v>109</v>
      </c>
      <c r="N727" s="13">
        <v>600</v>
      </c>
      <c r="O727" s="13">
        <v>152400000</v>
      </c>
      <c r="P727" s="141"/>
    </row>
    <row r="728" spans="1:16" ht="65" x14ac:dyDescent="0.35">
      <c r="A728" s="145" t="e">
        <f t="shared" si="10"/>
        <v>#REF!</v>
      </c>
      <c r="B728" s="146" t="s">
        <v>18</v>
      </c>
      <c r="C728" s="146" t="s">
        <v>37</v>
      </c>
      <c r="D728" s="140" t="s">
        <v>1515</v>
      </c>
      <c r="E728" s="146" t="s">
        <v>2157</v>
      </c>
      <c r="F728" s="146" t="s">
        <v>2158</v>
      </c>
      <c r="G728" s="145" t="s">
        <v>325</v>
      </c>
      <c r="H728" s="145" t="s">
        <v>2159</v>
      </c>
      <c r="I728" s="145" t="s">
        <v>2156</v>
      </c>
      <c r="J728" s="285">
        <v>104902000</v>
      </c>
      <c r="K728" s="145" t="s">
        <v>221</v>
      </c>
      <c r="L728" s="145">
        <v>3254716</v>
      </c>
      <c r="M728" s="145" t="s">
        <v>109</v>
      </c>
      <c r="N728" s="13">
        <v>600</v>
      </c>
      <c r="O728" s="13">
        <v>152400000</v>
      </c>
      <c r="P728" s="141"/>
    </row>
    <row r="729" spans="1:16" ht="65" x14ac:dyDescent="0.35">
      <c r="A729" s="145" t="e">
        <f t="shared" si="10"/>
        <v>#REF!</v>
      </c>
      <c r="B729" s="146" t="s">
        <v>18</v>
      </c>
      <c r="C729" s="146" t="s">
        <v>37</v>
      </c>
      <c r="D729" s="140" t="s">
        <v>1515</v>
      </c>
      <c r="E729" s="146" t="s">
        <v>2160</v>
      </c>
      <c r="F729" s="146" t="s">
        <v>2161</v>
      </c>
      <c r="G729" s="145" t="s">
        <v>325</v>
      </c>
      <c r="H729" s="145" t="s">
        <v>2162</v>
      </c>
      <c r="I729" s="145" t="s">
        <v>1484</v>
      </c>
      <c r="J729" s="285">
        <v>250000000</v>
      </c>
      <c r="K729" s="145" t="s">
        <v>221</v>
      </c>
      <c r="L729" s="145">
        <v>2871580</v>
      </c>
      <c r="M729" s="145" t="s">
        <v>109</v>
      </c>
      <c r="N729" s="13" t="s">
        <v>2163</v>
      </c>
      <c r="O729" s="13">
        <v>95250000</v>
      </c>
      <c r="P729" s="141"/>
    </row>
    <row r="730" spans="1:16" ht="65" x14ac:dyDescent="0.35">
      <c r="A730" s="145" t="e">
        <f t="shared" si="10"/>
        <v>#REF!</v>
      </c>
      <c r="B730" s="146" t="s">
        <v>18</v>
      </c>
      <c r="C730" s="146" t="s">
        <v>37</v>
      </c>
      <c r="D730" s="140" t="s">
        <v>1515</v>
      </c>
      <c r="E730" s="146" t="s">
        <v>2164</v>
      </c>
      <c r="F730" s="146" t="s">
        <v>2165</v>
      </c>
      <c r="G730" s="145" t="s">
        <v>325</v>
      </c>
      <c r="H730" s="145" t="s">
        <v>2166</v>
      </c>
      <c r="I730" s="145" t="s">
        <v>1272</v>
      </c>
      <c r="J730" s="285">
        <v>150000000</v>
      </c>
      <c r="K730" s="145" t="s">
        <v>221</v>
      </c>
      <c r="L730" s="145">
        <v>3009863</v>
      </c>
      <c r="M730" s="145" t="s">
        <v>109</v>
      </c>
      <c r="N730" s="13">
        <v>600</v>
      </c>
      <c r="O730" s="13">
        <v>152400000</v>
      </c>
      <c r="P730" s="141"/>
    </row>
    <row r="731" spans="1:16" ht="65" x14ac:dyDescent="0.35">
      <c r="A731" s="145" t="e">
        <f t="shared" si="10"/>
        <v>#REF!</v>
      </c>
      <c r="B731" s="146" t="s">
        <v>18</v>
      </c>
      <c r="C731" s="146" t="s">
        <v>37</v>
      </c>
      <c r="D731" s="140" t="s">
        <v>1515</v>
      </c>
      <c r="E731" s="146" t="s">
        <v>2167</v>
      </c>
      <c r="F731" s="146" t="s">
        <v>2168</v>
      </c>
      <c r="G731" s="145" t="s">
        <v>325</v>
      </c>
      <c r="H731" s="145" t="s">
        <v>2169</v>
      </c>
      <c r="I731" s="145" t="s">
        <v>1272</v>
      </c>
      <c r="J731" s="285">
        <v>150000000</v>
      </c>
      <c r="K731" s="145" t="s">
        <v>221</v>
      </c>
      <c r="L731" s="145">
        <v>3009711</v>
      </c>
      <c r="M731" s="145" t="s">
        <v>109</v>
      </c>
      <c r="N731" s="13">
        <v>600</v>
      </c>
      <c r="O731" s="13">
        <v>152400000</v>
      </c>
      <c r="P731" s="141"/>
    </row>
    <row r="732" spans="1:16" ht="39" x14ac:dyDescent="0.35">
      <c r="A732" s="145" t="e">
        <f t="shared" si="10"/>
        <v>#REF!</v>
      </c>
      <c r="B732" s="146" t="s">
        <v>18</v>
      </c>
      <c r="C732" s="146" t="s">
        <v>37</v>
      </c>
      <c r="D732" s="146" t="s">
        <v>476</v>
      </c>
      <c r="E732" s="146" t="s">
        <v>2170</v>
      </c>
      <c r="F732" s="146" t="s">
        <v>48</v>
      </c>
      <c r="G732" s="145" t="s">
        <v>116</v>
      </c>
      <c r="H732" s="145" t="s">
        <v>2171</v>
      </c>
      <c r="I732" s="145" t="s">
        <v>48</v>
      </c>
      <c r="J732" s="285">
        <v>35000000</v>
      </c>
      <c r="K732" s="145" t="s">
        <v>221</v>
      </c>
      <c r="L732" s="145">
        <v>2961581</v>
      </c>
      <c r="M732" s="145" t="s">
        <v>109</v>
      </c>
      <c r="N732" s="13" t="s">
        <v>2172</v>
      </c>
      <c r="O732" s="13">
        <v>250000000</v>
      </c>
      <c r="P732" s="141" t="s">
        <v>2173</v>
      </c>
    </row>
    <row r="733" spans="1:16" ht="78" x14ac:dyDescent="0.35">
      <c r="A733" s="145" t="e">
        <f t="shared" si="10"/>
        <v>#REF!</v>
      </c>
      <c r="B733" s="146" t="s">
        <v>18</v>
      </c>
      <c r="C733" s="146" t="s">
        <v>37</v>
      </c>
      <c r="D733" s="140" t="s">
        <v>1515</v>
      </c>
      <c r="E733" s="146" t="s">
        <v>1979</v>
      </c>
      <c r="F733" s="146" t="s">
        <v>297</v>
      </c>
      <c r="G733" s="145" t="s">
        <v>116</v>
      </c>
      <c r="H733" s="145" t="s">
        <v>2174</v>
      </c>
      <c r="I733" s="145" t="s">
        <v>2175</v>
      </c>
      <c r="J733" s="285">
        <v>68000000</v>
      </c>
      <c r="K733" s="145" t="s">
        <v>221</v>
      </c>
      <c r="L733" s="145">
        <v>2857333</v>
      </c>
      <c r="M733" s="145" t="s">
        <v>109</v>
      </c>
      <c r="N733" s="13">
        <v>300</v>
      </c>
      <c r="O733" s="13">
        <v>98360655</v>
      </c>
      <c r="P733" s="141" t="s">
        <v>2102</v>
      </c>
    </row>
    <row r="734" spans="1:16" ht="39" x14ac:dyDescent="0.35">
      <c r="A734" s="145" t="e">
        <f t="shared" si="10"/>
        <v>#REF!</v>
      </c>
      <c r="B734" s="146" t="s">
        <v>18</v>
      </c>
      <c r="C734" s="146" t="s">
        <v>37</v>
      </c>
      <c r="D734" s="146" t="s">
        <v>1570</v>
      </c>
      <c r="E734" s="146" t="s">
        <v>1571</v>
      </c>
      <c r="F734" s="146" t="s">
        <v>297</v>
      </c>
      <c r="G734" s="145" t="s">
        <v>116</v>
      </c>
      <c r="H734" s="145" t="s">
        <v>2174</v>
      </c>
      <c r="I734" s="145" t="s">
        <v>1272</v>
      </c>
      <c r="J734" s="285">
        <v>100000000</v>
      </c>
      <c r="K734" s="145" t="s">
        <v>221</v>
      </c>
      <c r="L734" s="145">
        <v>2912939</v>
      </c>
      <c r="M734" s="145" t="s">
        <v>109</v>
      </c>
      <c r="N734" s="13" t="s">
        <v>2176</v>
      </c>
      <c r="O734" s="13">
        <v>166800000</v>
      </c>
      <c r="P734" s="141"/>
    </row>
    <row r="735" spans="1:16" ht="65" x14ac:dyDescent="0.35">
      <c r="A735" s="145" t="e">
        <f t="shared" si="10"/>
        <v>#REF!</v>
      </c>
      <c r="B735" s="146" t="s">
        <v>18</v>
      </c>
      <c r="C735" s="146" t="s">
        <v>37</v>
      </c>
      <c r="D735" s="140" t="s">
        <v>1515</v>
      </c>
      <c r="E735" s="146" t="s">
        <v>2167</v>
      </c>
      <c r="F735" s="146" t="s">
        <v>2177</v>
      </c>
      <c r="G735" s="145" t="s">
        <v>325</v>
      </c>
      <c r="H735" s="145" t="s">
        <v>2178</v>
      </c>
      <c r="I735" s="145"/>
      <c r="J735" s="285"/>
      <c r="K735" s="145" t="s">
        <v>221</v>
      </c>
      <c r="L735" s="145"/>
      <c r="M735" s="145" t="s">
        <v>109</v>
      </c>
      <c r="N735" s="13" t="s">
        <v>1426</v>
      </c>
      <c r="O735" s="13">
        <v>38100000</v>
      </c>
      <c r="P735" s="141" t="s">
        <v>2179</v>
      </c>
    </row>
    <row r="736" spans="1:16" ht="65" x14ac:dyDescent="0.35">
      <c r="A736" s="145" t="e">
        <f t="shared" si="10"/>
        <v>#REF!</v>
      </c>
      <c r="B736" s="146" t="s">
        <v>18</v>
      </c>
      <c r="C736" s="146" t="s">
        <v>37</v>
      </c>
      <c r="D736" s="140" t="s">
        <v>1515</v>
      </c>
      <c r="E736" s="146" t="s">
        <v>2164</v>
      </c>
      <c r="F736" s="146" t="s">
        <v>2180</v>
      </c>
      <c r="G736" s="145" t="s">
        <v>325</v>
      </c>
      <c r="H736" s="145" t="s">
        <v>2181</v>
      </c>
      <c r="I736" s="145"/>
      <c r="J736" s="285"/>
      <c r="K736" s="145" t="s">
        <v>221</v>
      </c>
      <c r="L736" s="145"/>
      <c r="M736" s="145" t="s">
        <v>109</v>
      </c>
      <c r="N736" s="13">
        <v>100</v>
      </c>
      <c r="O736" s="13">
        <v>76200000</v>
      </c>
      <c r="P736" s="141" t="s">
        <v>2179</v>
      </c>
    </row>
    <row r="737" spans="1:16" ht="43.5" x14ac:dyDescent="0.35">
      <c r="A737" s="139" t="e">
        <f>A736+1</f>
        <v>#REF!</v>
      </c>
      <c r="B737" s="140" t="s">
        <v>18</v>
      </c>
      <c r="C737" s="140" t="s">
        <v>37</v>
      </c>
      <c r="D737" s="140" t="s">
        <v>1515</v>
      </c>
      <c r="E737" s="140" t="s">
        <v>2182</v>
      </c>
      <c r="F737" s="140" t="s">
        <v>2183</v>
      </c>
      <c r="G737" s="140" t="s">
        <v>1196</v>
      </c>
      <c r="H737" s="140" t="s">
        <v>1196</v>
      </c>
      <c r="I737" s="140" t="s">
        <v>2184</v>
      </c>
      <c r="J737" s="286">
        <v>170000000</v>
      </c>
      <c r="K737" s="139" t="s">
        <v>221</v>
      </c>
      <c r="L737" s="140">
        <v>2931450</v>
      </c>
      <c r="M737" s="155" t="s">
        <v>27</v>
      </c>
      <c r="N737" s="140">
        <v>465</v>
      </c>
      <c r="O737" s="10">
        <v>152459015</v>
      </c>
      <c r="P737" s="140" t="s">
        <v>2185</v>
      </c>
    </row>
    <row r="738" spans="1:16" ht="43.5" x14ac:dyDescent="0.35">
      <c r="A738" s="139" t="e">
        <f t="shared" ref="A738:A801" si="11">A737+1</f>
        <v>#REF!</v>
      </c>
      <c r="B738" s="140" t="s">
        <v>18</v>
      </c>
      <c r="C738" s="140" t="s">
        <v>37</v>
      </c>
      <c r="D738" s="140" t="s">
        <v>1515</v>
      </c>
      <c r="E738" s="140" t="s">
        <v>2186</v>
      </c>
      <c r="F738" s="140" t="s">
        <v>2187</v>
      </c>
      <c r="G738" s="140" t="s">
        <v>1196</v>
      </c>
      <c r="H738" s="140" t="s">
        <v>2188</v>
      </c>
      <c r="I738" s="140" t="s">
        <v>2189</v>
      </c>
      <c r="J738" s="286">
        <v>112000000</v>
      </c>
      <c r="K738" s="139" t="s">
        <v>221</v>
      </c>
      <c r="L738" s="140">
        <v>2931463</v>
      </c>
      <c r="M738" s="155" t="s">
        <v>27</v>
      </c>
      <c r="N738" s="140">
        <v>441</v>
      </c>
      <c r="O738" s="10">
        <v>176791999.60800001</v>
      </c>
      <c r="P738" s="140"/>
    </row>
    <row r="739" spans="1:16" ht="43.5" x14ac:dyDescent="0.35">
      <c r="A739" s="139" t="e">
        <f t="shared" si="11"/>
        <v>#REF!</v>
      </c>
      <c r="B739" s="140" t="s">
        <v>18</v>
      </c>
      <c r="C739" s="140" t="s">
        <v>37</v>
      </c>
      <c r="D739" s="140" t="s">
        <v>1515</v>
      </c>
      <c r="E739" s="140" t="s">
        <v>2182</v>
      </c>
      <c r="F739" s="140" t="s">
        <v>2190</v>
      </c>
      <c r="G739" s="140" t="s">
        <v>1196</v>
      </c>
      <c r="H739" s="140" t="s">
        <v>2191</v>
      </c>
      <c r="I739" s="140" t="s">
        <v>2192</v>
      </c>
      <c r="J739" s="286">
        <v>116000000</v>
      </c>
      <c r="K739" s="139" t="s">
        <v>221</v>
      </c>
      <c r="L739" s="140">
        <v>2931446</v>
      </c>
      <c r="M739" s="155" t="s">
        <v>27</v>
      </c>
      <c r="N739" s="140">
        <v>416</v>
      </c>
      <c r="O739" s="10">
        <v>136393441.59999999</v>
      </c>
      <c r="P739" s="140"/>
    </row>
    <row r="740" spans="1:16" ht="43.5" x14ac:dyDescent="0.35">
      <c r="A740" s="139" t="e">
        <f t="shared" si="11"/>
        <v>#REF!</v>
      </c>
      <c r="B740" s="140" t="s">
        <v>18</v>
      </c>
      <c r="C740" s="140" t="s">
        <v>37</v>
      </c>
      <c r="D740" s="140" t="s">
        <v>1515</v>
      </c>
      <c r="E740" s="140" t="s">
        <v>2186</v>
      </c>
      <c r="F740" s="140" t="s">
        <v>2193</v>
      </c>
      <c r="G740" s="140" t="s">
        <v>1196</v>
      </c>
      <c r="H740" s="140" t="s">
        <v>2194</v>
      </c>
      <c r="I740" s="140" t="s">
        <v>2195</v>
      </c>
      <c r="J740" s="286">
        <v>125000000</v>
      </c>
      <c r="K740" s="139" t="s">
        <v>221</v>
      </c>
      <c r="L740" s="140">
        <v>2931457</v>
      </c>
      <c r="M740" s="155" t="s">
        <v>27</v>
      </c>
      <c r="N740" s="140">
        <v>232</v>
      </c>
      <c r="O740" s="10">
        <v>93006222.016000003</v>
      </c>
      <c r="P740" s="140"/>
    </row>
    <row r="741" spans="1:16" ht="43.5" x14ac:dyDescent="0.35">
      <c r="A741" s="139" t="e">
        <f t="shared" si="11"/>
        <v>#REF!</v>
      </c>
      <c r="B741" s="140" t="s">
        <v>18</v>
      </c>
      <c r="C741" s="140" t="s">
        <v>37</v>
      </c>
      <c r="D741" s="140" t="s">
        <v>1515</v>
      </c>
      <c r="E741" s="140" t="s">
        <v>2182</v>
      </c>
      <c r="F741" s="140" t="s">
        <v>2196</v>
      </c>
      <c r="G741" s="140" t="s">
        <v>1196</v>
      </c>
      <c r="H741" s="140" t="s">
        <v>2194</v>
      </c>
      <c r="I741" s="140" t="s">
        <v>2197</v>
      </c>
      <c r="J741" s="286">
        <v>180000000</v>
      </c>
      <c r="K741" s="139" t="s">
        <v>221</v>
      </c>
      <c r="L741" s="140">
        <v>2931441</v>
      </c>
      <c r="M741" s="155" t="s">
        <v>27</v>
      </c>
      <c r="N741" s="140">
        <v>470</v>
      </c>
      <c r="O741" s="10">
        <v>154098360</v>
      </c>
      <c r="P741" s="140" t="s">
        <v>2198</v>
      </c>
    </row>
    <row r="742" spans="1:16" ht="43.5" x14ac:dyDescent="0.35">
      <c r="A742" s="139" t="e">
        <f t="shared" si="11"/>
        <v>#REF!</v>
      </c>
      <c r="B742" s="140" t="s">
        <v>18</v>
      </c>
      <c r="C742" s="140" t="s">
        <v>37</v>
      </c>
      <c r="D742" s="140" t="s">
        <v>1515</v>
      </c>
      <c r="E742" s="140" t="s">
        <v>2182</v>
      </c>
      <c r="F742" s="140" t="s">
        <v>2199</v>
      </c>
      <c r="G742" s="140" t="s">
        <v>1196</v>
      </c>
      <c r="H742" s="140" t="s">
        <v>2200</v>
      </c>
      <c r="I742" s="140" t="s">
        <v>2201</v>
      </c>
      <c r="J742" s="286">
        <v>155000000</v>
      </c>
      <c r="K742" s="139" t="s">
        <v>221</v>
      </c>
      <c r="L742" s="140">
        <v>2931432</v>
      </c>
      <c r="M742" s="155" t="s">
        <v>27</v>
      </c>
      <c r="N742" s="140">
        <v>460</v>
      </c>
      <c r="O742" s="10">
        <v>150819671</v>
      </c>
      <c r="P742" s="140" t="s">
        <v>2202</v>
      </c>
    </row>
    <row r="743" spans="1:16" ht="43.5" x14ac:dyDescent="0.35">
      <c r="A743" s="139" t="e">
        <f t="shared" si="11"/>
        <v>#REF!</v>
      </c>
      <c r="B743" s="287" t="s">
        <v>18</v>
      </c>
      <c r="C743" s="287" t="s">
        <v>37</v>
      </c>
      <c r="D743" s="140" t="s">
        <v>1515</v>
      </c>
      <c r="E743" s="287" t="s">
        <v>2203</v>
      </c>
      <c r="F743" s="287" t="s">
        <v>297</v>
      </c>
      <c r="G743" s="2" t="s">
        <v>2204</v>
      </c>
      <c r="H743" s="2" t="s">
        <v>2205</v>
      </c>
      <c r="I743" s="2">
        <v>190</v>
      </c>
      <c r="J743" s="288">
        <v>40000000</v>
      </c>
      <c r="K743" s="2" t="s">
        <v>221</v>
      </c>
      <c r="L743" s="2"/>
      <c r="M743" s="2" t="s">
        <v>27</v>
      </c>
      <c r="N743" s="2">
        <f>188*1.7</f>
        <v>319.59999999999997</v>
      </c>
      <c r="O743" s="289">
        <f>P743</f>
        <v>102271999.99999999</v>
      </c>
      <c r="P743" s="290">
        <f>N743*320000</f>
        <v>102271999.99999999</v>
      </c>
    </row>
    <row r="744" spans="1:16" ht="43.5" x14ac:dyDescent="0.35">
      <c r="A744" s="139" t="e">
        <f t="shared" si="11"/>
        <v>#REF!</v>
      </c>
      <c r="B744" s="287" t="s">
        <v>18</v>
      </c>
      <c r="C744" s="287" t="s">
        <v>37</v>
      </c>
      <c r="D744" s="140" t="s">
        <v>1515</v>
      </c>
      <c r="E744" s="287" t="s">
        <v>1872</v>
      </c>
      <c r="F744" s="287" t="s">
        <v>297</v>
      </c>
      <c r="G744" s="2" t="s">
        <v>2204</v>
      </c>
      <c r="H744" s="2" t="s">
        <v>2206</v>
      </c>
      <c r="I744" s="2">
        <v>190</v>
      </c>
      <c r="J744" s="288">
        <v>40000000</v>
      </c>
      <c r="K744" s="2" t="s">
        <v>221</v>
      </c>
      <c r="L744" s="2">
        <v>2793427</v>
      </c>
      <c r="M744" s="2" t="s">
        <v>27</v>
      </c>
      <c r="N744" s="2">
        <f>190*1.6</f>
        <v>304</v>
      </c>
      <c r="O744" s="289">
        <f>P744</f>
        <v>77216000</v>
      </c>
      <c r="P744" s="290">
        <f>N744*254000</f>
        <v>77216000</v>
      </c>
    </row>
    <row r="745" spans="1:16" ht="43.5" x14ac:dyDescent="0.35">
      <c r="A745" s="139" t="e">
        <f t="shared" si="11"/>
        <v>#REF!</v>
      </c>
      <c r="B745" s="287" t="s">
        <v>18</v>
      </c>
      <c r="C745" s="287" t="s">
        <v>37</v>
      </c>
      <c r="D745" s="140" t="s">
        <v>1515</v>
      </c>
      <c r="E745" s="287" t="s">
        <v>1872</v>
      </c>
      <c r="F745" s="287" t="s">
        <v>297</v>
      </c>
      <c r="G745" s="2" t="s">
        <v>2204</v>
      </c>
      <c r="H745" s="2" t="s">
        <v>2207</v>
      </c>
      <c r="I745" s="2">
        <v>120</v>
      </c>
      <c r="J745" s="288">
        <v>40000000</v>
      </c>
      <c r="K745" s="2" t="s">
        <v>221</v>
      </c>
      <c r="L745" s="2">
        <v>2793427</v>
      </c>
      <c r="M745" s="2" t="s">
        <v>27</v>
      </c>
      <c r="N745" s="2">
        <f>120*4</f>
        <v>480</v>
      </c>
      <c r="O745" s="289">
        <f>P745</f>
        <v>121920000</v>
      </c>
      <c r="P745" s="290">
        <f>N745*254000</f>
        <v>121920000</v>
      </c>
    </row>
    <row r="746" spans="1:16" ht="43.5" x14ac:dyDescent="0.35">
      <c r="A746" s="139" t="e">
        <f t="shared" si="11"/>
        <v>#REF!</v>
      </c>
      <c r="B746" s="287" t="s">
        <v>18</v>
      </c>
      <c r="C746" s="287" t="s">
        <v>37</v>
      </c>
      <c r="D746" s="140" t="s">
        <v>1515</v>
      </c>
      <c r="E746" s="287" t="s">
        <v>1872</v>
      </c>
      <c r="F746" s="287" t="s">
        <v>297</v>
      </c>
      <c r="G746" s="2" t="s">
        <v>2204</v>
      </c>
      <c r="H746" s="2" t="s">
        <v>2208</v>
      </c>
      <c r="I746" s="2">
        <v>100</v>
      </c>
      <c r="J746" s="288">
        <v>40000000</v>
      </c>
      <c r="K746" s="2" t="s">
        <v>221</v>
      </c>
      <c r="L746" s="2">
        <v>2793427</v>
      </c>
      <c r="M746" s="2" t="s">
        <v>27</v>
      </c>
      <c r="N746" s="2">
        <v>400</v>
      </c>
      <c r="O746" s="289">
        <v>101600000</v>
      </c>
      <c r="P746" s="290">
        <f>400*254000</f>
        <v>101600000</v>
      </c>
    </row>
    <row r="747" spans="1:16" ht="43.5" x14ac:dyDescent="0.35">
      <c r="A747" s="139" t="e">
        <f t="shared" si="11"/>
        <v>#REF!</v>
      </c>
      <c r="B747" s="287" t="s">
        <v>18</v>
      </c>
      <c r="C747" s="287" t="s">
        <v>37</v>
      </c>
      <c r="D747" s="140" t="s">
        <v>1515</v>
      </c>
      <c r="E747" s="287" t="s">
        <v>2203</v>
      </c>
      <c r="F747" s="287" t="s">
        <v>297</v>
      </c>
      <c r="G747" s="2" t="s">
        <v>2204</v>
      </c>
      <c r="H747" s="2" t="s">
        <v>2209</v>
      </c>
      <c r="I747" s="2">
        <v>170</v>
      </c>
      <c r="J747" s="288">
        <v>40000000</v>
      </c>
      <c r="K747" s="2" t="s">
        <v>221</v>
      </c>
      <c r="L747" s="2"/>
      <c r="M747" s="2" t="s">
        <v>27</v>
      </c>
      <c r="N747" s="2">
        <f>170*1.3</f>
        <v>221</v>
      </c>
      <c r="O747" s="289">
        <f t="shared" ref="O747:O748" si="12">P747</f>
        <v>70720000</v>
      </c>
      <c r="P747" s="290">
        <f>N747*320000</f>
        <v>70720000</v>
      </c>
    </row>
    <row r="748" spans="1:16" ht="43.5" x14ac:dyDescent="0.35">
      <c r="A748" s="139" t="e">
        <f>#REF!+1</f>
        <v>#REF!</v>
      </c>
      <c r="B748" s="287" t="s">
        <v>18</v>
      </c>
      <c r="C748" s="287" t="s">
        <v>37</v>
      </c>
      <c r="D748" s="140" t="s">
        <v>1515</v>
      </c>
      <c r="E748" s="287" t="s">
        <v>2203</v>
      </c>
      <c r="F748" s="287" t="s">
        <v>297</v>
      </c>
      <c r="G748" s="2" t="s">
        <v>2204</v>
      </c>
      <c r="H748" s="2" t="s">
        <v>2210</v>
      </c>
      <c r="I748" s="2">
        <v>500</v>
      </c>
      <c r="J748" s="288">
        <v>40000000</v>
      </c>
      <c r="K748" s="2" t="s">
        <v>221</v>
      </c>
      <c r="L748" s="2"/>
      <c r="M748" s="2" t="s">
        <v>27</v>
      </c>
      <c r="N748" s="2">
        <f>500*1.5</f>
        <v>750</v>
      </c>
      <c r="O748" s="289">
        <f t="shared" si="12"/>
        <v>240000000</v>
      </c>
      <c r="P748" s="290">
        <f>N748*320000</f>
        <v>240000000</v>
      </c>
    </row>
    <row r="749" spans="1:16" ht="43.5" x14ac:dyDescent="0.35">
      <c r="A749" s="139" t="e">
        <f t="shared" si="11"/>
        <v>#REF!</v>
      </c>
      <c r="B749" s="287" t="s">
        <v>18</v>
      </c>
      <c r="C749" s="287" t="s">
        <v>37</v>
      </c>
      <c r="D749" s="140" t="s">
        <v>1515</v>
      </c>
      <c r="E749" s="287" t="s">
        <v>1872</v>
      </c>
      <c r="F749" s="287" t="s">
        <v>297</v>
      </c>
      <c r="G749" s="2" t="s">
        <v>2204</v>
      </c>
      <c r="H749" s="2" t="s">
        <v>2211</v>
      </c>
      <c r="I749" s="2">
        <v>130</v>
      </c>
      <c r="J749" s="288">
        <v>40000000</v>
      </c>
      <c r="K749" s="2" t="s">
        <v>221</v>
      </c>
      <c r="L749" s="2">
        <v>2793427</v>
      </c>
      <c r="M749" s="2" t="s">
        <v>27</v>
      </c>
      <c r="N749" s="2">
        <f>130*3.8</f>
        <v>494</v>
      </c>
      <c r="O749" s="289">
        <v>144780000</v>
      </c>
      <c r="P749" s="290">
        <f>570*254000</f>
        <v>144780000</v>
      </c>
    </row>
    <row r="750" spans="1:16" ht="43.5" x14ac:dyDescent="0.35">
      <c r="A750" s="139" t="e">
        <f t="shared" si="11"/>
        <v>#REF!</v>
      </c>
      <c r="B750" s="287" t="s">
        <v>18</v>
      </c>
      <c r="C750" s="287" t="s">
        <v>37</v>
      </c>
      <c r="D750" s="140" t="s">
        <v>1515</v>
      </c>
      <c r="E750" s="287" t="s">
        <v>1872</v>
      </c>
      <c r="F750" s="287" t="s">
        <v>297</v>
      </c>
      <c r="G750" s="2" t="s">
        <v>2204</v>
      </c>
      <c r="H750" s="2" t="s">
        <v>2212</v>
      </c>
      <c r="I750" s="2">
        <v>258</v>
      </c>
      <c r="J750" s="288">
        <v>40000000</v>
      </c>
      <c r="K750" s="2" t="s">
        <v>221</v>
      </c>
      <c r="L750" s="2">
        <v>2793427</v>
      </c>
      <c r="M750" s="2" t="s">
        <v>27</v>
      </c>
      <c r="N750" s="2">
        <f>258*1.6</f>
        <v>412.8</v>
      </c>
      <c r="O750" s="289">
        <f>P750</f>
        <v>104851200</v>
      </c>
      <c r="P750" s="290">
        <f>N750*254000</f>
        <v>104851200</v>
      </c>
    </row>
    <row r="751" spans="1:16" ht="43.5" x14ac:dyDescent="0.35">
      <c r="A751" s="139" t="e">
        <f t="shared" si="11"/>
        <v>#REF!</v>
      </c>
      <c r="B751" s="140" t="s">
        <v>18</v>
      </c>
      <c r="C751" s="140" t="s">
        <v>37</v>
      </c>
      <c r="D751" s="140" t="s">
        <v>1570</v>
      </c>
      <c r="E751" s="140" t="s">
        <v>1256</v>
      </c>
      <c r="F751" s="140" t="s">
        <v>338</v>
      </c>
      <c r="G751" s="139" t="s">
        <v>339</v>
      </c>
      <c r="H751" s="139" t="s">
        <v>1202</v>
      </c>
      <c r="I751" s="139" t="s">
        <v>2128</v>
      </c>
      <c r="J751" s="269">
        <v>200000000</v>
      </c>
      <c r="K751" s="139" t="s">
        <v>221</v>
      </c>
      <c r="L751" s="139">
        <v>2932437</v>
      </c>
      <c r="M751" s="155" t="s">
        <v>27</v>
      </c>
      <c r="N751" s="139" t="s">
        <v>2213</v>
      </c>
      <c r="O751" s="13">
        <v>200000000</v>
      </c>
      <c r="P751" s="141" t="s">
        <v>2214</v>
      </c>
    </row>
    <row r="752" spans="1:16" ht="43.5" x14ac:dyDescent="0.35">
      <c r="A752" s="139" t="e">
        <f t="shared" si="11"/>
        <v>#REF!</v>
      </c>
      <c r="B752" s="140" t="s">
        <v>18</v>
      </c>
      <c r="C752" s="140" t="s">
        <v>37</v>
      </c>
      <c r="D752" s="140" t="s">
        <v>1515</v>
      </c>
      <c r="E752" s="140" t="s">
        <v>1706</v>
      </c>
      <c r="F752" s="140" t="s">
        <v>2215</v>
      </c>
      <c r="G752" s="139" t="s">
        <v>345</v>
      </c>
      <c r="H752" s="139" t="s">
        <v>2216</v>
      </c>
      <c r="I752" s="139" t="s">
        <v>2197</v>
      </c>
      <c r="J752" s="269">
        <v>97500000</v>
      </c>
      <c r="K752" s="139" t="s">
        <v>221</v>
      </c>
      <c r="L752" s="139">
        <v>2906535</v>
      </c>
      <c r="M752" s="155" t="s">
        <v>27</v>
      </c>
      <c r="N752" s="139">
        <v>325</v>
      </c>
      <c r="O752" s="13">
        <v>128712870</v>
      </c>
      <c r="P752" s="141"/>
    </row>
    <row r="753" spans="1:16" ht="43.5" x14ac:dyDescent="0.35">
      <c r="A753" s="139" t="e">
        <f t="shared" si="11"/>
        <v>#REF!</v>
      </c>
      <c r="B753" s="140" t="s">
        <v>18</v>
      </c>
      <c r="C753" s="140" t="s">
        <v>37</v>
      </c>
      <c r="D753" s="140" t="s">
        <v>1515</v>
      </c>
      <c r="E753" s="140" t="s">
        <v>1706</v>
      </c>
      <c r="F753" s="140" t="s">
        <v>2217</v>
      </c>
      <c r="G753" s="139" t="s">
        <v>345</v>
      </c>
      <c r="H753" s="139" t="s">
        <v>2218</v>
      </c>
      <c r="I753" s="139" t="s">
        <v>1272</v>
      </c>
      <c r="J753" s="269">
        <v>70000000</v>
      </c>
      <c r="K753" s="139" t="s">
        <v>221</v>
      </c>
      <c r="L753" s="139">
        <v>2906535</v>
      </c>
      <c r="M753" s="155" t="s">
        <v>27</v>
      </c>
      <c r="N753" s="139">
        <v>250</v>
      </c>
      <c r="O753" s="13">
        <v>99009900</v>
      </c>
      <c r="P753" s="141"/>
    </row>
    <row r="754" spans="1:16" ht="43.5" x14ac:dyDescent="0.35">
      <c r="A754" s="139" t="e">
        <f t="shared" si="11"/>
        <v>#REF!</v>
      </c>
      <c r="B754" s="140" t="s">
        <v>18</v>
      </c>
      <c r="C754" s="140" t="s">
        <v>37</v>
      </c>
      <c r="D754" s="140" t="s">
        <v>1515</v>
      </c>
      <c r="E754" s="140" t="s">
        <v>1706</v>
      </c>
      <c r="F754" s="140" t="s">
        <v>2219</v>
      </c>
      <c r="G754" s="139" t="s">
        <v>345</v>
      </c>
      <c r="H754" s="139" t="s">
        <v>2220</v>
      </c>
      <c r="I754" s="139" t="s">
        <v>1272</v>
      </c>
      <c r="J754" s="269">
        <v>55000000</v>
      </c>
      <c r="K754" s="139" t="s">
        <v>221</v>
      </c>
      <c r="L754" s="139">
        <v>2906535</v>
      </c>
      <c r="M754" s="155" t="s">
        <v>27</v>
      </c>
      <c r="N754" s="139">
        <v>250</v>
      </c>
      <c r="O754" s="13">
        <v>99009900</v>
      </c>
      <c r="P754" s="141"/>
    </row>
    <row r="755" spans="1:16" ht="43.5" x14ac:dyDescent="0.35">
      <c r="A755" s="139" t="e">
        <f t="shared" si="11"/>
        <v>#REF!</v>
      </c>
      <c r="B755" s="140" t="s">
        <v>18</v>
      </c>
      <c r="C755" s="140" t="s">
        <v>37</v>
      </c>
      <c r="D755" s="140" t="s">
        <v>1515</v>
      </c>
      <c r="E755" s="140" t="s">
        <v>1706</v>
      </c>
      <c r="F755" s="140" t="s">
        <v>859</v>
      </c>
      <c r="G755" s="139" t="s">
        <v>345</v>
      </c>
      <c r="H755" s="139" t="s">
        <v>860</v>
      </c>
      <c r="I755" s="139" t="s">
        <v>1219</v>
      </c>
      <c r="J755" s="269">
        <v>15000000</v>
      </c>
      <c r="K755" s="139" t="s">
        <v>221</v>
      </c>
      <c r="L755" s="139">
        <v>2906535</v>
      </c>
      <c r="M755" s="155" t="s">
        <v>27</v>
      </c>
      <c r="N755" s="139">
        <v>200</v>
      </c>
      <c r="O755" s="13">
        <v>79207920</v>
      </c>
      <c r="P755" s="141"/>
    </row>
    <row r="756" spans="1:16" ht="43.5" x14ac:dyDescent="0.35">
      <c r="A756" s="139" t="e">
        <f t="shared" si="11"/>
        <v>#REF!</v>
      </c>
      <c r="B756" s="140" t="s">
        <v>18</v>
      </c>
      <c r="C756" s="140" t="s">
        <v>37</v>
      </c>
      <c r="D756" s="140" t="s">
        <v>1515</v>
      </c>
      <c r="E756" s="140" t="s">
        <v>1706</v>
      </c>
      <c r="F756" s="140" t="s">
        <v>2221</v>
      </c>
      <c r="G756" s="139" t="s">
        <v>345</v>
      </c>
      <c r="H756" s="139" t="s">
        <v>864</v>
      </c>
      <c r="I756" s="139" t="s">
        <v>2222</v>
      </c>
      <c r="J756" s="269">
        <v>90000000</v>
      </c>
      <c r="K756" s="139" t="s">
        <v>221</v>
      </c>
      <c r="L756" s="139">
        <v>2906535</v>
      </c>
      <c r="M756" s="155" t="s">
        <v>27</v>
      </c>
      <c r="N756" s="139">
        <v>150</v>
      </c>
      <c r="O756" s="13">
        <v>59405940</v>
      </c>
      <c r="P756" s="141"/>
    </row>
    <row r="757" spans="1:16" ht="43.5" x14ac:dyDescent="0.35">
      <c r="A757" s="139" t="e">
        <f t="shared" si="11"/>
        <v>#REF!</v>
      </c>
      <c r="B757" s="140" t="s">
        <v>18</v>
      </c>
      <c r="C757" s="140" t="s">
        <v>37</v>
      </c>
      <c r="D757" s="140" t="s">
        <v>1515</v>
      </c>
      <c r="E757" s="140" t="s">
        <v>992</v>
      </c>
      <c r="F757" s="140" t="s">
        <v>2223</v>
      </c>
      <c r="G757" s="139" t="s">
        <v>345</v>
      </c>
      <c r="H757" s="139" t="s">
        <v>866</v>
      </c>
      <c r="I757" s="139" t="s">
        <v>2224</v>
      </c>
      <c r="J757" s="269">
        <v>42000000</v>
      </c>
      <c r="K757" s="139" t="s">
        <v>221</v>
      </c>
      <c r="L757" s="139">
        <v>2933470</v>
      </c>
      <c r="M757" s="155" t="s">
        <v>27</v>
      </c>
      <c r="N757" s="139">
        <v>337.5</v>
      </c>
      <c r="O757" s="13">
        <v>85799999.25</v>
      </c>
      <c r="P757" s="141"/>
    </row>
    <row r="758" spans="1:16" ht="43.5" x14ac:dyDescent="0.35">
      <c r="A758" s="139" t="e">
        <f t="shared" si="11"/>
        <v>#REF!</v>
      </c>
      <c r="B758" s="140" t="s">
        <v>18</v>
      </c>
      <c r="C758" s="140" t="s">
        <v>37</v>
      </c>
      <c r="D758" s="140" t="s">
        <v>1515</v>
      </c>
      <c r="E758" s="140" t="s">
        <v>1706</v>
      </c>
      <c r="F758" s="140" t="s">
        <v>2225</v>
      </c>
      <c r="G758" s="139" t="s">
        <v>345</v>
      </c>
      <c r="H758" s="139" t="s">
        <v>345</v>
      </c>
      <c r="I758" s="139" t="s">
        <v>1065</v>
      </c>
      <c r="J758" s="269">
        <v>70000000</v>
      </c>
      <c r="K758" s="139" t="s">
        <v>221</v>
      </c>
      <c r="L758" s="139">
        <v>2906535</v>
      </c>
      <c r="M758" s="155" t="s">
        <v>27</v>
      </c>
      <c r="N758" s="139">
        <v>250</v>
      </c>
      <c r="O758" s="13">
        <v>99009900</v>
      </c>
      <c r="P758" s="141"/>
    </row>
    <row r="759" spans="1:16" ht="43.5" x14ac:dyDescent="0.35">
      <c r="A759" s="139" t="e">
        <f t="shared" si="11"/>
        <v>#REF!</v>
      </c>
      <c r="B759" s="140" t="s">
        <v>18</v>
      </c>
      <c r="C759" s="140" t="s">
        <v>37</v>
      </c>
      <c r="D759" s="140" t="s">
        <v>1515</v>
      </c>
      <c r="E759" s="140" t="s">
        <v>992</v>
      </c>
      <c r="F759" s="140" t="s">
        <v>1223</v>
      </c>
      <c r="G759" s="139" t="s">
        <v>345</v>
      </c>
      <c r="H759" s="139" t="s">
        <v>1224</v>
      </c>
      <c r="I759" s="139" t="s">
        <v>2226</v>
      </c>
      <c r="J759" s="269">
        <v>28000000</v>
      </c>
      <c r="K759" s="139" t="s">
        <v>221</v>
      </c>
      <c r="L759" s="139">
        <v>2933470</v>
      </c>
      <c r="M759" s="155" t="s">
        <v>27</v>
      </c>
      <c r="N759" s="139">
        <v>60</v>
      </c>
      <c r="O759" s="13">
        <v>15253333.199999999</v>
      </c>
      <c r="P759" s="141"/>
    </row>
    <row r="760" spans="1:16" ht="43.5" x14ac:dyDescent="0.35">
      <c r="A760" s="139" t="e">
        <f t="shared" si="11"/>
        <v>#REF!</v>
      </c>
      <c r="B760" s="140" t="s">
        <v>18</v>
      </c>
      <c r="C760" s="140" t="s">
        <v>37</v>
      </c>
      <c r="D760" s="140" t="s">
        <v>1515</v>
      </c>
      <c r="E760" s="140" t="s">
        <v>2227</v>
      </c>
      <c r="F760" s="140" t="s">
        <v>2228</v>
      </c>
      <c r="G760" s="140" t="s">
        <v>2229</v>
      </c>
      <c r="H760" s="140" t="s">
        <v>2230</v>
      </c>
      <c r="I760" s="140" t="s">
        <v>2231</v>
      </c>
      <c r="J760" s="286">
        <v>49200000</v>
      </c>
      <c r="K760" s="139" t="s">
        <v>221</v>
      </c>
      <c r="L760" s="140">
        <v>2910915</v>
      </c>
      <c r="M760" s="155" t="s">
        <v>27</v>
      </c>
      <c r="N760" s="140">
        <v>323</v>
      </c>
      <c r="O760" s="10">
        <v>127920790.8</v>
      </c>
      <c r="P760" s="140"/>
    </row>
    <row r="761" spans="1:16" ht="43.5" x14ac:dyDescent="0.35">
      <c r="A761" s="139" t="e">
        <f t="shared" si="11"/>
        <v>#REF!</v>
      </c>
      <c r="B761" s="140" t="s">
        <v>18</v>
      </c>
      <c r="C761" s="140" t="s">
        <v>37</v>
      </c>
      <c r="D761" s="140" t="s">
        <v>1515</v>
      </c>
      <c r="E761" s="140" t="s">
        <v>2232</v>
      </c>
      <c r="F761" s="140" t="s">
        <v>2233</v>
      </c>
      <c r="G761" s="140" t="s">
        <v>2229</v>
      </c>
      <c r="H761" s="140" t="s">
        <v>2234</v>
      </c>
      <c r="I761" s="140" t="s">
        <v>2235</v>
      </c>
      <c r="J761" s="286">
        <v>81900000</v>
      </c>
      <c r="K761" s="139" t="s">
        <v>221</v>
      </c>
      <c r="L761" s="140">
        <v>2921169</v>
      </c>
      <c r="M761" s="155" t="s">
        <v>27</v>
      </c>
      <c r="N761" s="140">
        <v>372</v>
      </c>
      <c r="O761" s="10">
        <v>147326731.19999999</v>
      </c>
      <c r="P761" s="140"/>
    </row>
    <row r="762" spans="1:16" ht="43.5" x14ac:dyDescent="0.35">
      <c r="A762" s="139" t="e">
        <f t="shared" si="11"/>
        <v>#REF!</v>
      </c>
      <c r="B762" s="140" t="s">
        <v>18</v>
      </c>
      <c r="C762" s="140" t="s">
        <v>37</v>
      </c>
      <c r="D762" s="140" t="s">
        <v>1515</v>
      </c>
      <c r="E762" s="140" t="s">
        <v>2236</v>
      </c>
      <c r="F762" s="140" t="s">
        <v>2233</v>
      </c>
      <c r="G762" s="140" t="s">
        <v>2229</v>
      </c>
      <c r="H762" s="140" t="s">
        <v>2234</v>
      </c>
      <c r="I762" s="140" t="s">
        <v>2237</v>
      </c>
      <c r="J762" s="286">
        <v>18100000</v>
      </c>
      <c r="K762" s="139" t="s">
        <v>221</v>
      </c>
      <c r="L762" s="140">
        <v>2920955</v>
      </c>
      <c r="M762" s="155" t="s">
        <v>27</v>
      </c>
      <c r="N762" s="140">
        <v>80</v>
      </c>
      <c r="O762" s="10">
        <v>31683168</v>
      </c>
      <c r="P762" s="140"/>
    </row>
    <row r="763" spans="1:16" ht="43.5" x14ac:dyDescent="0.35">
      <c r="A763" s="139" t="e">
        <f t="shared" si="11"/>
        <v>#REF!</v>
      </c>
      <c r="B763" s="140" t="s">
        <v>18</v>
      </c>
      <c r="C763" s="140" t="s">
        <v>37</v>
      </c>
      <c r="D763" s="140" t="s">
        <v>1515</v>
      </c>
      <c r="E763" s="140" t="s">
        <v>2238</v>
      </c>
      <c r="F763" s="140" t="s">
        <v>2239</v>
      </c>
      <c r="G763" s="140" t="s">
        <v>2229</v>
      </c>
      <c r="H763" s="140" t="s">
        <v>2240</v>
      </c>
      <c r="I763" s="140" t="s">
        <v>2241</v>
      </c>
      <c r="J763" s="286">
        <v>100000000</v>
      </c>
      <c r="K763" s="139" t="s">
        <v>221</v>
      </c>
      <c r="L763" s="140">
        <v>2911848</v>
      </c>
      <c r="M763" s="155" t="s">
        <v>27</v>
      </c>
      <c r="N763" s="140">
        <v>450</v>
      </c>
      <c r="O763" s="10">
        <v>166336800</v>
      </c>
      <c r="P763" s="140"/>
    </row>
    <row r="764" spans="1:16" ht="43.5" x14ac:dyDescent="0.35">
      <c r="A764" s="139" t="e">
        <f t="shared" si="11"/>
        <v>#REF!</v>
      </c>
      <c r="B764" s="140" t="s">
        <v>18</v>
      </c>
      <c r="C764" s="140" t="s">
        <v>37</v>
      </c>
      <c r="D764" s="140" t="s">
        <v>1515</v>
      </c>
      <c r="E764" s="140" t="s">
        <v>2232</v>
      </c>
      <c r="F764" s="140" t="s">
        <v>2242</v>
      </c>
      <c r="G764" s="140" t="s">
        <v>2229</v>
      </c>
      <c r="H764" s="140" t="s">
        <v>2243</v>
      </c>
      <c r="I764" s="140" t="s">
        <v>2037</v>
      </c>
      <c r="J764" s="286">
        <v>100000000</v>
      </c>
      <c r="K764" s="139" t="s">
        <v>221</v>
      </c>
      <c r="L764" s="140">
        <v>2923474</v>
      </c>
      <c r="M764" s="155" t="s">
        <v>27</v>
      </c>
      <c r="N764" s="140">
        <v>300</v>
      </c>
      <c r="O764" s="10">
        <v>118811880</v>
      </c>
      <c r="P764" s="140" t="s">
        <v>2244</v>
      </c>
    </row>
    <row r="765" spans="1:16" ht="43.5" x14ac:dyDescent="0.35">
      <c r="A765" s="139" t="e">
        <f t="shared" si="11"/>
        <v>#REF!</v>
      </c>
      <c r="B765" s="140" t="s">
        <v>18</v>
      </c>
      <c r="C765" s="140" t="s">
        <v>37</v>
      </c>
      <c r="D765" s="140" t="s">
        <v>1515</v>
      </c>
      <c r="E765" s="140" t="s">
        <v>2232</v>
      </c>
      <c r="F765" s="140" t="s">
        <v>2245</v>
      </c>
      <c r="G765" s="140" t="s">
        <v>2229</v>
      </c>
      <c r="H765" s="140" t="s">
        <v>2246</v>
      </c>
      <c r="I765" s="140" t="s">
        <v>2088</v>
      </c>
      <c r="J765" s="286">
        <v>75500000</v>
      </c>
      <c r="K765" s="139" t="s">
        <v>221</v>
      </c>
      <c r="L765" s="140">
        <v>2921281</v>
      </c>
      <c r="M765" s="155" t="s">
        <v>27</v>
      </c>
      <c r="N765" s="140">
        <v>250</v>
      </c>
      <c r="O765" s="10">
        <v>99009900</v>
      </c>
      <c r="P765" s="140"/>
    </row>
    <row r="766" spans="1:16" ht="43.5" x14ac:dyDescent="0.35">
      <c r="A766" s="139" t="e">
        <f t="shared" si="11"/>
        <v>#REF!</v>
      </c>
      <c r="B766" s="140" t="s">
        <v>18</v>
      </c>
      <c r="C766" s="140" t="s">
        <v>37</v>
      </c>
      <c r="D766" s="140" t="s">
        <v>1521</v>
      </c>
      <c r="E766" s="140" t="s">
        <v>2247</v>
      </c>
      <c r="F766" s="140" t="s">
        <v>2245</v>
      </c>
      <c r="G766" s="140" t="s">
        <v>2229</v>
      </c>
      <c r="H766" s="140" t="s">
        <v>2246</v>
      </c>
      <c r="I766" s="140" t="s">
        <v>2248</v>
      </c>
      <c r="J766" s="286">
        <v>24500000</v>
      </c>
      <c r="K766" s="139" t="s">
        <v>221</v>
      </c>
      <c r="L766" s="140">
        <v>2921631</v>
      </c>
      <c r="M766" s="155" t="s">
        <v>27</v>
      </c>
      <c r="N766" s="140">
        <v>50</v>
      </c>
      <c r="O766" s="10">
        <v>139100000</v>
      </c>
      <c r="P766" s="140" t="s">
        <v>2244</v>
      </c>
    </row>
    <row r="767" spans="1:16" ht="43.5" x14ac:dyDescent="0.35">
      <c r="A767" s="139" t="e">
        <f t="shared" si="11"/>
        <v>#REF!</v>
      </c>
      <c r="B767" s="140" t="s">
        <v>18</v>
      </c>
      <c r="C767" s="140" t="s">
        <v>37</v>
      </c>
      <c r="D767" s="140" t="s">
        <v>1515</v>
      </c>
      <c r="E767" s="140" t="s">
        <v>2232</v>
      </c>
      <c r="F767" s="140" t="s">
        <v>2249</v>
      </c>
      <c r="G767" s="140" t="s">
        <v>2229</v>
      </c>
      <c r="H767" s="140" t="s">
        <v>2250</v>
      </c>
      <c r="I767" s="140" t="s">
        <v>2251</v>
      </c>
      <c r="J767" s="286">
        <v>87000000</v>
      </c>
      <c r="K767" s="139" t="s">
        <v>221</v>
      </c>
      <c r="L767" s="140">
        <v>2923286</v>
      </c>
      <c r="M767" s="155" t="s">
        <v>27</v>
      </c>
      <c r="N767" s="140">
        <v>290</v>
      </c>
      <c r="O767" s="10">
        <v>114851484</v>
      </c>
      <c r="P767" s="140"/>
    </row>
    <row r="768" spans="1:16" ht="43.5" x14ac:dyDescent="0.35">
      <c r="A768" s="139" t="e">
        <f t="shared" si="11"/>
        <v>#REF!</v>
      </c>
      <c r="B768" s="140" t="s">
        <v>18</v>
      </c>
      <c r="C768" s="140" t="s">
        <v>37</v>
      </c>
      <c r="D768" s="140" t="s">
        <v>1515</v>
      </c>
      <c r="E768" s="140" t="s">
        <v>2252</v>
      </c>
      <c r="F768" s="140" t="s">
        <v>2253</v>
      </c>
      <c r="G768" s="140" t="s">
        <v>2229</v>
      </c>
      <c r="H768" s="140" t="s">
        <v>2254</v>
      </c>
      <c r="I768" s="140" t="s">
        <v>2255</v>
      </c>
      <c r="J768" s="286">
        <v>45000000</v>
      </c>
      <c r="K768" s="139" t="s">
        <v>221</v>
      </c>
      <c r="L768" s="140">
        <v>2922130</v>
      </c>
      <c r="M768" s="155" t="s">
        <v>27</v>
      </c>
      <c r="N768" s="140">
        <v>70</v>
      </c>
      <c r="O768" s="10">
        <v>27722772</v>
      </c>
      <c r="P768" s="140"/>
    </row>
    <row r="769" spans="1:16" ht="43.5" x14ac:dyDescent="0.35">
      <c r="A769" s="139" t="e">
        <f t="shared" si="11"/>
        <v>#REF!</v>
      </c>
      <c r="B769" s="140" t="s">
        <v>18</v>
      </c>
      <c r="C769" s="140" t="s">
        <v>37</v>
      </c>
      <c r="D769" s="140" t="s">
        <v>1515</v>
      </c>
      <c r="E769" s="140" t="s">
        <v>1610</v>
      </c>
      <c r="F769" s="140"/>
      <c r="G769" s="140" t="s">
        <v>130</v>
      </c>
      <c r="H769" s="140" t="s">
        <v>2256</v>
      </c>
      <c r="I769" s="140" t="s">
        <v>2257</v>
      </c>
      <c r="J769" s="286">
        <v>125000000</v>
      </c>
      <c r="K769" s="139" t="s">
        <v>221</v>
      </c>
      <c r="L769" s="140"/>
      <c r="M769" s="155" t="s">
        <v>27</v>
      </c>
      <c r="N769" s="140">
        <v>600</v>
      </c>
      <c r="O769" s="10">
        <v>152533332</v>
      </c>
      <c r="P769" s="140"/>
    </row>
    <row r="770" spans="1:16" ht="43.5" x14ac:dyDescent="0.35">
      <c r="A770" s="139" t="e">
        <f t="shared" si="11"/>
        <v>#REF!</v>
      </c>
      <c r="B770" s="140" t="s">
        <v>18</v>
      </c>
      <c r="C770" s="140" t="s">
        <v>37</v>
      </c>
      <c r="D770" s="140" t="s">
        <v>1521</v>
      </c>
      <c r="E770" s="140" t="s">
        <v>2258</v>
      </c>
      <c r="F770" s="140"/>
      <c r="G770" s="140" t="s">
        <v>130</v>
      </c>
      <c r="H770" s="140" t="s">
        <v>2259</v>
      </c>
      <c r="I770" s="140" t="s">
        <v>35</v>
      </c>
      <c r="J770" s="286">
        <v>125000000</v>
      </c>
      <c r="K770" s="139" t="s">
        <v>221</v>
      </c>
      <c r="L770" s="140">
        <v>2817278</v>
      </c>
      <c r="M770" s="155" t="s">
        <v>27</v>
      </c>
      <c r="N770" s="140">
        <v>1</v>
      </c>
      <c r="O770" s="10">
        <v>210000000</v>
      </c>
      <c r="P770" s="140" t="s">
        <v>2260</v>
      </c>
    </row>
    <row r="771" spans="1:16" ht="43.5" x14ac:dyDescent="0.35">
      <c r="A771" s="139" t="e">
        <f t="shared" si="11"/>
        <v>#REF!</v>
      </c>
      <c r="B771" s="140" t="s">
        <v>18</v>
      </c>
      <c r="C771" s="140" t="s">
        <v>37</v>
      </c>
      <c r="D771" s="140" t="s">
        <v>1515</v>
      </c>
      <c r="E771" s="140" t="s">
        <v>2261</v>
      </c>
      <c r="F771" s="140"/>
      <c r="G771" s="140" t="s">
        <v>130</v>
      </c>
      <c r="H771" s="140" t="s">
        <v>2262</v>
      </c>
      <c r="I771" s="140" t="s">
        <v>2263</v>
      </c>
      <c r="J771" s="286">
        <v>125000000</v>
      </c>
      <c r="K771" s="139" t="s">
        <v>221</v>
      </c>
      <c r="L771" s="140"/>
      <c r="M771" s="155" t="s">
        <v>27</v>
      </c>
      <c r="N771" s="140">
        <v>800</v>
      </c>
      <c r="O771" s="10">
        <v>316831680</v>
      </c>
      <c r="P771" s="140"/>
    </row>
    <row r="772" spans="1:16" ht="43.5" x14ac:dyDescent="0.35">
      <c r="A772" s="139" t="e">
        <f t="shared" si="11"/>
        <v>#REF!</v>
      </c>
      <c r="B772" s="140" t="s">
        <v>18</v>
      </c>
      <c r="C772" s="140" t="s">
        <v>37</v>
      </c>
      <c r="D772" s="140" t="s">
        <v>1515</v>
      </c>
      <c r="E772" s="140" t="s">
        <v>2264</v>
      </c>
      <c r="F772" s="140" t="s">
        <v>2265</v>
      </c>
      <c r="G772" s="140" t="s">
        <v>1238</v>
      </c>
      <c r="H772" s="140" t="s">
        <v>2266</v>
      </c>
      <c r="I772" s="140" t="s">
        <v>2267</v>
      </c>
      <c r="J772" s="286">
        <v>100000000</v>
      </c>
      <c r="K772" s="139" t="s">
        <v>221</v>
      </c>
      <c r="L772" s="140">
        <v>2923413</v>
      </c>
      <c r="M772" s="155" t="s">
        <v>27</v>
      </c>
      <c r="N772" s="140">
        <v>400</v>
      </c>
      <c r="O772" s="10">
        <v>101688888</v>
      </c>
      <c r="P772" s="140"/>
    </row>
    <row r="773" spans="1:16" ht="43.5" x14ac:dyDescent="0.35">
      <c r="A773" s="139" t="e">
        <f t="shared" si="11"/>
        <v>#REF!</v>
      </c>
      <c r="B773" s="140" t="s">
        <v>18</v>
      </c>
      <c r="C773" s="140" t="s">
        <v>37</v>
      </c>
      <c r="D773" s="140" t="s">
        <v>1515</v>
      </c>
      <c r="E773" s="140" t="s">
        <v>2268</v>
      </c>
      <c r="F773" s="140" t="s">
        <v>2269</v>
      </c>
      <c r="G773" s="140" t="s">
        <v>1238</v>
      </c>
      <c r="H773" s="140" t="s">
        <v>2270</v>
      </c>
      <c r="I773" s="140" t="s">
        <v>2271</v>
      </c>
      <c r="J773" s="286">
        <v>44000000</v>
      </c>
      <c r="K773" s="139" t="s">
        <v>221</v>
      </c>
      <c r="L773" s="140">
        <v>2923517</v>
      </c>
      <c r="M773" s="155" t="s">
        <v>27</v>
      </c>
      <c r="N773" s="140">
        <v>400</v>
      </c>
      <c r="O773" s="10">
        <f>254222*400</f>
        <v>101688800</v>
      </c>
      <c r="P773" s="140" t="s">
        <v>2272</v>
      </c>
    </row>
    <row r="774" spans="1:16" ht="43.5" x14ac:dyDescent="0.35">
      <c r="A774" s="139" t="e">
        <f t="shared" si="11"/>
        <v>#REF!</v>
      </c>
      <c r="B774" s="140" t="s">
        <v>18</v>
      </c>
      <c r="C774" s="140" t="s">
        <v>37</v>
      </c>
      <c r="D774" s="140" t="s">
        <v>1515</v>
      </c>
      <c r="E774" s="140" t="s">
        <v>1766</v>
      </c>
      <c r="F774" s="140" t="s">
        <v>2273</v>
      </c>
      <c r="G774" s="140" t="s">
        <v>1238</v>
      </c>
      <c r="H774" s="140" t="s">
        <v>2274</v>
      </c>
      <c r="I774" s="140" t="s">
        <v>2267</v>
      </c>
      <c r="J774" s="286">
        <v>100000000</v>
      </c>
      <c r="K774" s="139" t="s">
        <v>221</v>
      </c>
      <c r="L774" s="140">
        <v>2923581</v>
      </c>
      <c r="M774" s="155" t="s">
        <v>27</v>
      </c>
      <c r="N774" s="140">
        <v>350</v>
      </c>
      <c r="O774" s="10">
        <f>327869*320</f>
        <v>104918080</v>
      </c>
      <c r="P774" s="140"/>
    </row>
    <row r="775" spans="1:16" ht="43.5" x14ac:dyDescent="0.35">
      <c r="A775" s="139" t="e">
        <f t="shared" si="11"/>
        <v>#REF!</v>
      </c>
      <c r="B775" s="140" t="s">
        <v>18</v>
      </c>
      <c r="C775" s="140" t="s">
        <v>37</v>
      </c>
      <c r="D775" s="140" t="s">
        <v>1515</v>
      </c>
      <c r="E775" s="140" t="s">
        <v>1766</v>
      </c>
      <c r="F775" s="140" t="s">
        <v>2275</v>
      </c>
      <c r="G775" s="140" t="s">
        <v>1238</v>
      </c>
      <c r="H775" s="140" t="s">
        <v>2276</v>
      </c>
      <c r="I775" s="140" t="s">
        <v>2267</v>
      </c>
      <c r="J775" s="286">
        <v>100000000</v>
      </c>
      <c r="K775" s="139" t="s">
        <v>221</v>
      </c>
      <c r="L775" s="140">
        <v>2923660</v>
      </c>
      <c r="M775" s="155" t="s">
        <v>27</v>
      </c>
      <c r="N775" s="140">
        <v>320</v>
      </c>
      <c r="O775" s="10">
        <f>327869*320</f>
        <v>104918080</v>
      </c>
      <c r="P775" s="140"/>
    </row>
    <row r="776" spans="1:16" ht="43.5" x14ac:dyDescent="0.35">
      <c r="A776" s="139" t="e">
        <f t="shared" si="11"/>
        <v>#REF!</v>
      </c>
      <c r="B776" s="140" t="s">
        <v>18</v>
      </c>
      <c r="C776" s="140" t="s">
        <v>37</v>
      </c>
      <c r="D776" s="140" t="s">
        <v>1515</v>
      </c>
      <c r="E776" s="140" t="s">
        <v>2277</v>
      </c>
      <c r="F776" s="140" t="s">
        <v>2278</v>
      </c>
      <c r="G776" s="140" t="s">
        <v>1238</v>
      </c>
      <c r="H776" s="140" t="s">
        <v>2279</v>
      </c>
      <c r="I776" s="140" t="s">
        <v>2280</v>
      </c>
      <c r="J776" s="286">
        <v>100000000</v>
      </c>
      <c r="K776" s="139" t="s">
        <v>221</v>
      </c>
      <c r="L776" s="140">
        <v>2923758</v>
      </c>
      <c r="M776" s="155" t="s">
        <v>27</v>
      </c>
      <c r="N776" s="140">
        <v>260</v>
      </c>
      <c r="O776" s="10">
        <f>260*396040</f>
        <v>102970400</v>
      </c>
      <c r="P776" s="140"/>
    </row>
    <row r="777" spans="1:16" ht="43.5" x14ac:dyDescent="0.35">
      <c r="A777" s="139" t="e">
        <f t="shared" si="11"/>
        <v>#REF!</v>
      </c>
      <c r="B777" s="140" t="s">
        <v>18</v>
      </c>
      <c r="C777" s="140" t="s">
        <v>37</v>
      </c>
      <c r="D777" s="140" t="s">
        <v>1515</v>
      </c>
      <c r="E777" s="140" t="s">
        <v>2277</v>
      </c>
      <c r="F777" s="140" t="s">
        <v>2281</v>
      </c>
      <c r="G777" s="140" t="s">
        <v>1238</v>
      </c>
      <c r="H777" s="140" t="s">
        <v>2282</v>
      </c>
      <c r="I777" s="140" t="s">
        <v>2267</v>
      </c>
      <c r="J777" s="286">
        <v>90000000</v>
      </c>
      <c r="K777" s="139" t="s">
        <v>221</v>
      </c>
      <c r="L777" s="140">
        <v>2923810</v>
      </c>
      <c r="M777" s="155" t="s">
        <v>27</v>
      </c>
      <c r="N777" s="140">
        <v>260</v>
      </c>
      <c r="O777" s="10">
        <f>260*396040</f>
        <v>102970400</v>
      </c>
      <c r="P777" s="140"/>
    </row>
    <row r="778" spans="1:16" ht="43.5" x14ac:dyDescent="0.35">
      <c r="A778" s="139" t="e">
        <f t="shared" si="11"/>
        <v>#REF!</v>
      </c>
      <c r="B778" s="140" t="s">
        <v>18</v>
      </c>
      <c r="C778" s="140" t="s">
        <v>37</v>
      </c>
      <c r="D778" s="140" t="s">
        <v>1515</v>
      </c>
      <c r="E778" s="140" t="s">
        <v>1766</v>
      </c>
      <c r="F778" s="140" t="s">
        <v>1237</v>
      </c>
      <c r="G778" s="140" t="s">
        <v>1238</v>
      </c>
      <c r="H778" s="140" t="s">
        <v>1239</v>
      </c>
      <c r="I778" s="140" t="s">
        <v>2283</v>
      </c>
      <c r="J778" s="286">
        <v>45000000</v>
      </c>
      <c r="K778" s="139" t="s">
        <v>221</v>
      </c>
      <c r="L778" s="140">
        <v>2923866</v>
      </c>
      <c r="M778" s="155" t="s">
        <v>27</v>
      </c>
      <c r="N778" s="140">
        <v>100</v>
      </c>
      <c r="O778" s="10">
        <v>32786885</v>
      </c>
      <c r="P778" s="140" t="s">
        <v>2284</v>
      </c>
    </row>
    <row r="779" spans="1:16" ht="43.5" x14ac:dyDescent="0.35">
      <c r="A779" s="139" t="e">
        <f t="shared" si="11"/>
        <v>#REF!</v>
      </c>
      <c r="B779" s="140" t="s">
        <v>18</v>
      </c>
      <c r="C779" s="140" t="s">
        <v>37</v>
      </c>
      <c r="D779" s="140" t="s">
        <v>1515</v>
      </c>
      <c r="E779" s="140" t="s">
        <v>2277</v>
      </c>
      <c r="F779" s="140" t="s">
        <v>2285</v>
      </c>
      <c r="G779" s="140" t="s">
        <v>1238</v>
      </c>
      <c r="H779" s="140" t="s">
        <v>2286</v>
      </c>
      <c r="I779" s="140" t="s">
        <v>2280</v>
      </c>
      <c r="J779" s="286">
        <v>100000000</v>
      </c>
      <c r="K779" s="139" t="s">
        <v>221</v>
      </c>
      <c r="L779" s="140">
        <v>2923932</v>
      </c>
      <c r="M779" s="155" t="s">
        <v>27</v>
      </c>
      <c r="N779" s="140">
        <v>250</v>
      </c>
      <c r="O779" s="10">
        <f>250*396040</f>
        <v>99010000</v>
      </c>
      <c r="P779" s="140" t="s">
        <v>2287</v>
      </c>
    </row>
    <row r="780" spans="1:16" ht="43.5" x14ac:dyDescent="0.35">
      <c r="A780" s="139" t="e">
        <f t="shared" si="11"/>
        <v>#REF!</v>
      </c>
      <c r="B780" s="140" t="s">
        <v>18</v>
      </c>
      <c r="C780" s="140" t="s">
        <v>37</v>
      </c>
      <c r="D780" s="140" t="s">
        <v>1515</v>
      </c>
      <c r="E780" s="140" t="s">
        <v>1766</v>
      </c>
      <c r="F780" s="140" t="s">
        <v>2288</v>
      </c>
      <c r="G780" s="140" t="s">
        <v>1238</v>
      </c>
      <c r="H780" s="140" t="s">
        <v>2289</v>
      </c>
      <c r="I780" s="140" t="s">
        <v>2267</v>
      </c>
      <c r="J780" s="286">
        <v>100000000</v>
      </c>
      <c r="K780" s="139" t="s">
        <v>221</v>
      </c>
      <c r="L780" s="140">
        <v>2924005</v>
      </c>
      <c r="M780" s="155" t="s">
        <v>27</v>
      </c>
      <c r="N780" s="140">
        <v>300</v>
      </c>
      <c r="O780" s="10">
        <f>327869*300</f>
        <v>98360700</v>
      </c>
      <c r="P780" s="140"/>
    </row>
    <row r="781" spans="1:16" ht="43.5" x14ac:dyDescent="0.35">
      <c r="A781" s="139" t="e">
        <f t="shared" si="11"/>
        <v>#REF!</v>
      </c>
      <c r="B781" s="140" t="s">
        <v>18</v>
      </c>
      <c r="C781" s="140" t="s">
        <v>37</v>
      </c>
      <c r="D781" s="140" t="s">
        <v>1515</v>
      </c>
      <c r="E781" s="140" t="s">
        <v>1610</v>
      </c>
      <c r="F781" s="140" t="s">
        <v>30</v>
      </c>
      <c r="G781" s="140" t="s">
        <v>1238</v>
      </c>
      <c r="H781" s="140" t="s">
        <v>2290</v>
      </c>
      <c r="I781" s="140" t="s">
        <v>2291</v>
      </c>
      <c r="J781" s="286">
        <v>100000000</v>
      </c>
      <c r="K781" s="139" t="s">
        <v>221</v>
      </c>
      <c r="L781" s="140">
        <v>2924055</v>
      </c>
      <c r="M781" s="155" t="s">
        <v>27</v>
      </c>
      <c r="N781" s="140">
        <v>400</v>
      </c>
      <c r="O781" s="10">
        <f>254222*400</f>
        <v>101688800</v>
      </c>
      <c r="P781" s="140" t="s">
        <v>2292</v>
      </c>
    </row>
    <row r="782" spans="1:16" ht="43.5" x14ac:dyDescent="0.35">
      <c r="A782" s="139" t="e">
        <f t="shared" si="11"/>
        <v>#REF!</v>
      </c>
      <c r="B782" s="140" t="s">
        <v>18</v>
      </c>
      <c r="C782" s="140" t="s">
        <v>37</v>
      </c>
      <c r="D782" s="140" t="s">
        <v>1634</v>
      </c>
      <c r="E782" s="140" t="s">
        <v>2054</v>
      </c>
      <c r="F782" s="140" t="s">
        <v>297</v>
      </c>
      <c r="G782" s="139" t="s">
        <v>2293</v>
      </c>
      <c r="H782" s="139" t="s">
        <v>2294</v>
      </c>
      <c r="I782" s="139" t="s">
        <v>35</v>
      </c>
      <c r="J782" s="269">
        <v>50000000</v>
      </c>
      <c r="K782" s="139" t="s">
        <v>221</v>
      </c>
      <c r="L782" s="139">
        <v>3011642</v>
      </c>
      <c r="M782" s="155" t="s">
        <v>27</v>
      </c>
      <c r="N782" s="139">
        <v>2</v>
      </c>
      <c r="O782" s="13">
        <v>50000000</v>
      </c>
      <c r="P782" s="140"/>
    </row>
    <row r="783" spans="1:16" ht="43.5" x14ac:dyDescent="0.35">
      <c r="A783" s="139" t="e">
        <f t="shared" si="11"/>
        <v>#REF!</v>
      </c>
      <c r="B783" s="140" t="s">
        <v>18</v>
      </c>
      <c r="C783" s="140" t="s">
        <v>37</v>
      </c>
      <c r="D783" s="140" t="s">
        <v>1634</v>
      </c>
      <c r="E783" s="140" t="s">
        <v>2054</v>
      </c>
      <c r="F783" s="140" t="s">
        <v>297</v>
      </c>
      <c r="G783" s="139" t="s">
        <v>2293</v>
      </c>
      <c r="H783" s="139" t="s">
        <v>2295</v>
      </c>
      <c r="I783" s="139" t="s">
        <v>35</v>
      </c>
      <c r="J783" s="269">
        <v>100000000</v>
      </c>
      <c r="K783" s="139" t="s">
        <v>221</v>
      </c>
      <c r="L783" s="139">
        <v>3011727</v>
      </c>
      <c r="M783" s="155" t="s">
        <v>27</v>
      </c>
      <c r="N783" s="139">
        <v>2</v>
      </c>
      <c r="O783" s="13">
        <v>50000000</v>
      </c>
      <c r="P783" s="140"/>
    </row>
    <row r="784" spans="1:16" ht="43.5" x14ac:dyDescent="0.35">
      <c r="A784" s="139" t="e">
        <f>#REF!+1</f>
        <v>#REF!</v>
      </c>
      <c r="B784" s="140" t="s">
        <v>18</v>
      </c>
      <c r="C784" s="140" t="s">
        <v>37</v>
      </c>
      <c r="D784" s="140" t="s">
        <v>476</v>
      </c>
      <c r="E784" s="140" t="s">
        <v>2296</v>
      </c>
      <c r="F784" s="140" t="s">
        <v>297</v>
      </c>
      <c r="G784" s="139" t="s">
        <v>2293</v>
      </c>
      <c r="H784" s="139" t="s">
        <v>2297</v>
      </c>
      <c r="I784" s="139" t="s">
        <v>280</v>
      </c>
      <c r="J784" s="269">
        <v>700000000</v>
      </c>
      <c r="K784" s="139" t="s">
        <v>221</v>
      </c>
      <c r="L784" s="139">
        <v>2849399</v>
      </c>
      <c r="M784" s="155" t="s">
        <v>27</v>
      </c>
      <c r="N784" s="139">
        <v>6</v>
      </c>
      <c r="O784" s="13">
        <v>888837516</v>
      </c>
      <c r="P784" s="140"/>
    </row>
    <row r="785" spans="1:16" ht="43.5" x14ac:dyDescent="0.35">
      <c r="A785" s="139" t="e">
        <f t="shared" si="11"/>
        <v>#REF!</v>
      </c>
      <c r="B785" s="140" t="s">
        <v>18</v>
      </c>
      <c r="C785" s="140" t="s">
        <v>37</v>
      </c>
      <c r="D785" s="140" t="s">
        <v>1515</v>
      </c>
      <c r="E785" s="140" t="s">
        <v>2095</v>
      </c>
      <c r="F785" s="140" t="s">
        <v>2298</v>
      </c>
      <c r="G785" s="139" t="s">
        <v>135</v>
      </c>
      <c r="H785" s="139" t="s">
        <v>138</v>
      </c>
      <c r="I785" s="139" t="s">
        <v>1253</v>
      </c>
      <c r="J785" s="269">
        <v>50000000</v>
      </c>
      <c r="K785" s="139" t="s">
        <v>221</v>
      </c>
      <c r="L785" s="139">
        <v>2936115</v>
      </c>
      <c r="M785" s="155" t="s">
        <v>27</v>
      </c>
      <c r="N785" s="291">
        <v>0.29281633680906299</v>
      </c>
      <c r="O785" s="13">
        <v>50000000</v>
      </c>
      <c r="P785" s="140" t="s">
        <v>1955</v>
      </c>
    </row>
    <row r="786" spans="1:16" ht="43.5" x14ac:dyDescent="0.35">
      <c r="A786" s="139" t="e">
        <f t="shared" si="11"/>
        <v>#REF!</v>
      </c>
      <c r="B786" s="140" t="s">
        <v>18</v>
      </c>
      <c r="C786" s="140" t="s">
        <v>37</v>
      </c>
      <c r="D786" s="140" t="s">
        <v>1515</v>
      </c>
      <c r="E786" s="140" t="s">
        <v>2299</v>
      </c>
      <c r="F786" s="140" t="s">
        <v>591</v>
      </c>
      <c r="G786" s="139" t="s">
        <v>135</v>
      </c>
      <c r="H786" s="139" t="s">
        <v>1242</v>
      </c>
      <c r="I786" s="139" t="s">
        <v>2041</v>
      </c>
      <c r="J786" s="269">
        <v>100000000</v>
      </c>
      <c r="K786" s="139" t="s">
        <v>221</v>
      </c>
      <c r="L786" s="139">
        <v>2936503</v>
      </c>
      <c r="M786" s="155" t="s">
        <v>27</v>
      </c>
      <c r="N786" s="139">
        <v>197</v>
      </c>
      <c r="O786" s="13">
        <v>50081734</v>
      </c>
      <c r="P786" s="140"/>
    </row>
    <row r="787" spans="1:16" ht="101.5" x14ac:dyDescent="0.35">
      <c r="A787" s="139" t="e">
        <f>#REF!+1</f>
        <v>#REF!</v>
      </c>
      <c r="B787" s="140" t="s">
        <v>18</v>
      </c>
      <c r="C787" s="140" t="s">
        <v>37</v>
      </c>
      <c r="D787" s="140" t="s">
        <v>1515</v>
      </c>
      <c r="E787" s="140" t="s">
        <v>1979</v>
      </c>
      <c r="F787" s="140" t="s">
        <v>2300</v>
      </c>
      <c r="G787" s="139" t="s">
        <v>351</v>
      </c>
      <c r="H787" s="139" t="s">
        <v>2301</v>
      </c>
      <c r="I787" s="139" t="s">
        <v>2302</v>
      </c>
      <c r="J787" s="269" t="s">
        <v>48</v>
      </c>
      <c r="K787" s="139" t="s">
        <v>221</v>
      </c>
      <c r="L787" s="139">
        <v>2958867</v>
      </c>
      <c r="M787" s="155" t="s">
        <v>27</v>
      </c>
      <c r="N787" s="292">
        <v>275</v>
      </c>
      <c r="O787" s="13">
        <v>110000000</v>
      </c>
      <c r="P787" s="140"/>
    </row>
    <row r="788" spans="1:16" ht="101.5" x14ac:dyDescent="0.35">
      <c r="A788" s="139" t="e">
        <f t="shared" si="11"/>
        <v>#REF!</v>
      </c>
      <c r="B788" s="140" t="s">
        <v>18</v>
      </c>
      <c r="C788" s="140" t="s">
        <v>37</v>
      </c>
      <c r="D788" s="140" t="s">
        <v>1515</v>
      </c>
      <c r="E788" s="140" t="s">
        <v>1979</v>
      </c>
      <c r="F788" s="140" t="s">
        <v>2303</v>
      </c>
      <c r="G788" s="139" t="s">
        <v>351</v>
      </c>
      <c r="H788" s="139" t="s">
        <v>2304</v>
      </c>
      <c r="I788" s="139" t="s">
        <v>2305</v>
      </c>
      <c r="J788" s="269" t="s">
        <v>48</v>
      </c>
      <c r="K788" s="139" t="s">
        <v>221</v>
      </c>
      <c r="L788" s="139">
        <v>2958990</v>
      </c>
      <c r="M788" s="155" t="s">
        <v>27</v>
      </c>
      <c r="N788" s="292">
        <v>275</v>
      </c>
      <c r="O788" s="13">
        <v>110000000</v>
      </c>
      <c r="P788" s="140"/>
    </row>
    <row r="789" spans="1:16" ht="43.5" x14ac:dyDescent="0.35">
      <c r="A789" s="139" t="e">
        <f t="shared" si="11"/>
        <v>#REF!</v>
      </c>
      <c r="B789" s="140" t="s">
        <v>18</v>
      </c>
      <c r="C789" s="140" t="s">
        <v>37</v>
      </c>
      <c r="D789" s="140" t="s">
        <v>1803</v>
      </c>
      <c r="E789" s="140" t="s">
        <v>2306</v>
      </c>
      <c r="F789" s="140" t="s">
        <v>2307</v>
      </c>
      <c r="G789" s="139" t="s">
        <v>351</v>
      </c>
      <c r="H789" s="139" t="s">
        <v>2308</v>
      </c>
      <c r="I789" s="139" t="s">
        <v>35</v>
      </c>
      <c r="J789" s="269" t="s">
        <v>48</v>
      </c>
      <c r="K789" s="139" t="s">
        <v>221</v>
      </c>
      <c r="L789" s="139">
        <v>2959200</v>
      </c>
      <c r="M789" s="155" t="s">
        <v>27</v>
      </c>
      <c r="N789" s="139">
        <v>23</v>
      </c>
      <c r="O789" s="13">
        <v>110000000</v>
      </c>
      <c r="P789" s="140" t="s">
        <v>1839</v>
      </c>
    </row>
    <row r="790" spans="1:16" ht="43.5" x14ac:dyDescent="0.35">
      <c r="A790" s="139" t="e">
        <f t="shared" si="11"/>
        <v>#REF!</v>
      </c>
      <c r="B790" s="140" t="s">
        <v>18</v>
      </c>
      <c r="C790" s="140" t="s">
        <v>37</v>
      </c>
      <c r="D790" s="140" t="s">
        <v>1803</v>
      </c>
      <c r="E790" s="140" t="s">
        <v>2306</v>
      </c>
      <c r="F790" s="140" t="s">
        <v>2309</v>
      </c>
      <c r="G790" s="139" t="s">
        <v>351</v>
      </c>
      <c r="H790" s="139" t="s">
        <v>2310</v>
      </c>
      <c r="I790" s="139" t="s">
        <v>35</v>
      </c>
      <c r="J790" s="269" t="s">
        <v>48</v>
      </c>
      <c r="K790" s="139" t="s">
        <v>221</v>
      </c>
      <c r="L790" s="139">
        <v>2959545</v>
      </c>
      <c r="M790" s="155" t="s">
        <v>27</v>
      </c>
      <c r="N790" s="139">
        <v>40</v>
      </c>
      <c r="O790" s="13">
        <v>200000000</v>
      </c>
      <c r="P790" s="140"/>
    </row>
    <row r="791" spans="1:16" ht="101.5" x14ac:dyDescent="0.35">
      <c r="A791" s="139" t="e">
        <f t="shared" si="11"/>
        <v>#REF!</v>
      </c>
      <c r="B791" s="140" t="s">
        <v>18</v>
      </c>
      <c r="C791" s="140" t="s">
        <v>37</v>
      </c>
      <c r="D791" s="140" t="s">
        <v>1515</v>
      </c>
      <c r="E791" s="140" t="s">
        <v>1979</v>
      </c>
      <c r="F791" s="140" t="s">
        <v>2311</v>
      </c>
      <c r="G791" s="139" t="s">
        <v>351</v>
      </c>
      <c r="H791" s="139" t="s">
        <v>2312</v>
      </c>
      <c r="I791" s="139" t="s">
        <v>2313</v>
      </c>
      <c r="J791" s="269" t="s">
        <v>48</v>
      </c>
      <c r="K791" s="139" t="s">
        <v>221</v>
      </c>
      <c r="L791" s="139">
        <v>2959647</v>
      </c>
      <c r="M791" s="155" t="s">
        <v>27</v>
      </c>
      <c r="N791" s="292">
        <v>275</v>
      </c>
      <c r="O791" s="13">
        <v>110000000</v>
      </c>
      <c r="P791" s="140"/>
    </row>
    <row r="792" spans="1:16" ht="43.5" x14ac:dyDescent="0.35">
      <c r="A792" s="139" t="e">
        <f t="shared" si="11"/>
        <v>#REF!</v>
      </c>
      <c r="B792" s="140" t="s">
        <v>18</v>
      </c>
      <c r="C792" s="140" t="s">
        <v>37</v>
      </c>
      <c r="D792" s="140" t="s">
        <v>1803</v>
      </c>
      <c r="E792" s="140" t="s">
        <v>2306</v>
      </c>
      <c r="F792" s="140" t="s">
        <v>2314</v>
      </c>
      <c r="G792" s="139" t="s">
        <v>351</v>
      </c>
      <c r="H792" s="139" t="s">
        <v>2315</v>
      </c>
      <c r="I792" s="139" t="s">
        <v>35</v>
      </c>
      <c r="J792" s="269" t="s">
        <v>48</v>
      </c>
      <c r="K792" s="139" t="s">
        <v>221</v>
      </c>
      <c r="L792" s="139">
        <v>2963134</v>
      </c>
      <c r="M792" s="155" t="s">
        <v>27</v>
      </c>
      <c r="N792" s="139">
        <v>30</v>
      </c>
      <c r="O792" s="13">
        <v>150000000</v>
      </c>
      <c r="P792" s="140"/>
    </row>
    <row r="793" spans="1:16" ht="101.5" x14ac:dyDescent="0.35">
      <c r="A793" s="139" t="e">
        <f t="shared" si="11"/>
        <v>#REF!</v>
      </c>
      <c r="B793" s="140" t="s">
        <v>18</v>
      </c>
      <c r="C793" s="140" t="s">
        <v>37</v>
      </c>
      <c r="D793" s="140" t="s">
        <v>1515</v>
      </c>
      <c r="E793" s="140" t="s">
        <v>1979</v>
      </c>
      <c r="F793" s="140" t="s">
        <v>2316</v>
      </c>
      <c r="G793" s="139" t="s">
        <v>351</v>
      </c>
      <c r="H793" s="139" t="s">
        <v>2317</v>
      </c>
      <c r="I793" s="139" t="s">
        <v>2318</v>
      </c>
      <c r="J793" s="269" t="s">
        <v>48</v>
      </c>
      <c r="K793" s="139" t="s">
        <v>221</v>
      </c>
      <c r="L793" s="139">
        <v>2965830</v>
      </c>
      <c r="M793" s="155" t="s">
        <v>27</v>
      </c>
      <c r="N793" s="292">
        <v>275</v>
      </c>
      <c r="O793" s="13">
        <v>110000000</v>
      </c>
      <c r="P793" s="140"/>
    </row>
    <row r="794" spans="1:16" ht="43.5" x14ac:dyDescent="0.35">
      <c r="A794" s="139" t="e">
        <f t="shared" si="11"/>
        <v>#REF!</v>
      </c>
      <c r="B794" s="140" t="s">
        <v>18</v>
      </c>
      <c r="C794" s="140" t="s">
        <v>37</v>
      </c>
      <c r="D794" s="140" t="s">
        <v>476</v>
      </c>
      <c r="E794" s="140" t="s">
        <v>1216</v>
      </c>
      <c r="F794" s="140" t="s">
        <v>297</v>
      </c>
      <c r="G794" s="139" t="s">
        <v>598</v>
      </c>
      <c r="H794" s="139" t="s">
        <v>2319</v>
      </c>
      <c r="I794" s="139" t="s">
        <v>2320</v>
      </c>
      <c r="J794" s="269">
        <v>190000000</v>
      </c>
      <c r="K794" s="139" t="s">
        <v>221</v>
      </c>
      <c r="L794" s="139">
        <v>2791719</v>
      </c>
      <c r="M794" s="155" t="s">
        <v>27</v>
      </c>
      <c r="N794" s="139">
        <v>120</v>
      </c>
      <c r="O794" s="13">
        <v>206640000</v>
      </c>
      <c r="P794" s="140" t="s">
        <v>1728</v>
      </c>
    </row>
    <row r="795" spans="1:16" ht="43.5" x14ac:dyDescent="0.35">
      <c r="A795" s="139" t="e">
        <f t="shared" si="11"/>
        <v>#REF!</v>
      </c>
      <c r="B795" s="140" t="s">
        <v>18</v>
      </c>
      <c r="C795" s="140" t="s">
        <v>37</v>
      </c>
      <c r="D795" s="140" t="s">
        <v>1634</v>
      </c>
      <c r="E795" s="140" t="s">
        <v>2321</v>
      </c>
      <c r="F795" s="140" t="s">
        <v>297</v>
      </c>
      <c r="G795" s="139" t="s">
        <v>598</v>
      </c>
      <c r="H795" s="139" t="s">
        <v>599</v>
      </c>
      <c r="I795" s="139" t="s">
        <v>2322</v>
      </c>
      <c r="J795" s="269">
        <v>75000000</v>
      </c>
      <c r="K795" s="139" t="s">
        <v>221</v>
      </c>
      <c r="L795" s="139">
        <v>2791231</v>
      </c>
      <c r="M795" s="155" t="s">
        <v>27</v>
      </c>
      <c r="N795" s="139" t="s">
        <v>287</v>
      </c>
      <c r="O795" s="13">
        <v>185000000</v>
      </c>
      <c r="P795" s="140"/>
    </row>
    <row r="796" spans="1:16" ht="43.5" x14ac:dyDescent="0.35">
      <c r="A796" s="139" t="e">
        <f t="shared" si="11"/>
        <v>#REF!</v>
      </c>
      <c r="B796" s="140" t="s">
        <v>18</v>
      </c>
      <c r="C796" s="140" t="s">
        <v>37</v>
      </c>
      <c r="D796" s="140" t="s">
        <v>1521</v>
      </c>
      <c r="E796" s="277" t="s">
        <v>2323</v>
      </c>
      <c r="F796" s="140" t="s">
        <v>297</v>
      </c>
      <c r="G796" s="139" t="s">
        <v>598</v>
      </c>
      <c r="H796" s="139" t="s">
        <v>2324</v>
      </c>
      <c r="I796" s="139" t="s">
        <v>2325</v>
      </c>
      <c r="J796" s="269">
        <v>195000000</v>
      </c>
      <c r="K796" s="139" t="s">
        <v>221</v>
      </c>
      <c r="L796" s="139">
        <v>2790283</v>
      </c>
      <c r="M796" s="155" t="s">
        <v>27</v>
      </c>
      <c r="N796" s="139">
        <v>10</v>
      </c>
      <c r="O796" s="13">
        <v>145640000</v>
      </c>
      <c r="P796" s="140" t="s">
        <v>2326</v>
      </c>
    </row>
    <row r="797" spans="1:16" ht="43.5" x14ac:dyDescent="0.35">
      <c r="A797" s="139" t="e">
        <f t="shared" si="11"/>
        <v>#REF!</v>
      </c>
      <c r="B797" s="140" t="s">
        <v>18</v>
      </c>
      <c r="C797" s="140" t="s">
        <v>37</v>
      </c>
      <c r="D797" s="140" t="s">
        <v>1570</v>
      </c>
      <c r="E797" s="140" t="s">
        <v>2327</v>
      </c>
      <c r="F797" s="140" t="s">
        <v>297</v>
      </c>
      <c r="G797" s="139" t="s">
        <v>598</v>
      </c>
      <c r="H797" s="139" t="s">
        <v>2328</v>
      </c>
      <c r="I797" s="139" t="s">
        <v>2329</v>
      </c>
      <c r="J797" s="269">
        <v>100000000</v>
      </c>
      <c r="K797" s="139" t="s">
        <v>221</v>
      </c>
      <c r="L797" s="139">
        <v>2958384</v>
      </c>
      <c r="M797" s="155" t="s">
        <v>27</v>
      </c>
      <c r="N797" s="292">
        <v>35.945363048166797</v>
      </c>
      <c r="O797" s="13">
        <v>100000000</v>
      </c>
      <c r="P797" s="140"/>
    </row>
    <row r="798" spans="1:16" ht="43.5" x14ac:dyDescent="0.35">
      <c r="A798" s="139" t="e">
        <f t="shared" si="11"/>
        <v>#REF!</v>
      </c>
      <c r="B798" s="140" t="s">
        <v>18</v>
      </c>
      <c r="C798" s="140" t="s">
        <v>37</v>
      </c>
      <c r="D798" s="140" t="s">
        <v>1570</v>
      </c>
      <c r="E798" s="140" t="s">
        <v>2321</v>
      </c>
      <c r="F798" s="140" t="s">
        <v>297</v>
      </c>
      <c r="G798" s="139" t="s">
        <v>598</v>
      </c>
      <c r="H798" s="139" t="s">
        <v>2328</v>
      </c>
      <c r="I798" s="139" t="s">
        <v>61</v>
      </c>
      <c r="J798" s="269">
        <v>50000000</v>
      </c>
      <c r="K798" s="139" t="s">
        <v>221</v>
      </c>
      <c r="L798" s="139">
        <v>2958384</v>
      </c>
      <c r="M798" s="155" t="s">
        <v>27</v>
      </c>
      <c r="N798" s="139" t="s">
        <v>2330</v>
      </c>
      <c r="O798" s="13">
        <v>100000000</v>
      </c>
      <c r="P798" s="140"/>
    </row>
    <row r="799" spans="1:16" ht="43.5" x14ac:dyDescent="0.35">
      <c r="A799" s="139" t="e">
        <f t="shared" si="11"/>
        <v>#REF!</v>
      </c>
      <c r="B799" s="140" t="s">
        <v>18</v>
      </c>
      <c r="C799" s="140" t="s">
        <v>37</v>
      </c>
      <c r="D799" s="140" t="s">
        <v>1634</v>
      </c>
      <c r="E799" s="140" t="s">
        <v>2327</v>
      </c>
      <c r="F799" s="140" t="s">
        <v>297</v>
      </c>
      <c r="G799" s="139" t="s">
        <v>598</v>
      </c>
      <c r="H799" s="139" t="s">
        <v>2331</v>
      </c>
      <c r="I799" s="139" t="s">
        <v>1219</v>
      </c>
      <c r="J799" s="269">
        <v>190000000</v>
      </c>
      <c r="K799" s="139" t="s">
        <v>221</v>
      </c>
      <c r="L799" s="139">
        <v>2791455</v>
      </c>
      <c r="M799" s="155" t="s">
        <v>27</v>
      </c>
      <c r="N799" s="292">
        <v>68.296189791516895</v>
      </c>
      <c r="O799" s="13">
        <v>190000000</v>
      </c>
      <c r="P799" s="140"/>
    </row>
    <row r="800" spans="1:16" ht="43.5" x14ac:dyDescent="0.35">
      <c r="A800" s="139" t="e">
        <f t="shared" si="11"/>
        <v>#REF!</v>
      </c>
      <c r="B800" s="140" t="s">
        <v>18</v>
      </c>
      <c r="C800" s="140" t="s">
        <v>37</v>
      </c>
      <c r="D800" s="140" t="s">
        <v>1634</v>
      </c>
      <c r="E800" s="140" t="s">
        <v>2321</v>
      </c>
      <c r="F800" s="140" t="s">
        <v>297</v>
      </c>
      <c r="G800" s="139" t="s">
        <v>598</v>
      </c>
      <c r="H800" s="139" t="s">
        <v>2331</v>
      </c>
      <c r="I800" s="139" t="s">
        <v>61</v>
      </c>
      <c r="J800" s="269">
        <v>50000000</v>
      </c>
      <c r="K800" s="139" t="s">
        <v>221</v>
      </c>
      <c r="L800" s="139">
        <v>2791455</v>
      </c>
      <c r="M800" s="155" t="s">
        <v>27</v>
      </c>
      <c r="N800" s="139" t="s">
        <v>54</v>
      </c>
      <c r="O800" s="13">
        <v>50000000</v>
      </c>
      <c r="P800" s="140"/>
    </row>
    <row r="801" spans="1:16" ht="43.5" x14ac:dyDescent="0.35">
      <c r="A801" s="139" t="e">
        <f t="shared" si="11"/>
        <v>#REF!</v>
      </c>
      <c r="B801" s="140" t="s">
        <v>18</v>
      </c>
      <c r="C801" s="140" t="s">
        <v>37</v>
      </c>
      <c r="D801" s="140" t="s">
        <v>1515</v>
      </c>
      <c r="E801" s="140" t="s">
        <v>2332</v>
      </c>
      <c r="F801" s="140" t="s">
        <v>2333</v>
      </c>
      <c r="G801" s="140" t="s">
        <v>356</v>
      </c>
      <c r="H801" s="140" t="s">
        <v>2334</v>
      </c>
      <c r="I801" s="140" t="s">
        <v>341</v>
      </c>
      <c r="J801" s="286">
        <v>42000000</v>
      </c>
      <c r="K801" s="139" t="s">
        <v>221</v>
      </c>
      <c r="L801" s="140"/>
      <c r="M801" s="155" t="s">
        <v>27</v>
      </c>
      <c r="N801" s="140">
        <v>200</v>
      </c>
      <c r="O801" s="10">
        <f>396040*200</f>
        <v>79208000</v>
      </c>
      <c r="P801" s="140"/>
    </row>
    <row r="802" spans="1:16" ht="43.5" x14ac:dyDescent="0.35">
      <c r="A802" s="139" t="e">
        <f t="shared" ref="A802:A865" si="13">A801+1</f>
        <v>#REF!</v>
      </c>
      <c r="B802" s="140" t="s">
        <v>18</v>
      </c>
      <c r="C802" s="140" t="s">
        <v>37</v>
      </c>
      <c r="D802" s="140" t="s">
        <v>1515</v>
      </c>
      <c r="E802" s="140" t="s">
        <v>2335</v>
      </c>
      <c r="F802" s="140" t="s">
        <v>2336</v>
      </c>
      <c r="G802" s="140" t="s">
        <v>356</v>
      </c>
      <c r="H802" s="140" t="s">
        <v>2334</v>
      </c>
      <c r="I802" s="140" t="s">
        <v>1426</v>
      </c>
      <c r="J802" s="286">
        <v>35500000</v>
      </c>
      <c r="K802" s="139" t="s">
        <v>221</v>
      </c>
      <c r="L802" s="140"/>
      <c r="M802" s="155" t="s">
        <v>27</v>
      </c>
      <c r="N802" s="140">
        <v>300</v>
      </c>
      <c r="O802" s="10">
        <v>118811880</v>
      </c>
      <c r="P802" s="140"/>
    </row>
    <row r="803" spans="1:16" ht="43.5" x14ac:dyDescent="0.35">
      <c r="A803" s="139" t="e">
        <f t="shared" si="13"/>
        <v>#REF!</v>
      </c>
      <c r="B803" s="140" t="s">
        <v>18</v>
      </c>
      <c r="C803" s="140" t="s">
        <v>37</v>
      </c>
      <c r="D803" s="140" t="s">
        <v>1515</v>
      </c>
      <c r="E803" s="140" t="s">
        <v>2337</v>
      </c>
      <c r="F803" s="140" t="s">
        <v>2338</v>
      </c>
      <c r="G803" s="140" t="s">
        <v>356</v>
      </c>
      <c r="H803" s="140" t="s">
        <v>357</v>
      </c>
      <c r="I803" s="140" t="s">
        <v>1037</v>
      </c>
      <c r="J803" s="286">
        <v>72000000</v>
      </c>
      <c r="K803" s="139" t="s">
        <v>221</v>
      </c>
      <c r="L803" s="140">
        <v>2930911</v>
      </c>
      <c r="M803" s="155" t="s">
        <v>27</v>
      </c>
      <c r="N803" s="140">
        <v>3.4000000000000002E-2</v>
      </c>
      <c r="O803" s="10">
        <v>88599838.400000006</v>
      </c>
      <c r="P803" s="140" t="s">
        <v>1955</v>
      </c>
    </row>
    <row r="804" spans="1:16" ht="43.5" x14ac:dyDescent="0.35">
      <c r="A804" s="139" t="e">
        <f t="shared" si="13"/>
        <v>#REF!</v>
      </c>
      <c r="B804" s="140" t="s">
        <v>18</v>
      </c>
      <c r="C804" s="140" t="s">
        <v>37</v>
      </c>
      <c r="D804" s="140" t="s">
        <v>1515</v>
      </c>
      <c r="E804" s="140" t="s">
        <v>2339</v>
      </c>
      <c r="F804" s="140" t="s">
        <v>2340</v>
      </c>
      <c r="G804" s="140" t="s">
        <v>356</v>
      </c>
      <c r="H804" s="140" t="s">
        <v>2341</v>
      </c>
      <c r="I804" s="140" t="s">
        <v>2342</v>
      </c>
      <c r="J804" s="286">
        <v>64000000</v>
      </c>
      <c r="K804" s="139" t="s">
        <v>221</v>
      </c>
      <c r="L804" s="140">
        <v>2930922</v>
      </c>
      <c r="M804" s="155" t="s">
        <v>27</v>
      </c>
      <c r="N804" s="140">
        <v>58</v>
      </c>
      <c r="O804" s="10">
        <v>108000000</v>
      </c>
      <c r="P804" s="140"/>
    </row>
    <row r="805" spans="1:16" ht="43.5" x14ac:dyDescent="0.35">
      <c r="A805" s="139" t="e">
        <f t="shared" si="13"/>
        <v>#REF!</v>
      </c>
      <c r="B805" s="140" t="s">
        <v>18</v>
      </c>
      <c r="C805" s="140" t="s">
        <v>37</v>
      </c>
      <c r="D805" s="140" t="s">
        <v>1803</v>
      </c>
      <c r="E805" s="140" t="s">
        <v>2343</v>
      </c>
      <c r="F805" s="140" t="s">
        <v>2344</v>
      </c>
      <c r="G805" s="140" t="s">
        <v>356</v>
      </c>
      <c r="H805" s="140" t="s">
        <v>711</v>
      </c>
      <c r="I805" s="140" t="s">
        <v>2345</v>
      </c>
      <c r="J805" s="286">
        <v>85000000</v>
      </c>
      <c r="K805" s="139" t="s">
        <v>221</v>
      </c>
      <c r="L805" s="140">
        <v>2909088</v>
      </c>
      <c r="M805" s="155" t="s">
        <v>27</v>
      </c>
      <c r="N805" s="140">
        <v>30</v>
      </c>
      <c r="O805" s="10">
        <f>30*5000000</f>
        <v>150000000</v>
      </c>
      <c r="P805" s="140" t="s">
        <v>2346</v>
      </c>
    </row>
    <row r="806" spans="1:16" ht="43.5" x14ac:dyDescent="0.35">
      <c r="A806" s="139" t="e">
        <f t="shared" si="13"/>
        <v>#REF!</v>
      </c>
      <c r="B806" s="140" t="s">
        <v>18</v>
      </c>
      <c r="C806" s="140" t="s">
        <v>37</v>
      </c>
      <c r="D806" s="140" t="s">
        <v>1515</v>
      </c>
      <c r="E806" s="140" t="s">
        <v>2347</v>
      </c>
      <c r="F806" s="140" t="s">
        <v>2348</v>
      </c>
      <c r="G806" s="140" t="s">
        <v>356</v>
      </c>
      <c r="H806" s="140" t="s">
        <v>2349</v>
      </c>
      <c r="I806" s="140" t="s">
        <v>2350</v>
      </c>
      <c r="J806" s="286">
        <v>44000000</v>
      </c>
      <c r="K806" s="139" t="s">
        <v>221</v>
      </c>
      <c r="L806" s="140">
        <v>2930939</v>
      </c>
      <c r="M806" s="155" t="s">
        <v>27</v>
      </c>
      <c r="N806" s="140">
        <v>270</v>
      </c>
      <c r="O806" s="10">
        <v>68639999.400000006</v>
      </c>
      <c r="P806" s="140"/>
    </row>
    <row r="807" spans="1:16" ht="43.5" x14ac:dyDescent="0.35">
      <c r="A807" s="139" t="e">
        <f t="shared" si="13"/>
        <v>#REF!</v>
      </c>
      <c r="B807" s="140" t="s">
        <v>18</v>
      </c>
      <c r="C807" s="140" t="s">
        <v>37</v>
      </c>
      <c r="D807" s="140" t="s">
        <v>1515</v>
      </c>
      <c r="E807" s="140" t="s">
        <v>2351</v>
      </c>
      <c r="F807" s="140" t="s">
        <v>2352</v>
      </c>
      <c r="G807" s="140" t="s">
        <v>356</v>
      </c>
      <c r="H807" s="140" t="s">
        <v>2349</v>
      </c>
      <c r="I807" s="140" t="s">
        <v>1080</v>
      </c>
      <c r="J807" s="286">
        <v>32000000</v>
      </c>
      <c r="K807" s="139" t="s">
        <v>221</v>
      </c>
      <c r="L807" s="140">
        <v>2930939</v>
      </c>
      <c r="M807" s="155" t="s">
        <v>27</v>
      </c>
      <c r="N807" s="140">
        <v>100</v>
      </c>
      <c r="O807" s="10">
        <v>25422222</v>
      </c>
      <c r="P807" s="140"/>
    </row>
    <row r="808" spans="1:16" ht="43.5" x14ac:dyDescent="0.35">
      <c r="A808" s="139" t="e">
        <f t="shared" si="13"/>
        <v>#REF!</v>
      </c>
      <c r="B808" s="140" t="s">
        <v>18</v>
      </c>
      <c r="C808" s="140" t="s">
        <v>37</v>
      </c>
      <c r="D808" s="140" t="s">
        <v>1515</v>
      </c>
      <c r="E808" s="140" t="s">
        <v>2353</v>
      </c>
      <c r="F808" s="140" t="s">
        <v>2354</v>
      </c>
      <c r="G808" s="140" t="s">
        <v>356</v>
      </c>
      <c r="H808" s="140" t="s">
        <v>2355</v>
      </c>
      <c r="I808" s="140" t="s">
        <v>2356</v>
      </c>
      <c r="J808" s="286">
        <v>20000000</v>
      </c>
      <c r="K808" s="139" t="s">
        <v>221</v>
      </c>
      <c r="L808" s="140">
        <v>2930935</v>
      </c>
      <c r="M808" s="155" t="s">
        <v>27</v>
      </c>
      <c r="N808" s="140">
        <v>363</v>
      </c>
      <c r="O808" s="10">
        <v>92282665.859999999</v>
      </c>
      <c r="P808" s="140"/>
    </row>
    <row r="809" spans="1:16" ht="43.5" x14ac:dyDescent="0.35">
      <c r="A809" s="139" t="e">
        <f t="shared" si="13"/>
        <v>#REF!</v>
      </c>
      <c r="B809" s="140" t="s">
        <v>18</v>
      </c>
      <c r="C809" s="140" t="s">
        <v>37</v>
      </c>
      <c r="D809" s="140" t="s">
        <v>1515</v>
      </c>
      <c r="E809" s="140" t="s">
        <v>2357</v>
      </c>
      <c r="F809" s="140" t="s">
        <v>2358</v>
      </c>
      <c r="G809" s="140" t="s">
        <v>356</v>
      </c>
      <c r="H809" s="140" t="s">
        <v>2355</v>
      </c>
      <c r="I809" s="140" t="s">
        <v>2359</v>
      </c>
      <c r="J809" s="286">
        <v>38000000</v>
      </c>
      <c r="K809" s="139" t="s">
        <v>221</v>
      </c>
      <c r="L809" s="140">
        <v>2930935</v>
      </c>
      <c r="M809" s="155" t="s">
        <v>27</v>
      </c>
      <c r="N809" s="140">
        <v>305</v>
      </c>
      <c r="O809" s="10">
        <v>77537777.099999994</v>
      </c>
      <c r="P809" s="140"/>
    </row>
    <row r="810" spans="1:16" ht="43.5" x14ac:dyDescent="0.35">
      <c r="A810" s="139" t="e">
        <f t="shared" si="13"/>
        <v>#REF!</v>
      </c>
      <c r="B810" s="140" t="s">
        <v>18</v>
      </c>
      <c r="C810" s="140" t="s">
        <v>37</v>
      </c>
      <c r="D810" s="140" t="s">
        <v>1515</v>
      </c>
      <c r="E810" s="140" t="s">
        <v>2360</v>
      </c>
      <c r="F810" s="140" t="s">
        <v>2361</v>
      </c>
      <c r="G810" s="140" t="s">
        <v>356</v>
      </c>
      <c r="H810" s="140" t="s">
        <v>2355</v>
      </c>
      <c r="I810" s="140" t="s">
        <v>2362</v>
      </c>
      <c r="J810" s="286">
        <v>16000000</v>
      </c>
      <c r="K810" s="139" t="s">
        <v>221</v>
      </c>
      <c r="L810" s="140">
        <v>2930935</v>
      </c>
      <c r="M810" s="155" t="s">
        <v>27</v>
      </c>
      <c r="N810" s="140">
        <v>84</v>
      </c>
      <c r="O810" s="10">
        <v>21354666.48</v>
      </c>
      <c r="P810" s="140"/>
    </row>
    <row r="811" spans="1:16" ht="43.5" x14ac:dyDescent="0.35">
      <c r="A811" s="139" t="e">
        <f t="shared" si="13"/>
        <v>#REF!</v>
      </c>
      <c r="B811" s="140" t="s">
        <v>18</v>
      </c>
      <c r="C811" s="140" t="s">
        <v>37</v>
      </c>
      <c r="D811" s="140" t="s">
        <v>1515</v>
      </c>
      <c r="E811" s="140" t="s">
        <v>2347</v>
      </c>
      <c r="F811" s="140" t="s">
        <v>2363</v>
      </c>
      <c r="G811" s="140" t="s">
        <v>356</v>
      </c>
      <c r="H811" s="140" t="s">
        <v>2355</v>
      </c>
      <c r="I811" s="140" t="s">
        <v>2364</v>
      </c>
      <c r="J811" s="286">
        <v>26000000</v>
      </c>
      <c r="K811" s="139" t="s">
        <v>221</v>
      </c>
      <c r="L811" s="140">
        <v>2930935</v>
      </c>
      <c r="M811" s="155" t="s">
        <v>27</v>
      </c>
      <c r="N811" s="140">
        <v>201</v>
      </c>
      <c r="O811" s="10">
        <v>51098666.219999999</v>
      </c>
      <c r="P811" s="140"/>
    </row>
    <row r="812" spans="1:16" ht="43.5" x14ac:dyDescent="0.35">
      <c r="A812" s="139" t="e">
        <f t="shared" si="13"/>
        <v>#REF!</v>
      </c>
      <c r="B812" s="140" t="s">
        <v>18</v>
      </c>
      <c r="C812" s="140" t="s">
        <v>37</v>
      </c>
      <c r="D812" s="140" t="s">
        <v>1521</v>
      </c>
      <c r="E812" s="140" t="s">
        <v>2321</v>
      </c>
      <c r="F812" s="140" t="s">
        <v>2365</v>
      </c>
      <c r="G812" s="139" t="s">
        <v>870</v>
      </c>
      <c r="H812" s="139" t="s">
        <v>871</v>
      </c>
      <c r="I812" s="139" t="s">
        <v>2366</v>
      </c>
      <c r="J812" s="269">
        <v>20000000</v>
      </c>
      <c r="K812" s="139" t="s">
        <v>221</v>
      </c>
      <c r="L812" s="139">
        <v>2934977</v>
      </c>
      <c r="M812" s="155" t="s">
        <v>27</v>
      </c>
      <c r="N812" s="139" t="s">
        <v>54</v>
      </c>
      <c r="O812" s="13">
        <v>20000000</v>
      </c>
      <c r="P812" s="141" t="s">
        <v>2367</v>
      </c>
    </row>
    <row r="813" spans="1:16" ht="43.5" x14ac:dyDescent="0.35">
      <c r="A813" s="139" t="e">
        <f t="shared" si="13"/>
        <v>#REF!</v>
      </c>
      <c r="B813" s="140" t="s">
        <v>18</v>
      </c>
      <c r="C813" s="140" t="s">
        <v>37</v>
      </c>
      <c r="D813" s="140" t="s">
        <v>1515</v>
      </c>
      <c r="E813" s="140" t="s">
        <v>2368</v>
      </c>
      <c r="F813" s="140" t="s">
        <v>2369</v>
      </c>
      <c r="G813" s="139" t="s">
        <v>870</v>
      </c>
      <c r="H813" s="139" t="s">
        <v>871</v>
      </c>
      <c r="I813" s="139" t="s">
        <v>1259</v>
      </c>
      <c r="J813" s="269">
        <v>138000000</v>
      </c>
      <c r="K813" s="139" t="s">
        <v>221</v>
      </c>
      <c r="L813" s="139">
        <v>2934696</v>
      </c>
      <c r="M813" s="155" t="s">
        <v>27</v>
      </c>
      <c r="N813" s="139">
        <v>200</v>
      </c>
      <c r="O813" s="13">
        <f>200*254222</f>
        <v>50844400</v>
      </c>
      <c r="P813" s="141"/>
    </row>
    <row r="814" spans="1:16" ht="43.5" x14ac:dyDescent="0.35">
      <c r="A814" s="139" t="e">
        <f t="shared" si="13"/>
        <v>#REF!</v>
      </c>
      <c r="B814" s="140" t="s">
        <v>18</v>
      </c>
      <c r="C814" s="140" t="s">
        <v>37</v>
      </c>
      <c r="D814" s="140" t="s">
        <v>1634</v>
      </c>
      <c r="E814" s="140" t="s">
        <v>2321</v>
      </c>
      <c r="F814" s="140" t="s">
        <v>2370</v>
      </c>
      <c r="G814" s="139" t="s">
        <v>870</v>
      </c>
      <c r="H814" s="139" t="s">
        <v>2371</v>
      </c>
      <c r="I814" s="139" t="s">
        <v>2366</v>
      </c>
      <c r="J814" s="269">
        <v>20000000</v>
      </c>
      <c r="K814" s="139" t="s">
        <v>221</v>
      </c>
      <c r="L814" s="139">
        <v>2924573</v>
      </c>
      <c r="M814" s="155" t="s">
        <v>27</v>
      </c>
      <c r="N814" s="139" t="s">
        <v>895</v>
      </c>
      <c r="O814" s="13">
        <v>100000000</v>
      </c>
      <c r="P814" s="141" t="s">
        <v>2372</v>
      </c>
    </row>
    <row r="815" spans="1:16" ht="43.5" x14ac:dyDescent="0.35">
      <c r="A815" s="139" t="e">
        <f t="shared" si="13"/>
        <v>#REF!</v>
      </c>
      <c r="B815" s="140" t="s">
        <v>18</v>
      </c>
      <c r="C815" s="140" t="s">
        <v>37</v>
      </c>
      <c r="D815" s="140" t="s">
        <v>476</v>
      </c>
      <c r="E815" s="140" t="s">
        <v>2073</v>
      </c>
      <c r="F815" s="140" t="s">
        <v>2373</v>
      </c>
      <c r="G815" s="139" t="s">
        <v>870</v>
      </c>
      <c r="H815" s="139" t="s">
        <v>2371</v>
      </c>
      <c r="I815" s="139" t="s">
        <v>1259</v>
      </c>
      <c r="J815" s="269">
        <v>140000000</v>
      </c>
      <c r="K815" s="139" t="s">
        <v>221</v>
      </c>
      <c r="L815" s="139">
        <v>2924453</v>
      </c>
      <c r="M815" s="155" t="s">
        <v>27</v>
      </c>
      <c r="N815" s="293">
        <v>5.37247029561174E-2</v>
      </c>
      <c r="O815" s="13">
        <v>140000000</v>
      </c>
      <c r="P815" s="141" t="s">
        <v>2374</v>
      </c>
    </row>
    <row r="816" spans="1:16" ht="43.5" x14ac:dyDescent="0.35">
      <c r="A816" s="139" t="e">
        <f t="shared" si="13"/>
        <v>#REF!</v>
      </c>
      <c r="B816" s="140" t="s">
        <v>18</v>
      </c>
      <c r="C816" s="140" t="s">
        <v>37</v>
      </c>
      <c r="D816" s="140" t="s">
        <v>1634</v>
      </c>
      <c r="E816" s="140" t="s">
        <v>2321</v>
      </c>
      <c r="F816" s="140" t="s">
        <v>2375</v>
      </c>
      <c r="G816" s="139" t="s">
        <v>870</v>
      </c>
      <c r="H816" s="139" t="s">
        <v>2376</v>
      </c>
      <c r="I816" s="139" t="s">
        <v>2377</v>
      </c>
      <c r="J816" s="269">
        <v>20000000</v>
      </c>
      <c r="K816" s="139" t="s">
        <v>221</v>
      </c>
      <c r="L816" s="139"/>
      <c r="M816" s="155" t="s">
        <v>27</v>
      </c>
      <c r="N816" s="139" t="s">
        <v>895</v>
      </c>
      <c r="O816" s="13">
        <v>100000000</v>
      </c>
      <c r="P816" s="141" t="s">
        <v>2372</v>
      </c>
    </row>
    <row r="817" spans="1:16" ht="101.5" x14ac:dyDescent="0.35">
      <c r="A817" s="139" t="e">
        <f t="shared" si="13"/>
        <v>#REF!</v>
      </c>
      <c r="B817" s="140" t="s">
        <v>18</v>
      </c>
      <c r="C817" s="140" t="s">
        <v>37</v>
      </c>
      <c r="D817" s="140" t="s">
        <v>1515</v>
      </c>
      <c r="E817" s="140" t="s">
        <v>1979</v>
      </c>
      <c r="F817" s="140" t="s">
        <v>2378</v>
      </c>
      <c r="G817" s="140" t="s">
        <v>1257</v>
      </c>
      <c r="H817" s="140" t="s">
        <v>2379</v>
      </c>
      <c r="I817" s="140" t="s">
        <v>2380</v>
      </c>
      <c r="J817" s="286">
        <v>100000000</v>
      </c>
      <c r="K817" s="139" t="s">
        <v>221</v>
      </c>
      <c r="L817" s="140">
        <v>2936285</v>
      </c>
      <c r="M817" s="155" t="s">
        <v>27</v>
      </c>
      <c r="N817" s="140">
        <v>500</v>
      </c>
      <c r="O817" s="10">
        <f>500*254222</f>
        <v>127111000</v>
      </c>
      <c r="P817" s="140" t="s">
        <v>1544</v>
      </c>
    </row>
    <row r="818" spans="1:16" ht="101.5" x14ac:dyDescent="0.35">
      <c r="A818" s="139" t="e">
        <f t="shared" si="13"/>
        <v>#REF!</v>
      </c>
      <c r="B818" s="140" t="s">
        <v>18</v>
      </c>
      <c r="C818" s="140" t="s">
        <v>37</v>
      </c>
      <c r="D818" s="140" t="s">
        <v>1515</v>
      </c>
      <c r="E818" s="140" t="s">
        <v>1979</v>
      </c>
      <c r="F818" s="140" t="s">
        <v>2378</v>
      </c>
      <c r="G818" s="140" t="s">
        <v>1257</v>
      </c>
      <c r="H818" s="140" t="s">
        <v>2381</v>
      </c>
      <c r="I818" s="140" t="s">
        <v>2382</v>
      </c>
      <c r="J818" s="286">
        <v>100000000</v>
      </c>
      <c r="K818" s="139" t="s">
        <v>221</v>
      </c>
      <c r="L818" s="140">
        <v>2936285</v>
      </c>
      <c r="M818" s="155" t="s">
        <v>27</v>
      </c>
      <c r="N818" s="140">
        <v>400</v>
      </c>
      <c r="O818" s="10">
        <v>160000000</v>
      </c>
      <c r="P818" s="140" t="s">
        <v>2383</v>
      </c>
    </row>
    <row r="819" spans="1:16" ht="101.5" x14ac:dyDescent="0.35">
      <c r="A819" s="139" t="e">
        <f t="shared" si="13"/>
        <v>#REF!</v>
      </c>
      <c r="B819" s="140" t="s">
        <v>18</v>
      </c>
      <c r="C819" s="140" t="s">
        <v>37</v>
      </c>
      <c r="D819" s="140" t="s">
        <v>1515</v>
      </c>
      <c r="E819" s="140" t="s">
        <v>1979</v>
      </c>
      <c r="F819" s="140" t="s">
        <v>2378</v>
      </c>
      <c r="G819" s="140" t="s">
        <v>1257</v>
      </c>
      <c r="H819" s="140" t="s">
        <v>2384</v>
      </c>
      <c r="I819" s="140" t="s">
        <v>2385</v>
      </c>
      <c r="J819" s="286">
        <v>100000000</v>
      </c>
      <c r="K819" s="139" t="s">
        <v>221</v>
      </c>
      <c r="L819" s="140">
        <v>2936285</v>
      </c>
      <c r="M819" s="155" t="s">
        <v>27</v>
      </c>
      <c r="N819" s="140">
        <v>400</v>
      </c>
      <c r="O819" s="10">
        <v>101688800</v>
      </c>
      <c r="P819" s="140" t="s">
        <v>1544</v>
      </c>
    </row>
    <row r="820" spans="1:16" ht="101.5" x14ac:dyDescent="0.35">
      <c r="A820" s="139" t="e">
        <f t="shared" si="13"/>
        <v>#REF!</v>
      </c>
      <c r="B820" s="140" t="s">
        <v>18</v>
      </c>
      <c r="C820" s="140" t="s">
        <v>37</v>
      </c>
      <c r="D820" s="140" t="s">
        <v>1515</v>
      </c>
      <c r="E820" s="140" t="s">
        <v>1979</v>
      </c>
      <c r="F820" s="140" t="s">
        <v>2378</v>
      </c>
      <c r="G820" s="140" t="s">
        <v>1257</v>
      </c>
      <c r="H820" s="140" t="s">
        <v>2386</v>
      </c>
      <c r="I820" s="140" t="s">
        <v>1259</v>
      </c>
      <c r="J820" s="286">
        <v>100000000</v>
      </c>
      <c r="K820" s="139" t="s">
        <v>221</v>
      </c>
      <c r="L820" s="140">
        <v>2936285</v>
      </c>
      <c r="M820" s="155" t="s">
        <v>27</v>
      </c>
      <c r="N820" s="140">
        <v>200</v>
      </c>
      <c r="O820" s="10">
        <v>80000000</v>
      </c>
      <c r="P820" s="140" t="s">
        <v>2383</v>
      </c>
    </row>
    <row r="821" spans="1:16" ht="101.5" x14ac:dyDescent="0.35">
      <c r="A821" s="139" t="e">
        <f t="shared" si="13"/>
        <v>#REF!</v>
      </c>
      <c r="B821" s="140" t="s">
        <v>18</v>
      </c>
      <c r="C821" s="140" t="s">
        <v>37</v>
      </c>
      <c r="D821" s="140" t="s">
        <v>1515</v>
      </c>
      <c r="E821" s="140" t="s">
        <v>1979</v>
      </c>
      <c r="F821" s="140" t="s">
        <v>2378</v>
      </c>
      <c r="G821" s="140" t="s">
        <v>1257</v>
      </c>
      <c r="H821" s="140" t="s">
        <v>2387</v>
      </c>
      <c r="I821" s="140" t="s">
        <v>2388</v>
      </c>
      <c r="J821" s="286">
        <v>100000000</v>
      </c>
      <c r="K821" s="139" t="s">
        <v>221</v>
      </c>
      <c r="L821" s="140">
        <v>2936285</v>
      </c>
      <c r="M821" s="155" t="s">
        <v>27</v>
      </c>
      <c r="N821" s="140">
        <v>336</v>
      </c>
      <c r="O821" s="10">
        <v>85418665.920000002</v>
      </c>
      <c r="P821" s="140" t="s">
        <v>1544</v>
      </c>
    </row>
    <row r="822" spans="1:16" ht="101.5" x14ac:dyDescent="0.35">
      <c r="A822" s="139" t="e">
        <f t="shared" si="13"/>
        <v>#REF!</v>
      </c>
      <c r="B822" s="140" t="s">
        <v>18</v>
      </c>
      <c r="C822" s="140" t="s">
        <v>37</v>
      </c>
      <c r="D822" s="140" t="s">
        <v>1515</v>
      </c>
      <c r="E822" s="140" t="s">
        <v>1979</v>
      </c>
      <c r="F822" s="140" t="s">
        <v>2378</v>
      </c>
      <c r="G822" s="140" t="s">
        <v>1257</v>
      </c>
      <c r="H822" s="140" t="s">
        <v>2389</v>
      </c>
      <c r="I822" s="140" t="s">
        <v>2128</v>
      </c>
      <c r="J822" s="286">
        <v>100000000</v>
      </c>
      <c r="K822" s="139" t="s">
        <v>221</v>
      </c>
      <c r="L822" s="140">
        <v>2936285</v>
      </c>
      <c r="M822" s="155" t="s">
        <v>27</v>
      </c>
      <c r="N822" s="140">
        <v>375</v>
      </c>
      <c r="O822" s="10">
        <v>95333332.5</v>
      </c>
      <c r="P822" s="140" t="s">
        <v>1544</v>
      </c>
    </row>
    <row r="823" spans="1:16" ht="101.5" x14ac:dyDescent="0.35">
      <c r="A823" s="139" t="e">
        <f t="shared" si="13"/>
        <v>#REF!</v>
      </c>
      <c r="B823" s="140" t="s">
        <v>18</v>
      </c>
      <c r="C823" s="140" t="s">
        <v>37</v>
      </c>
      <c r="D823" s="140" t="s">
        <v>1515</v>
      </c>
      <c r="E823" s="140" t="s">
        <v>1979</v>
      </c>
      <c r="F823" s="140" t="s">
        <v>2378</v>
      </c>
      <c r="G823" s="140" t="s">
        <v>1257</v>
      </c>
      <c r="H823" s="140" t="s">
        <v>2390</v>
      </c>
      <c r="I823" s="140" t="s">
        <v>1187</v>
      </c>
      <c r="J823" s="286">
        <v>100000000</v>
      </c>
      <c r="K823" s="139" t="s">
        <v>221</v>
      </c>
      <c r="L823" s="140">
        <v>2936285</v>
      </c>
      <c r="M823" s="155" t="s">
        <v>27</v>
      </c>
      <c r="N823" s="140">
        <v>400</v>
      </c>
      <c r="O823" s="10">
        <v>101688800</v>
      </c>
      <c r="P823" s="140" t="s">
        <v>2391</v>
      </c>
    </row>
    <row r="824" spans="1:16" ht="101.5" x14ac:dyDescent="0.35">
      <c r="A824" s="139" t="e">
        <f t="shared" si="13"/>
        <v>#REF!</v>
      </c>
      <c r="B824" s="140" t="s">
        <v>18</v>
      </c>
      <c r="C824" s="140" t="s">
        <v>37</v>
      </c>
      <c r="D824" s="140" t="s">
        <v>1515</v>
      </c>
      <c r="E824" s="140" t="s">
        <v>1979</v>
      </c>
      <c r="F824" s="140" t="s">
        <v>2378</v>
      </c>
      <c r="G824" s="140" t="s">
        <v>1257</v>
      </c>
      <c r="H824" s="140" t="s">
        <v>2392</v>
      </c>
      <c r="I824" s="140" t="s">
        <v>2393</v>
      </c>
      <c r="J824" s="286">
        <v>100000000</v>
      </c>
      <c r="K824" s="139" t="s">
        <v>221</v>
      </c>
      <c r="L824" s="140">
        <v>2936285</v>
      </c>
      <c r="M824" s="155" t="s">
        <v>27</v>
      </c>
      <c r="N824" s="140">
        <v>400</v>
      </c>
      <c r="O824" s="10">
        <v>101688800</v>
      </c>
      <c r="P824" s="140" t="s">
        <v>1544</v>
      </c>
    </row>
    <row r="825" spans="1:16" ht="43.5" x14ac:dyDescent="0.35">
      <c r="A825" s="139" t="e">
        <f t="shared" si="13"/>
        <v>#REF!</v>
      </c>
      <c r="B825" s="140" t="s">
        <v>18</v>
      </c>
      <c r="C825" s="140" t="s">
        <v>37</v>
      </c>
      <c r="D825" s="140" t="s">
        <v>476</v>
      </c>
      <c r="E825" s="140" t="s">
        <v>2394</v>
      </c>
      <c r="F825" s="140" t="s">
        <v>2395</v>
      </c>
      <c r="G825" s="140" t="s">
        <v>2396</v>
      </c>
      <c r="H825" s="140" t="s">
        <v>2397</v>
      </c>
      <c r="I825" s="140" t="s">
        <v>2398</v>
      </c>
      <c r="J825" s="140">
        <v>440000000</v>
      </c>
      <c r="K825" s="139" t="s">
        <v>221</v>
      </c>
      <c r="L825" s="140">
        <v>2959912</v>
      </c>
      <c r="M825" s="155" t="s">
        <v>27</v>
      </c>
      <c r="N825" s="10">
        <v>1.5</v>
      </c>
      <c r="O825" s="10">
        <v>1000000000</v>
      </c>
      <c r="P825" s="140" t="s">
        <v>2399</v>
      </c>
    </row>
    <row r="826" spans="1:16" ht="43.5" x14ac:dyDescent="0.35">
      <c r="A826" s="139" t="e">
        <f t="shared" si="13"/>
        <v>#REF!</v>
      </c>
      <c r="B826" s="140" t="s">
        <v>18</v>
      </c>
      <c r="C826" s="140" t="s">
        <v>37</v>
      </c>
      <c r="D826" s="140" t="s">
        <v>1515</v>
      </c>
      <c r="E826" s="140" t="s">
        <v>2400</v>
      </c>
      <c r="F826" s="140" t="s">
        <v>2401</v>
      </c>
      <c r="G826" s="140" t="s">
        <v>1264</v>
      </c>
      <c r="H826" s="140" t="s">
        <v>2402</v>
      </c>
      <c r="I826" s="140" t="s">
        <v>2128</v>
      </c>
      <c r="J826" s="286">
        <v>200000000</v>
      </c>
      <c r="K826" s="139" t="s">
        <v>221</v>
      </c>
      <c r="L826" s="140">
        <v>2906590</v>
      </c>
      <c r="M826" s="155" t="s">
        <v>27</v>
      </c>
      <c r="N826" s="140">
        <v>750</v>
      </c>
      <c r="O826" s="10">
        <v>190666665</v>
      </c>
      <c r="P826" s="140"/>
    </row>
    <row r="827" spans="1:16" ht="43.5" x14ac:dyDescent="0.35">
      <c r="A827" s="139" t="e">
        <f t="shared" si="13"/>
        <v>#REF!</v>
      </c>
      <c r="B827" s="140" t="s">
        <v>18</v>
      </c>
      <c r="C827" s="140" t="s">
        <v>37</v>
      </c>
      <c r="D827" s="140" t="s">
        <v>1515</v>
      </c>
      <c r="E827" s="140" t="s">
        <v>2403</v>
      </c>
      <c r="F827" s="140" t="s">
        <v>2404</v>
      </c>
      <c r="G827" s="140" t="s">
        <v>1264</v>
      </c>
      <c r="H827" s="140" t="s">
        <v>2405</v>
      </c>
      <c r="I827" s="140" t="s">
        <v>2406</v>
      </c>
      <c r="J827" s="286">
        <v>200000000</v>
      </c>
      <c r="K827" s="139" t="s">
        <v>221</v>
      </c>
      <c r="L827" s="140">
        <v>2906645</v>
      </c>
      <c r="M827" s="155" t="s">
        <v>27</v>
      </c>
      <c r="N827" s="140">
        <v>500</v>
      </c>
      <c r="O827" s="10">
        <v>200444500</v>
      </c>
      <c r="P827" s="140"/>
    </row>
    <row r="828" spans="1:16" ht="43.5" x14ac:dyDescent="0.35">
      <c r="A828" s="139" t="e">
        <f t="shared" si="13"/>
        <v>#REF!</v>
      </c>
      <c r="B828" s="140" t="s">
        <v>18</v>
      </c>
      <c r="C828" s="140" t="s">
        <v>37</v>
      </c>
      <c r="D828" s="140" t="s">
        <v>1515</v>
      </c>
      <c r="E828" s="140" t="s">
        <v>2407</v>
      </c>
      <c r="F828" s="140" t="s">
        <v>2408</v>
      </c>
      <c r="G828" s="140" t="s">
        <v>1264</v>
      </c>
      <c r="H828" s="140" t="s">
        <v>2409</v>
      </c>
      <c r="I828" s="140" t="s">
        <v>2128</v>
      </c>
      <c r="J828" s="286">
        <v>200000000</v>
      </c>
      <c r="K828" s="139" t="s">
        <v>221</v>
      </c>
      <c r="L828" s="140">
        <v>2906630</v>
      </c>
      <c r="M828" s="155" t="s">
        <v>27</v>
      </c>
      <c r="N828" s="140">
        <v>500</v>
      </c>
      <c r="O828" s="10">
        <v>198019800</v>
      </c>
      <c r="P828" s="140"/>
    </row>
    <row r="829" spans="1:16" ht="43.5" x14ac:dyDescent="0.35">
      <c r="A829" s="139" t="e">
        <f t="shared" si="13"/>
        <v>#REF!</v>
      </c>
      <c r="B829" s="140" t="s">
        <v>18</v>
      </c>
      <c r="C829" s="140" t="s">
        <v>37</v>
      </c>
      <c r="D829" s="140" t="s">
        <v>1515</v>
      </c>
      <c r="E829" s="140" t="s">
        <v>2410</v>
      </c>
      <c r="F829" s="140" t="s">
        <v>2411</v>
      </c>
      <c r="G829" s="140" t="s">
        <v>1264</v>
      </c>
      <c r="H829" s="140" t="s">
        <v>2412</v>
      </c>
      <c r="I829" s="140" t="s">
        <v>1272</v>
      </c>
      <c r="J829" s="286">
        <v>200000000</v>
      </c>
      <c r="K829" s="139" t="s">
        <v>221</v>
      </c>
      <c r="L829" s="140">
        <v>2906688</v>
      </c>
      <c r="M829" s="155" t="s">
        <v>27</v>
      </c>
      <c r="N829" s="140">
        <v>850</v>
      </c>
      <c r="O829" s="10">
        <v>216088700</v>
      </c>
      <c r="P829" s="140"/>
    </row>
    <row r="830" spans="1:16" ht="43.5" x14ac:dyDescent="0.35">
      <c r="A830" s="139" t="e">
        <f>#REF!+1</f>
        <v>#REF!</v>
      </c>
      <c r="B830" s="294" t="s">
        <v>18</v>
      </c>
      <c r="C830" s="294" t="s">
        <v>37</v>
      </c>
      <c r="D830" s="294" t="s">
        <v>1570</v>
      </c>
      <c r="E830" s="294" t="s">
        <v>2413</v>
      </c>
      <c r="F830" s="294" t="s">
        <v>2414</v>
      </c>
      <c r="G830" s="295" t="s">
        <v>1270</v>
      </c>
      <c r="H830" s="295" t="s">
        <v>2415</v>
      </c>
      <c r="I830" s="295" t="s">
        <v>1426</v>
      </c>
      <c r="J830" s="296">
        <v>100000000</v>
      </c>
      <c r="K830" s="295" t="s">
        <v>221</v>
      </c>
      <c r="L830" s="295">
        <v>2931962</v>
      </c>
      <c r="M830" s="295" t="s">
        <v>27</v>
      </c>
      <c r="N830" s="295">
        <v>68</v>
      </c>
      <c r="O830" s="297">
        <v>189176000</v>
      </c>
      <c r="P830" s="140"/>
    </row>
    <row r="831" spans="1:16" ht="43.5" x14ac:dyDescent="0.35">
      <c r="A831" s="139" t="e">
        <f t="shared" si="13"/>
        <v>#REF!</v>
      </c>
      <c r="B831" s="294" t="s">
        <v>18</v>
      </c>
      <c r="C831" s="294" t="s">
        <v>37</v>
      </c>
      <c r="D831" s="294" t="s">
        <v>476</v>
      </c>
      <c r="E831" s="294" t="s">
        <v>2416</v>
      </c>
      <c r="F831" s="294" t="s">
        <v>2417</v>
      </c>
      <c r="G831" s="295" t="s">
        <v>1270</v>
      </c>
      <c r="H831" s="295" t="s">
        <v>2418</v>
      </c>
      <c r="I831" s="295" t="s">
        <v>2419</v>
      </c>
      <c r="J831" s="296">
        <v>100000000</v>
      </c>
      <c r="K831" s="295" t="s">
        <v>221</v>
      </c>
      <c r="L831" s="295">
        <v>2932076</v>
      </c>
      <c r="M831" s="295" t="s">
        <v>27</v>
      </c>
      <c r="N831" s="295" t="s">
        <v>2420</v>
      </c>
      <c r="O831" s="297">
        <v>167142870</v>
      </c>
      <c r="P831" s="140"/>
    </row>
    <row r="832" spans="1:16" ht="43.5" x14ac:dyDescent="0.35">
      <c r="A832" s="139" t="e">
        <f t="shared" si="13"/>
        <v>#REF!</v>
      </c>
      <c r="B832" s="294" t="s">
        <v>18</v>
      </c>
      <c r="C832" s="294" t="s">
        <v>37</v>
      </c>
      <c r="D832" s="140" t="s">
        <v>1515</v>
      </c>
      <c r="E832" s="294" t="s">
        <v>1610</v>
      </c>
      <c r="F832" s="294" t="s">
        <v>2414</v>
      </c>
      <c r="G832" s="295" t="s">
        <v>1270</v>
      </c>
      <c r="H832" s="295" t="s">
        <v>2421</v>
      </c>
      <c r="I832" s="295" t="s">
        <v>2422</v>
      </c>
      <c r="J832" s="296">
        <v>100000000</v>
      </c>
      <c r="K832" s="295" t="s">
        <v>221</v>
      </c>
      <c r="L832" s="295">
        <v>2932170</v>
      </c>
      <c r="M832" s="295" t="s">
        <v>27</v>
      </c>
      <c r="N832" s="298">
        <v>450</v>
      </c>
      <c r="O832" s="297">
        <v>180000000</v>
      </c>
      <c r="P832" s="140"/>
    </row>
    <row r="833" spans="1:16" ht="43.5" x14ac:dyDescent="0.35">
      <c r="A833" s="139" t="e">
        <f t="shared" si="13"/>
        <v>#REF!</v>
      </c>
      <c r="B833" s="140" t="s">
        <v>18</v>
      </c>
      <c r="C833" s="140" t="s">
        <v>37</v>
      </c>
      <c r="D833" s="140" t="s">
        <v>1515</v>
      </c>
      <c r="E833" s="140" t="s">
        <v>2423</v>
      </c>
      <c r="F833" s="140" t="s">
        <v>2424</v>
      </c>
      <c r="G833" s="140" t="s">
        <v>2425</v>
      </c>
      <c r="H833" s="140" t="s">
        <v>2426</v>
      </c>
      <c r="I833" s="140" t="s">
        <v>1868</v>
      </c>
      <c r="J833" s="286">
        <v>100000000</v>
      </c>
      <c r="K833" s="139" t="s">
        <v>221</v>
      </c>
      <c r="L833" s="140">
        <v>2931748</v>
      </c>
      <c r="M833" s="155" t="s">
        <v>27</v>
      </c>
      <c r="N833" s="140">
        <v>500</v>
      </c>
      <c r="O833" s="10">
        <f>500*254222</f>
        <v>127111000</v>
      </c>
      <c r="P833" s="140"/>
    </row>
    <row r="834" spans="1:16" ht="43.5" x14ac:dyDescent="0.35">
      <c r="A834" s="139" t="e">
        <f t="shared" si="13"/>
        <v>#REF!</v>
      </c>
      <c r="B834" s="140" t="s">
        <v>18</v>
      </c>
      <c r="C834" s="140" t="s">
        <v>37</v>
      </c>
      <c r="D834" s="140" t="s">
        <v>1515</v>
      </c>
      <c r="E834" s="140" t="s">
        <v>2427</v>
      </c>
      <c r="F834" s="140" t="s">
        <v>2428</v>
      </c>
      <c r="G834" s="140" t="s">
        <v>2425</v>
      </c>
      <c r="H834" s="140" t="s">
        <v>2429</v>
      </c>
      <c r="I834" s="140" t="s">
        <v>2110</v>
      </c>
      <c r="J834" s="286">
        <v>110000000</v>
      </c>
      <c r="K834" s="139" t="s">
        <v>221</v>
      </c>
      <c r="L834" s="140">
        <v>2931925</v>
      </c>
      <c r="M834" s="155" t="s">
        <v>27</v>
      </c>
      <c r="N834" s="140">
        <f>200*2</f>
        <v>400</v>
      </c>
      <c r="O834" s="10">
        <f>400*254222</f>
        <v>101688800</v>
      </c>
      <c r="P834" s="140"/>
    </row>
    <row r="835" spans="1:16" ht="43.5" x14ac:dyDescent="0.35">
      <c r="A835" s="139" t="e">
        <f t="shared" si="13"/>
        <v>#REF!</v>
      </c>
      <c r="B835" s="140" t="s">
        <v>18</v>
      </c>
      <c r="C835" s="140" t="s">
        <v>37</v>
      </c>
      <c r="D835" s="140" t="s">
        <v>1515</v>
      </c>
      <c r="E835" s="140" t="s">
        <v>2430</v>
      </c>
      <c r="F835" s="140" t="s">
        <v>2431</v>
      </c>
      <c r="G835" s="140" t="s">
        <v>2425</v>
      </c>
      <c r="H835" s="140" t="s">
        <v>2432</v>
      </c>
      <c r="I835" s="140" t="s">
        <v>2433</v>
      </c>
      <c r="J835" s="286">
        <v>100000000</v>
      </c>
      <c r="K835" s="139" t="s">
        <v>221</v>
      </c>
      <c r="L835" s="140">
        <v>2931740</v>
      </c>
      <c r="M835" s="155" t="s">
        <v>27</v>
      </c>
      <c r="N835" s="140">
        <f>150*1.5</f>
        <v>225</v>
      </c>
      <c r="O835" s="10">
        <f>225*254222</f>
        <v>57199950</v>
      </c>
      <c r="P835" s="140"/>
    </row>
    <row r="836" spans="1:16" ht="43.5" x14ac:dyDescent="0.35">
      <c r="A836" s="139" t="e">
        <f t="shared" si="13"/>
        <v>#REF!</v>
      </c>
      <c r="B836" s="140" t="s">
        <v>18</v>
      </c>
      <c r="C836" s="140" t="s">
        <v>37</v>
      </c>
      <c r="D836" s="140" t="s">
        <v>1515</v>
      </c>
      <c r="E836" s="140" t="s">
        <v>1706</v>
      </c>
      <c r="F836" s="140" t="s">
        <v>2434</v>
      </c>
      <c r="G836" s="140" t="s">
        <v>2425</v>
      </c>
      <c r="H836" s="140" t="s">
        <v>2435</v>
      </c>
      <c r="I836" s="140" t="s">
        <v>2110</v>
      </c>
      <c r="J836" s="286">
        <v>100000000</v>
      </c>
      <c r="K836" s="139" t="s">
        <v>221</v>
      </c>
      <c r="L836" s="140">
        <v>2931904</v>
      </c>
      <c r="M836" s="155" t="s">
        <v>27</v>
      </c>
      <c r="N836" s="140">
        <f>150*2</f>
        <v>300</v>
      </c>
      <c r="O836" s="10">
        <f>300*396040</f>
        <v>118812000</v>
      </c>
      <c r="P836" s="140"/>
    </row>
    <row r="837" spans="1:16" ht="43.5" x14ac:dyDescent="0.35">
      <c r="A837" s="139" t="e">
        <f t="shared" si="13"/>
        <v>#REF!</v>
      </c>
      <c r="B837" s="140" t="s">
        <v>18</v>
      </c>
      <c r="C837" s="140" t="s">
        <v>37</v>
      </c>
      <c r="D837" s="140" t="s">
        <v>1521</v>
      </c>
      <c r="E837" s="140" t="s">
        <v>2436</v>
      </c>
      <c r="F837" s="140" t="s">
        <v>2437</v>
      </c>
      <c r="G837" s="140" t="s">
        <v>2425</v>
      </c>
      <c r="H837" s="140" t="s">
        <v>2438</v>
      </c>
      <c r="I837" s="140" t="s">
        <v>2439</v>
      </c>
      <c r="J837" s="286">
        <v>140000000</v>
      </c>
      <c r="K837" s="139" t="s">
        <v>221</v>
      </c>
      <c r="L837" s="140">
        <v>2932011</v>
      </c>
      <c r="M837" s="155" t="s">
        <v>27</v>
      </c>
      <c r="N837" s="140">
        <v>10</v>
      </c>
      <c r="O837" s="10">
        <f>14564000*10</f>
        <v>145640000</v>
      </c>
      <c r="P837" s="140"/>
    </row>
    <row r="838" spans="1:16" ht="43.5" x14ac:dyDescent="0.35">
      <c r="A838" s="139" t="e">
        <f t="shared" si="13"/>
        <v>#REF!</v>
      </c>
      <c r="B838" s="140" t="s">
        <v>18</v>
      </c>
      <c r="C838" s="140" t="s">
        <v>37</v>
      </c>
      <c r="D838" s="140" t="s">
        <v>1515</v>
      </c>
      <c r="E838" s="140" t="s">
        <v>2423</v>
      </c>
      <c r="F838" s="140" t="s">
        <v>2440</v>
      </c>
      <c r="G838" s="140" t="s">
        <v>2425</v>
      </c>
      <c r="H838" s="140" t="s">
        <v>2441</v>
      </c>
      <c r="I838" s="140" t="s">
        <v>2442</v>
      </c>
      <c r="J838" s="286">
        <v>100000000</v>
      </c>
      <c r="K838" s="139" t="s">
        <v>221</v>
      </c>
      <c r="L838" s="140">
        <v>2931660</v>
      </c>
      <c r="M838" s="155" t="s">
        <v>27</v>
      </c>
      <c r="N838" s="140">
        <f>150*3</f>
        <v>450</v>
      </c>
      <c r="O838" s="10">
        <f>450*254222</f>
        <v>114399900</v>
      </c>
      <c r="P838" s="140"/>
    </row>
    <row r="839" spans="1:16" ht="43.5" x14ac:dyDescent="0.35">
      <c r="A839" s="139" t="e">
        <f t="shared" si="13"/>
        <v>#REF!</v>
      </c>
      <c r="B839" s="140" t="s">
        <v>18</v>
      </c>
      <c r="C839" s="140" t="s">
        <v>37</v>
      </c>
      <c r="D839" s="140" t="s">
        <v>1515</v>
      </c>
      <c r="E839" s="140" t="s">
        <v>2423</v>
      </c>
      <c r="F839" s="140" t="s">
        <v>2443</v>
      </c>
      <c r="G839" s="140" t="s">
        <v>2425</v>
      </c>
      <c r="H839" s="140" t="s">
        <v>2444</v>
      </c>
      <c r="I839" s="140" t="s">
        <v>2110</v>
      </c>
      <c r="J839" s="286">
        <v>150000000</v>
      </c>
      <c r="K839" s="139" t="s">
        <v>221</v>
      </c>
      <c r="L839" s="140">
        <v>2931718</v>
      </c>
      <c r="M839" s="155" t="s">
        <v>27</v>
      </c>
      <c r="N839" s="140">
        <v>300</v>
      </c>
      <c r="O839" s="10">
        <v>120000000</v>
      </c>
      <c r="P839" s="140"/>
    </row>
    <row r="840" spans="1:16" ht="43.5" x14ac:dyDescent="0.35">
      <c r="A840" s="139" t="e">
        <f t="shared" si="13"/>
        <v>#REF!</v>
      </c>
      <c r="B840" s="140" t="s">
        <v>18</v>
      </c>
      <c r="C840" s="140" t="s">
        <v>37</v>
      </c>
      <c r="D840" s="140" t="s">
        <v>1515</v>
      </c>
      <c r="E840" s="140" t="s">
        <v>1706</v>
      </c>
      <c r="F840" s="140" t="s">
        <v>2445</v>
      </c>
      <c r="G840" s="140" t="s">
        <v>2425</v>
      </c>
      <c r="H840" s="140" t="s">
        <v>2446</v>
      </c>
      <c r="I840" s="140" t="s">
        <v>2447</v>
      </c>
      <c r="J840" s="286">
        <v>100000000</v>
      </c>
      <c r="K840" s="139" t="s">
        <v>221</v>
      </c>
      <c r="L840" s="140">
        <v>2932041</v>
      </c>
      <c r="M840" s="155" t="s">
        <v>27</v>
      </c>
      <c r="N840" s="140">
        <f>1.5*200</f>
        <v>300</v>
      </c>
      <c r="O840" s="10">
        <f>300*396040</f>
        <v>118812000</v>
      </c>
      <c r="P840" s="140"/>
    </row>
    <row r="841" spans="1:16" ht="43.5" x14ac:dyDescent="0.35">
      <c r="A841" s="139" t="e">
        <f t="shared" si="13"/>
        <v>#REF!</v>
      </c>
      <c r="B841" s="140" t="s">
        <v>18</v>
      </c>
      <c r="C841" s="140" t="s">
        <v>37</v>
      </c>
      <c r="D841" s="140" t="s">
        <v>1515</v>
      </c>
      <c r="E841" s="140" t="s">
        <v>1706</v>
      </c>
      <c r="F841" s="140" t="s">
        <v>2448</v>
      </c>
      <c r="G841" s="140" t="s">
        <v>2425</v>
      </c>
      <c r="H841" s="140" t="s">
        <v>2449</v>
      </c>
      <c r="I841" s="140" t="s">
        <v>2110</v>
      </c>
      <c r="J841" s="286">
        <v>100000000</v>
      </c>
      <c r="K841" s="139" t="s">
        <v>221</v>
      </c>
      <c r="L841" s="140">
        <v>2932067</v>
      </c>
      <c r="M841" s="155" t="s">
        <v>27</v>
      </c>
      <c r="N841" s="140">
        <v>300</v>
      </c>
      <c r="O841" s="10">
        <v>118500000</v>
      </c>
      <c r="P841" s="140"/>
    </row>
    <row r="842" spans="1:16" ht="29" x14ac:dyDescent="0.35">
      <c r="A842" s="139" t="e">
        <f t="shared" si="13"/>
        <v>#REF!</v>
      </c>
      <c r="B842" s="140" t="s">
        <v>71</v>
      </c>
      <c r="C842" s="140" t="s">
        <v>551</v>
      </c>
      <c r="D842" s="277" t="s">
        <v>476</v>
      </c>
      <c r="E842" s="140" t="s">
        <v>2450</v>
      </c>
      <c r="F842" s="140" t="s">
        <v>297</v>
      </c>
      <c r="G842" s="140" t="s">
        <v>1275</v>
      </c>
      <c r="H842" s="140" t="s">
        <v>2451</v>
      </c>
      <c r="I842" s="140" t="s">
        <v>2452</v>
      </c>
      <c r="J842" s="286">
        <v>300000000</v>
      </c>
      <c r="K842" s="139" t="s">
        <v>221</v>
      </c>
      <c r="L842" s="140">
        <v>2911854</v>
      </c>
      <c r="M842" s="155" t="s">
        <v>27</v>
      </c>
      <c r="N842" s="140"/>
      <c r="O842" s="10">
        <v>100000000</v>
      </c>
      <c r="P842" s="140" t="s">
        <v>2453</v>
      </c>
    </row>
    <row r="843" spans="1:16" ht="43.5" x14ac:dyDescent="0.35">
      <c r="A843" s="139" t="e">
        <f t="shared" si="13"/>
        <v>#REF!</v>
      </c>
      <c r="B843" s="140" t="s">
        <v>18</v>
      </c>
      <c r="C843" s="140" t="s">
        <v>37</v>
      </c>
      <c r="D843" s="140" t="s">
        <v>1515</v>
      </c>
      <c r="E843" s="140" t="s">
        <v>1872</v>
      </c>
      <c r="F843" s="140" t="s">
        <v>297</v>
      </c>
      <c r="G843" s="140" t="s">
        <v>1275</v>
      </c>
      <c r="H843" s="140" t="s">
        <v>2454</v>
      </c>
      <c r="I843" s="140" t="s">
        <v>2455</v>
      </c>
      <c r="J843" s="286">
        <v>117500000</v>
      </c>
      <c r="K843" s="139" t="s">
        <v>221</v>
      </c>
      <c r="L843" s="140">
        <v>2937790</v>
      </c>
      <c r="M843" s="155" t="s">
        <v>27</v>
      </c>
      <c r="N843" s="299">
        <v>293.75</v>
      </c>
      <c r="O843" s="10">
        <v>117500000</v>
      </c>
      <c r="P843" s="140"/>
    </row>
    <row r="844" spans="1:16" ht="43.5" x14ac:dyDescent="0.35">
      <c r="A844" s="139" t="e">
        <f t="shared" si="13"/>
        <v>#REF!</v>
      </c>
      <c r="B844" s="140" t="s">
        <v>18</v>
      </c>
      <c r="C844" s="140" t="s">
        <v>37</v>
      </c>
      <c r="D844" s="140" t="s">
        <v>1515</v>
      </c>
      <c r="E844" s="140" t="s">
        <v>1872</v>
      </c>
      <c r="F844" s="140" t="s">
        <v>297</v>
      </c>
      <c r="G844" s="140" t="s">
        <v>1275</v>
      </c>
      <c r="H844" s="140" t="s">
        <v>2456</v>
      </c>
      <c r="I844" s="140" t="s">
        <v>2457</v>
      </c>
      <c r="J844" s="286">
        <v>197500000</v>
      </c>
      <c r="K844" s="139" t="s">
        <v>221</v>
      </c>
      <c r="L844" s="140">
        <v>2935954</v>
      </c>
      <c r="M844" s="155" t="s">
        <v>27</v>
      </c>
      <c r="N844" s="299">
        <v>493.75</v>
      </c>
      <c r="O844" s="10">
        <v>197500000</v>
      </c>
      <c r="P844" s="140"/>
    </row>
    <row r="845" spans="1:16" ht="43.5" x14ac:dyDescent="0.35">
      <c r="A845" s="139" t="e">
        <f t="shared" si="13"/>
        <v>#REF!</v>
      </c>
      <c r="B845" s="140" t="s">
        <v>18</v>
      </c>
      <c r="C845" s="140" t="s">
        <v>37</v>
      </c>
      <c r="D845" s="140" t="s">
        <v>1515</v>
      </c>
      <c r="E845" s="140" t="s">
        <v>1872</v>
      </c>
      <c r="F845" s="140" t="s">
        <v>297</v>
      </c>
      <c r="G845" s="140" t="s">
        <v>1275</v>
      </c>
      <c r="H845" s="140" t="s">
        <v>2458</v>
      </c>
      <c r="I845" s="140" t="s">
        <v>2455</v>
      </c>
      <c r="J845" s="286">
        <v>117500000</v>
      </c>
      <c r="K845" s="139" t="s">
        <v>221</v>
      </c>
      <c r="L845" s="140">
        <v>2937118</v>
      </c>
      <c r="M845" s="155" t="s">
        <v>27</v>
      </c>
      <c r="N845" s="299">
        <v>293.75</v>
      </c>
      <c r="O845" s="10">
        <v>117500000</v>
      </c>
      <c r="P845" s="140"/>
    </row>
    <row r="846" spans="1:16" ht="43.5" x14ac:dyDescent="0.35">
      <c r="A846" s="139" t="e">
        <f>#REF!+1</f>
        <v>#REF!</v>
      </c>
      <c r="B846" s="140" t="s">
        <v>18</v>
      </c>
      <c r="C846" s="140" t="s">
        <v>37</v>
      </c>
      <c r="D846" s="140" t="s">
        <v>1515</v>
      </c>
      <c r="E846" s="140" t="s">
        <v>1872</v>
      </c>
      <c r="F846" s="140" t="s">
        <v>297</v>
      </c>
      <c r="G846" s="140" t="s">
        <v>1275</v>
      </c>
      <c r="H846" s="140" t="s">
        <v>2459</v>
      </c>
      <c r="I846" s="140" t="s">
        <v>2455</v>
      </c>
      <c r="J846" s="286">
        <v>117500000</v>
      </c>
      <c r="K846" s="139" t="s">
        <v>221</v>
      </c>
      <c r="L846" s="140">
        <v>2937937</v>
      </c>
      <c r="M846" s="155" t="s">
        <v>27</v>
      </c>
      <c r="N846" s="299">
        <v>293.75</v>
      </c>
      <c r="O846" s="10">
        <v>117500000</v>
      </c>
      <c r="P846" s="140"/>
    </row>
    <row r="847" spans="1:16" ht="43.5" x14ac:dyDescent="0.35">
      <c r="A847" s="139" t="e">
        <f t="shared" si="13"/>
        <v>#REF!</v>
      </c>
      <c r="B847" s="140" t="s">
        <v>18</v>
      </c>
      <c r="C847" s="140" t="s">
        <v>37</v>
      </c>
      <c r="D847" s="140" t="s">
        <v>1515</v>
      </c>
      <c r="E847" s="140" t="s">
        <v>2460</v>
      </c>
      <c r="F847" s="140" t="s">
        <v>2461</v>
      </c>
      <c r="G847" s="139" t="s">
        <v>40</v>
      </c>
      <c r="H847" s="139" t="s">
        <v>2462</v>
      </c>
      <c r="I847" s="139" t="s">
        <v>1065</v>
      </c>
      <c r="J847" s="300">
        <v>110000000</v>
      </c>
      <c r="K847" s="139" t="s">
        <v>221</v>
      </c>
      <c r="L847" s="139">
        <v>2933563</v>
      </c>
      <c r="M847" s="155" t="s">
        <v>27</v>
      </c>
      <c r="N847" s="139" t="s">
        <v>1065</v>
      </c>
      <c r="O847" s="13">
        <v>98360655</v>
      </c>
      <c r="P847" s="141" t="s">
        <v>2463</v>
      </c>
    </row>
    <row r="848" spans="1:16" ht="43.5" x14ac:dyDescent="0.35">
      <c r="A848" s="139" t="e">
        <f t="shared" si="13"/>
        <v>#REF!</v>
      </c>
      <c r="B848" s="140" t="s">
        <v>18</v>
      </c>
      <c r="C848" s="140" t="s">
        <v>37</v>
      </c>
      <c r="D848" s="140" t="s">
        <v>1515</v>
      </c>
      <c r="E848" s="140" t="s">
        <v>2460</v>
      </c>
      <c r="F848" s="140" t="s">
        <v>2464</v>
      </c>
      <c r="G848" s="139" t="s">
        <v>40</v>
      </c>
      <c r="H848" s="139" t="s">
        <v>2465</v>
      </c>
      <c r="I848" s="139" t="s">
        <v>1065</v>
      </c>
      <c r="J848" s="300">
        <v>150000000</v>
      </c>
      <c r="K848" s="139" t="s">
        <v>221</v>
      </c>
      <c r="L848" s="139">
        <v>2932933</v>
      </c>
      <c r="M848" s="155" t="s">
        <v>27</v>
      </c>
      <c r="N848" s="139" t="s">
        <v>1065</v>
      </c>
      <c r="O848" s="13">
        <v>118800000</v>
      </c>
      <c r="P848" s="141" t="s">
        <v>2466</v>
      </c>
    </row>
    <row r="849" spans="1:16" ht="43.5" x14ac:dyDescent="0.35">
      <c r="A849" s="139" t="e">
        <f t="shared" si="13"/>
        <v>#REF!</v>
      </c>
      <c r="B849" s="140" t="s">
        <v>18</v>
      </c>
      <c r="C849" s="140" t="s">
        <v>37</v>
      </c>
      <c r="D849" s="140" t="s">
        <v>1515</v>
      </c>
      <c r="E849" s="140" t="s">
        <v>2460</v>
      </c>
      <c r="F849" s="140" t="s">
        <v>2467</v>
      </c>
      <c r="G849" s="139" t="s">
        <v>40</v>
      </c>
      <c r="H849" s="139" t="s">
        <v>2468</v>
      </c>
      <c r="I849" s="139" t="s">
        <v>1065</v>
      </c>
      <c r="J849" s="300">
        <v>130000000</v>
      </c>
      <c r="K849" s="139" t="s">
        <v>221</v>
      </c>
      <c r="L849" s="139">
        <v>2934328</v>
      </c>
      <c r="M849" s="155" t="s">
        <v>27</v>
      </c>
      <c r="N849" s="139" t="s">
        <v>1065</v>
      </c>
      <c r="O849" s="13">
        <v>120000000</v>
      </c>
      <c r="P849" s="141" t="s">
        <v>2469</v>
      </c>
    </row>
    <row r="850" spans="1:16" ht="43.5" x14ac:dyDescent="0.35">
      <c r="A850" s="139" t="e">
        <f t="shared" si="13"/>
        <v>#REF!</v>
      </c>
      <c r="B850" s="140" t="s">
        <v>18</v>
      </c>
      <c r="C850" s="140" t="s">
        <v>37</v>
      </c>
      <c r="D850" s="140" t="s">
        <v>1515</v>
      </c>
      <c r="E850" s="140" t="s">
        <v>2460</v>
      </c>
      <c r="F850" s="140" t="s">
        <v>2470</v>
      </c>
      <c r="G850" s="139" t="s">
        <v>40</v>
      </c>
      <c r="H850" s="139" t="s">
        <v>2471</v>
      </c>
      <c r="I850" s="139" t="s">
        <v>1065</v>
      </c>
      <c r="J850" s="300">
        <v>130000000</v>
      </c>
      <c r="K850" s="139" t="s">
        <v>221</v>
      </c>
      <c r="L850" s="139">
        <v>2933161</v>
      </c>
      <c r="M850" s="155" t="s">
        <v>27</v>
      </c>
      <c r="N850" s="139" t="s">
        <v>1065</v>
      </c>
      <c r="O850" s="13">
        <v>118800000</v>
      </c>
      <c r="P850" s="141" t="s">
        <v>2472</v>
      </c>
    </row>
    <row r="851" spans="1:16" ht="43.5" x14ac:dyDescent="0.35">
      <c r="A851" s="139" t="e">
        <f t="shared" si="13"/>
        <v>#REF!</v>
      </c>
      <c r="B851" s="140" t="s">
        <v>18</v>
      </c>
      <c r="C851" s="140" t="s">
        <v>37</v>
      </c>
      <c r="D851" s="140" t="s">
        <v>1515</v>
      </c>
      <c r="E851" s="140" t="s">
        <v>2460</v>
      </c>
      <c r="F851" s="140" t="s">
        <v>2473</v>
      </c>
      <c r="G851" s="139" t="s">
        <v>40</v>
      </c>
      <c r="H851" s="139" t="s">
        <v>2474</v>
      </c>
      <c r="I851" s="139" t="s">
        <v>2475</v>
      </c>
      <c r="J851" s="300">
        <v>200000000</v>
      </c>
      <c r="K851" s="139" t="s">
        <v>221</v>
      </c>
      <c r="L851" s="139">
        <v>2934491</v>
      </c>
      <c r="M851" s="155" t="s">
        <v>27</v>
      </c>
      <c r="N851" s="139" t="s">
        <v>2475</v>
      </c>
      <c r="O851" s="13">
        <v>142560000</v>
      </c>
      <c r="P851" s="141" t="s">
        <v>2472</v>
      </c>
    </row>
    <row r="852" spans="1:16" ht="43.5" x14ac:dyDescent="0.35">
      <c r="A852" s="139" t="e">
        <f t="shared" si="13"/>
        <v>#REF!</v>
      </c>
      <c r="B852" s="140" t="s">
        <v>18</v>
      </c>
      <c r="C852" s="140" t="s">
        <v>37</v>
      </c>
      <c r="D852" s="140" t="s">
        <v>1515</v>
      </c>
      <c r="E852" s="140" t="s">
        <v>2460</v>
      </c>
      <c r="F852" s="140" t="s">
        <v>39</v>
      </c>
      <c r="G852" s="139" t="s">
        <v>40</v>
      </c>
      <c r="H852" s="139" t="s">
        <v>41</v>
      </c>
      <c r="I852" s="139" t="s">
        <v>2476</v>
      </c>
      <c r="J852" s="300">
        <v>130000000</v>
      </c>
      <c r="K852" s="139" t="s">
        <v>221</v>
      </c>
      <c r="L852" s="139">
        <v>2935832</v>
      </c>
      <c r="M852" s="155" t="s">
        <v>27</v>
      </c>
      <c r="N852" s="139" t="s">
        <v>2476</v>
      </c>
      <c r="O852" s="13">
        <v>78688524</v>
      </c>
      <c r="P852" s="141" t="s">
        <v>2463</v>
      </c>
    </row>
    <row r="853" spans="1:16" ht="43.5" x14ac:dyDescent="0.35">
      <c r="A853" s="139" t="e">
        <f t="shared" si="13"/>
        <v>#REF!</v>
      </c>
      <c r="B853" s="140" t="s">
        <v>18</v>
      </c>
      <c r="C853" s="140" t="s">
        <v>37</v>
      </c>
      <c r="D853" s="140" t="s">
        <v>1515</v>
      </c>
      <c r="E853" s="140" t="s">
        <v>2460</v>
      </c>
      <c r="F853" s="140" t="s">
        <v>39</v>
      </c>
      <c r="G853" s="139" t="s">
        <v>40</v>
      </c>
      <c r="H853" s="139" t="s">
        <v>2477</v>
      </c>
      <c r="I853" s="139" t="s">
        <v>2478</v>
      </c>
      <c r="J853" s="300">
        <v>150000000</v>
      </c>
      <c r="K853" s="139" t="s">
        <v>221</v>
      </c>
      <c r="L853" s="139">
        <v>2934527</v>
      </c>
      <c r="M853" s="155" t="s">
        <v>27</v>
      </c>
      <c r="N853" s="139" t="s">
        <v>2478</v>
      </c>
      <c r="O853" s="13">
        <v>99000000</v>
      </c>
      <c r="P853" s="141" t="s">
        <v>2472</v>
      </c>
    </row>
    <row r="854" spans="1:16" ht="39" x14ac:dyDescent="0.35">
      <c r="A854" s="149" t="e">
        <f t="shared" si="13"/>
        <v>#REF!</v>
      </c>
      <c r="B854" s="150" t="s">
        <v>18</v>
      </c>
      <c r="C854" s="150" t="s">
        <v>37</v>
      </c>
      <c r="D854" s="140" t="s">
        <v>1634</v>
      </c>
      <c r="E854" s="150" t="s">
        <v>2479</v>
      </c>
      <c r="F854" s="150" t="s">
        <v>2480</v>
      </c>
      <c r="G854" s="150" t="s">
        <v>141</v>
      </c>
      <c r="H854" s="150" t="s">
        <v>2481</v>
      </c>
      <c r="I854" s="150" t="s">
        <v>169</v>
      </c>
      <c r="J854" s="301">
        <v>100000000</v>
      </c>
      <c r="K854" s="149" t="s">
        <v>221</v>
      </c>
      <c r="L854" s="139">
        <v>2974550</v>
      </c>
      <c r="M854" s="149" t="s">
        <v>144</v>
      </c>
      <c r="N854" s="150" t="s">
        <v>169</v>
      </c>
      <c r="O854" s="152">
        <v>140000000</v>
      </c>
      <c r="P854" s="149"/>
    </row>
    <row r="855" spans="1:16" ht="39" x14ac:dyDescent="0.35">
      <c r="A855" s="149" t="e">
        <f t="shared" si="13"/>
        <v>#REF!</v>
      </c>
      <c r="B855" s="150" t="s">
        <v>18</v>
      </c>
      <c r="C855" s="150" t="s">
        <v>37</v>
      </c>
      <c r="D855" s="140" t="s">
        <v>1634</v>
      </c>
      <c r="E855" s="150" t="s">
        <v>2479</v>
      </c>
      <c r="F855" s="150" t="s">
        <v>2482</v>
      </c>
      <c r="G855" s="150" t="s">
        <v>141</v>
      </c>
      <c r="H855" s="150" t="s">
        <v>2483</v>
      </c>
      <c r="I855" s="150" t="s">
        <v>169</v>
      </c>
      <c r="J855" s="301">
        <v>50000000</v>
      </c>
      <c r="K855" s="149" t="s">
        <v>221</v>
      </c>
      <c r="L855" s="139">
        <v>2875887</v>
      </c>
      <c r="M855" s="149" t="s">
        <v>144</v>
      </c>
      <c r="N855" s="150" t="s">
        <v>169</v>
      </c>
      <c r="O855" s="152">
        <v>140000000</v>
      </c>
      <c r="P855" s="149"/>
    </row>
    <row r="856" spans="1:16" ht="39" x14ac:dyDescent="0.35">
      <c r="A856" s="149" t="e">
        <f t="shared" si="13"/>
        <v>#REF!</v>
      </c>
      <c r="B856" s="150" t="s">
        <v>18</v>
      </c>
      <c r="C856" s="150" t="s">
        <v>37</v>
      </c>
      <c r="D856" s="140" t="s">
        <v>1515</v>
      </c>
      <c r="E856" s="150" t="s">
        <v>2484</v>
      </c>
      <c r="F856" s="150" t="s">
        <v>715</v>
      </c>
      <c r="G856" s="150" t="s">
        <v>141</v>
      </c>
      <c r="H856" s="150" t="s">
        <v>2485</v>
      </c>
      <c r="I856" s="150" t="s">
        <v>2486</v>
      </c>
      <c r="J856" s="301">
        <v>50000000</v>
      </c>
      <c r="K856" s="149" t="s">
        <v>221</v>
      </c>
      <c r="L856" s="139">
        <v>2875963</v>
      </c>
      <c r="M856" s="149" t="s">
        <v>144</v>
      </c>
      <c r="N856" s="150" t="s">
        <v>2486</v>
      </c>
      <c r="O856" s="152">
        <v>120000000</v>
      </c>
      <c r="P856" s="149"/>
    </row>
    <row r="857" spans="1:16" ht="65" x14ac:dyDescent="0.35">
      <c r="A857" s="149" t="e">
        <f t="shared" si="13"/>
        <v>#REF!</v>
      </c>
      <c r="B857" s="150" t="s">
        <v>18</v>
      </c>
      <c r="C857" s="150" t="s">
        <v>37</v>
      </c>
      <c r="D857" s="140" t="s">
        <v>1515</v>
      </c>
      <c r="E857" s="150" t="s">
        <v>2487</v>
      </c>
      <c r="F857" s="150" t="s">
        <v>715</v>
      </c>
      <c r="G857" s="150" t="s">
        <v>141</v>
      </c>
      <c r="H857" s="150" t="s">
        <v>2488</v>
      </c>
      <c r="I857" s="150">
        <v>100</v>
      </c>
      <c r="J857" s="301">
        <v>50000000</v>
      </c>
      <c r="K857" s="149" t="s">
        <v>221</v>
      </c>
      <c r="L857" s="139">
        <v>2876000</v>
      </c>
      <c r="M857" s="149" t="s">
        <v>144</v>
      </c>
      <c r="N857" s="150">
        <v>100</v>
      </c>
      <c r="O857" s="152">
        <v>110000000</v>
      </c>
      <c r="P857" s="149"/>
    </row>
    <row r="858" spans="1:16" ht="39" x14ac:dyDescent="0.35">
      <c r="A858" s="149" t="e">
        <f t="shared" si="13"/>
        <v>#REF!</v>
      </c>
      <c r="B858" s="150" t="s">
        <v>18</v>
      </c>
      <c r="C858" s="150" t="s">
        <v>37</v>
      </c>
      <c r="D858" s="140" t="s">
        <v>1515</v>
      </c>
      <c r="E858" s="150" t="s">
        <v>2484</v>
      </c>
      <c r="F858" s="150" t="s">
        <v>715</v>
      </c>
      <c r="G858" s="150" t="s">
        <v>141</v>
      </c>
      <c r="H858" s="150" t="s">
        <v>2489</v>
      </c>
      <c r="I858" s="150" t="s">
        <v>2490</v>
      </c>
      <c r="J858" s="301">
        <v>50000000</v>
      </c>
      <c r="K858" s="149" t="s">
        <v>221</v>
      </c>
      <c r="L858" s="139">
        <v>2805761</v>
      </c>
      <c r="M858" s="149" t="s">
        <v>144</v>
      </c>
      <c r="N858" s="150" t="s">
        <v>2490</v>
      </c>
      <c r="O858" s="152">
        <v>100000000</v>
      </c>
      <c r="P858" s="149"/>
    </row>
    <row r="859" spans="1:16" ht="43.5" x14ac:dyDescent="0.35">
      <c r="A859" s="149" t="e">
        <f t="shared" si="13"/>
        <v>#REF!</v>
      </c>
      <c r="B859" s="140" t="s">
        <v>18</v>
      </c>
      <c r="C859" s="140" t="s">
        <v>37</v>
      </c>
      <c r="D859" s="140" t="s">
        <v>1515</v>
      </c>
      <c r="E859" s="140" t="s">
        <v>2491</v>
      </c>
      <c r="F859" s="140" t="s">
        <v>2492</v>
      </c>
      <c r="G859" s="139" t="s">
        <v>2493</v>
      </c>
      <c r="H859" s="139" t="s">
        <v>2494</v>
      </c>
      <c r="I859" s="139" t="s">
        <v>2495</v>
      </c>
      <c r="J859" s="302">
        <v>100000000</v>
      </c>
      <c r="K859" s="139" t="s">
        <v>221</v>
      </c>
      <c r="L859" s="139">
        <v>2824813</v>
      </c>
      <c r="M859" s="155" t="s">
        <v>144</v>
      </c>
      <c r="N859" s="292">
        <v>252.52525252525251</v>
      </c>
      <c r="O859" s="13">
        <v>100000000</v>
      </c>
      <c r="P859" s="141"/>
    </row>
    <row r="860" spans="1:16" ht="43.5" x14ac:dyDescent="0.35">
      <c r="A860" s="149" t="e">
        <f t="shared" si="13"/>
        <v>#REF!</v>
      </c>
      <c r="B860" s="140" t="s">
        <v>18</v>
      </c>
      <c r="C860" s="140" t="s">
        <v>37</v>
      </c>
      <c r="D860" s="140" t="s">
        <v>1515</v>
      </c>
      <c r="E860" s="140" t="s">
        <v>2491</v>
      </c>
      <c r="F860" s="140" t="s">
        <v>2492</v>
      </c>
      <c r="G860" s="139" t="s">
        <v>2493</v>
      </c>
      <c r="H860" s="139" t="s">
        <v>2496</v>
      </c>
      <c r="I860" s="139" t="s">
        <v>2497</v>
      </c>
      <c r="J860" s="302">
        <v>100000000</v>
      </c>
      <c r="K860" s="139" t="s">
        <v>221</v>
      </c>
      <c r="L860" s="139">
        <v>2826960</v>
      </c>
      <c r="M860" s="155" t="s">
        <v>144</v>
      </c>
      <c r="N860" s="292">
        <v>252.52525252525251</v>
      </c>
      <c r="O860" s="13">
        <v>100000000</v>
      </c>
      <c r="P860" s="141"/>
    </row>
    <row r="861" spans="1:16" ht="43.5" x14ac:dyDescent="0.35">
      <c r="A861" s="149" t="e">
        <f t="shared" si="13"/>
        <v>#REF!</v>
      </c>
      <c r="B861" s="140" t="s">
        <v>18</v>
      </c>
      <c r="C861" s="140" t="s">
        <v>37</v>
      </c>
      <c r="D861" s="140" t="s">
        <v>1515</v>
      </c>
      <c r="E861" s="140" t="s">
        <v>2491</v>
      </c>
      <c r="F861" s="140" t="s">
        <v>2492</v>
      </c>
      <c r="G861" s="139" t="s">
        <v>2493</v>
      </c>
      <c r="H861" s="139" t="s">
        <v>2498</v>
      </c>
      <c r="I861" s="139" t="s">
        <v>2499</v>
      </c>
      <c r="J861" s="302">
        <v>100000000</v>
      </c>
      <c r="K861" s="139" t="s">
        <v>221</v>
      </c>
      <c r="L861" s="139">
        <v>2826999</v>
      </c>
      <c r="M861" s="155" t="s">
        <v>144</v>
      </c>
      <c r="N861" s="292">
        <v>252.52525252525251</v>
      </c>
      <c r="O861" s="13">
        <v>100000000</v>
      </c>
      <c r="P861" s="141"/>
    </row>
    <row r="862" spans="1:16" ht="43.5" x14ac:dyDescent="0.35">
      <c r="A862" s="149" t="e">
        <f t="shared" si="13"/>
        <v>#REF!</v>
      </c>
      <c r="B862" s="140" t="s">
        <v>18</v>
      </c>
      <c r="C862" s="140" t="s">
        <v>37</v>
      </c>
      <c r="D862" s="140" t="s">
        <v>1515</v>
      </c>
      <c r="E862" s="140" t="s">
        <v>2491</v>
      </c>
      <c r="F862" s="140" t="s">
        <v>2492</v>
      </c>
      <c r="G862" s="139" t="s">
        <v>2493</v>
      </c>
      <c r="H862" s="139" t="s">
        <v>2500</v>
      </c>
      <c r="I862" s="139" t="s">
        <v>2501</v>
      </c>
      <c r="J862" s="302">
        <v>100000000</v>
      </c>
      <c r="K862" s="139" t="s">
        <v>221</v>
      </c>
      <c r="L862" s="139">
        <v>2827036</v>
      </c>
      <c r="M862" s="155" t="s">
        <v>144</v>
      </c>
      <c r="N862" s="292">
        <v>252.52525252525251</v>
      </c>
      <c r="O862" s="13">
        <v>100000000</v>
      </c>
      <c r="P862" s="141"/>
    </row>
    <row r="863" spans="1:16" ht="43.5" x14ac:dyDescent="0.35">
      <c r="A863" s="149" t="e">
        <f t="shared" si="13"/>
        <v>#REF!</v>
      </c>
      <c r="B863" s="140" t="s">
        <v>18</v>
      </c>
      <c r="C863" s="140" t="s">
        <v>37</v>
      </c>
      <c r="D863" s="140" t="s">
        <v>1515</v>
      </c>
      <c r="E863" s="140" t="s">
        <v>2491</v>
      </c>
      <c r="F863" s="140" t="s">
        <v>2492</v>
      </c>
      <c r="G863" s="139" t="s">
        <v>2493</v>
      </c>
      <c r="H863" s="139" t="s">
        <v>2502</v>
      </c>
      <c r="I863" s="139" t="s">
        <v>2503</v>
      </c>
      <c r="J863" s="302">
        <v>100000000</v>
      </c>
      <c r="K863" s="139" t="s">
        <v>221</v>
      </c>
      <c r="L863" s="139">
        <v>2827070</v>
      </c>
      <c r="M863" s="155" t="s">
        <v>144</v>
      </c>
      <c r="N863" s="292">
        <v>252.52525252525251</v>
      </c>
      <c r="O863" s="13">
        <v>100000000</v>
      </c>
      <c r="P863" s="141"/>
    </row>
    <row r="864" spans="1:16" ht="43.5" x14ac:dyDescent="0.35">
      <c r="A864" s="149" t="e">
        <f t="shared" si="13"/>
        <v>#REF!</v>
      </c>
      <c r="B864" s="140" t="s">
        <v>18</v>
      </c>
      <c r="C864" s="140" t="s">
        <v>37</v>
      </c>
      <c r="D864" s="140" t="s">
        <v>1515</v>
      </c>
      <c r="E864" s="140" t="s">
        <v>2491</v>
      </c>
      <c r="F864" s="140" t="s">
        <v>2492</v>
      </c>
      <c r="G864" s="139" t="s">
        <v>2493</v>
      </c>
      <c r="H864" s="139" t="s">
        <v>2504</v>
      </c>
      <c r="I864" s="139" t="s">
        <v>2505</v>
      </c>
      <c r="J864" s="302">
        <v>100000000</v>
      </c>
      <c r="K864" s="139" t="s">
        <v>221</v>
      </c>
      <c r="L864" s="139">
        <v>2827104</v>
      </c>
      <c r="M864" s="155" t="s">
        <v>144</v>
      </c>
      <c r="N864" s="292">
        <v>252.52525252525251</v>
      </c>
      <c r="O864" s="13">
        <v>100000000</v>
      </c>
      <c r="P864" s="141"/>
    </row>
    <row r="865" spans="1:16" ht="43.5" x14ac:dyDescent="0.35">
      <c r="A865" s="149" t="e">
        <f t="shared" si="13"/>
        <v>#REF!</v>
      </c>
      <c r="B865" s="140" t="s">
        <v>18</v>
      </c>
      <c r="C865" s="140" t="s">
        <v>37</v>
      </c>
      <c r="D865" s="140" t="s">
        <v>1515</v>
      </c>
      <c r="E865" s="140" t="s">
        <v>2491</v>
      </c>
      <c r="F865" s="140" t="s">
        <v>2492</v>
      </c>
      <c r="G865" s="139" t="s">
        <v>2493</v>
      </c>
      <c r="H865" s="139" t="s">
        <v>2506</v>
      </c>
      <c r="I865" s="139" t="s">
        <v>2507</v>
      </c>
      <c r="J865" s="302">
        <v>100000000</v>
      </c>
      <c r="K865" s="139" t="s">
        <v>221</v>
      </c>
      <c r="L865" s="139">
        <v>2827130</v>
      </c>
      <c r="M865" s="155" t="s">
        <v>144</v>
      </c>
      <c r="N865" s="292">
        <v>252.52525252525251</v>
      </c>
      <c r="O865" s="13">
        <v>100000000</v>
      </c>
      <c r="P865" s="141"/>
    </row>
    <row r="866" spans="1:16" ht="43.5" x14ac:dyDescent="0.35">
      <c r="A866" s="149" t="e">
        <f t="shared" ref="A866:A928" si="14">A865+1</f>
        <v>#REF!</v>
      </c>
      <c r="B866" s="140" t="s">
        <v>18</v>
      </c>
      <c r="C866" s="140" t="s">
        <v>37</v>
      </c>
      <c r="D866" s="140" t="s">
        <v>1515</v>
      </c>
      <c r="E866" s="140" t="s">
        <v>2491</v>
      </c>
      <c r="F866" s="140" t="s">
        <v>2492</v>
      </c>
      <c r="G866" s="139" t="s">
        <v>2493</v>
      </c>
      <c r="H866" s="139" t="s">
        <v>2508</v>
      </c>
      <c r="I866" s="139" t="s">
        <v>2509</v>
      </c>
      <c r="J866" s="302">
        <v>100000000</v>
      </c>
      <c r="K866" s="139" t="s">
        <v>221</v>
      </c>
      <c r="L866" s="139">
        <v>2827171</v>
      </c>
      <c r="M866" s="155" t="s">
        <v>144</v>
      </c>
      <c r="N866" s="292">
        <v>252.52525252525251</v>
      </c>
      <c r="O866" s="13">
        <v>100000000</v>
      </c>
      <c r="P866" s="141"/>
    </row>
    <row r="867" spans="1:16" ht="43.5" x14ac:dyDescent="0.35">
      <c r="A867" s="149" t="e">
        <f t="shared" si="14"/>
        <v>#REF!</v>
      </c>
      <c r="B867" s="140" t="s">
        <v>18</v>
      </c>
      <c r="C867" s="140" t="s">
        <v>37</v>
      </c>
      <c r="D867" s="140" t="s">
        <v>1515</v>
      </c>
      <c r="E867" s="140" t="s">
        <v>2491</v>
      </c>
      <c r="F867" s="140" t="s">
        <v>2492</v>
      </c>
      <c r="G867" s="139" t="s">
        <v>2493</v>
      </c>
      <c r="H867" s="139" t="s">
        <v>2510</v>
      </c>
      <c r="I867" s="139" t="s">
        <v>2511</v>
      </c>
      <c r="J867" s="302">
        <v>100000000</v>
      </c>
      <c r="K867" s="139" t="s">
        <v>221</v>
      </c>
      <c r="L867" s="139">
        <v>2827234</v>
      </c>
      <c r="M867" s="155" t="s">
        <v>144</v>
      </c>
      <c r="N867" s="292">
        <v>252.52525252525251</v>
      </c>
      <c r="O867" s="13">
        <v>100000000</v>
      </c>
      <c r="P867" s="141"/>
    </row>
    <row r="868" spans="1:16" ht="58" x14ac:dyDescent="0.35">
      <c r="A868" s="149" t="e">
        <f t="shared" si="14"/>
        <v>#REF!</v>
      </c>
      <c r="B868" s="140" t="s">
        <v>18</v>
      </c>
      <c r="C868" s="140" t="s">
        <v>37</v>
      </c>
      <c r="D868" s="140" t="s">
        <v>1634</v>
      </c>
      <c r="E868" s="140" t="s">
        <v>2512</v>
      </c>
      <c r="F868" s="140" t="s">
        <v>2513</v>
      </c>
      <c r="G868" s="139" t="s">
        <v>2493</v>
      </c>
      <c r="H868" s="139" t="s">
        <v>2514</v>
      </c>
      <c r="I868" s="139" t="s">
        <v>2515</v>
      </c>
      <c r="J868" s="302">
        <v>100000000</v>
      </c>
      <c r="K868" s="139" t="s">
        <v>221</v>
      </c>
      <c r="L868" s="139">
        <v>2827465</v>
      </c>
      <c r="M868" s="155" t="s">
        <v>144</v>
      </c>
      <c r="N868" s="292">
        <v>4</v>
      </c>
      <c r="O868" s="13">
        <v>100000000</v>
      </c>
      <c r="P868" s="141"/>
    </row>
    <row r="869" spans="1:16" ht="43.5" x14ac:dyDescent="0.35">
      <c r="A869" s="149" t="e">
        <f>#REF!+1</f>
        <v>#REF!</v>
      </c>
      <c r="B869" s="140" t="s">
        <v>18</v>
      </c>
      <c r="C869" s="140" t="s">
        <v>37</v>
      </c>
      <c r="D869" s="140" t="s">
        <v>1521</v>
      </c>
      <c r="E869" s="140" t="s">
        <v>2516</v>
      </c>
      <c r="F869" s="140" t="s">
        <v>140</v>
      </c>
      <c r="G869" s="139" t="s">
        <v>149</v>
      </c>
      <c r="H869" s="139" t="s">
        <v>2517</v>
      </c>
      <c r="I869" s="139" t="s">
        <v>2128</v>
      </c>
      <c r="J869" s="302">
        <v>50000000</v>
      </c>
      <c r="K869" s="139" t="s">
        <v>221</v>
      </c>
      <c r="L869" s="139">
        <v>2947400</v>
      </c>
      <c r="M869" s="155" t="s">
        <v>144</v>
      </c>
      <c r="N869" s="139" t="s">
        <v>2128</v>
      </c>
      <c r="O869" s="13">
        <v>100000000</v>
      </c>
      <c r="P869" s="141" t="s">
        <v>1728</v>
      </c>
    </row>
    <row r="870" spans="1:16" ht="43.5" x14ac:dyDescent="0.35">
      <c r="A870" s="149" t="e">
        <f t="shared" si="14"/>
        <v>#REF!</v>
      </c>
      <c r="B870" s="140" t="s">
        <v>18</v>
      </c>
      <c r="C870" s="140" t="s">
        <v>37</v>
      </c>
      <c r="D870" s="140" t="s">
        <v>1515</v>
      </c>
      <c r="E870" s="140" t="s">
        <v>2518</v>
      </c>
      <c r="F870" s="140" t="s">
        <v>140</v>
      </c>
      <c r="G870" s="139" t="s">
        <v>149</v>
      </c>
      <c r="H870" s="139" t="s">
        <v>719</v>
      </c>
      <c r="I870" s="139" t="s">
        <v>2519</v>
      </c>
      <c r="J870" s="302">
        <v>35000000</v>
      </c>
      <c r="K870" s="139" t="s">
        <v>221</v>
      </c>
      <c r="L870" s="139">
        <v>2948106</v>
      </c>
      <c r="M870" s="155" t="s">
        <v>144</v>
      </c>
      <c r="N870" s="292">
        <v>375</v>
      </c>
      <c r="O870" s="13">
        <v>100000000</v>
      </c>
      <c r="P870" s="141"/>
    </row>
    <row r="871" spans="1:16" ht="43.5" x14ac:dyDescent="0.35">
      <c r="A871" s="149" t="e">
        <f t="shared" si="14"/>
        <v>#REF!</v>
      </c>
      <c r="B871" s="140" t="s">
        <v>18</v>
      </c>
      <c r="C871" s="140" t="s">
        <v>37</v>
      </c>
      <c r="D871" s="140" t="s">
        <v>1515</v>
      </c>
      <c r="E871" s="140" t="s">
        <v>2520</v>
      </c>
      <c r="F871" s="140" t="s">
        <v>140</v>
      </c>
      <c r="G871" s="139" t="s">
        <v>149</v>
      </c>
      <c r="H871" s="139" t="s">
        <v>2521</v>
      </c>
      <c r="I871" s="139" t="s">
        <v>2522</v>
      </c>
      <c r="J871" s="302">
        <v>50000000</v>
      </c>
      <c r="K871" s="139" t="s">
        <v>221</v>
      </c>
      <c r="L871" s="139">
        <v>2949313</v>
      </c>
      <c r="M871" s="155" t="s">
        <v>144</v>
      </c>
      <c r="N871" s="299">
        <v>1183.8762815460748</v>
      </c>
      <c r="O871" s="10">
        <v>300000000</v>
      </c>
      <c r="P871" s="141"/>
    </row>
    <row r="872" spans="1:16" ht="43.5" x14ac:dyDescent="0.35">
      <c r="A872" s="149" t="e">
        <f t="shared" si="14"/>
        <v>#REF!</v>
      </c>
      <c r="B872" s="140" t="s">
        <v>18</v>
      </c>
      <c r="C872" s="140" t="s">
        <v>37</v>
      </c>
      <c r="D872" s="140" t="s">
        <v>1515</v>
      </c>
      <c r="E872" s="140" t="s">
        <v>2523</v>
      </c>
      <c r="F872" s="140" t="s">
        <v>140</v>
      </c>
      <c r="G872" s="139" t="s">
        <v>149</v>
      </c>
      <c r="H872" s="139" t="s">
        <v>150</v>
      </c>
      <c r="I872" s="139" t="s">
        <v>2524</v>
      </c>
      <c r="J872" s="302">
        <v>50000000</v>
      </c>
      <c r="K872" s="139" t="s">
        <v>221</v>
      </c>
      <c r="L872" s="139">
        <v>2951814</v>
      </c>
      <c r="M872" s="155" t="s">
        <v>144</v>
      </c>
      <c r="N872" s="292">
        <v>304.42532954041923</v>
      </c>
      <c r="O872" s="13">
        <v>100000000</v>
      </c>
      <c r="P872" s="141"/>
    </row>
    <row r="873" spans="1:16" ht="43.5" x14ac:dyDescent="0.35">
      <c r="A873" s="149" t="e">
        <f t="shared" si="14"/>
        <v>#REF!</v>
      </c>
      <c r="B873" s="140" t="s">
        <v>18</v>
      </c>
      <c r="C873" s="140" t="s">
        <v>37</v>
      </c>
      <c r="D873" s="140" t="s">
        <v>476</v>
      </c>
      <c r="E873" s="140" t="s">
        <v>2525</v>
      </c>
      <c r="F873" s="140" t="s">
        <v>140</v>
      </c>
      <c r="G873" s="139" t="s">
        <v>361</v>
      </c>
      <c r="H873" s="139" t="s">
        <v>2526</v>
      </c>
      <c r="I873" s="139" t="s">
        <v>2527</v>
      </c>
      <c r="J873" s="302">
        <v>60000000</v>
      </c>
      <c r="K873" s="139" t="s">
        <v>221</v>
      </c>
      <c r="L873" s="139">
        <v>2816968</v>
      </c>
      <c r="M873" s="155" t="s">
        <v>144</v>
      </c>
      <c r="N873" s="139" t="s">
        <v>2128</v>
      </c>
      <c r="O873" s="13">
        <v>62500000</v>
      </c>
      <c r="P873" s="303" t="s">
        <v>1955</v>
      </c>
    </row>
    <row r="874" spans="1:16" ht="43.5" x14ac:dyDescent="0.35">
      <c r="A874" s="149" t="e">
        <f t="shared" si="14"/>
        <v>#REF!</v>
      </c>
      <c r="B874" s="140" t="s">
        <v>18</v>
      </c>
      <c r="C874" s="140" t="s">
        <v>37</v>
      </c>
      <c r="D874" s="140" t="s">
        <v>1515</v>
      </c>
      <c r="E874" s="140" t="s">
        <v>2528</v>
      </c>
      <c r="F874" s="140" t="s">
        <v>140</v>
      </c>
      <c r="G874" s="139" t="s">
        <v>361</v>
      </c>
      <c r="H874" s="139" t="s">
        <v>2529</v>
      </c>
      <c r="I874" s="139">
        <v>600</v>
      </c>
      <c r="J874" s="302">
        <v>65000000</v>
      </c>
      <c r="K874" s="139" t="s">
        <v>221</v>
      </c>
      <c r="L874" s="139">
        <v>2818965</v>
      </c>
      <c r="M874" s="155" t="s">
        <v>144</v>
      </c>
      <c r="N874" s="139" t="s">
        <v>1187</v>
      </c>
      <c r="O874" s="13">
        <v>100000000</v>
      </c>
      <c r="P874" s="141"/>
    </row>
    <row r="875" spans="1:16" ht="43.5" x14ac:dyDescent="0.35">
      <c r="A875" s="149" t="e">
        <f>#REF!+1</f>
        <v>#REF!</v>
      </c>
      <c r="B875" s="140" t="s">
        <v>18</v>
      </c>
      <c r="C875" s="140" t="s">
        <v>37</v>
      </c>
      <c r="D875" s="140" t="s">
        <v>1515</v>
      </c>
      <c r="E875" s="140" t="s">
        <v>2530</v>
      </c>
      <c r="F875" s="140" t="s">
        <v>140</v>
      </c>
      <c r="G875" s="139" t="s">
        <v>361</v>
      </c>
      <c r="H875" s="139" t="s">
        <v>2531</v>
      </c>
      <c r="I875" s="139" t="s">
        <v>2532</v>
      </c>
      <c r="J875" s="302">
        <v>100000000</v>
      </c>
      <c r="K875" s="139" t="s">
        <v>221</v>
      </c>
      <c r="L875" s="139">
        <v>2820940</v>
      </c>
      <c r="M875" s="155" t="s">
        <v>144</v>
      </c>
      <c r="N875" s="292" t="s">
        <v>1259</v>
      </c>
      <c r="O875" s="13">
        <v>100000000</v>
      </c>
      <c r="P875" s="141"/>
    </row>
    <row r="876" spans="1:16" ht="58" x14ac:dyDescent="0.35">
      <c r="A876" s="149" t="e">
        <f t="shared" si="14"/>
        <v>#REF!</v>
      </c>
      <c r="B876" s="140" t="s">
        <v>18</v>
      </c>
      <c r="C876" s="140" t="s">
        <v>37</v>
      </c>
      <c r="D876" s="140" t="s">
        <v>1515</v>
      </c>
      <c r="E876" s="140" t="s">
        <v>2533</v>
      </c>
      <c r="F876" s="140" t="s">
        <v>140</v>
      </c>
      <c r="G876" s="139" t="s">
        <v>361</v>
      </c>
      <c r="H876" s="139" t="s">
        <v>2534</v>
      </c>
      <c r="I876" s="139" t="s">
        <v>2535</v>
      </c>
      <c r="J876" s="302">
        <v>150000000</v>
      </c>
      <c r="K876" s="139" t="s">
        <v>221</v>
      </c>
      <c r="L876" s="139">
        <v>2821270</v>
      </c>
      <c r="M876" s="155" t="s">
        <v>144</v>
      </c>
      <c r="N876" s="292">
        <v>375</v>
      </c>
      <c r="O876" s="13">
        <v>130101250</v>
      </c>
      <c r="P876" s="141"/>
    </row>
    <row r="877" spans="1:16" ht="43.5" x14ac:dyDescent="0.35">
      <c r="A877" s="149" t="e">
        <f t="shared" si="14"/>
        <v>#REF!</v>
      </c>
      <c r="B877" s="140" t="s">
        <v>18</v>
      </c>
      <c r="C877" s="140" t="s">
        <v>37</v>
      </c>
      <c r="D877" s="140" t="s">
        <v>1515</v>
      </c>
      <c r="E877" s="140" t="s">
        <v>2536</v>
      </c>
      <c r="F877" s="140" t="s">
        <v>140</v>
      </c>
      <c r="G877" s="139" t="s">
        <v>361</v>
      </c>
      <c r="H877" s="139" t="s">
        <v>2537</v>
      </c>
      <c r="I877" s="139" t="s">
        <v>2538</v>
      </c>
      <c r="J877" s="302">
        <v>150000000</v>
      </c>
      <c r="K877" s="139" t="s">
        <v>221</v>
      </c>
      <c r="L877" s="139">
        <v>2821496</v>
      </c>
      <c r="M877" s="155" t="s">
        <v>144</v>
      </c>
      <c r="N877" s="292">
        <v>375</v>
      </c>
      <c r="O877" s="13">
        <v>130101250</v>
      </c>
      <c r="P877" s="141"/>
    </row>
    <row r="878" spans="1:16" ht="43.5" x14ac:dyDescent="0.35">
      <c r="A878" s="149" t="e">
        <f t="shared" si="14"/>
        <v>#REF!</v>
      </c>
      <c r="B878" s="140" t="s">
        <v>18</v>
      </c>
      <c r="C878" s="140" t="s">
        <v>37</v>
      </c>
      <c r="D878" s="140" t="s">
        <v>1515</v>
      </c>
      <c r="E878" s="140" t="s">
        <v>2539</v>
      </c>
      <c r="F878" s="140" t="s">
        <v>140</v>
      </c>
      <c r="G878" s="139" t="s">
        <v>361</v>
      </c>
      <c r="H878" s="139" t="s">
        <v>2540</v>
      </c>
      <c r="I878" s="139" t="s">
        <v>2541</v>
      </c>
      <c r="J878" s="302">
        <v>80000000</v>
      </c>
      <c r="K878" s="139" t="s">
        <v>221</v>
      </c>
      <c r="L878" s="139">
        <v>2843349</v>
      </c>
      <c r="M878" s="155" t="s">
        <v>144</v>
      </c>
      <c r="N878" s="292" t="s">
        <v>2406</v>
      </c>
      <c r="O878" s="13">
        <v>100000000</v>
      </c>
      <c r="P878" s="141"/>
    </row>
    <row r="879" spans="1:16" ht="43.5" x14ac:dyDescent="0.35">
      <c r="A879" s="149" t="e">
        <f t="shared" si="14"/>
        <v>#REF!</v>
      </c>
      <c r="B879" s="140" t="s">
        <v>18</v>
      </c>
      <c r="C879" s="140" t="s">
        <v>37</v>
      </c>
      <c r="D879" s="140" t="s">
        <v>1515</v>
      </c>
      <c r="E879" s="140" t="s">
        <v>992</v>
      </c>
      <c r="F879" s="140" t="s">
        <v>140</v>
      </c>
      <c r="G879" s="139" t="s">
        <v>154</v>
      </c>
      <c r="H879" s="139" t="s">
        <v>1287</v>
      </c>
      <c r="I879" s="139" t="s">
        <v>2542</v>
      </c>
      <c r="J879" s="304">
        <v>28448000</v>
      </c>
      <c r="K879" s="139" t="s">
        <v>221</v>
      </c>
      <c r="L879" s="139">
        <v>2819007</v>
      </c>
      <c r="M879" s="155" t="s">
        <v>144</v>
      </c>
      <c r="N879" s="140">
        <v>125</v>
      </c>
      <c r="O879" s="10">
        <v>50000000</v>
      </c>
      <c r="P879" s="413" t="s">
        <v>2543</v>
      </c>
    </row>
    <row r="880" spans="1:16" ht="43.5" x14ac:dyDescent="0.35">
      <c r="A880" s="149" t="e">
        <f t="shared" si="14"/>
        <v>#REF!</v>
      </c>
      <c r="B880" s="140" t="s">
        <v>18</v>
      </c>
      <c r="C880" s="140" t="s">
        <v>37</v>
      </c>
      <c r="D880" s="140" t="s">
        <v>1515</v>
      </c>
      <c r="E880" s="140" t="s">
        <v>992</v>
      </c>
      <c r="F880" s="140" t="s">
        <v>140</v>
      </c>
      <c r="G880" s="139" t="s">
        <v>154</v>
      </c>
      <c r="H880" s="139" t="s">
        <v>1287</v>
      </c>
      <c r="I880" s="139" t="s">
        <v>2544</v>
      </c>
      <c r="J880" s="304">
        <v>23540000</v>
      </c>
      <c r="K880" s="139" t="s">
        <v>221</v>
      </c>
      <c r="L880" s="139">
        <v>2824054</v>
      </c>
      <c r="M880" s="155" t="s">
        <v>144</v>
      </c>
      <c r="N880" s="140">
        <v>125</v>
      </c>
      <c r="O880" s="13">
        <v>50000000</v>
      </c>
      <c r="P880" s="413"/>
    </row>
    <row r="881" spans="1:16" ht="43.5" x14ac:dyDescent="0.35">
      <c r="A881" s="149" t="e">
        <f t="shared" si="14"/>
        <v>#REF!</v>
      </c>
      <c r="B881" s="140" t="s">
        <v>18</v>
      </c>
      <c r="C881" s="140" t="s">
        <v>37</v>
      </c>
      <c r="D881" s="140" t="s">
        <v>1515</v>
      </c>
      <c r="E881" s="140" t="s">
        <v>992</v>
      </c>
      <c r="F881" s="140" t="s">
        <v>140</v>
      </c>
      <c r="G881" s="139" t="s">
        <v>154</v>
      </c>
      <c r="H881" s="139" t="s">
        <v>2545</v>
      </c>
      <c r="I881" s="139" t="s">
        <v>2546</v>
      </c>
      <c r="J881" s="304">
        <v>49080000</v>
      </c>
      <c r="K881" s="139" t="s">
        <v>221</v>
      </c>
      <c r="L881" s="139">
        <v>2850798</v>
      </c>
      <c r="M881" s="155" t="s">
        <v>144</v>
      </c>
      <c r="N881" s="273">
        <v>250</v>
      </c>
      <c r="O881" s="10">
        <v>100000000</v>
      </c>
      <c r="P881" s="306" t="s">
        <v>2547</v>
      </c>
    </row>
    <row r="882" spans="1:16" ht="43.5" x14ac:dyDescent="0.35">
      <c r="A882" s="149" t="e">
        <f t="shared" si="14"/>
        <v>#REF!</v>
      </c>
      <c r="B882" s="140" t="s">
        <v>18</v>
      </c>
      <c r="C882" s="140" t="s">
        <v>37</v>
      </c>
      <c r="D882" s="140" t="s">
        <v>1515</v>
      </c>
      <c r="E882" s="140" t="s">
        <v>1706</v>
      </c>
      <c r="F882" s="140" t="s">
        <v>140</v>
      </c>
      <c r="G882" s="139" t="s">
        <v>154</v>
      </c>
      <c r="H882" s="139" t="s">
        <v>2548</v>
      </c>
      <c r="I882" s="139" t="s">
        <v>2549</v>
      </c>
      <c r="J882" s="304">
        <v>45000000</v>
      </c>
      <c r="K882" s="139" t="s">
        <v>221</v>
      </c>
      <c r="L882" s="139">
        <v>2935981</v>
      </c>
      <c r="M882" s="155" t="s">
        <v>144</v>
      </c>
      <c r="N882" s="139">
        <v>250</v>
      </c>
      <c r="O882" s="13">
        <v>71180000</v>
      </c>
      <c r="P882" s="141"/>
    </row>
    <row r="883" spans="1:16" ht="43.5" x14ac:dyDescent="0.35">
      <c r="A883" s="149" t="e">
        <f t="shared" si="14"/>
        <v>#REF!</v>
      </c>
      <c r="B883" s="140" t="s">
        <v>18</v>
      </c>
      <c r="C883" s="140" t="s">
        <v>37</v>
      </c>
      <c r="D883" s="140" t="s">
        <v>1515</v>
      </c>
      <c r="E883" s="140" t="s">
        <v>992</v>
      </c>
      <c r="F883" s="140" t="s">
        <v>140</v>
      </c>
      <c r="G883" s="139" t="s">
        <v>154</v>
      </c>
      <c r="H883" s="139" t="s">
        <v>2550</v>
      </c>
      <c r="I883" s="139" t="s">
        <v>2551</v>
      </c>
      <c r="J883" s="304">
        <v>27607500</v>
      </c>
      <c r="K883" s="139" t="s">
        <v>221</v>
      </c>
      <c r="L883" s="139">
        <v>2972470</v>
      </c>
      <c r="M883" s="155" t="s">
        <v>144</v>
      </c>
      <c r="N883" s="307">
        <v>250</v>
      </c>
      <c r="O883" s="13">
        <v>100000000</v>
      </c>
      <c r="P883" s="141"/>
    </row>
    <row r="884" spans="1:16" ht="43.5" x14ac:dyDescent="0.35">
      <c r="A884" s="149" t="e">
        <f t="shared" si="14"/>
        <v>#REF!</v>
      </c>
      <c r="B884" s="140" t="s">
        <v>18</v>
      </c>
      <c r="C884" s="140" t="s">
        <v>37</v>
      </c>
      <c r="D884" s="140" t="s">
        <v>1515</v>
      </c>
      <c r="E884" s="140" t="s">
        <v>2552</v>
      </c>
      <c r="F884" s="140" t="s">
        <v>140</v>
      </c>
      <c r="G884" s="139" t="s">
        <v>154</v>
      </c>
      <c r="H884" s="139" t="s">
        <v>882</v>
      </c>
      <c r="I884" s="139" t="s">
        <v>2553</v>
      </c>
      <c r="J884" s="304">
        <v>38650500</v>
      </c>
      <c r="K884" s="139" t="s">
        <v>221</v>
      </c>
      <c r="L884" s="139">
        <v>2973809</v>
      </c>
      <c r="M884" s="155" t="s">
        <v>144</v>
      </c>
      <c r="N884" s="307">
        <v>62</v>
      </c>
      <c r="O884" s="13">
        <v>172484000.00000003</v>
      </c>
      <c r="P884" s="141"/>
    </row>
    <row r="885" spans="1:16" ht="43.5" x14ac:dyDescent="0.35">
      <c r="A885" s="149" t="e">
        <f t="shared" si="14"/>
        <v>#REF!</v>
      </c>
      <c r="B885" s="140" t="s">
        <v>18</v>
      </c>
      <c r="C885" s="140" t="s">
        <v>37</v>
      </c>
      <c r="D885" s="140" t="s">
        <v>1521</v>
      </c>
      <c r="E885" s="140" t="s">
        <v>2554</v>
      </c>
      <c r="F885" s="140" t="s">
        <v>140</v>
      </c>
      <c r="G885" s="139" t="s">
        <v>1301</v>
      </c>
      <c r="H885" s="139" t="s">
        <v>1306</v>
      </c>
      <c r="I885" s="139" t="s">
        <v>2555</v>
      </c>
      <c r="J885" s="302">
        <v>100000000</v>
      </c>
      <c r="K885" s="139" t="s">
        <v>221</v>
      </c>
      <c r="L885" s="139">
        <v>2908812</v>
      </c>
      <c r="M885" s="155" t="s">
        <v>144</v>
      </c>
      <c r="N885" s="139">
        <v>180</v>
      </c>
      <c r="O885" s="13">
        <v>230000000</v>
      </c>
      <c r="P885" s="141" t="s">
        <v>1728</v>
      </c>
    </row>
    <row r="886" spans="1:16" ht="43.5" x14ac:dyDescent="0.35">
      <c r="A886" s="149" t="e">
        <f t="shared" si="14"/>
        <v>#REF!</v>
      </c>
      <c r="B886" s="140" t="s">
        <v>18</v>
      </c>
      <c r="C886" s="140" t="s">
        <v>37</v>
      </c>
      <c r="D886" s="140" t="s">
        <v>1521</v>
      </c>
      <c r="E886" s="140" t="s">
        <v>2554</v>
      </c>
      <c r="F886" s="140" t="s">
        <v>140</v>
      </c>
      <c r="G886" s="139" t="s">
        <v>1301</v>
      </c>
      <c r="H886" s="139" t="s">
        <v>2556</v>
      </c>
      <c r="I886" s="139" t="s">
        <v>2557</v>
      </c>
      <c r="J886" s="302">
        <v>100000000</v>
      </c>
      <c r="K886" s="139" t="s">
        <v>221</v>
      </c>
      <c r="L886" s="139">
        <v>2909842</v>
      </c>
      <c r="M886" s="155" t="s">
        <v>144</v>
      </c>
      <c r="N886" s="139">
        <v>200</v>
      </c>
      <c r="O886" s="13">
        <v>200000000</v>
      </c>
      <c r="P886" s="141" t="s">
        <v>2558</v>
      </c>
    </row>
    <row r="887" spans="1:16" ht="43.5" x14ac:dyDescent="0.35">
      <c r="A887" s="149" t="e">
        <f t="shared" si="14"/>
        <v>#REF!</v>
      </c>
      <c r="B887" s="140" t="s">
        <v>18</v>
      </c>
      <c r="C887" s="140" t="s">
        <v>37</v>
      </c>
      <c r="D887" s="140" t="s">
        <v>1570</v>
      </c>
      <c r="E887" s="140" t="s">
        <v>2559</v>
      </c>
      <c r="F887" s="140" t="s">
        <v>140</v>
      </c>
      <c r="G887" s="139" t="s">
        <v>1301</v>
      </c>
      <c r="H887" s="139" t="s">
        <v>2560</v>
      </c>
      <c r="I887" s="139" t="s">
        <v>2561</v>
      </c>
      <c r="J887" s="302">
        <v>100000000</v>
      </c>
      <c r="K887" s="139" t="s">
        <v>221</v>
      </c>
      <c r="L887" s="139">
        <v>2961973</v>
      </c>
      <c r="M887" s="155" t="s">
        <v>144</v>
      </c>
      <c r="N887" s="292">
        <v>35.945363048166783</v>
      </c>
      <c r="O887" s="13">
        <v>50000000</v>
      </c>
      <c r="P887" s="141" t="s">
        <v>1728</v>
      </c>
    </row>
    <row r="888" spans="1:16" ht="43.5" x14ac:dyDescent="0.35">
      <c r="A888" s="149" t="e">
        <f t="shared" si="14"/>
        <v>#REF!</v>
      </c>
      <c r="B888" s="140" t="s">
        <v>18</v>
      </c>
      <c r="C888" s="140" t="s">
        <v>37</v>
      </c>
      <c r="D888" s="140" t="s">
        <v>1515</v>
      </c>
      <c r="E888" s="140" t="s">
        <v>1305</v>
      </c>
      <c r="F888" s="140" t="s">
        <v>140</v>
      </c>
      <c r="G888" s="139" t="s">
        <v>1301</v>
      </c>
      <c r="H888" s="139" t="s">
        <v>1302</v>
      </c>
      <c r="I888" s="139" t="s">
        <v>2562</v>
      </c>
      <c r="J888" s="302">
        <v>100000000</v>
      </c>
      <c r="K888" s="139" t="s">
        <v>221</v>
      </c>
      <c r="L888" s="139">
        <v>2965587</v>
      </c>
      <c r="M888" s="155" t="s">
        <v>144</v>
      </c>
      <c r="N888" s="292">
        <v>250</v>
      </c>
      <c r="O888" s="13">
        <v>100000000</v>
      </c>
      <c r="P888" s="141"/>
    </row>
    <row r="889" spans="1:16" ht="43.5" x14ac:dyDescent="0.35">
      <c r="A889" s="149" t="e">
        <f t="shared" si="14"/>
        <v>#REF!</v>
      </c>
      <c r="B889" s="140" t="s">
        <v>18</v>
      </c>
      <c r="C889" s="140" t="s">
        <v>37</v>
      </c>
      <c r="D889" s="140" t="s">
        <v>1515</v>
      </c>
      <c r="E889" s="140" t="s">
        <v>992</v>
      </c>
      <c r="F889" s="140" t="s">
        <v>140</v>
      </c>
      <c r="G889" s="139" t="s">
        <v>1301</v>
      </c>
      <c r="H889" s="139" t="s">
        <v>2556</v>
      </c>
      <c r="I889" s="139" t="s">
        <v>2527</v>
      </c>
      <c r="J889" s="302">
        <v>100000000</v>
      </c>
      <c r="K889" s="139" t="s">
        <v>221</v>
      </c>
      <c r="L889" s="139">
        <v>2967271</v>
      </c>
      <c r="M889" s="155" t="s">
        <v>144</v>
      </c>
      <c r="N889" s="292">
        <v>250</v>
      </c>
      <c r="O889" s="13">
        <v>100000000</v>
      </c>
      <c r="P889" s="141"/>
    </row>
    <row r="890" spans="1:16" ht="43.5" x14ac:dyDescent="0.35">
      <c r="A890" s="149" t="e">
        <f t="shared" si="14"/>
        <v>#REF!</v>
      </c>
      <c r="B890" s="140" t="s">
        <v>18</v>
      </c>
      <c r="C890" s="140" t="s">
        <v>37</v>
      </c>
      <c r="D890" s="140" t="s">
        <v>1570</v>
      </c>
      <c r="E890" s="140" t="s">
        <v>2327</v>
      </c>
      <c r="F890" s="140" t="s">
        <v>140</v>
      </c>
      <c r="G890" s="139" t="s">
        <v>1301</v>
      </c>
      <c r="H890" s="139" t="s">
        <v>2560</v>
      </c>
      <c r="I890" s="139" t="s">
        <v>2561</v>
      </c>
      <c r="J890" s="302">
        <v>100000000</v>
      </c>
      <c r="K890" s="139" t="s">
        <v>221</v>
      </c>
      <c r="L890" s="139">
        <v>2967984</v>
      </c>
      <c r="M890" s="155" t="s">
        <v>144</v>
      </c>
      <c r="N890" s="292">
        <v>35.945363048166783</v>
      </c>
      <c r="O890" s="13">
        <v>50000000</v>
      </c>
      <c r="P890" s="141" t="s">
        <v>1728</v>
      </c>
    </row>
    <row r="891" spans="1:16" ht="58" x14ac:dyDescent="0.35">
      <c r="A891" s="149" t="e">
        <f t="shared" si="14"/>
        <v>#REF!</v>
      </c>
      <c r="B891" s="140" t="s">
        <v>18</v>
      </c>
      <c r="C891" s="140" t="s">
        <v>481</v>
      </c>
      <c r="D891" s="140" t="s">
        <v>1515</v>
      </c>
      <c r="E891" s="274" t="s">
        <v>1305</v>
      </c>
      <c r="F891" s="274" t="s">
        <v>140</v>
      </c>
      <c r="G891" s="139" t="s">
        <v>1301</v>
      </c>
      <c r="H891" s="139" t="s">
        <v>1306</v>
      </c>
      <c r="I891" s="139" t="s">
        <v>1307</v>
      </c>
      <c r="J891" s="308">
        <v>100000000</v>
      </c>
      <c r="K891" s="139" t="s">
        <v>221</v>
      </c>
      <c r="L891" s="139">
        <v>2967720</v>
      </c>
      <c r="M891" s="155" t="s">
        <v>144</v>
      </c>
      <c r="N891" s="292">
        <v>250</v>
      </c>
      <c r="O891" s="13">
        <v>100000000</v>
      </c>
      <c r="P891" s="141" t="s">
        <v>2563</v>
      </c>
    </row>
    <row r="892" spans="1:16" ht="43.5" x14ac:dyDescent="0.35">
      <c r="A892" s="149" t="e">
        <f t="shared" si="14"/>
        <v>#REF!</v>
      </c>
      <c r="B892" s="140" t="s">
        <v>18</v>
      </c>
      <c r="C892" s="140" t="s">
        <v>37</v>
      </c>
      <c r="D892" s="140" t="s">
        <v>1515</v>
      </c>
      <c r="E892" s="140" t="s">
        <v>2564</v>
      </c>
      <c r="F892" s="140" t="s">
        <v>2565</v>
      </c>
      <c r="G892" s="139" t="s">
        <v>2566</v>
      </c>
      <c r="H892" s="139" t="s">
        <v>2567</v>
      </c>
      <c r="I892" s="139" t="s">
        <v>2486</v>
      </c>
      <c r="J892" s="302">
        <v>100000000</v>
      </c>
      <c r="K892" s="139" t="s">
        <v>221</v>
      </c>
      <c r="L892" s="139">
        <v>2792551</v>
      </c>
      <c r="M892" s="155" t="s">
        <v>144</v>
      </c>
      <c r="N892" s="309">
        <v>325</v>
      </c>
      <c r="O892" s="13">
        <v>130000000</v>
      </c>
      <c r="P892" s="141"/>
    </row>
    <row r="893" spans="1:16" ht="43.5" x14ac:dyDescent="0.35">
      <c r="A893" s="149" t="e">
        <f t="shared" si="14"/>
        <v>#REF!</v>
      </c>
      <c r="B893" s="140" t="s">
        <v>18</v>
      </c>
      <c r="C893" s="140" t="s">
        <v>37</v>
      </c>
      <c r="D893" s="140" t="s">
        <v>1515</v>
      </c>
      <c r="E893" s="140" t="s">
        <v>992</v>
      </c>
      <c r="F893" s="140" t="s">
        <v>2565</v>
      </c>
      <c r="G893" s="139" t="s">
        <v>2566</v>
      </c>
      <c r="H893" s="139" t="s">
        <v>2568</v>
      </c>
      <c r="I893" s="139" t="s">
        <v>2569</v>
      </c>
      <c r="J893" s="302">
        <v>100000000</v>
      </c>
      <c r="K893" s="139" t="s">
        <v>221</v>
      </c>
      <c r="L893" s="139">
        <v>2906614</v>
      </c>
      <c r="M893" s="155" t="s">
        <v>144</v>
      </c>
      <c r="N893" s="299">
        <v>500</v>
      </c>
      <c r="O893" s="10">
        <v>200000000</v>
      </c>
      <c r="P893" s="141"/>
    </row>
    <row r="894" spans="1:16" ht="43.5" x14ac:dyDescent="0.35">
      <c r="A894" s="149" t="e">
        <f t="shared" si="14"/>
        <v>#REF!</v>
      </c>
      <c r="B894" s="140" t="s">
        <v>18</v>
      </c>
      <c r="C894" s="140" t="s">
        <v>37</v>
      </c>
      <c r="D894" s="140" t="s">
        <v>1515</v>
      </c>
      <c r="E894" s="140" t="s">
        <v>2570</v>
      </c>
      <c r="F894" s="140" t="s">
        <v>2565</v>
      </c>
      <c r="G894" s="139" t="s">
        <v>2566</v>
      </c>
      <c r="H894" s="139" t="s">
        <v>2571</v>
      </c>
      <c r="I894" s="139" t="s">
        <v>2572</v>
      </c>
      <c r="J894" s="302">
        <v>50000000</v>
      </c>
      <c r="K894" s="139" t="s">
        <v>221</v>
      </c>
      <c r="L894" s="139">
        <v>2906792</v>
      </c>
      <c r="M894" s="155" t="s">
        <v>144</v>
      </c>
      <c r="N894" s="292">
        <v>283.9474994702959</v>
      </c>
      <c r="O894" s="13">
        <v>150000000</v>
      </c>
      <c r="P894" s="141" t="s">
        <v>2573</v>
      </c>
    </row>
    <row r="895" spans="1:16" ht="43.5" x14ac:dyDescent="0.35">
      <c r="A895" s="149" t="e">
        <f t="shared" si="14"/>
        <v>#REF!</v>
      </c>
      <c r="B895" s="140" t="s">
        <v>18</v>
      </c>
      <c r="C895" s="140" t="s">
        <v>37</v>
      </c>
      <c r="D895" s="140" t="s">
        <v>1515</v>
      </c>
      <c r="E895" s="140" t="s">
        <v>992</v>
      </c>
      <c r="F895" s="140" t="s">
        <v>2565</v>
      </c>
      <c r="G895" s="139" t="s">
        <v>2566</v>
      </c>
      <c r="H895" s="139" t="s">
        <v>2574</v>
      </c>
      <c r="I895" s="139" t="s">
        <v>2575</v>
      </c>
      <c r="J895" s="302">
        <v>40000000</v>
      </c>
      <c r="K895" s="139" t="s">
        <v>221</v>
      </c>
      <c r="L895" s="139">
        <v>2906889</v>
      </c>
      <c r="M895" s="155" t="s">
        <v>144</v>
      </c>
      <c r="N895" s="292">
        <v>266.45776377986323</v>
      </c>
      <c r="O895" s="13">
        <v>100000000</v>
      </c>
      <c r="P895" s="141" t="s">
        <v>2547</v>
      </c>
    </row>
    <row r="896" spans="1:16" ht="43.5" x14ac:dyDescent="0.35">
      <c r="A896" s="149" t="e">
        <f t="shared" si="14"/>
        <v>#REF!</v>
      </c>
      <c r="B896" s="140" t="s">
        <v>18</v>
      </c>
      <c r="C896" s="140" t="s">
        <v>37</v>
      </c>
      <c r="D896" s="140" t="s">
        <v>1515</v>
      </c>
      <c r="E896" s="140" t="s">
        <v>2576</v>
      </c>
      <c r="F896" s="140" t="s">
        <v>2565</v>
      </c>
      <c r="G896" s="139" t="s">
        <v>2566</v>
      </c>
      <c r="H896" s="139" t="s">
        <v>2577</v>
      </c>
      <c r="I896" s="139" t="s">
        <v>2578</v>
      </c>
      <c r="J896" s="302">
        <v>100000000</v>
      </c>
      <c r="K896" s="139" t="s">
        <v>221</v>
      </c>
      <c r="L896" s="139">
        <v>2907007</v>
      </c>
      <c r="M896" s="155" t="s">
        <v>144</v>
      </c>
      <c r="N896" s="292">
        <v>250</v>
      </c>
      <c r="O896" s="13">
        <v>100000000</v>
      </c>
      <c r="P896" s="141"/>
    </row>
    <row r="897" spans="1:16" ht="43.5" x14ac:dyDescent="0.35">
      <c r="A897" s="149" t="e">
        <f>#REF!+1</f>
        <v>#REF!</v>
      </c>
      <c r="B897" s="140" t="s">
        <v>18</v>
      </c>
      <c r="C897" s="140" t="s">
        <v>37</v>
      </c>
      <c r="D897" s="140" t="s">
        <v>1515</v>
      </c>
      <c r="E897" s="140" t="s">
        <v>2579</v>
      </c>
      <c r="F897" s="140" t="s">
        <v>2565</v>
      </c>
      <c r="G897" s="139" t="s">
        <v>2566</v>
      </c>
      <c r="H897" s="139" t="s">
        <v>2580</v>
      </c>
      <c r="I897" s="139" t="s">
        <v>2581</v>
      </c>
      <c r="J897" s="302">
        <v>80000000</v>
      </c>
      <c r="K897" s="139" t="s">
        <v>221</v>
      </c>
      <c r="L897" s="139">
        <v>2907538</v>
      </c>
      <c r="M897" s="155" t="s">
        <v>144</v>
      </c>
      <c r="N897" s="292">
        <v>66.614440944965807</v>
      </c>
      <c r="O897" s="13">
        <v>110000000</v>
      </c>
      <c r="P897" s="141"/>
    </row>
    <row r="898" spans="1:16" ht="43.5" x14ac:dyDescent="0.35">
      <c r="A898" s="149" t="e">
        <f t="shared" si="14"/>
        <v>#REF!</v>
      </c>
      <c r="B898" s="140" t="s">
        <v>18</v>
      </c>
      <c r="C898" s="140" t="s">
        <v>37</v>
      </c>
      <c r="D898" s="140" t="s">
        <v>1515</v>
      </c>
      <c r="E898" s="140" t="s">
        <v>2582</v>
      </c>
      <c r="F898" s="140" t="s">
        <v>140</v>
      </c>
      <c r="G898" s="139" t="s">
        <v>364</v>
      </c>
      <c r="H898" s="139" t="s">
        <v>365</v>
      </c>
      <c r="I898" s="139" t="s">
        <v>2583</v>
      </c>
      <c r="J898" s="302">
        <v>150000000</v>
      </c>
      <c r="K898" s="139" t="s">
        <v>221</v>
      </c>
      <c r="L898" s="139">
        <v>2928184</v>
      </c>
      <c r="M898" s="155" t="s">
        <v>144</v>
      </c>
      <c r="N898" s="299"/>
      <c r="O898" s="13">
        <v>150000000</v>
      </c>
      <c r="P898" s="141"/>
    </row>
    <row r="899" spans="1:16" ht="43.5" x14ac:dyDescent="0.35">
      <c r="A899" s="149" t="e">
        <f t="shared" si="14"/>
        <v>#REF!</v>
      </c>
      <c r="B899" s="140" t="s">
        <v>18</v>
      </c>
      <c r="C899" s="140" t="s">
        <v>37</v>
      </c>
      <c r="D899" s="140" t="s">
        <v>1515</v>
      </c>
      <c r="E899" s="140" t="s">
        <v>2584</v>
      </c>
      <c r="F899" s="140" t="s">
        <v>140</v>
      </c>
      <c r="G899" s="139" t="s">
        <v>364</v>
      </c>
      <c r="H899" s="139" t="s">
        <v>2585</v>
      </c>
      <c r="I899" s="139" t="s">
        <v>2586</v>
      </c>
      <c r="J899" s="302">
        <v>100000000</v>
      </c>
      <c r="K899" s="139" t="s">
        <v>221</v>
      </c>
      <c r="L899" s="139">
        <v>2928313</v>
      </c>
      <c r="M899" s="155" t="s">
        <v>144</v>
      </c>
      <c r="N899" s="299"/>
      <c r="O899" s="13">
        <v>150000000</v>
      </c>
      <c r="P899" s="141"/>
    </row>
    <row r="900" spans="1:16" ht="43.5" x14ac:dyDescent="0.35">
      <c r="A900" s="149" t="e">
        <f t="shared" si="14"/>
        <v>#REF!</v>
      </c>
      <c r="B900" s="140" t="s">
        <v>18</v>
      </c>
      <c r="C900" s="140" t="s">
        <v>37</v>
      </c>
      <c r="D900" s="140" t="s">
        <v>1515</v>
      </c>
      <c r="E900" s="140" t="s">
        <v>2587</v>
      </c>
      <c r="F900" s="140" t="s">
        <v>2414</v>
      </c>
      <c r="G900" s="139" t="s">
        <v>364</v>
      </c>
      <c r="H900" s="139" t="s">
        <v>369</v>
      </c>
      <c r="I900" s="139" t="s">
        <v>2588</v>
      </c>
      <c r="J900" s="302">
        <v>200000000</v>
      </c>
      <c r="K900" s="139" t="s">
        <v>221</v>
      </c>
      <c r="L900" s="139">
        <v>2928368</v>
      </c>
      <c r="M900" s="155" t="s">
        <v>144</v>
      </c>
      <c r="N900" s="139" t="s">
        <v>2589</v>
      </c>
      <c r="O900" s="13">
        <v>200000000</v>
      </c>
      <c r="P900" s="141"/>
    </row>
    <row r="901" spans="1:16" ht="43.5" x14ac:dyDescent="0.35">
      <c r="A901" s="149" t="e">
        <f t="shared" si="14"/>
        <v>#REF!</v>
      </c>
      <c r="B901" s="140" t="s">
        <v>18</v>
      </c>
      <c r="C901" s="140" t="s">
        <v>37</v>
      </c>
      <c r="D901" s="140" t="s">
        <v>1521</v>
      </c>
      <c r="E901" s="140" t="s">
        <v>2584</v>
      </c>
      <c r="F901" s="140" t="s">
        <v>140</v>
      </c>
      <c r="G901" s="139" t="s">
        <v>364</v>
      </c>
      <c r="H901" s="139" t="s">
        <v>2590</v>
      </c>
      <c r="I901" s="139" t="s">
        <v>2591</v>
      </c>
      <c r="J901" s="302">
        <v>150000000</v>
      </c>
      <c r="K901" s="139" t="s">
        <v>221</v>
      </c>
      <c r="L901" s="139">
        <v>2928685</v>
      </c>
      <c r="M901" s="155" t="s">
        <v>144</v>
      </c>
      <c r="N901" s="139" t="s">
        <v>1173</v>
      </c>
      <c r="O901" s="13">
        <v>150000000</v>
      </c>
      <c r="P901" s="141" t="s">
        <v>1728</v>
      </c>
    </row>
    <row r="902" spans="1:16" ht="43.5" x14ac:dyDescent="0.35">
      <c r="A902" s="149" t="e">
        <f t="shared" si="14"/>
        <v>#REF!</v>
      </c>
      <c r="B902" s="140" t="s">
        <v>18</v>
      </c>
      <c r="C902" s="140" t="s">
        <v>37</v>
      </c>
      <c r="D902" s="140" t="s">
        <v>1515</v>
      </c>
      <c r="E902" s="140" t="s">
        <v>2592</v>
      </c>
      <c r="F902" s="140" t="s">
        <v>140</v>
      </c>
      <c r="G902" s="139" t="s">
        <v>364</v>
      </c>
      <c r="H902" s="139" t="s">
        <v>2593</v>
      </c>
      <c r="I902" s="139" t="s">
        <v>2005</v>
      </c>
      <c r="J902" s="302">
        <v>100000000</v>
      </c>
      <c r="K902" s="139" t="s">
        <v>221</v>
      </c>
      <c r="L902" s="139">
        <v>2928901</v>
      </c>
      <c r="M902" s="155" t="s">
        <v>144</v>
      </c>
      <c r="N902" s="299">
        <v>110</v>
      </c>
      <c r="O902" s="10">
        <v>100000000</v>
      </c>
      <c r="P902" s="141"/>
    </row>
    <row r="903" spans="1:16" ht="43.5" x14ac:dyDescent="0.35">
      <c r="A903" s="149" t="e">
        <f t="shared" si="14"/>
        <v>#REF!</v>
      </c>
      <c r="B903" s="140" t="s">
        <v>18</v>
      </c>
      <c r="C903" s="140" t="s">
        <v>37</v>
      </c>
      <c r="D903" s="140" t="s">
        <v>1515</v>
      </c>
      <c r="E903" s="140" t="s">
        <v>2594</v>
      </c>
      <c r="F903" s="140" t="s">
        <v>140</v>
      </c>
      <c r="G903" s="139" t="s">
        <v>157</v>
      </c>
      <c r="H903" s="139" t="s">
        <v>1310</v>
      </c>
      <c r="I903" s="139" t="s">
        <v>2595</v>
      </c>
      <c r="J903" s="302">
        <v>40000000</v>
      </c>
      <c r="K903" s="139" t="s">
        <v>221</v>
      </c>
      <c r="L903" s="139">
        <v>2920926</v>
      </c>
      <c r="M903" s="155" t="s">
        <v>144</v>
      </c>
      <c r="N903" s="307">
        <v>250</v>
      </c>
      <c r="O903" s="13">
        <v>100000000</v>
      </c>
      <c r="P903" s="141"/>
    </row>
    <row r="904" spans="1:16" ht="43.5" x14ac:dyDescent="0.35">
      <c r="A904" s="149" t="e">
        <f t="shared" si="14"/>
        <v>#REF!</v>
      </c>
      <c r="B904" s="140" t="s">
        <v>18</v>
      </c>
      <c r="C904" s="140" t="s">
        <v>37</v>
      </c>
      <c r="D904" s="140" t="s">
        <v>476</v>
      </c>
      <c r="E904" s="140" t="s">
        <v>2596</v>
      </c>
      <c r="F904" s="140" t="s">
        <v>140</v>
      </c>
      <c r="G904" s="139" t="s">
        <v>157</v>
      </c>
      <c r="H904" s="139" t="s">
        <v>732</v>
      </c>
      <c r="I904" s="139" t="s">
        <v>2597</v>
      </c>
      <c r="J904" s="302">
        <v>70000000</v>
      </c>
      <c r="K904" s="139" t="s">
        <v>221</v>
      </c>
      <c r="L904" s="139">
        <v>2921024</v>
      </c>
      <c r="M904" s="155" t="s">
        <v>144</v>
      </c>
      <c r="N904" s="307">
        <v>338.25036615602136</v>
      </c>
      <c r="O904" s="13">
        <v>230000000</v>
      </c>
      <c r="P904" s="141" t="s">
        <v>1955</v>
      </c>
    </row>
    <row r="905" spans="1:16" ht="72.5" x14ac:dyDescent="0.35">
      <c r="A905" s="149" t="e">
        <f t="shared" si="14"/>
        <v>#REF!</v>
      </c>
      <c r="B905" s="140" t="s">
        <v>18</v>
      </c>
      <c r="C905" s="140" t="s">
        <v>37</v>
      </c>
      <c r="D905" s="140" t="s">
        <v>1521</v>
      </c>
      <c r="E905" s="140" t="s">
        <v>2598</v>
      </c>
      <c r="F905" s="140" t="s">
        <v>140</v>
      </c>
      <c r="G905" s="139" t="s">
        <v>157</v>
      </c>
      <c r="H905" s="139" t="s">
        <v>2599</v>
      </c>
      <c r="I905" s="139" t="s">
        <v>2600</v>
      </c>
      <c r="J905" s="302">
        <v>40000000</v>
      </c>
      <c r="K905" s="139" t="s">
        <v>221</v>
      </c>
      <c r="L905" s="139">
        <v>2945223</v>
      </c>
      <c r="M905" s="155" t="s">
        <v>144</v>
      </c>
      <c r="N905" s="307">
        <v>29.036004645760745</v>
      </c>
      <c r="O905" s="13">
        <v>137000000</v>
      </c>
      <c r="P905" s="141" t="s">
        <v>1678</v>
      </c>
    </row>
    <row r="906" spans="1:16" ht="72.5" x14ac:dyDescent="0.35">
      <c r="A906" s="149" t="e">
        <f t="shared" si="14"/>
        <v>#REF!</v>
      </c>
      <c r="B906" s="140" t="s">
        <v>18</v>
      </c>
      <c r="C906" s="140" t="s">
        <v>37</v>
      </c>
      <c r="D906" s="140" t="s">
        <v>1515</v>
      </c>
      <c r="E906" s="140" t="s">
        <v>2601</v>
      </c>
      <c r="F906" s="140" t="s">
        <v>140</v>
      </c>
      <c r="G906" s="139" t="s">
        <v>157</v>
      </c>
      <c r="H906" s="139" t="s">
        <v>2599</v>
      </c>
      <c r="I906" s="139" t="s">
        <v>2602</v>
      </c>
      <c r="J906" s="302">
        <v>38000000</v>
      </c>
      <c r="K906" s="139" t="s">
        <v>221</v>
      </c>
      <c r="L906" s="139">
        <v>2973679</v>
      </c>
      <c r="M906" s="155" t="s">
        <v>144</v>
      </c>
      <c r="N906" s="307">
        <v>250</v>
      </c>
      <c r="O906" s="13">
        <v>190000000</v>
      </c>
      <c r="P906" s="141"/>
    </row>
    <row r="907" spans="1:16" ht="43.5" x14ac:dyDescent="0.35">
      <c r="A907" s="149" t="e">
        <f t="shared" si="14"/>
        <v>#REF!</v>
      </c>
      <c r="B907" s="140" t="s">
        <v>18</v>
      </c>
      <c r="C907" s="140" t="s">
        <v>37</v>
      </c>
      <c r="D907" s="140" t="s">
        <v>476</v>
      </c>
      <c r="E907" s="140" t="s">
        <v>2170</v>
      </c>
      <c r="F907" s="140" t="s">
        <v>2603</v>
      </c>
      <c r="G907" s="139" t="s">
        <v>1320</v>
      </c>
      <c r="H907" s="139" t="s">
        <v>2604</v>
      </c>
      <c r="I907" s="139" t="s">
        <v>2605</v>
      </c>
      <c r="J907" s="191">
        <v>150000000</v>
      </c>
      <c r="K907" s="139" t="s">
        <v>221</v>
      </c>
      <c r="L907" s="139">
        <v>2817103</v>
      </c>
      <c r="M907" s="155" t="s">
        <v>144</v>
      </c>
      <c r="N907" s="139" t="s">
        <v>2606</v>
      </c>
      <c r="O907" s="13">
        <v>888837516</v>
      </c>
      <c r="P907" s="141" t="s">
        <v>1955</v>
      </c>
    </row>
    <row r="908" spans="1:16" ht="43.5" x14ac:dyDescent="0.35">
      <c r="A908" s="149" t="e">
        <f t="shared" si="14"/>
        <v>#REF!</v>
      </c>
      <c r="B908" s="140" t="s">
        <v>18</v>
      </c>
      <c r="C908" s="140" t="s">
        <v>37</v>
      </c>
      <c r="D908" s="140" t="s">
        <v>1570</v>
      </c>
      <c r="E908" s="140" t="s">
        <v>2327</v>
      </c>
      <c r="F908" s="140" t="s">
        <v>2603</v>
      </c>
      <c r="G908" s="139" t="s">
        <v>1320</v>
      </c>
      <c r="H908" s="139" t="s">
        <v>2607</v>
      </c>
      <c r="I908" s="139" t="s">
        <v>2608</v>
      </c>
      <c r="J908" s="191">
        <v>80000000</v>
      </c>
      <c r="K908" s="139" t="s">
        <v>221</v>
      </c>
      <c r="L908" s="139">
        <v>2817306</v>
      </c>
      <c r="M908" s="155" t="s">
        <v>144</v>
      </c>
      <c r="N908" s="307">
        <v>28.75629043853343</v>
      </c>
      <c r="O908" s="13">
        <v>100000000</v>
      </c>
      <c r="P908" s="141" t="s">
        <v>1728</v>
      </c>
    </row>
    <row r="909" spans="1:16" ht="43.5" x14ac:dyDescent="0.35">
      <c r="A909" s="149" t="e">
        <f t="shared" si="14"/>
        <v>#REF!</v>
      </c>
      <c r="B909" s="140" t="s">
        <v>18</v>
      </c>
      <c r="C909" s="140" t="s">
        <v>37</v>
      </c>
      <c r="D909" s="140" t="s">
        <v>1515</v>
      </c>
      <c r="E909" s="140" t="s">
        <v>1305</v>
      </c>
      <c r="F909" s="140" t="s">
        <v>2603</v>
      </c>
      <c r="G909" s="139" t="s">
        <v>1320</v>
      </c>
      <c r="H909" s="139" t="s">
        <v>2609</v>
      </c>
      <c r="I909" s="139" t="s">
        <v>2610</v>
      </c>
      <c r="J909" s="191">
        <v>70000000</v>
      </c>
      <c r="K909" s="139" t="s">
        <v>221</v>
      </c>
      <c r="L909" s="139">
        <v>2937196</v>
      </c>
      <c r="M909" s="155" t="s">
        <v>144</v>
      </c>
      <c r="N909" s="307">
        <v>250</v>
      </c>
      <c r="O909" s="13">
        <v>100000000</v>
      </c>
      <c r="P909" s="141"/>
    </row>
    <row r="910" spans="1:16" ht="43.5" x14ac:dyDescent="0.35">
      <c r="A910" s="139" t="e">
        <f t="shared" si="14"/>
        <v>#REF!</v>
      </c>
      <c r="B910" s="140" t="s">
        <v>18</v>
      </c>
      <c r="C910" s="140" t="s">
        <v>37</v>
      </c>
      <c r="D910" s="140" t="s">
        <v>1515</v>
      </c>
      <c r="E910" s="140" t="s">
        <v>2611</v>
      </c>
      <c r="F910" s="140" t="s">
        <v>373</v>
      </c>
      <c r="G910" s="140" t="s">
        <v>374</v>
      </c>
      <c r="H910" s="140" t="s">
        <v>378</v>
      </c>
      <c r="I910" s="140" t="s">
        <v>2612</v>
      </c>
      <c r="J910" s="140">
        <v>25000000</v>
      </c>
      <c r="K910" s="139" t="s">
        <v>221</v>
      </c>
      <c r="L910" s="140">
        <v>2911519</v>
      </c>
      <c r="M910" s="155" t="s">
        <v>46</v>
      </c>
      <c r="N910" s="10">
        <v>60</v>
      </c>
      <c r="O910" s="10">
        <v>17760000</v>
      </c>
      <c r="P910" s="140"/>
    </row>
    <row r="911" spans="1:16" ht="43.5" x14ac:dyDescent="0.35">
      <c r="A911" s="139" t="e">
        <f t="shared" si="14"/>
        <v>#REF!</v>
      </c>
      <c r="B911" s="140" t="s">
        <v>18</v>
      </c>
      <c r="C911" s="140" t="s">
        <v>37</v>
      </c>
      <c r="D911" s="140" t="s">
        <v>1515</v>
      </c>
      <c r="E911" s="140" t="s">
        <v>2613</v>
      </c>
      <c r="F911" s="140" t="s">
        <v>373</v>
      </c>
      <c r="G911" s="140" t="s">
        <v>374</v>
      </c>
      <c r="H911" s="140" t="s">
        <v>379</v>
      </c>
      <c r="I911" s="140" t="s">
        <v>2614</v>
      </c>
      <c r="J911" s="140">
        <v>25000000</v>
      </c>
      <c r="K911" s="139" t="s">
        <v>221</v>
      </c>
      <c r="L911" s="140">
        <v>2911428</v>
      </c>
      <c r="M911" s="155" t="s">
        <v>46</v>
      </c>
      <c r="N911" s="10">
        <v>120</v>
      </c>
      <c r="O911" s="10">
        <v>35520000</v>
      </c>
      <c r="P911" s="140"/>
    </row>
    <row r="912" spans="1:16" ht="43.5" x14ac:dyDescent="0.35">
      <c r="A912" s="139" t="e">
        <f t="shared" si="14"/>
        <v>#REF!</v>
      </c>
      <c r="B912" s="140" t="s">
        <v>18</v>
      </c>
      <c r="C912" s="140" t="s">
        <v>37</v>
      </c>
      <c r="D912" s="140" t="s">
        <v>1515</v>
      </c>
      <c r="E912" s="140" t="s">
        <v>2615</v>
      </c>
      <c r="F912" s="140" t="s">
        <v>373</v>
      </c>
      <c r="G912" s="140" t="s">
        <v>374</v>
      </c>
      <c r="H912" s="140" t="s">
        <v>380</v>
      </c>
      <c r="I912" s="140" t="s">
        <v>2616</v>
      </c>
      <c r="J912" s="140">
        <v>50000000</v>
      </c>
      <c r="K912" s="139" t="s">
        <v>221</v>
      </c>
      <c r="L912" s="140">
        <v>2911615</v>
      </c>
      <c r="M912" s="155" t="s">
        <v>46</v>
      </c>
      <c r="N912" s="10">
        <v>200</v>
      </c>
      <c r="O912" s="10">
        <v>59200000</v>
      </c>
      <c r="P912" s="140"/>
    </row>
    <row r="913" spans="1:16" ht="43.5" x14ac:dyDescent="0.35">
      <c r="A913" s="139" t="e">
        <f t="shared" si="14"/>
        <v>#REF!</v>
      </c>
      <c r="B913" s="140" t="s">
        <v>18</v>
      </c>
      <c r="C913" s="140" t="s">
        <v>37</v>
      </c>
      <c r="D913" s="140" t="s">
        <v>1515</v>
      </c>
      <c r="E913" s="140" t="s">
        <v>2617</v>
      </c>
      <c r="F913" s="140" t="s">
        <v>373</v>
      </c>
      <c r="G913" s="140" t="s">
        <v>374</v>
      </c>
      <c r="H913" s="140" t="s">
        <v>380</v>
      </c>
      <c r="I913" s="140" t="s">
        <v>2616</v>
      </c>
      <c r="J913" s="140">
        <v>50000000</v>
      </c>
      <c r="K913" s="139" t="s">
        <v>221</v>
      </c>
      <c r="L913" s="140">
        <v>2911615</v>
      </c>
      <c r="M913" s="155" t="s">
        <v>46</v>
      </c>
      <c r="N913" s="10"/>
      <c r="O913" s="10">
        <v>59200000</v>
      </c>
      <c r="P913" s="140"/>
    </row>
    <row r="914" spans="1:16" ht="43.5" x14ac:dyDescent="0.35">
      <c r="A914" s="139" t="e">
        <f t="shared" si="14"/>
        <v>#REF!</v>
      </c>
      <c r="B914" s="140" t="s">
        <v>18</v>
      </c>
      <c r="C914" s="140" t="s">
        <v>37</v>
      </c>
      <c r="D914" s="140" t="s">
        <v>1515</v>
      </c>
      <c r="E914" s="140" t="s">
        <v>2618</v>
      </c>
      <c r="F914" s="140" t="s">
        <v>373</v>
      </c>
      <c r="G914" s="140" t="s">
        <v>374</v>
      </c>
      <c r="H914" s="140" t="s">
        <v>381</v>
      </c>
      <c r="I914" s="140" t="s">
        <v>2619</v>
      </c>
      <c r="J914" s="140">
        <v>75000000</v>
      </c>
      <c r="K914" s="139" t="s">
        <v>221</v>
      </c>
      <c r="L914" s="140">
        <v>2911710</v>
      </c>
      <c r="M914" s="155" t="s">
        <v>46</v>
      </c>
      <c r="N914" s="10">
        <v>600</v>
      </c>
      <c r="O914" s="10">
        <v>177600000</v>
      </c>
      <c r="P914" s="140"/>
    </row>
    <row r="915" spans="1:16" ht="43.5" x14ac:dyDescent="0.35">
      <c r="A915" s="139" t="e">
        <f t="shared" si="14"/>
        <v>#REF!</v>
      </c>
      <c r="B915" s="140" t="s">
        <v>18</v>
      </c>
      <c r="C915" s="140" t="s">
        <v>37</v>
      </c>
      <c r="D915" s="140" t="s">
        <v>1515</v>
      </c>
      <c r="E915" s="140" t="s">
        <v>2620</v>
      </c>
      <c r="F915" s="140" t="s">
        <v>373</v>
      </c>
      <c r="G915" s="140" t="s">
        <v>374</v>
      </c>
      <c r="H915" s="140" t="s">
        <v>383</v>
      </c>
      <c r="I915" s="140" t="s">
        <v>1599</v>
      </c>
      <c r="J915" s="140">
        <v>75000000</v>
      </c>
      <c r="K915" s="139" t="s">
        <v>221</v>
      </c>
      <c r="L915" s="140">
        <v>2912043</v>
      </c>
      <c r="M915" s="155" t="s">
        <v>46</v>
      </c>
      <c r="N915" s="10">
        <v>200</v>
      </c>
      <c r="O915" s="10">
        <v>59200000</v>
      </c>
      <c r="P915" s="140"/>
    </row>
    <row r="916" spans="1:16" ht="159.5" x14ac:dyDescent="0.35">
      <c r="A916" s="139" t="e">
        <f t="shared" si="14"/>
        <v>#REF!</v>
      </c>
      <c r="B916" s="140" t="s">
        <v>18</v>
      </c>
      <c r="C916" s="140" t="s">
        <v>37</v>
      </c>
      <c r="D916" s="140" t="s">
        <v>1515</v>
      </c>
      <c r="E916" s="140" t="s">
        <v>2621</v>
      </c>
      <c r="F916" s="140"/>
      <c r="G916" s="140" t="s">
        <v>44</v>
      </c>
      <c r="H916" s="140" t="s">
        <v>888</v>
      </c>
      <c r="I916" s="140" t="s">
        <v>28</v>
      </c>
      <c r="J916" s="140">
        <v>49000000</v>
      </c>
      <c r="K916" s="139" t="s">
        <v>221</v>
      </c>
      <c r="L916" s="140">
        <v>2833461</v>
      </c>
      <c r="M916" s="155" t="s">
        <v>46</v>
      </c>
      <c r="N916" s="10">
        <v>200</v>
      </c>
      <c r="O916" s="10">
        <v>80200000</v>
      </c>
      <c r="P916" s="140"/>
    </row>
    <row r="917" spans="1:16" ht="159.5" x14ac:dyDescent="0.35">
      <c r="A917" s="139" t="e">
        <f t="shared" si="14"/>
        <v>#REF!</v>
      </c>
      <c r="B917" s="140" t="s">
        <v>18</v>
      </c>
      <c r="C917" s="140" t="s">
        <v>37</v>
      </c>
      <c r="D917" s="140" t="s">
        <v>1515</v>
      </c>
      <c r="E917" s="140" t="s">
        <v>2621</v>
      </c>
      <c r="F917" s="140"/>
      <c r="G917" s="140" t="s">
        <v>44</v>
      </c>
      <c r="H917" s="140" t="s">
        <v>890</v>
      </c>
      <c r="I917" s="140" t="s">
        <v>28</v>
      </c>
      <c r="J917" s="140">
        <v>49000000</v>
      </c>
      <c r="K917" s="139" t="s">
        <v>221</v>
      </c>
      <c r="L917" s="140">
        <v>2932610</v>
      </c>
      <c r="M917" s="155" t="s">
        <v>46</v>
      </c>
      <c r="N917" s="10">
        <v>200</v>
      </c>
      <c r="O917" s="10">
        <v>80200000</v>
      </c>
      <c r="P917" s="140"/>
    </row>
    <row r="918" spans="1:16" ht="159.5" x14ac:dyDescent="0.35">
      <c r="A918" s="139" t="e">
        <f t="shared" si="14"/>
        <v>#REF!</v>
      </c>
      <c r="B918" s="140" t="s">
        <v>18</v>
      </c>
      <c r="C918" s="140" t="s">
        <v>37</v>
      </c>
      <c r="D918" s="140" t="s">
        <v>1515</v>
      </c>
      <c r="E918" s="140" t="s">
        <v>2621</v>
      </c>
      <c r="F918" s="140"/>
      <c r="G918" s="140" t="s">
        <v>44</v>
      </c>
      <c r="H918" s="140" t="s">
        <v>2622</v>
      </c>
      <c r="I918" s="140" t="s">
        <v>28</v>
      </c>
      <c r="J918" s="140">
        <v>49000000</v>
      </c>
      <c r="K918" s="139" t="s">
        <v>221</v>
      </c>
      <c r="L918" s="140">
        <v>2932647</v>
      </c>
      <c r="M918" s="155" t="s">
        <v>46</v>
      </c>
      <c r="N918" s="10">
        <v>200</v>
      </c>
      <c r="O918" s="10">
        <v>80200000</v>
      </c>
      <c r="P918" s="140"/>
    </row>
    <row r="919" spans="1:16" ht="159.5" x14ac:dyDescent="0.35">
      <c r="A919" s="139" t="e">
        <f t="shared" si="14"/>
        <v>#REF!</v>
      </c>
      <c r="B919" s="140" t="s">
        <v>18</v>
      </c>
      <c r="C919" s="140" t="s">
        <v>37</v>
      </c>
      <c r="D919" s="140" t="s">
        <v>1515</v>
      </c>
      <c r="E919" s="140" t="s">
        <v>2621</v>
      </c>
      <c r="F919" s="140"/>
      <c r="G919" s="140" t="s">
        <v>44</v>
      </c>
      <c r="H919" s="140" t="s">
        <v>385</v>
      </c>
      <c r="I919" s="140" t="s">
        <v>28</v>
      </c>
      <c r="J919" s="140">
        <v>49000000</v>
      </c>
      <c r="K919" s="139" t="s">
        <v>221</v>
      </c>
      <c r="L919" s="140">
        <v>3008591</v>
      </c>
      <c r="M919" s="155" t="s">
        <v>46</v>
      </c>
      <c r="N919" s="10">
        <v>200</v>
      </c>
      <c r="O919" s="10">
        <v>80200000</v>
      </c>
      <c r="P919" s="140"/>
    </row>
    <row r="920" spans="1:16" ht="159.5" x14ac:dyDescent="0.35">
      <c r="A920" s="139" t="e">
        <f t="shared" si="14"/>
        <v>#REF!</v>
      </c>
      <c r="B920" s="140" t="s">
        <v>18</v>
      </c>
      <c r="C920" s="140" t="s">
        <v>37</v>
      </c>
      <c r="D920" s="140" t="s">
        <v>1515</v>
      </c>
      <c r="E920" s="140" t="s">
        <v>2621</v>
      </c>
      <c r="F920" s="140"/>
      <c r="G920" s="140" t="s">
        <v>44</v>
      </c>
      <c r="H920" s="140" t="s">
        <v>161</v>
      </c>
      <c r="I920" s="140" t="s">
        <v>28</v>
      </c>
      <c r="J920" s="140">
        <v>49000000</v>
      </c>
      <c r="K920" s="139" t="s">
        <v>221</v>
      </c>
      <c r="L920" s="140">
        <v>2932647</v>
      </c>
      <c r="M920" s="155" t="s">
        <v>46</v>
      </c>
      <c r="N920" s="10">
        <v>200</v>
      </c>
      <c r="O920" s="10">
        <v>80200000</v>
      </c>
      <c r="P920" s="140"/>
    </row>
    <row r="921" spans="1:16" ht="159.5" x14ac:dyDescent="0.35">
      <c r="A921" s="139" t="e">
        <f t="shared" si="14"/>
        <v>#REF!</v>
      </c>
      <c r="B921" s="140" t="s">
        <v>18</v>
      </c>
      <c r="C921" s="140" t="s">
        <v>37</v>
      </c>
      <c r="D921" s="140" t="s">
        <v>1515</v>
      </c>
      <c r="E921" s="140" t="s">
        <v>2621</v>
      </c>
      <c r="F921" s="140"/>
      <c r="G921" s="140" t="s">
        <v>44</v>
      </c>
      <c r="H921" s="140" t="s">
        <v>45</v>
      </c>
      <c r="I921" s="140" t="s">
        <v>28</v>
      </c>
      <c r="J921" s="140">
        <v>49000000</v>
      </c>
      <c r="K921" s="139" t="s">
        <v>221</v>
      </c>
      <c r="L921" s="140">
        <v>3008591</v>
      </c>
      <c r="M921" s="155" t="s">
        <v>46</v>
      </c>
      <c r="N921" s="10">
        <v>200</v>
      </c>
      <c r="O921" s="10">
        <v>80200000</v>
      </c>
      <c r="P921" s="140"/>
    </row>
    <row r="922" spans="1:16" ht="72.5" x14ac:dyDescent="0.35">
      <c r="A922" s="139" t="e">
        <f t="shared" si="14"/>
        <v>#REF!</v>
      </c>
      <c r="B922" s="140" t="s">
        <v>18</v>
      </c>
      <c r="C922" s="140" t="s">
        <v>37</v>
      </c>
      <c r="D922" s="140" t="s">
        <v>1634</v>
      </c>
      <c r="E922" s="140" t="s">
        <v>2623</v>
      </c>
      <c r="F922" s="140"/>
      <c r="G922" s="140" t="s">
        <v>44</v>
      </c>
      <c r="H922" s="140" t="s">
        <v>45</v>
      </c>
      <c r="I922" s="140" t="s">
        <v>2624</v>
      </c>
      <c r="J922" s="140">
        <v>100000000</v>
      </c>
      <c r="K922" s="139" t="s">
        <v>221</v>
      </c>
      <c r="L922" s="140">
        <v>2833710</v>
      </c>
      <c r="M922" s="155" t="s">
        <v>46</v>
      </c>
      <c r="N922" s="10">
        <v>4</v>
      </c>
      <c r="O922" s="10">
        <v>100000000</v>
      </c>
      <c r="P922" s="140"/>
    </row>
    <row r="923" spans="1:16" ht="43.5" x14ac:dyDescent="0.35">
      <c r="A923" s="139" t="e">
        <f t="shared" si="14"/>
        <v>#REF!</v>
      </c>
      <c r="B923" s="140" t="s">
        <v>18</v>
      </c>
      <c r="C923" s="140" t="s">
        <v>37</v>
      </c>
      <c r="D923" s="140" t="s">
        <v>1521</v>
      </c>
      <c r="E923" s="140" t="s">
        <v>2625</v>
      </c>
      <c r="F923" s="140"/>
      <c r="G923" s="140" t="s">
        <v>600</v>
      </c>
      <c r="H923" s="140" t="s">
        <v>606</v>
      </c>
      <c r="I923" s="140" t="s">
        <v>35</v>
      </c>
      <c r="J923" s="140">
        <v>175000000</v>
      </c>
      <c r="K923" s="139" t="s">
        <v>221</v>
      </c>
      <c r="L923" s="140">
        <v>2914865</v>
      </c>
      <c r="M923" s="155" t="s">
        <v>46</v>
      </c>
      <c r="N923" s="10">
        <v>62.9</v>
      </c>
      <c r="O923" s="10">
        <v>175000000</v>
      </c>
      <c r="P923" s="140"/>
    </row>
    <row r="924" spans="1:16" ht="43.5" x14ac:dyDescent="0.35">
      <c r="A924" s="139" t="e">
        <f>#REF!+1</f>
        <v>#REF!</v>
      </c>
      <c r="B924" s="140" t="s">
        <v>18</v>
      </c>
      <c r="C924" s="140" t="s">
        <v>37</v>
      </c>
      <c r="D924" s="140" t="s">
        <v>1515</v>
      </c>
      <c r="E924" s="140" t="s">
        <v>2100</v>
      </c>
      <c r="F924" s="140" t="s">
        <v>388</v>
      </c>
      <c r="G924" s="140" t="s">
        <v>389</v>
      </c>
      <c r="H924" s="140" t="s">
        <v>391</v>
      </c>
      <c r="I924" s="140" t="s">
        <v>609</v>
      </c>
      <c r="J924" s="140">
        <v>75000000</v>
      </c>
      <c r="K924" s="139" t="s">
        <v>221</v>
      </c>
      <c r="L924" s="140">
        <v>2955420</v>
      </c>
      <c r="M924" s="155" t="s">
        <v>46</v>
      </c>
      <c r="N924" s="10">
        <v>300</v>
      </c>
      <c r="O924" s="10">
        <v>76200000</v>
      </c>
      <c r="P924" s="140"/>
    </row>
    <row r="925" spans="1:16" ht="43.5" x14ac:dyDescent="0.35">
      <c r="A925" s="139" t="e">
        <f t="shared" si="14"/>
        <v>#REF!</v>
      </c>
      <c r="B925" s="140" t="s">
        <v>18</v>
      </c>
      <c r="C925" s="140" t="s">
        <v>37</v>
      </c>
      <c r="D925" s="140" t="s">
        <v>1515</v>
      </c>
      <c r="E925" s="140" t="s">
        <v>2626</v>
      </c>
      <c r="F925" s="140" t="s">
        <v>48</v>
      </c>
      <c r="G925" s="140" t="s">
        <v>389</v>
      </c>
      <c r="H925" s="140" t="s">
        <v>394</v>
      </c>
      <c r="I925" s="140" t="s">
        <v>609</v>
      </c>
      <c r="J925" s="140">
        <v>25000000</v>
      </c>
      <c r="K925" s="139" t="s">
        <v>221</v>
      </c>
      <c r="L925" s="140" t="s">
        <v>48</v>
      </c>
      <c r="M925" s="155" t="s">
        <v>46</v>
      </c>
      <c r="N925" s="10">
        <v>200</v>
      </c>
      <c r="O925" s="10">
        <v>50800000</v>
      </c>
      <c r="P925" s="140"/>
    </row>
    <row r="926" spans="1:16" ht="43.5" x14ac:dyDescent="0.35">
      <c r="A926" s="139" t="e">
        <f t="shared" si="14"/>
        <v>#REF!</v>
      </c>
      <c r="B926" s="140" t="s">
        <v>18</v>
      </c>
      <c r="C926" s="140" t="s">
        <v>37</v>
      </c>
      <c r="D926" s="140" t="s">
        <v>1570</v>
      </c>
      <c r="E926" s="140" t="s">
        <v>2627</v>
      </c>
      <c r="F926" s="140" t="s">
        <v>388</v>
      </c>
      <c r="G926" s="140" t="s">
        <v>389</v>
      </c>
      <c r="H926" s="140" t="s">
        <v>396</v>
      </c>
      <c r="I926" s="140" t="s">
        <v>609</v>
      </c>
      <c r="J926" s="140">
        <v>75000000</v>
      </c>
      <c r="K926" s="139" t="s">
        <v>221</v>
      </c>
      <c r="L926" s="140" t="s">
        <v>48</v>
      </c>
      <c r="M926" s="155" t="s">
        <v>46</v>
      </c>
      <c r="N926" s="10"/>
      <c r="O926" s="10">
        <v>75000000</v>
      </c>
      <c r="P926" s="140"/>
    </row>
    <row r="927" spans="1:16" ht="43.5" x14ac:dyDescent="0.35">
      <c r="A927" s="139" t="e">
        <f>#REF!+1</f>
        <v>#REF!</v>
      </c>
      <c r="B927" s="140" t="s">
        <v>18</v>
      </c>
      <c r="C927" s="140" t="s">
        <v>37</v>
      </c>
      <c r="D927" s="140" t="s">
        <v>1515</v>
      </c>
      <c r="E927" s="140" t="s">
        <v>1872</v>
      </c>
      <c r="F927" s="140" t="s">
        <v>388</v>
      </c>
      <c r="G927" s="140" t="s">
        <v>389</v>
      </c>
      <c r="H927" s="140" t="s">
        <v>398</v>
      </c>
      <c r="I927" s="140" t="s">
        <v>609</v>
      </c>
      <c r="J927" s="140">
        <v>75000000</v>
      </c>
      <c r="K927" s="139" t="s">
        <v>221</v>
      </c>
      <c r="L927" s="140">
        <v>2955297</v>
      </c>
      <c r="M927" s="155" t="s">
        <v>46</v>
      </c>
      <c r="N927" s="10">
        <v>300</v>
      </c>
      <c r="O927" s="10">
        <v>76200000</v>
      </c>
      <c r="P927" s="140"/>
    </row>
    <row r="928" spans="1:16" ht="43.5" x14ac:dyDescent="0.35">
      <c r="A928" s="139" t="e">
        <f t="shared" si="14"/>
        <v>#REF!</v>
      </c>
      <c r="B928" s="140" t="s">
        <v>18</v>
      </c>
      <c r="C928" s="140" t="s">
        <v>37</v>
      </c>
      <c r="D928" s="140" t="s">
        <v>476</v>
      </c>
      <c r="E928" s="140" t="s">
        <v>2170</v>
      </c>
      <c r="F928" s="140" t="s">
        <v>388</v>
      </c>
      <c r="G928" s="140" t="s">
        <v>389</v>
      </c>
      <c r="H928" s="140" t="s">
        <v>399</v>
      </c>
      <c r="I928" s="140">
        <v>1</v>
      </c>
      <c r="J928" s="140">
        <v>25000000</v>
      </c>
      <c r="K928" s="139" t="s">
        <v>221</v>
      </c>
      <c r="L928" s="140">
        <v>3008778</v>
      </c>
      <c r="M928" s="155" t="s">
        <v>46</v>
      </c>
      <c r="N928" s="10" t="s">
        <v>2628</v>
      </c>
      <c r="O928" s="10">
        <v>245729760</v>
      </c>
      <c r="P928" s="140" t="s">
        <v>2629</v>
      </c>
    </row>
    <row r="929" spans="1:16" ht="43.5" x14ac:dyDescent="0.35">
      <c r="A929" s="139" t="e">
        <f>#REF!+1</f>
        <v>#REF!</v>
      </c>
      <c r="B929" s="140" t="s">
        <v>18</v>
      </c>
      <c r="C929" s="140" t="s">
        <v>37</v>
      </c>
      <c r="D929" s="140" t="s">
        <v>1521</v>
      </c>
      <c r="E929" s="140" t="s">
        <v>2630</v>
      </c>
      <c r="F929" s="140" t="s">
        <v>48</v>
      </c>
      <c r="G929" s="140" t="s">
        <v>49</v>
      </c>
      <c r="H929" s="140" t="s">
        <v>49</v>
      </c>
      <c r="I929" s="140" t="s">
        <v>1031</v>
      </c>
      <c r="J929" s="140">
        <v>225000000</v>
      </c>
      <c r="K929" s="139" t="s">
        <v>221</v>
      </c>
      <c r="L929" s="140">
        <v>2819233</v>
      </c>
      <c r="M929" s="155" t="s">
        <v>46</v>
      </c>
      <c r="N929" s="10" t="s">
        <v>2631</v>
      </c>
      <c r="O929" s="10">
        <v>225000000</v>
      </c>
      <c r="P929" s="140"/>
    </row>
    <row r="930" spans="1:16" ht="43.5" x14ac:dyDescent="0.35">
      <c r="A930" s="139" t="e">
        <f t="shared" ref="A930:A993" si="15">A929+1</f>
        <v>#REF!</v>
      </c>
      <c r="B930" s="140" t="s">
        <v>18</v>
      </c>
      <c r="C930" s="140" t="s">
        <v>37</v>
      </c>
      <c r="D930" s="140" t="s">
        <v>1521</v>
      </c>
      <c r="E930" s="140" t="s">
        <v>2632</v>
      </c>
      <c r="F930" s="140" t="s">
        <v>48</v>
      </c>
      <c r="G930" s="140" t="s">
        <v>49</v>
      </c>
      <c r="H930" s="140" t="s">
        <v>613</v>
      </c>
      <c r="I930" s="140" t="s">
        <v>1031</v>
      </c>
      <c r="J930" s="140">
        <v>200000000</v>
      </c>
      <c r="K930" s="139" t="s">
        <v>221</v>
      </c>
      <c r="L930" s="140">
        <v>2819270</v>
      </c>
      <c r="M930" s="155" t="s">
        <v>46</v>
      </c>
      <c r="N930" s="10">
        <v>234</v>
      </c>
      <c r="O930" s="10">
        <v>200000000</v>
      </c>
      <c r="P930" s="140"/>
    </row>
    <row r="931" spans="1:16" ht="43.5" x14ac:dyDescent="0.35">
      <c r="A931" s="139" t="e">
        <f t="shared" si="15"/>
        <v>#REF!</v>
      </c>
      <c r="B931" s="140" t="s">
        <v>18</v>
      </c>
      <c r="C931" s="140" t="s">
        <v>37</v>
      </c>
      <c r="D931" s="140" t="s">
        <v>1634</v>
      </c>
      <c r="E931" s="140" t="s">
        <v>2054</v>
      </c>
      <c r="F931" s="140" t="s">
        <v>48</v>
      </c>
      <c r="G931" s="140" t="s">
        <v>49</v>
      </c>
      <c r="H931" s="140" t="s">
        <v>2633</v>
      </c>
      <c r="I931" s="140" t="s">
        <v>2009</v>
      </c>
      <c r="J931" s="140">
        <v>120000000</v>
      </c>
      <c r="K931" s="139" t="s">
        <v>221</v>
      </c>
      <c r="L931" s="140">
        <v>2819615</v>
      </c>
      <c r="M931" s="155" t="s">
        <v>46</v>
      </c>
      <c r="N931" s="10">
        <v>8</v>
      </c>
      <c r="O931" s="10">
        <v>200000000</v>
      </c>
      <c r="P931" s="140"/>
    </row>
    <row r="932" spans="1:16" ht="43.5" x14ac:dyDescent="0.35">
      <c r="A932" s="139" t="e">
        <f t="shared" si="15"/>
        <v>#REF!</v>
      </c>
      <c r="B932" s="140" t="s">
        <v>18</v>
      </c>
      <c r="C932" s="140" t="s">
        <v>37</v>
      </c>
      <c r="D932" s="140" t="s">
        <v>1521</v>
      </c>
      <c r="E932" s="140" t="s">
        <v>2028</v>
      </c>
      <c r="F932" s="140"/>
      <c r="G932" s="140" t="s">
        <v>2634</v>
      </c>
      <c r="H932" s="140" t="s">
        <v>2635</v>
      </c>
      <c r="I932" s="140" t="s">
        <v>1524</v>
      </c>
      <c r="J932" s="140">
        <v>200000000</v>
      </c>
      <c r="K932" s="139" t="s">
        <v>221</v>
      </c>
      <c r="L932" s="140">
        <v>2796032</v>
      </c>
      <c r="M932" s="155" t="s">
        <v>46</v>
      </c>
      <c r="N932" s="10">
        <v>71.89</v>
      </c>
      <c r="O932" s="10">
        <v>200000000</v>
      </c>
      <c r="P932" s="140"/>
    </row>
    <row r="933" spans="1:16" ht="43.5" x14ac:dyDescent="0.35">
      <c r="A933" s="139" t="e">
        <f t="shared" si="15"/>
        <v>#REF!</v>
      </c>
      <c r="B933" s="140" t="s">
        <v>18</v>
      </c>
      <c r="C933" s="140" t="s">
        <v>37</v>
      </c>
      <c r="D933" s="140" t="s">
        <v>1570</v>
      </c>
      <c r="E933" s="140" t="s">
        <v>1571</v>
      </c>
      <c r="F933" s="140"/>
      <c r="G933" s="140" t="s">
        <v>2634</v>
      </c>
      <c r="H933" s="140" t="s">
        <v>2636</v>
      </c>
      <c r="I933" s="140" t="s">
        <v>1524</v>
      </c>
      <c r="J933" s="140">
        <v>200000000</v>
      </c>
      <c r="K933" s="139" t="s">
        <v>221</v>
      </c>
      <c r="L933" s="140">
        <v>2797720</v>
      </c>
      <c r="M933" s="155" t="s">
        <v>46</v>
      </c>
      <c r="N933" s="10">
        <v>150</v>
      </c>
      <c r="O933" s="10">
        <v>417300000</v>
      </c>
      <c r="P933" s="140"/>
    </row>
    <row r="934" spans="1:16" ht="43.5" x14ac:dyDescent="0.35">
      <c r="A934" s="139" t="e">
        <f t="shared" si="15"/>
        <v>#REF!</v>
      </c>
      <c r="B934" s="140" t="s">
        <v>18</v>
      </c>
      <c r="C934" s="140" t="s">
        <v>37</v>
      </c>
      <c r="D934" s="140" t="s">
        <v>1570</v>
      </c>
      <c r="E934" s="140" t="s">
        <v>1571</v>
      </c>
      <c r="F934" s="140"/>
      <c r="G934" s="140" t="s">
        <v>2634</v>
      </c>
      <c r="H934" s="140" t="s">
        <v>2637</v>
      </c>
      <c r="I934" s="140" t="s">
        <v>1524</v>
      </c>
      <c r="J934" s="140">
        <v>200000000</v>
      </c>
      <c r="K934" s="139" t="s">
        <v>221</v>
      </c>
      <c r="L934" s="140">
        <v>2798485</v>
      </c>
      <c r="M934" s="155" t="s">
        <v>46</v>
      </c>
      <c r="N934" s="10">
        <v>150</v>
      </c>
      <c r="O934" s="10">
        <v>417300000</v>
      </c>
      <c r="P934" s="140"/>
    </row>
    <row r="935" spans="1:16" ht="43.5" x14ac:dyDescent="0.35">
      <c r="A935" s="139" t="e">
        <f t="shared" si="15"/>
        <v>#REF!</v>
      </c>
      <c r="B935" s="140" t="s">
        <v>18</v>
      </c>
      <c r="C935" s="140" t="s">
        <v>37</v>
      </c>
      <c r="D935" s="140" t="s">
        <v>1521</v>
      </c>
      <c r="E935" s="140" t="s">
        <v>2625</v>
      </c>
      <c r="F935" s="140" t="s">
        <v>48</v>
      </c>
      <c r="G935" s="140" t="s">
        <v>405</v>
      </c>
      <c r="H935" s="140" t="s">
        <v>406</v>
      </c>
      <c r="I935" s="140" t="s">
        <v>1524</v>
      </c>
      <c r="J935" s="140">
        <v>150000000</v>
      </c>
      <c r="K935" s="139" t="s">
        <v>221</v>
      </c>
      <c r="L935" s="140">
        <v>2794951</v>
      </c>
      <c r="M935" s="155" t="s">
        <v>46</v>
      </c>
      <c r="N935" s="10" t="s">
        <v>2638</v>
      </c>
      <c r="O935" s="10">
        <v>150000000</v>
      </c>
      <c r="P935" s="140"/>
    </row>
    <row r="936" spans="1:16" ht="43.5" x14ac:dyDescent="0.35">
      <c r="A936" s="139" t="e">
        <f t="shared" si="15"/>
        <v>#REF!</v>
      </c>
      <c r="B936" s="140" t="s">
        <v>18</v>
      </c>
      <c r="C936" s="140" t="s">
        <v>37</v>
      </c>
      <c r="D936" s="140" t="s">
        <v>1521</v>
      </c>
      <c r="E936" s="140" t="s">
        <v>2625</v>
      </c>
      <c r="F936" s="140" t="s">
        <v>48</v>
      </c>
      <c r="G936" s="140" t="s">
        <v>405</v>
      </c>
      <c r="H936" s="140" t="s">
        <v>742</v>
      </c>
      <c r="I936" s="140" t="s">
        <v>1398</v>
      </c>
      <c r="J936" s="140">
        <v>155000000</v>
      </c>
      <c r="K936" s="139" t="s">
        <v>221</v>
      </c>
      <c r="L936" s="140">
        <v>2794951</v>
      </c>
      <c r="M936" s="155" t="s">
        <v>46</v>
      </c>
      <c r="N936" s="10" t="s">
        <v>2639</v>
      </c>
      <c r="O936" s="10">
        <v>150000000</v>
      </c>
      <c r="P936" s="140"/>
    </row>
    <row r="937" spans="1:16" ht="43.5" x14ac:dyDescent="0.35">
      <c r="A937" s="139" t="e">
        <f t="shared" si="15"/>
        <v>#REF!</v>
      </c>
      <c r="B937" s="140" t="s">
        <v>18</v>
      </c>
      <c r="C937" s="140" t="s">
        <v>37</v>
      </c>
      <c r="D937" s="140" t="s">
        <v>1634</v>
      </c>
      <c r="E937" s="140" t="s">
        <v>2054</v>
      </c>
      <c r="F937" s="140"/>
      <c r="G937" s="140" t="s">
        <v>410</v>
      </c>
      <c r="H937" s="140" t="s">
        <v>899</v>
      </c>
      <c r="I937" s="140" t="s">
        <v>2640</v>
      </c>
      <c r="J937" s="140">
        <v>125000000</v>
      </c>
      <c r="K937" s="139" t="s">
        <v>221</v>
      </c>
      <c r="L937" s="140">
        <v>2800825</v>
      </c>
      <c r="M937" s="155" t="s">
        <v>46</v>
      </c>
      <c r="N937" s="10" t="s">
        <v>2640</v>
      </c>
      <c r="O937" s="10">
        <v>125000000</v>
      </c>
      <c r="P937" s="140"/>
    </row>
    <row r="938" spans="1:16" ht="43.5" x14ac:dyDescent="0.35">
      <c r="A938" s="139" t="e">
        <f>#REF!+1</f>
        <v>#REF!</v>
      </c>
      <c r="B938" s="140" t="s">
        <v>18</v>
      </c>
      <c r="C938" s="140" t="s">
        <v>37</v>
      </c>
      <c r="D938" s="140" t="s">
        <v>1634</v>
      </c>
      <c r="E938" s="140" t="s">
        <v>2054</v>
      </c>
      <c r="F938" s="140" t="s">
        <v>2641</v>
      </c>
      <c r="G938" s="140" t="s">
        <v>1531</v>
      </c>
      <c r="H938" s="140" t="s">
        <v>2642</v>
      </c>
      <c r="I938" s="140" t="s">
        <v>2640</v>
      </c>
      <c r="J938" s="140">
        <v>175000000</v>
      </c>
      <c r="K938" s="139" t="s">
        <v>221</v>
      </c>
      <c r="L938" s="140">
        <v>2950964</v>
      </c>
      <c r="M938" s="155" t="s">
        <v>46</v>
      </c>
      <c r="N938" s="10">
        <v>5</v>
      </c>
      <c r="O938" s="10">
        <v>175000000</v>
      </c>
      <c r="P938" s="140"/>
    </row>
    <row r="939" spans="1:16" ht="43.5" x14ac:dyDescent="0.35">
      <c r="A939" s="139" t="e">
        <f t="shared" si="15"/>
        <v>#REF!</v>
      </c>
      <c r="B939" s="140" t="s">
        <v>18</v>
      </c>
      <c r="C939" s="140" t="s">
        <v>37</v>
      </c>
      <c r="D939" s="140" t="s">
        <v>1634</v>
      </c>
      <c r="E939" s="140" t="s">
        <v>2054</v>
      </c>
      <c r="F939" s="140" t="s">
        <v>2641</v>
      </c>
      <c r="G939" s="140" t="s">
        <v>1531</v>
      </c>
      <c r="H939" s="140" t="s">
        <v>2643</v>
      </c>
      <c r="I939" s="140" t="s">
        <v>2640</v>
      </c>
      <c r="J939" s="140">
        <v>175000000</v>
      </c>
      <c r="K939" s="139" t="s">
        <v>221</v>
      </c>
      <c r="L939" s="140">
        <v>2950997</v>
      </c>
      <c r="M939" s="155" t="s">
        <v>46</v>
      </c>
      <c r="N939" s="10">
        <v>5</v>
      </c>
      <c r="O939" s="10">
        <v>175000000</v>
      </c>
      <c r="P939" s="140"/>
    </row>
    <row r="940" spans="1:16" ht="101.5" x14ac:dyDescent="0.35">
      <c r="A940" s="139" t="e">
        <f t="shared" si="15"/>
        <v>#REF!</v>
      </c>
      <c r="B940" s="140" t="s">
        <v>18</v>
      </c>
      <c r="C940" s="140" t="s">
        <v>37</v>
      </c>
      <c r="D940" s="140" t="s">
        <v>1515</v>
      </c>
      <c r="E940" s="140" t="s">
        <v>2644</v>
      </c>
      <c r="F940" s="140"/>
      <c r="G940" s="140" t="s">
        <v>415</v>
      </c>
      <c r="H940" s="140" t="s">
        <v>168</v>
      </c>
      <c r="I940" s="140" t="s">
        <v>2645</v>
      </c>
      <c r="J940" s="140">
        <v>85000000</v>
      </c>
      <c r="K940" s="139" t="s">
        <v>221</v>
      </c>
      <c r="L940" s="140">
        <v>2876661</v>
      </c>
      <c r="M940" s="155" t="s">
        <v>46</v>
      </c>
      <c r="N940" s="10">
        <v>300</v>
      </c>
      <c r="O940" s="10">
        <v>98400000</v>
      </c>
      <c r="P940" s="140"/>
    </row>
    <row r="941" spans="1:16" ht="43.5" x14ac:dyDescent="0.35">
      <c r="A941" s="139" t="e">
        <f t="shared" si="15"/>
        <v>#REF!</v>
      </c>
      <c r="B941" s="140" t="s">
        <v>18</v>
      </c>
      <c r="C941" s="140" t="s">
        <v>37</v>
      </c>
      <c r="D941" s="140" t="s">
        <v>1634</v>
      </c>
      <c r="E941" s="140" t="s">
        <v>2054</v>
      </c>
      <c r="F941" s="140"/>
      <c r="G941" s="140" t="s">
        <v>415</v>
      </c>
      <c r="H941" s="139" t="s">
        <v>168</v>
      </c>
      <c r="I941" s="140" t="s">
        <v>169</v>
      </c>
      <c r="J941" s="140">
        <v>100000000</v>
      </c>
      <c r="K941" s="139" t="s">
        <v>221</v>
      </c>
      <c r="L941" s="140">
        <v>2877010</v>
      </c>
      <c r="M941" s="155" t="s">
        <v>46</v>
      </c>
      <c r="N941" s="10">
        <v>4</v>
      </c>
      <c r="O941" s="10">
        <v>100000000</v>
      </c>
      <c r="P941" s="140"/>
    </row>
    <row r="942" spans="1:16" ht="43.5" x14ac:dyDescent="0.35">
      <c r="A942" s="139" t="e">
        <f t="shared" si="15"/>
        <v>#REF!</v>
      </c>
      <c r="B942" s="140" t="s">
        <v>18</v>
      </c>
      <c r="C942" s="140" t="s">
        <v>37</v>
      </c>
      <c r="D942" s="140" t="s">
        <v>1521</v>
      </c>
      <c r="E942" s="140" t="s">
        <v>2632</v>
      </c>
      <c r="F942" s="140"/>
      <c r="G942" s="140" t="s">
        <v>415</v>
      </c>
      <c r="H942" s="140" t="s">
        <v>2646</v>
      </c>
      <c r="I942" s="140" t="s">
        <v>2647</v>
      </c>
      <c r="J942" s="140">
        <v>120000000</v>
      </c>
      <c r="K942" s="139" t="s">
        <v>221</v>
      </c>
      <c r="L942" s="140">
        <v>2934217</v>
      </c>
      <c r="M942" s="155" t="s">
        <v>46</v>
      </c>
      <c r="N942" s="10">
        <v>43.13</v>
      </c>
      <c r="O942" s="10">
        <v>120000000</v>
      </c>
      <c r="P942" s="140"/>
    </row>
    <row r="943" spans="1:16" ht="43.5" x14ac:dyDescent="0.35">
      <c r="A943" s="139" t="e">
        <f t="shared" si="15"/>
        <v>#REF!</v>
      </c>
      <c r="B943" s="140" t="s">
        <v>18</v>
      </c>
      <c r="C943" s="140" t="s">
        <v>37</v>
      </c>
      <c r="D943" s="140" t="s">
        <v>1570</v>
      </c>
      <c r="E943" s="140" t="s">
        <v>1571</v>
      </c>
      <c r="F943" s="140"/>
      <c r="G943" s="140" t="s">
        <v>415</v>
      </c>
      <c r="H943" s="139" t="s">
        <v>2646</v>
      </c>
      <c r="I943" s="140" t="s">
        <v>2647</v>
      </c>
      <c r="J943" s="140">
        <v>80000000</v>
      </c>
      <c r="K943" s="139" t="s">
        <v>221</v>
      </c>
      <c r="L943" s="140">
        <v>2934477</v>
      </c>
      <c r="M943" s="155" t="s">
        <v>46</v>
      </c>
      <c r="N943" s="10">
        <v>200</v>
      </c>
      <c r="O943" s="10">
        <v>80000000</v>
      </c>
      <c r="P943" s="140" t="s">
        <v>1728</v>
      </c>
    </row>
    <row r="944" spans="1:16" ht="101.5" x14ac:dyDescent="0.35">
      <c r="A944" s="139" t="e">
        <f t="shared" si="15"/>
        <v>#REF!</v>
      </c>
      <c r="B944" s="140" t="s">
        <v>18</v>
      </c>
      <c r="C944" s="140" t="s">
        <v>37</v>
      </c>
      <c r="D944" s="140" t="s">
        <v>1515</v>
      </c>
      <c r="E944" s="140" t="s">
        <v>2648</v>
      </c>
      <c r="F944" s="140"/>
      <c r="G944" s="140" t="s">
        <v>415</v>
      </c>
      <c r="H944" s="140" t="s">
        <v>2649</v>
      </c>
      <c r="I944" s="140" t="s">
        <v>2650</v>
      </c>
      <c r="J944" s="140">
        <v>125000000</v>
      </c>
      <c r="K944" s="139" t="s">
        <v>221</v>
      </c>
      <c r="L944" s="140">
        <v>2876661</v>
      </c>
      <c r="M944" s="155" t="s">
        <v>46</v>
      </c>
      <c r="N944" s="10">
        <v>375</v>
      </c>
      <c r="O944" s="10">
        <v>123000000</v>
      </c>
      <c r="P944" s="140"/>
    </row>
    <row r="945" spans="1:16" ht="43.5" x14ac:dyDescent="0.35">
      <c r="A945" s="139" t="e">
        <f t="shared" si="15"/>
        <v>#REF!</v>
      </c>
      <c r="B945" s="140" t="s">
        <v>18</v>
      </c>
      <c r="C945" s="140" t="s">
        <v>37</v>
      </c>
      <c r="D945" s="140" t="s">
        <v>476</v>
      </c>
      <c r="E945" s="140" t="s">
        <v>2651</v>
      </c>
      <c r="F945" s="140"/>
      <c r="G945" s="140" t="s">
        <v>415</v>
      </c>
      <c r="H945" s="139" t="s">
        <v>2649</v>
      </c>
      <c r="I945" s="140" t="s">
        <v>376</v>
      </c>
      <c r="J945" s="140">
        <v>75000000</v>
      </c>
      <c r="K945" s="139" t="s">
        <v>221</v>
      </c>
      <c r="L945" s="140"/>
      <c r="M945" s="155" t="s">
        <v>46</v>
      </c>
      <c r="N945" s="10" t="s">
        <v>408</v>
      </c>
      <c r="O945" s="10">
        <v>150000000</v>
      </c>
      <c r="P945" s="140"/>
    </row>
    <row r="946" spans="1:16" ht="43.5" x14ac:dyDescent="0.35">
      <c r="A946" s="139" t="e">
        <f t="shared" si="15"/>
        <v>#REF!</v>
      </c>
      <c r="B946" s="140" t="s">
        <v>18</v>
      </c>
      <c r="C946" s="140" t="s">
        <v>37</v>
      </c>
      <c r="D946" s="140" t="s">
        <v>1634</v>
      </c>
      <c r="E946" s="140" t="s">
        <v>2054</v>
      </c>
      <c r="F946" s="140" t="s">
        <v>2641</v>
      </c>
      <c r="G946" s="140" t="s">
        <v>418</v>
      </c>
      <c r="H946" s="140" t="s">
        <v>419</v>
      </c>
      <c r="I946" s="140" t="s">
        <v>366</v>
      </c>
      <c r="J946" s="140">
        <v>75000000</v>
      </c>
      <c r="K946" s="139" t="s">
        <v>221</v>
      </c>
      <c r="L946" s="140">
        <v>2792794</v>
      </c>
      <c r="M946" s="155" t="s">
        <v>46</v>
      </c>
      <c r="N946" s="10">
        <v>3</v>
      </c>
      <c r="O946" s="10">
        <v>75000000</v>
      </c>
      <c r="P946" s="140"/>
    </row>
    <row r="947" spans="1:16" ht="43.5" x14ac:dyDescent="0.35">
      <c r="A947" s="139" t="e">
        <f t="shared" si="15"/>
        <v>#REF!</v>
      </c>
      <c r="B947" s="140" t="s">
        <v>18</v>
      </c>
      <c r="C947" s="140" t="s">
        <v>37</v>
      </c>
      <c r="D947" s="140" t="s">
        <v>1515</v>
      </c>
      <c r="E947" s="140" t="s">
        <v>2652</v>
      </c>
      <c r="F947" s="140" t="s">
        <v>373</v>
      </c>
      <c r="G947" s="140" t="s">
        <v>418</v>
      </c>
      <c r="H947" s="140" t="s">
        <v>419</v>
      </c>
      <c r="I947" s="140" t="s">
        <v>1809</v>
      </c>
      <c r="J947" s="140">
        <v>200000000</v>
      </c>
      <c r="K947" s="139" t="s">
        <v>221</v>
      </c>
      <c r="L947" s="140">
        <v>2795061</v>
      </c>
      <c r="M947" s="155" t="s">
        <v>46</v>
      </c>
      <c r="N947" s="10">
        <v>260</v>
      </c>
      <c r="O947" s="10">
        <v>102960000</v>
      </c>
      <c r="P947" s="140"/>
    </row>
    <row r="948" spans="1:16" ht="43.5" x14ac:dyDescent="0.35">
      <c r="A948" s="139" t="e">
        <f t="shared" si="15"/>
        <v>#REF!</v>
      </c>
      <c r="B948" s="140" t="s">
        <v>18</v>
      </c>
      <c r="C948" s="140" t="s">
        <v>37</v>
      </c>
      <c r="D948" s="140" t="s">
        <v>1515</v>
      </c>
      <c r="E948" s="140" t="s">
        <v>2653</v>
      </c>
      <c r="F948" s="140" t="s">
        <v>373</v>
      </c>
      <c r="G948" s="140" t="s">
        <v>418</v>
      </c>
      <c r="H948" s="140" t="s">
        <v>418</v>
      </c>
      <c r="I948" s="140" t="s">
        <v>1809</v>
      </c>
      <c r="J948" s="140">
        <v>200000000</v>
      </c>
      <c r="K948" s="139" t="s">
        <v>221</v>
      </c>
      <c r="L948" s="140">
        <v>2795391</v>
      </c>
      <c r="M948" s="155" t="s">
        <v>46</v>
      </c>
      <c r="N948" s="10">
        <v>400</v>
      </c>
      <c r="O948" s="10">
        <v>101600000</v>
      </c>
      <c r="P948" s="140"/>
    </row>
    <row r="949" spans="1:16" ht="43.5" x14ac:dyDescent="0.35">
      <c r="A949" s="139" t="e">
        <f t="shared" si="15"/>
        <v>#REF!</v>
      </c>
      <c r="B949" s="140" t="s">
        <v>18</v>
      </c>
      <c r="C949" s="140" t="s">
        <v>37</v>
      </c>
      <c r="D949" s="140" t="s">
        <v>1634</v>
      </c>
      <c r="E949" s="140" t="s">
        <v>2054</v>
      </c>
      <c r="F949" s="140" t="s">
        <v>2641</v>
      </c>
      <c r="G949" s="140" t="s">
        <v>418</v>
      </c>
      <c r="H949" s="140" t="s">
        <v>418</v>
      </c>
      <c r="I949" s="140" t="s">
        <v>366</v>
      </c>
      <c r="J949" s="140">
        <v>75000000</v>
      </c>
      <c r="K949" s="139" t="s">
        <v>221</v>
      </c>
      <c r="L949" s="140">
        <v>2792794</v>
      </c>
      <c r="M949" s="155" t="s">
        <v>46</v>
      </c>
      <c r="N949" s="10">
        <v>3</v>
      </c>
      <c r="O949" s="10">
        <v>75000000</v>
      </c>
      <c r="P949" s="140"/>
    </row>
    <row r="950" spans="1:16" ht="43.5" x14ac:dyDescent="0.35">
      <c r="A950" s="139" t="e">
        <f t="shared" si="15"/>
        <v>#REF!</v>
      </c>
      <c r="B950" s="140" t="s">
        <v>18</v>
      </c>
      <c r="C950" s="140" t="s">
        <v>37</v>
      </c>
      <c r="D950" s="140" t="s">
        <v>1515</v>
      </c>
      <c r="E950" s="140" t="s">
        <v>2654</v>
      </c>
      <c r="F950" s="140" t="s">
        <v>373</v>
      </c>
      <c r="G950" s="140" t="s">
        <v>418</v>
      </c>
      <c r="H950" s="140" t="s">
        <v>420</v>
      </c>
      <c r="I950" s="140" t="s">
        <v>1809</v>
      </c>
      <c r="J950" s="140">
        <v>200000000</v>
      </c>
      <c r="K950" s="139" t="s">
        <v>221</v>
      </c>
      <c r="L950" s="140">
        <v>2795166</v>
      </c>
      <c r="M950" s="155" t="s">
        <v>46</v>
      </c>
      <c r="N950" s="10">
        <v>100</v>
      </c>
      <c r="O950" s="10">
        <v>25400000</v>
      </c>
      <c r="P950" s="140"/>
    </row>
    <row r="951" spans="1:16" ht="43.5" x14ac:dyDescent="0.35">
      <c r="A951" s="139" t="e">
        <f>#REF!+1</f>
        <v>#REF!</v>
      </c>
      <c r="B951" s="140" t="s">
        <v>18</v>
      </c>
      <c r="C951" s="140" t="s">
        <v>37</v>
      </c>
      <c r="D951" s="140" t="s">
        <v>1634</v>
      </c>
      <c r="E951" s="140" t="s">
        <v>2054</v>
      </c>
      <c r="F951" s="140" t="s">
        <v>2655</v>
      </c>
      <c r="G951" s="140" t="s">
        <v>209</v>
      </c>
      <c r="H951" s="140" t="s">
        <v>2656</v>
      </c>
      <c r="I951" s="140" t="s">
        <v>1809</v>
      </c>
      <c r="J951" s="140">
        <v>50000000</v>
      </c>
      <c r="K951" s="139" t="s">
        <v>221</v>
      </c>
      <c r="L951" s="140">
        <v>2913339</v>
      </c>
      <c r="M951" s="155" t="s">
        <v>46</v>
      </c>
      <c r="N951" s="10">
        <v>2</v>
      </c>
      <c r="O951" s="10">
        <v>50000000</v>
      </c>
      <c r="P951" s="140"/>
    </row>
    <row r="952" spans="1:16" ht="43.5" x14ac:dyDescent="0.35">
      <c r="A952" s="139" t="e">
        <f>#REF!+1</f>
        <v>#REF!</v>
      </c>
      <c r="B952" s="140" t="s">
        <v>18</v>
      </c>
      <c r="C952" s="140" t="s">
        <v>37</v>
      </c>
      <c r="D952" s="140" t="s">
        <v>1634</v>
      </c>
      <c r="E952" s="140" t="s">
        <v>2054</v>
      </c>
      <c r="F952" s="140" t="s">
        <v>2655</v>
      </c>
      <c r="G952" s="140" t="s">
        <v>209</v>
      </c>
      <c r="H952" s="140" t="s">
        <v>210</v>
      </c>
      <c r="I952" s="140" t="s">
        <v>1809</v>
      </c>
      <c r="J952" s="140">
        <v>50000000</v>
      </c>
      <c r="K952" s="139" t="s">
        <v>221</v>
      </c>
      <c r="L952" s="140">
        <v>2913339</v>
      </c>
      <c r="M952" s="155" t="s">
        <v>46</v>
      </c>
      <c r="N952" s="10">
        <v>2</v>
      </c>
      <c r="O952" s="10">
        <v>50000000</v>
      </c>
      <c r="P952" s="140"/>
    </row>
    <row r="953" spans="1:16" ht="43.5" x14ac:dyDescent="0.35">
      <c r="A953" s="139" t="e">
        <f>#REF!+1</f>
        <v>#REF!</v>
      </c>
      <c r="B953" s="140" t="s">
        <v>18</v>
      </c>
      <c r="C953" s="140" t="s">
        <v>37</v>
      </c>
      <c r="D953" s="140" t="s">
        <v>1634</v>
      </c>
      <c r="E953" s="140" t="s">
        <v>2054</v>
      </c>
      <c r="F953" s="140" t="s">
        <v>2655</v>
      </c>
      <c r="G953" s="140" t="s">
        <v>209</v>
      </c>
      <c r="H953" s="140" t="s">
        <v>212</v>
      </c>
      <c r="I953" s="140" t="s">
        <v>1809</v>
      </c>
      <c r="J953" s="140">
        <v>50000000</v>
      </c>
      <c r="K953" s="139" t="s">
        <v>221</v>
      </c>
      <c r="L953" s="140">
        <v>2913339</v>
      </c>
      <c r="M953" s="155" t="s">
        <v>46</v>
      </c>
      <c r="N953" s="10">
        <v>2</v>
      </c>
      <c r="O953" s="10">
        <v>50000000</v>
      </c>
      <c r="P953" s="140"/>
    </row>
    <row r="954" spans="1:16" ht="43.5" x14ac:dyDescent="0.35">
      <c r="A954" s="139" t="e">
        <f>#REF!+1</f>
        <v>#REF!</v>
      </c>
      <c r="B954" s="140" t="s">
        <v>18</v>
      </c>
      <c r="C954" s="140" t="s">
        <v>37</v>
      </c>
      <c r="D954" s="140" t="s">
        <v>1634</v>
      </c>
      <c r="E954" s="140" t="s">
        <v>2054</v>
      </c>
      <c r="F954" s="140" t="s">
        <v>2655</v>
      </c>
      <c r="G954" s="140" t="s">
        <v>209</v>
      </c>
      <c r="H954" s="140" t="s">
        <v>2657</v>
      </c>
      <c r="I954" s="140" t="s">
        <v>1809</v>
      </c>
      <c r="J954" s="140">
        <v>50000000</v>
      </c>
      <c r="K954" s="139" t="s">
        <v>221</v>
      </c>
      <c r="L954" s="140">
        <v>2913339</v>
      </c>
      <c r="M954" s="155" t="s">
        <v>46</v>
      </c>
      <c r="N954" s="10">
        <v>2</v>
      </c>
      <c r="O954" s="10">
        <v>50000000</v>
      </c>
      <c r="P954" s="140"/>
    </row>
    <row r="955" spans="1:16" ht="43.5" x14ac:dyDescent="0.35">
      <c r="A955" s="139" t="e">
        <f>#REF!+1</f>
        <v>#REF!</v>
      </c>
      <c r="B955" s="140" t="s">
        <v>18</v>
      </c>
      <c r="C955" s="140" t="s">
        <v>37</v>
      </c>
      <c r="D955" s="140" t="s">
        <v>1521</v>
      </c>
      <c r="E955" s="140" t="s">
        <v>2054</v>
      </c>
      <c r="F955" s="140" t="s">
        <v>2655</v>
      </c>
      <c r="G955" s="140" t="s">
        <v>209</v>
      </c>
      <c r="H955" s="140" t="s">
        <v>2658</v>
      </c>
      <c r="I955" s="140" t="s">
        <v>2659</v>
      </c>
      <c r="J955" s="140">
        <v>50000000</v>
      </c>
      <c r="K955" s="139" t="s">
        <v>221</v>
      </c>
      <c r="L955" s="140">
        <v>2914649</v>
      </c>
      <c r="M955" s="155" t="s">
        <v>46</v>
      </c>
      <c r="N955" s="10" t="s">
        <v>122</v>
      </c>
      <c r="O955" s="10">
        <v>50000000</v>
      </c>
      <c r="P955" s="140" t="s">
        <v>1678</v>
      </c>
    </row>
    <row r="956" spans="1:16" ht="43.5" x14ac:dyDescent="0.35">
      <c r="A956" s="139" t="e">
        <f t="shared" si="15"/>
        <v>#REF!</v>
      </c>
      <c r="B956" s="140" t="s">
        <v>18</v>
      </c>
      <c r="C956" s="140" t="s">
        <v>37</v>
      </c>
      <c r="D956" s="140" t="s">
        <v>1634</v>
      </c>
      <c r="E956" s="140" t="s">
        <v>2054</v>
      </c>
      <c r="F956" s="140" t="s">
        <v>48</v>
      </c>
      <c r="G956" s="140" t="s">
        <v>209</v>
      </c>
      <c r="H956" s="140" t="s">
        <v>214</v>
      </c>
      <c r="I956" s="140" t="s">
        <v>1809</v>
      </c>
      <c r="J956" s="140">
        <v>50000000</v>
      </c>
      <c r="K956" s="139" t="s">
        <v>221</v>
      </c>
      <c r="L956" s="140">
        <v>2913339</v>
      </c>
      <c r="M956" s="155" t="s">
        <v>46</v>
      </c>
      <c r="N956" s="10">
        <v>2</v>
      </c>
      <c r="O956" s="10">
        <v>50000000</v>
      </c>
      <c r="P956" s="140"/>
    </row>
    <row r="957" spans="1:16" ht="43.5" x14ac:dyDescent="0.35">
      <c r="A957" s="139" t="e">
        <f>#REF!+1</f>
        <v>#REF!</v>
      </c>
      <c r="B957" s="140" t="s">
        <v>18</v>
      </c>
      <c r="C957" s="140" t="s">
        <v>37</v>
      </c>
      <c r="D957" s="140" t="s">
        <v>1634</v>
      </c>
      <c r="E957" s="140" t="s">
        <v>2054</v>
      </c>
      <c r="F957" s="140" t="s">
        <v>48</v>
      </c>
      <c r="G957" s="140" t="s">
        <v>209</v>
      </c>
      <c r="H957" s="140" t="s">
        <v>425</v>
      </c>
      <c r="I957" s="140" t="s">
        <v>1809</v>
      </c>
      <c r="J957" s="140">
        <v>50000000</v>
      </c>
      <c r="K957" s="139" t="s">
        <v>221</v>
      </c>
      <c r="L957" s="140">
        <v>2913339</v>
      </c>
      <c r="M957" s="155" t="s">
        <v>46</v>
      </c>
      <c r="N957" s="10">
        <v>2</v>
      </c>
      <c r="O957" s="10">
        <v>50000000</v>
      </c>
      <c r="P957" s="140"/>
    </row>
    <row r="958" spans="1:16" ht="43.5" x14ac:dyDescent="0.35">
      <c r="A958" s="139" t="e">
        <f t="shared" si="15"/>
        <v>#REF!</v>
      </c>
      <c r="B958" s="140" t="s">
        <v>18</v>
      </c>
      <c r="C958" s="140" t="s">
        <v>37</v>
      </c>
      <c r="D958" s="140" t="s">
        <v>1634</v>
      </c>
      <c r="E958" s="140" t="s">
        <v>2054</v>
      </c>
      <c r="F958" s="140" t="s">
        <v>48</v>
      </c>
      <c r="G958" s="140" t="s">
        <v>209</v>
      </c>
      <c r="H958" s="140" t="s">
        <v>2660</v>
      </c>
      <c r="I958" s="140" t="s">
        <v>1809</v>
      </c>
      <c r="J958" s="140">
        <v>50000000</v>
      </c>
      <c r="K958" s="139" t="s">
        <v>221</v>
      </c>
      <c r="L958" s="140">
        <v>2913339</v>
      </c>
      <c r="M958" s="155" t="s">
        <v>46</v>
      </c>
      <c r="N958" s="10">
        <v>2</v>
      </c>
      <c r="O958" s="10">
        <v>50000000</v>
      </c>
      <c r="P958" s="140"/>
    </row>
    <row r="959" spans="1:16" ht="43.5" x14ac:dyDescent="0.35">
      <c r="A959" s="139" t="e">
        <f t="shared" si="15"/>
        <v>#REF!</v>
      </c>
      <c r="B959" s="140" t="s">
        <v>18</v>
      </c>
      <c r="C959" s="140" t="s">
        <v>37</v>
      </c>
      <c r="D959" s="140" t="s">
        <v>1570</v>
      </c>
      <c r="E959" s="140" t="s">
        <v>2661</v>
      </c>
      <c r="F959" s="140" t="s">
        <v>48</v>
      </c>
      <c r="G959" s="140" t="s">
        <v>209</v>
      </c>
      <c r="H959" s="140" t="s">
        <v>2660</v>
      </c>
      <c r="I959" s="140" t="s">
        <v>2662</v>
      </c>
      <c r="J959" s="140">
        <v>50000000</v>
      </c>
      <c r="K959" s="139" t="s">
        <v>221</v>
      </c>
      <c r="L959" s="140" t="s">
        <v>48</v>
      </c>
      <c r="M959" s="155" t="s">
        <v>46</v>
      </c>
      <c r="N959" s="10" t="s">
        <v>2663</v>
      </c>
      <c r="O959" s="10">
        <v>50000000</v>
      </c>
      <c r="P959" s="140"/>
    </row>
    <row r="960" spans="1:16" ht="43.5" x14ac:dyDescent="0.35">
      <c r="A960" s="139" t="e">
        <f>#REF!+1</f>
        <v>#REF!</v>
      </c>
      <c r="B960" s="140" t="s">
        <v>18</v>
      </c>
      <c r="C960" s="140" t="s">
        <v>37</v>
      </c>
      <c r="D960" s="140" t="s">
        <v>1634</v>
      </c>
      <c r="E960" s="140" t="s">
        <v>2054</v>
      </c>
      <c r="F960" s="140" t="s">
        <v>48</v>
      </c>
      <c r="G960" s="140" t="s">
        <v>209</v>
      </c>
      <c r="H960" s="140" t="s">
        <v>2664</v>
      </c>
      <c r="I960" s="140" t="s">
        <v>1809</v>
      </c>
      <c r="J960" s="140">
        <v>50000000</v>
      </c>
      <c r="K960" s="139" t="s">
        <v>221</v>
      </c>
      <c r="L960" s="140">
        <v>2913339</v>
      </c>
      <c r="M960" s="155" t="s">
        <v>46</v>
      </c>
      <c r="N960" s="10">
        <v>2</v>
      </c>
      <c r="O960" s="10">
        <v>50000000</v>
      </c>
      <c r="P960" s="140"/>
    </row>
    <row r="961" spans="1:16" ht="43.5" x14ac:dyDescent="0.35">
      <c r="A961" s="139" t="e">
        <f>#REF!+1</f>
        <v>#REF!</v>
      </c>
      <c r="B961" s="140" t="s">
        <v>18</v>
      </c>
      <c r="C961" s="140" t="s">
        <v>37</v>
      </c>
      <c r="D961" s="140" t="s">
        <v>1634</v>
      </c>
      <c r="E961" s="140" t="s">
        <v>2054</v>
      </c>
      <c r="F961" s="140" t="s">
        <v>48</v>
      </c>
      <c r="G961" s="140" t="s">
        <v>209</v>
      </c>
      <c r="H961" s="140" t="s">
        <v>215</v>
      </c>
      <c r="I961" s="140" t="s">
        <v>1809</v>
      </c>
      <c r="J961" s="140">
        <v>50000000</v>
      </c>
      <c r="K961" s="139" t="s">
        <v>221</v>
      </c>
      <c r="L961" s="140">
        <v>2913339</v>
      </c>
      <c r="M961" s="155" t="s">
        <v>46</v>
      </c>
      <c r="N961" s="10">
        <v>2</v>
      </c>
      <c r="O961" s="10">
        <v>50000000</v>
      </c>
      <c r="P961" s="140"/>
    </row>
    <row r="962" spans="1:16" ht="58" x14ac:dyDescent="0.35">
      <c r="A962" s="139" t="e">
        <f t="shared" si="15"/>
        <v>#REF!</v>
      </c>
      <c r="B962" s="140" t="s">
        <v>18</v>
      </c>
      <c r="C962" s="140" t="s">
        <v>37</v>
      </c>
      <c r="D962" s="140" t="s">
        <v>1515</v>
      </c>
      <c r="E962" s="140" t="s">
        <v>2665</v>
      </c>
      <c r="F962" s="140" t="s">
        <v>2666</v>
      </c>
      <c r="G962" s="140" t="s">
        <v>171</v>
      </c>
      <c r="H962" s="140" t="s">
        <v>2667</v>
      </c>
      <c r="I962" s="140" t="s">
        <v>2668</v>
      </c>
      <c r="J962" s="140">
        <v>100000000</v>
      </c>
      <c r="K962" s="139" t="s">
        <v>221</v>
      </c>
      <c r="L962" s="140">
        <v>2859677</v>
      </c>
      <c r="M962" s="155" t="s">
        <v>173</v>
      </c>
      <c r="N962" s="10">
        <v>250</v>
      </c>
      <c r="O962" s="10">
        <v>82000000</v>
      </c>
      <c r="P962" s="140" t="s">
        <v>2669</v>
      </c>
    </row>
    <row r="963" spans="1:16" ht="43.5" x14ac:dyDescent="0.35">
      <c r="A963" s="139" t="e">
        <f t="shared" si="15"/>
        <v>#REF!</v>
      </c>
      <c r="B963" s="140" t="s">
        <v>18</v>
      </c>
      <c r="C963" s="140" t="s">
        <v>37</v>
      </c>
      <c r="D963" s="140" t="s">
        <v>1515</v>
      </c>
      <c r="E963" s="140" t="s">
        <v>2670</v>
      </c>
      <c r="F963" s="140" t="s">
        <v>2671</v>
      </c>
      <c r="G963" s="140" t="s">
        <v>171</v>
      </c>
      <c r="H963" s="140" t="s">
        <v>623</v>
      </c>
      <c r="I963" s="140" t="s">
        <v>2672</v>
      </c>
      <c r="J963" s="140">
        <v>150000000</v>
      </c>
      <c r="K963" s="139" t="s">
        <v>221</v>
      </c>
      <c r="L963" s="140">
        <v>2858898</v>
      </c>
      <c r="M963" s="155" t="s">
        <v>173</v>
      </c>
      <c r="N963" s="10">
        <v>1050</v>
      </c>
      <c r="O963" s="10">
        <v>246000000</v>
      </c>
      <c r="P963" s="140" t="s">
        <v>2669</v>
      </c>
    </row>
    <row r="964" spans="1:16" ht="43.5" x14ac:dyDescent="0.35">
      <c r="A964" s="139" t="e">
        <f t="shared" si="15"/>
        <v>#REF!</v>
      </c>
      <c r="B964" s="140" t="s">
        <v>18</v>
      </c>
      <c r="C964" s="140" t="s">
        <v>37</v>
      </c>
      <c r="D964" s="140" t="s">
        <v>1515</v>
      </c>
      <c r="E964" s="140" t="s">
        <v>2673</v>
      </c>
      <c r="F964" s="140" t="s">
        <v>2674</v>
      </c>
      <c r="G964" s="140" t="s">
        <v>171</v>
      </c>
      <c r="H964" s="140" t="s">
        <v>2675</v>
      </c>
      <c r="I964" s="140" t="s">
        <v>2676</v>
      </c>
      <c r="J964" s="140">
        <v>125000000</v>
      </c>
      <c r="K964" s="139" t="s">
        <v>221</v>
      </c>
      <c r="L964" s="140">
        <v>2859797</v>
      </c>
      <c r="M964" s="155" t="s">
        <v>173</v>
      </c>
      <c r="N964" s="10">
        <v>170</v>
      </c>
      <c r="O964" s="10">
        <v>68000000</v>
      </c>
      <c r="P964" s="140" t="s">
        <v>2677</v>
      </c>
    </row>
    <row r="965" spans="1:16" ht="58" x14ac:dyDescent="0.35">
      <c r="A965" s="139" t="e">
        <f t="shared" si="15"/>
        <v>#REF!</v>
      </c>
      <c r="B965" s="140" t="s">
        <v>18</v>
      </c>
      <c r="C965" s="140" t="s">
        <v>37</v>
      </c>
      <c r="D965" s="140" t="s">
        <v>1515</v>
      </c>
      <c r="E965" s="140" t="s">
        <v>2678</v>
      </c>
      <c r="F965" s="140" t="s">
        <v>2679</v>
      </c>
      <c r="G965" s="140" t="s">
        <v>171</v>
      </c>
      <c r="H965" s="140" t="s">
        <v>2680</v>
      </c>
      <c r="I965" s="140" t="s">
        <v>2681</v>
      </c>
      <c r="J965" s="140">
        <v>52500000</v>
      </c>
      <c r="K965" s="139" t="s">
        <v>221</v>
      </c>
      <c r="L965" s="140">
        <v>2901647</v>
      </c>
      <c r="M965" s="155" t="s">
        <v>173</v>
      </c>
      <c r="N965" s="10">
        <v>140</v>
      </c>
      <c r="O965" s="10">
        <v>56000000</v>
      </c>
      <c r="P965" s="140">
        <v>0</v>
      </c>
    </row>
    <row r="966" spans="1:16" ht="43.5" x14ac:dyDescent="0.35">
      <c r="A966" s="139" t="e">
        <f t="shared" si="15"/>
        <v>#REF!</v>
      </c>
      <c r="B966" s="140" t="s">
        <v>18</v>
      </c>
      <c r="C966" s="140" t="s">
        <v>37</v>
      </c>
      <c r="D966" s="140" t="s">
        <v>1570</v>
      </c>
      <c r="E966" s="140" t="s">
        <v>2682</v>
      </c>
      <c r="F966" s="140" t="s">
        <v>2683</v>
      </c>
      <c r="G966" s="140" t="s">
        <v>906</v>
      </c>
      <c r="H966" s="140" t="s">
        <v>2684</v>
      </c>
      <c r="I966" s="140" t="s">
        <v>2650</v>
      </c>
      <c r="J966" s="140">
        <v>82050000</v>
      </c>
      <c r="K966" s="139" t="s">
        <v>221</v>
      </c>
      <c r="L966" s="140">
        <v>2955537</v>
      </c>
      <c r="M966" s="155" t="s">
        <v>173</v>
      </c>
      <c r="N966" s="10">
        <v>200</v>
      </c>
      <c r="O966" s="10">
        <v>113500000</v>
      </c>
      <c r="P966" s="140" t="s">
        <v>2685</v>
      </c>
    </row>
    <row r="967" spans="1:16" ht="43.5" x14ac:dyDescent="0.35">
      <c r="A967" s="139" t="e">
        <f t="shared" si="15"/>
        <v>#REF!</v>
      </c>
      <c r="B967" s="140" t="s">
        <v>18</v>
      </c>
      <c r="C967" s="140" t="s">
        <v>37</v>
      </c>
      <c r="D967" s="140" t="s">
        <v>1570</v>
      </c>
      <c r="E967" s="140" t="s">
        <v>2686</v>
      </c>
      <c r="F967" s="140" t="s">
        <v>2687</v>
      </c>
      <c r="G967" s="140" t="s">
        <v>906</v>
      </c>
      <c r="H967" s="140" t="s">
        <v>2684</v>
      </c>
      <c r="I967" s="140" t="s">
        <v>2650</v>
      </c>
      <c r="J967" s="140">
        <v>82050000</v>
      </c>
      <c r="K967" s="139" t="s">
        <v>221</v>
      </c>
      <c r="L967" s="140">
        <v>2955537</v>
      </c>
      <c r="M967" s="155" t="s">
        <v>173</v>
      </c>
      <c r="N967" s="10">
        <v>200</v>
      </c>
      <c r="O967" s="10">
        <v>113500000</v>
      </c>
      <c r="P967" s="140" t="s">
        <v>2685</v>
      </c>
    </row>
    <row r="968" spans="1:16" ht="43.5" x14ac:dyDescent="0.35">
      <c r="A968" s="139" t="e">
        <f t="shared" si="15"/>
        <v>#REF!</v>
      </c>
      <c r="B968" s="140" t="s">
        <v>18</v>
      </c>
      <c r="C968" s="140" t="s">
        <v>37</v>
      </c>
      <c r="D968" s="140" t="s">
        <v>1634</v>
      </c>
      <c r="E968" s="140" t="s">
        <v>2688</v>
      </c>
      <c r="F968" s="140" t="s">
        <v>2689</v>
      </c>
      <c r="G968" s="140" t="s">
        <v>906</v>
      </c>
      <c r="H968" s="140" t="s">
        <v>2684</v>
      </c>
      <c r="I968" s="140" t="s">
        <v>164</v>
      </c>
      <c r="J968" s="140">
        <v>100000000</v>
      </c>
      <c r="K968" s="139" t="s">
        <v>221</v>
      </c>
      <c r="L968" s="140">
        <v>2973418</v>
      </c>
      <c r="M968" s="155" t="s">
        <v>173</v>
      </c>
      <c r="N968" s="10">
        <v>3</v>
      </c>
      <c r="O968" s="10">
        <v>75000000</v>
      </c>
      <c r="P968" s="140" t="s">
        <v>2107</v>
      </c>
    </row>
    <row r="969" spans="1:16" ht="43.5" x14ac:dyDescent="0.35">
      <c r="A969" s="139" t="e">
        <f t="shared" si="15"/>
        <v>#REF!</v>
      </c>
      <c r="B969" s="140" t="s">
        <v>18</v>
      </c>
      <c r="C969" s="140" t="s">
        <v>37</v>
      </c>
      <c r="D969" s="140" t="s">
        <v>1515</v>
      </c>
      <c r="E969" s="140" t="s">
        <v>2690</v>
      </c>
      <c r="F969" s="140" t="s">
        <v>2691</v>
      </c>
      <c r="G969" s="140" t="s">
        <v>906</v>
      </c>
      <c r="H969" s="140" t="s">
        <v>2692</v>
      </c>
      <c r="I969" s="140" t="s">
        <v>2650</v>
      </c>
      <c r="J969" s="140">
        <v>82050000</v>
      </c>
      <c r="K969" s="139" t="s">
        <v>221</v>
      </c>
      <c r="L969" s="140">
        <v>2870547</v>
      </c>
      <c r="M969" s="155" t="s">
        <v>173</v>
      </c>
      <c r="N969" s="10">
        <v>75</v>
      </c>
      <c r="O969" s="10">
        <v>113500000</v>
      </c>
      <c r="P969" s="140" t="s">
        <v>2685</v>
      </c>
    </row>
    <row r="970" spans="1:16" ht="43.5" x14ac:dyDescent="0.35">
      <c r="A970" s="139" t="e">
        <f t="shared" si="15"/>
        <v>#REF!</v>
      </c>
      <c r="B970" s="140" t="s">
        <v>18</v>
      </c>
      <c r="C970" s="140" t="s">
        <v>37</v>
      </c>
      <c r="D970" s="140" t="s">
        <v>1515</v>
      </c>
      <c r="E970" s="140" t="s">
        <v>2693</v>
      </c>
      <c r="F970" s="140" t="s">
        <v>2694</v>
      </c>
      <c r="G970" s="140" t="s">
        <v>906</v>
      </c>
      <c r="H970" s="140" t="s">
        <v>2692</v>
      </c>
      <c r="I970" s="140" t="s">
        <v>2695</v>
      </c>
      <c r="J970" s="140">
        <v>95400000</v>
      </c>
      <c r="K970" s="139" t="s">
        <v>221</v>
      </c>
      <c r="L970" s="140">
        <v>2873746</v>
      </c>
      <c r="M970" s="155" t="s">
        <v>173</v>
      </c>
      <c r="N970" s="10">
        <v>200</v>
      </c>
      <c r="O970" s="10">
        <v>113500000</v>
      </c>
      <c r="P970" s="140" t="s">
        <v>2696</v>
      </c>
    </row>
    <row r="971" spans="1:16" ht="43.5" x14ac:dyDescent="0.35">
      <c r="A971" s="139" t="e">
        <f t="shared" si="15"/>
        <v>#REF!</v>
      </c>
      <c r="B971" s="140" t="s">
        <v>18</v>
      </c>
      <c r="C971" s="140" t="s">
        <v>37</v>
      </c>
      <c r="D971" s="140" t="s">
        <v>1634</v>
      </c>
      <c r="E971" s="140" t="s">
        <v>2688</v>
      </c>
      <c r="F971" s="140" t="s">
        <v>2694</v>
      </c>
      <c r="G971" s="140" t="s">
        <v>906</v>
      </c>
      <c r="H971" s="140" t="s">
        <v>2692</v>
      </c>
      <c r="I971" s="140" t="s">
        <v>164</v>
      </c>
      <c r="J971" s="140">
        <v>100000000</v>
      </c>
      <c r="K971" s="139" t="s">
        <v>221</v>
      </c>
      <c r="L971" s="140">
        <v>2973418</v>
      </c>
      <c r="M971" s="155" t="s">
        <v>173</v>
      </c>
      <c r="N971" s="10">
        <v>3</v>
      </c>
      <c r="O971" s="10">
        <v>75000000</v>
      </c>
      <c r="P971" s="140" t="s">
        <v>2107</v>
      </c>
    </row>
    <row r="972" spans="1:16" ht="43.5" x14ac:dyDescent="0.35">
      <c r="A972" s="139" t="e">
        <f t="shared" si="15"/>
        <v>#REF!</v>
      </c>
      <c r="B972" s="140" t="s">
        <v>18</v>
      </c>
      <c r="C972" s="140" t="s">
        <v>37</v>
      </c>
      <c r="D972" s="140" t="s">
        <v>1634</v>
      </c>
      <c r="E972" s="140" t="s">
        <v>2688</v>
      </c>
      <c r="F972" s="140" t="s">
        <v>2697</v>
      </c>
      <c r="G972" s="140" t="s">
        <v>906</v>
      </c>
      <c r="H972" s="140" t="s">
        <v>907</v>
      </c>
      <c r="I972" s="140" t="s">
        <v>164</v>
      </c>
      <c r="J972" s="140">
        <v>100000000</v>
      </c>
      <c r="K972" s="139" t="s">
        <v>221</v>
      </c>
      <c r="L972" s="140">
        <v>2955429</v>
      </c>
      <c r="M972" s="155" t="s">
        <v>173</v>
      </c>
      <c r="N972" s="10">
        <v>3</v>
      </c>
      <c r="O972" s="10">
        <v>75000000</v>
      </c>
      <c r="P972" s="140" t="s">
        <v>2107</v>
      </c>
    </row>
    <row r="973" spans="1:16" ht="43.5" x14ac:dyDescent="0.35">
      <c r="A973" s="139" t="e">
        <f t="shared" si="15"/>
        <v>#REF!</v>
      </c>
      <c r="B973" s="140" t="s">
        <v>18</v>
      </c>
      <c r="C973" s="140" t="s">
        <v>37</v>
      </c>
      <c r="D973" s="140" t="s">
        <v>1515</v>
      </c>
      <c r="E973" s="140" t="s">
        <v>2698</v>
      </c>
      <c r="F973" s="140" t="s">
        <v>2699</v>
      </c>
      <c r="G973" s="140" t="s">
        <v>906</v>
      </c>
      <c r="H973" s="140" t="s">
        <v>2700</v>
      </c>
      <c r="I973" s="140" t="s">
        <v>2650</v>
      </c>
      <c r="J973" s="140">
        <v>82050000</v>
      </c>
      <c r="K973" s="139" t="s">
        <v>221</v>
      </c>
      <c r="L973" s="140">
        <v>2870585</v>
      </c>
      <c r="M973" s="155" t="s">
        <v>173</v>
      </c>
      <c r="N973" s="10">
        <v>200</v>
      </c>
      <c r="O973" s="10">
        <v>113500000</v>
      </c>
      <c r="P973" s="140" t="s">
        <v>2685</v>
      </c>
    </row>
    <row r="974" spans="1:16" ht="43.5" x14ac:dyDescent="0.35">
      <c r="A974" s="139" t="e">
        <f t="shared" si="15"/>
        <v>#REF!</v>
      </c>
      <c r="B974" s="140" t="s">
        <v>18</v>
      </c>
      <c r="C974" s="140" t="s">
        <v>37</v>
      </c>
      <c r="D974" s="140" t="s">
        <v>1515</v>
      </c>
      <c r="E974" s="140" t="s">
        <v>2701</v>
      </c>
      <c r="F974" s="140" t="s">
        <v>2702</v>
      </c>
      <c r="G974" s="140" t="s">
        <v>906</v>
      </c>
      <c r="H974" s="140" t="s">
        <v>2700</v>
      </c>
      <c r="I974" s="140" t="s">
        <v>2695</v>
      </c>
      <c r="J974" s="140">
        <v>95400000</v>
      </c>
      <c r="K974" s="139" t="s">
        <v>221</v>
      </c>
      <c r="L974" s="140">
        <v>2872996</v>
      </c>
      <c r="M974" s="155" t="s">
        <v>173</v>
      </c>
      <c r="N974" s="10">
        <v>300</v>
      </c>
      <c r="O974" s="10">
        <v>102500000</v>
      </c>
      <c r="P974" s="140" t="s">
        <v>2696</v>
      </c>
    </row>
    <row r="975" spans="1:16" ht="43.5" x14ac:dyDescent="0.35">
      <c r="A975" s="139" t="e">
        <f t="shared" si="15"/>
        <v>#REF!</v>
      </c>
      <c r="B975" s="140" t="s">
        <v>18</v>
      </c>
      <c r="C975" s="140" t="s">
        <v>37</v>
      </c>
      <c r="D975" s="140" t="s">
        <v>1634</v>
      </c>
      <c r="E975" s="140" t="s">
        <v>2688</v>
      </c>
      <c r="F975" s="140" t="s">
        <v>2702</v>
      </c>
      <c r="G975" s="140" t="s">
        <v>906</v>
      </c>
      <c r="H975" s="140" t="s">
        <v>2700</v>
      </c>
      <c r="I975" s="140" t="s">
        <v>164</v>
      </c>
      <c r="J975" s="140">
        <v>100000000</v>
      </c>
      <c r="K975" s="139" t="s">
        <v>221</v>
      </c>
      <c r="L975" s="140">
        <v>2973418</v>
      </c>
      <c r="M975" s="155" t="s">
        <v>173</v>
      </c>
      <c r="N975" s="10">
        <v>3</v>
      </c>
      <c r="O975" s="10">
        <v>75000000</v>
      </c>
      <c r="P975" s="140" t="s">
        <v>2107</v>
      </c>
    </row>
    <row r="976" spans="1:16" ht="43.5" x14ac:dyDescent="0.35">
      <c r="A976" s="139" t="e">
        <f t="shared" si="15"/>
        <v>#REF!</v>
      </c>
      <c r="B976" s="140" t="s">
        <v>18</v>
      </c>
      <c r="C976" s="140" t="s">
        <v>37</v>
      </c>
      <c r="D976" s="140" t="s">
        <v>1570</v>
      </c>
      <c r="E976" s="140" t="s">
        <v>2703</v>
      </c>
      <c r="F976" s="140" t="s">
        <v>911</v>
      </c>
      <c r="G976" s="140" t="s">
        <v>912</v>
      </c>
      <c r="H976" s="140" t="s">
        <v>913</v>
      </c>
      <c r="I976" s="140" t="s">
        <v>561</v>
      </c>
      <c r="J976" s="140">
        <v>100000000</v>
      </c>
      <c r="K976" s="139" t="s">
        <v>221</v>
      </c>
      <c r="L976" s="140">
        <v>2790470</v>
      </c>
      <c r="M976" s="155" t="s">
        <v>173</v>
      </c>
      <c r="N976" s="10">
        <v>250</v>
      </c>
      <c r="O976" s="10">
        <v>100000000</v>
      </c>
      <c r="P976" s="140" t="s">
        <v>2677</v>
      </c>
    </row>
    <row r="977" spans="1:16" ht="43.5" x14ac:dyDescent="0.35">
      <c r="A977" s="139" t="e">
        <f t="shared" si="15"/>
        <v>#REF!</v>
      </c>
      <c r="B977" s="140" t="s">
        <v>18</v>
      </c>
      <c r="C977" s="140" t="s">
        <v>37</v>
      </c>
      <c r="D977" s="140" t="s">
        <v>1515</v>
      </c>
      <c r="E977" s="140" t="s">
        <v>2704</v>
      </c>
      <c r="F977" s="140" t="s">
        <v>2705</v>
      </c>
      <c r="G977" s="140" t="s">
        <v>912</v>
      </c>
      <c r="H977" s="140" t="s">
        <v>2706</v>
      </c>
      <c r="I977" s="140" t="s">
        <v>561</v>
      </c>
      <c r="J977" s="140">
        <v>100000000</v>
      </c>
      <c r="K977" s="139" t="s">
        <v>221</v>
      </c>
      <c r="L977" s="140">
        <v>2790642</v>
      </c>
      <c r="M977" s="155" t="s">
        <v>173</v>
      </c>
      <c r="N977" s="10">
        <v>300</v>
      </c>
      <c r="O977" s="10">
        <v>100000000</v>
      </c>
      <c r="P977" s="140" t="s">
        <v>2677</v>
      </c>
    </row>
    <row r="978" spans="1:16" ht="43.5" x14ac:dyDescent="0.35">
      <c r="A978" s="139" t="e">
        <f t="shared" si="15"/>
        <v>#REF!</v>
      </c>
      <c r="B978" s="140" t="s">
        <v>18</v>
      </c>
      <c r="C978" s="140" t="s">
        <v>37</v>
      </c>
      <c r="D978" s="140" t="s">
        <v>1570</v>
      </c>
      <c r="E978" s="140" t="s">
        <v>2707</v>
      </c>
      <c r="F978" s="140" t="s">
        <v>2708</v>
      </c>
      <c r="G978" s="140" t="s">
        <v>912</v>
      </c>
      <c r="H978" s="140" t="s">
        <v>1352</v>
      </c>
      <c r="I978" s="140" t="s">
        <v>2709</v>
      </c>
      <c r="J978" s="140">
        <v>100000000</v>
      </c>
      <c r="K978" s="139" t="s">
        <v>221</v>
      </c>
      <c r="L978" s="140">
        <v>2790595</v>
      </c>
      <c r="M978" s="155" t="s">
        <v>173</v>
      </c>
      <c r="N978" s="10">
        <v>105</v>
      </c>
      <c r="O978" s="10">
        <v>100000000</v>
      </c>
      <c r="P978" s="140" t="s">
        <v>2710</v>
      </c>
    </row>
    <row r="979" spans="1:16" ht="43.5" x14ac:dyDescent="0.35">
      <c r="A979" s="139" t="e">
        <f>#REF!+1</f>
        <v>#REF!</v>
      </c>
      <c r="B979" s="140" t="s">
        <v>18</v>
      </c>
      <c r="C979" s="140" t="s">
        <v>37</v>
      </c>
      <c r="D979" s="140" t="s">
        <v>1634</v>
      </c>
      <c r="E979" s="140" t="s">
        <v>2711</v>
      </c>
      <c r="F979" s="140" t="s">
        <v>2712</v>
      </c>
      <c r="G979" s="140" t="s">
        <v>912</v>
      </c>
      <c r="H979" s="140" t="s">
        <v>2713</v>
      </c>
      <c r="I979" s="140" t="s">
        <v>2714</v>
      </c>
      <c r="J979" s="140">
        <v>105000000</v>
      </c>
      <c r="K979" s="139" t="s">
        <v>221</v>
      </c>
      <c r="L979" s="140">
        <v>2790563</v>
      </c>
      <c r="M979" s="155" t="s">
        <v>173</v>
      </c>
      <c r="N979" s="10">
        <v>3</v>
      </c>
      <c r="O979" s="10">
        <v>75000000</v>
      </c>
      <c r="P979" s="140"/>
    </row>
    <row r="980" spans="1:16" ht="43.5" x14ac:dyDescent="0.35">
      <c r="A980" s="139" t="e">
        <f t="shared" si="15"/>
        <v>#REF!</v>
      </c>
      <c r="B980" s="140" t="s">
        <v>18</v>
      </c>
      <c r="C980" s="140" t="s">
        <v>37</v>
      </c>
      <c r="D980" s="140" t="s">
        <v>1515</v>
      </c>
      <c r="E980" s="140" t="s">
        <v>2715</v>
      </c>
      <c r="F980" s="140" t="s">
        <v>2712</v>
      </c>
      <c r="G980" s="140" t="s">
        <v>912</v>
      </c>
      <c r="H980" s="140" t="s">
        <v>2713</v>
      </c>
      <c r="I980" s="140" t="s">
        <v>1484</v>
      </c>
      <c r="J980" s="140">
        <v>100000000</v>
      </c>
      <c r="K980" s="139" t="s">
        <v>221</v>
      </c>
      <c r="L980" s="140">
        <v>2790673</v>
      </c>
      <c r="M980" s="155" t="s">
        <v>173</v>
      </c>
      <c r="N980" s="10">
        <v>112</v>
      </c>
      <c r="O980" s="10">
        <v>100000000</v>
      </c>
      <c r="P980" s="140" t="s">
        <v>2716</v>
      </c>
    </row>
    <row r="981" spans="1:16" ht="43.5" x14ac:dyDescent="0.35">
      <c r="A981" s="139" t="e">
        <f t="shared" si="15"/>
        <v>#REF!</v>
      </c>
      <c r="B981" s="140" t="s">
        <v>18</v>
      </c>
      <c r="C981" s="140" t="s">
        <v>37</v>
      </c>
      <c r="D981" s="140" t="s">
        <v>1570</v>
      </c>
      <c r="E981" s="140" t="s">
        <v>2717</v>
      </c>
      <c r="F981" s="140" t="s">
        <v>2718</v>
      </c>
      <c r="G981" s="140" t="s">
        <v>912</v>
      </c>
      <c r="H981" s="140" t="s">
        <v>918</v>
      </c>
      <c r="I981" s="140" t="s">
        <v>1173</v>
      </c>
      <c r="J981" s="140">
        <v>100000000</v>
      </c>
      <c r="K981" s="139" t="s">
        <v>221</v>
      </c>
      <c r="L981" s="140">
        <v>2790449</v>
      </c>
      <c r="M981" s="155" t="s">
        <v>173</v>
      </c>
      <c r="N981" s="10">
        <v>50</v>
      </c>
      <c r="O981" s="10">
        <v>100000000</v>
      </c>
      <c r="P981" s="140" t="s">
        <v>2710</v>
      </c>
    </row>
    <row r="982" spans="1:16" ht="43.5" x14ac:dyDescent="0.35">
      <c r="A982" s="139" t="e">
        <f t="shared" si="15"/>
        <v>#REF!</v>
      </c>
      <c r="B982" s="140" t="s">
        <v>18</v>
      </c>
      <c r="C982" s="140" t="s">
        <v>37</v>
      </c>
      <c r="D982" s="140" t="s">
        <v>1515</v>
      </c>
      <c r="E982" s="140" t="s">
        <v>2719</v>
      </c>
      <c r="F982" s="140" t="s">
        <v>2720</v>
      </c>
      <c r="G982" s="140" t="s">
        <v>912</v>
      </c>
      <c r="H982" s="140" t="s">
        <v>2721</v>
      </c>
      <c r="I982" s="140" t="s">
        <v>561</v>
      </c>
      <c r="J982" s="140">
        <v>100000000</v>
      </c>
      <c r="K982" s="139" t="s">
        <v>221</v>
      </c>
      <c r="L982" s="140">
        <v>2790415</v>
      </c>
      <c r="M982" s="155" t="s">
        <v>173</v>
      </c>
      <c r="N982" s="10">
        <v>50</v>
      </c>
      <c r="O982" s="10">
        <v>100000000</v>
      </c>
      <c r="P982" s="140" t="s">
        <v>2710</v>
      </c>
    </row>
    <row r="983" spans="1:16" ht="43.5" x14ac:dyDescent="0.35">
      <c r="A983" s="139" t="e">
        <f t="shared" si="15"/>
        <v>#REF!</v>
      </c>
      <c r="B983" s="140" t="s">
        <v>18</v>
      </c>
      <c r="C983" s="140" t="s">
        <v>37</v>
      </c>
      <c r="D983" s="140" t="s">
        <v>1570</v>
      </c>
      <c r="E983" s="140" t="s">
        <v>1571</v>
      </c>
      <c r="F983" s="140" t="s">
        <v>2722</v>
      </c>
      <c r="G983" s="140" t="s">
        <v>749</v>
      </c>
      <c r="H983" s="140" t="s">
        <v>2723</v>
      </c>
      <c r="I983" s="140" t="s">
        <v>2724</v>
      </c>
      <c r="J983" s="140">
        <v>50000000</v>
      </c>
      <c r="K983" s="139" t="s">
        <v>221</v>
      </c>
      <c r="L983" s="140">
        <v>2979602</v>
      </c>
      <c r="M983" s="155" t="s">
        <v>173</v>
      </c>
      <c r="N983" s="10">
        <v>35</v>
      </c>
      <c r="O983" s="10">
        <v>100000000</v>
      </c>
      <c r="P983" s="140"/>
    </row>
    <row r="984" spans="1:16" ht="43.5" x14ac:dyDescent="0.35">
      <c r="A984" s="139" t="e">
        <f t="shared" si="15"/>
        <v>#REF!</v>
      </c>
      <c r="B984" s="140" t="s">
        <v>18</v>
      </c>
      <c r="C984" s="140" t="s">
        <v>37</v>
      </c>
      <c r="D984" s="140" t="s">
        <v>1515</v>
      </c>
      <c r="E984" s="140" t="s">
        <v>2725</v>
      </c>
      <c r="F984" s="140" t="s">
        <v>2726</v>
      </c>
      <c r="G984" s="140" t="s">
        <v>749</v>
      </c>
      <c r="H984" s="140" t="s">
        <v>2727</v>
      </c>
      <c r="I984" s="140" t="s">
        <v>2037</v>
      </c>
      <c r="J984" s="140">
        <v>50000000</v>
      </c>
      <c r="K984" s="139" t="s">
        <v>221</v>
      </c>
      <c r="L984" s="140">
        <v>3011245</v>
      </c>
      <c r="M984" s="155" t="s">
        <v>173</v>
      </c>
      <c r="N984" s="10">
        <v>165</v>
      </c>
      <c r="O984" s="10">
        <v>100000000</v>
      </c>
      <c r="P984" s="140">
        <v>55</v>
      </c>
    </row>
    <row r="985" spans="1:16" ht="43.5" x14ac:dyDescent="0.35">
      <c r="A985" s="139" t="e">
        <f t="shared" si="15"/>
        <v>#REF!</v>
      </c>
      <c r="B985" s="140" t="s">
        <v>18</v>
      </c>
      <c r="C985" s="140" t="s">
        <v>37</v>
      </c>
      <c r="D985" s="140" t="s">
        <v>1515</v>
      </c>
      <c r="E985" s="140" t="s">
        <v>2728</v>
      </c>
      <c r="F985" s="140" t="s">
        <v>2729</v>
      </c>
      <c r="G985" s="140" t="s">
        <v>749</v>
      </c>
      <c r="H985" s="140" t="s">
        <v>2730</v>
      </c>
      <c r="I985" s="140" t="s">
        <v>2184</v>
      </c>
      <c r="J985" s="140">
        <v>62700000</v>
      </c>
      <c r="K985" s="139" t="s">
        <v>221</v>
      </c>
      <c r="L985" s="140">
        <v>3011115</v>
      </c>
      <c r="M985" s="155" t="s">
        <v>173</v>
      </c>
      <c r="N985" s="10" t="s">
        <v>2731</v>
      </c>
      <c r="O985" s="10">
        <v>100000000</v>
      </c>
      <c r="P985" s="140"/>
    </row>
    <row r="986" spans="1:16" ht="43.5" x14ac:dyDescent="0.35">
      <c r="A986" s="139" t="e">
        <f t="shared" si="15"/>
        <v>#REF!</v>
      </c>
      <c r="B986" s="140" t="s">
        <v>18</v>
      </c>
      <c r="C986" s="140" t="s">
        <v>37</v>
      </c>
      <c r="D986" s="140" t="s">
        <v>1515</v>
      </c>
      <c r="E986" s="140" t="s">
        <v>2732</v>
      </c>
      <c r="F986" s="140" t="s">
        <v>2733</v>
      </c>
      <c r="G986" s="140" t="s">
        <v>749</v>
      </c>
      <c r="H986" s="140" t="s">
        <v>2734</v>
      </c>
      <c r="I986" s="140" t="s">
        <v>1219</v>
      </c>
      <c r="J986" s="140">
        <v>100000000</v>
      </c>
      <c r="K986" s="139" t="s">
        <v>221</v>
      </c>
      <c r="L986" s="140">
        <v>2935104</v>
      </c>
      <c r="M986" s="155" t="s">
        <v>173</v>
      </c>
      <c r="N986" s="10" t="s">
        <v>2735</v>
      </c>
      <c r="O986" s="10">
        <v>100000000</v>
      </c>
      <c r="P986" s="140"/>
    </row>
    <row r="987" spans="1:16" ht="43.5" x14ac:dyDescent="0.35">
      <c r="A987" s="139" t="e">
        <f t="shared" si="15"/>
        <v>#REF!</v>
      </c>
      <c r="B987" s="140" t="s">
        <v>18</v>
      </c>
      <c r="C987" s="140" t="s">
        <v>37</v>
      </c>
      <c r="D987" s="140" t="s">
        <v>1515</v>
      </c>
      <c r="E987" s="140" t="s">
        <v>2736</v>
      </c>
      <c r="F987" s="140" t="s">
        <v>2737</v>
      </c>
      <c r="G987" s="140" t="s">
        <v>749</v>
      </c>
      <c r="H987" s="140" t="s">
        <v>2738</v>
      </c>
      <c r="I987" s="140" t="s">
        <v>1426</v>
      </c>
      <c r="J987" s="140">
        <v>100000000</v>
      </c>
      <c r="K987" s="139" t="s">
        <v>221</v>
      </c>
      <c r="L987" s="140">
        <v>2979790</v>
      </c>
      <c r="M987" s="155" t="s">
        <v>173</v>
      </c>
      <c r="N987" s="10" t="s">
        <v>2739</v>
      </c>
      <c r="O987" s="10">
        <v>100000000</v>
      </c>
      <c r="P987" s="140"/>
    </row>
    <row r="988" spans="1:16" ht="87" x14ac:dyDescent="0.35">
      <c r="A988" s="139" t="e">
        <f t="shared" si="15"/>
        <v>#REF!</v>
      </c>
      <c r="B988" s="140" t="s">
        <v>18</v>
      </c>
      <c r="C988" s="140" t="s">
        <v>37</v>
      </c>
      <c r="D988" s="140" t="s">
        <v>1515</v>
      </c>
      <c r="E988" s="140" t="s">
        <v>2740</v>
      </c>
      <c r="F988" s="140" t="s">
        <v>2741</v>
      </c>
      <c r="G988" s="140" t="s">
        <v>626</v>
      </c>
      <c r="H988" s="140" t="s">
        <v>2742</v>
      </c>
      <c r="I988" s="140" t="s">
        <v>2743</v>
      </c>
      <c r="J988" s="140">
        <v>100000000</v>
      </c>
      <c r="K988" s="139" t="s">
        <v>221</v>
      </c>
      <c r="L988" s="140">
        <v>2852435</v>
      </c>
      <c r="M988" s="155" t="s">
        <v>173</v>
      </c>
      <c r="N988" s="10">
        <v>150</v>
      </c>
      <c r="O988" s="10">
        <v>100000000</v>
      </c>
      <c r="P988" s="140" t="s">
        <v>2744</v>
      </c>
    </row>
    <row r="989" spans="1:16" ht="87" x14ac:dyDescent="0.35">
      <c r="A989" s="139" t="e">
        <f t="shared" si="15"/>
        <v>#REF!</v>
      </c>
      <c r="B989" s="140" t="s">
        <v>18</v>
      </c>
      <c r="C989" s="140" t="s">
        <v>37</v>
      </c>
      <c r="D989" s="140" t="s">
        <v>1515</v>
      </c>
      <c r="E989" s="140" t="s">
        <v>2745</v>
      </c>
      <c r="F989" s="140" t="s">
        <v>2746</v>
      </c>
      <c r="G989" s="140" t="s">
        <v>626</v>
      </c>
      <c r="H989" s="140" t="s">
        <v>2747</v>
      </c>
      <c r="I989" s="140" t="s">
        <v>628</v>
      </c>
      <c r="J989" s="140">
        <v>50000000</v>
      </c>
      <c r="K989" s="139" t="s">
        <v>221</v>
      </c>
      <c r="L989" s="140">
        <v>2872834</v>
      </c>
      <c r="M989" s="155" t="s">
        <v>173</v>
      </c>
      <c r="N989" s="10">
        <v>300</v>
      </c>
      <c r="O989" s="10">
        <v>98400000</v>
      </c>
      <c r="P989" s="140" t="s">
        <v>2744</v>
      </c>
    </row>
    <row r="990" spans="1:16" ht="58" x14ac:dyDescent="0.35">
      <c r="A990" s="139" t="e">
        <f t="shared" si="15"/>
        <v>#REF!</v>
      </c>
      <c r="B990" s="140" t="s">
        <v>18</v>
      </c>
      <c r="C990" s="140" t="s">
        <v>37</v>
      </c>
      <c r="D990" s="140" t="s">
        <v>1515</v>
      </c>
      <c r="E990" s="140" t="s">
        <v>2748</v>
      </c>
      <c r="F990" s="140" t="s">
        <v>2749</v>
      </c>
      <c r="G990" s="140" t="s">
        <v>626</v>
      </c>
      <c r="H990" s="140" t="s">
        <v>2750</v>
      </c>
      <c r="I990" s="140" t="s">
        <v>48</v>
      </c>
      <c r="J990" s="140">
        <v>100000000</v>
      </c>
      <c r="K990" s="139" t="s">
        <v>221</v>
      </c>
      <c r="L990" s="140">
        <v>2953196</v>
      </c>
      <c r="M990" s="155" t="s">
        <v>173</v>
      </c>
      <c r="N990" s="10">
        <v>150</v>
      </c>
      <c r="O990" s="10">
        <v>100000000</v>
      </c>
      <c r="P990" s="140" t="s">
        <v>2751</v>
      </c>
    </row>
    <row r="991" spans="1:16" ht="87" x14ac:dyDescent="0.35">
      <c r="A991" s="139" t="e">
        <f t="shared" si="15"/>
        <v>#REF!</v>
      </c>
      <c r="B991" s="140" t="s">
        <v>18</v>
      </c>
      <c r="C991" s="140" t="s">
        <v>37</v>
      </c>
      <c r="D991" s="140" t="s">
        <v>1515</v>
      </c>
      <c r="E991" s="140" t="s">
        <v>2752</v>
      </c>
      <c r="F991" s="140" t="s">
        <v>2753</v>
      </c>
      <c r="G991" s="140" t="s">
        <v>626</v>
      </c>
      <c r="H991" s="140" t="s">
        <v>2754</v>
      </c>
      <c r="I991" s="140" t="s">
        <v>628</v>
      </c>
      <c r="J991" s="140">
        <v>100000000</v>
      </c>
      <c r="K991" s="139" t="s">
        <v>221</v>
      </c>
      <c r="L991" s="140">
        <v>2889488</v>
      </c>
      <c r="M991" s="155" t="s">
        <v>173</v>
      </c>
      <c r="N991" s="10">
        <v>100</v>
      </c>
      <c r="O991" s="10">
        <v>171705000</v>
      </c>
      <c r="P991" s="140" t="s">
        <v>2755</v>
      </c>
    </row>
    <row r="992" spans="1:16" ht="72.5" x14ac:dyDescent="0.35">
      <c r="A992" s="139" t="e">
        <f t="shared" si="15"/>
        <v>#REF!</v>
      </c>
      <c r="B992" s="140" t="s">
        <v>18</v>
      </c>
      <c r="C992" s="140" t="s">
        <v>37</v>
      </c>
      <c r="D992" s="140" t="s">
        <v>1515</v>
      </c>
      <c r="E992" s="140" t="s">
        <v>2756</v>
      </c>
      <c r="F992" s="140" t="s">
        <v>2757</v>
      </c>
      <c r="G992" s="140" t="s">
        <v>626</v>
      </c>
      <c r="H992" s="140" t="s">
        <v>2758</v>
      </c>
      <c r="I992" s="140" t="s">
        <v>628</v>
      </c>
      <c r="J992" s="140">
        <v>50000000</v>
      </c>
      <c r="K992" s="139" t="s">
        <v>221</v>
      </c>
      <c r="L992" s="140">
        <v>2963843</v>
      </c>
      <c r="M992" s="155" t="s">
        <v>173</v>
      </c>
      <c r="N992" s="10">
        <v>180</v>
      </c>
      <c r="O992" s="10">
        <v>53946000</v>
      </c>
      <c r="P992" s="140" t="s">
        <v>2759</v>
      </c>
    </row>
    <row r="993" spans="1:16" ht="72.5" x14ac:dyDescent="0.35">
      <c r="A993" s="139" t="e">
        <f t="shared" si="15"/>
        <v>#REF!</v>
      </c>
      <c r="B993" s="140" t="s">
        <v>18</v>
      </c>
      <c r="C993" s="140" t="s">
        <v>37</v>
      </c>
      <c r="D993" s="140" t="s">
        <v>1515</v>
      </c>
      <c r="E993" s="140" t="s">
        <v>2760</v>
      </c>
      <c r="F993" s="140" t="s">
        <v>2757</v>
      </c>
      <c r="G993" s="140" t="s">
        <v>626</v>
      </c>
      <c r="H993" s="140" t="s">
        <v>2758</v>
      </c>
      <c r="I993" s="140" t="s">
        <v>628</v>
      </c>
      <c r="J993" s="140">
        <v>50000000</v>
      </c>
      <c r="K993" s="139" t="s">
        <v>221</v>
      </c>
      <c r="L993" s="140">
        <v>2964119</v>
      </c>
      <c r="M993" s="155" t="s">
        <v>173</v>
      </c>
      <c r="N993" s="10">
        <v>170</v>
      </c>
      <c r="O993" s="10">
        <v>50949000</v>
      </c>
      <c r="P993" s="140" t="s">
        <v>2759</v>
      </c>
    </row>
    <row r="994" spans="1:16" ht="58" x14ac:dyDescent="0.35">
      <c r="A994" s="139" t="e">
        <f t="shared" ref="A994:A1057" si="16">A993+1</f>
        <v>#REF!</v>
      </c>
      <c r="B994" s="140" t="s">
        <v>71</v>
      </c>
      <c r="C994" s="140" t="s">
        <v>551</v>
      </c>
      <c r="D994" s="140" t="s">
        <v>1515</v>
      </c>
      <c r="E994" s="140" t="s">
        <v>2761</v>
      </c>
      <c r="F994" s="140" t="s">
        <v>2762</v>
      </c>
      <c r="G994" s="140" t="s">
        <v>626</v>
      </c>
      <c r="H994" s="140" t="s">
        <v>634</v>
      </c>
      <c r="I994" s="140" t="s">
        <v>35</v>
      </c>
      <c r="J994" s="140">
        <v>100000000</v>
      </c>
      <c r="K994" s="139" t="s">
        <v>221</v>
      </c>
      <c r="L994" s="140">
        <v>2895344</v>
      </c>
      <c r="M994" s="155" t="s">
        <v>173</v>
      </c>
      <c r="N994" s="10">
        <v>100</v>
      </c>
      <c r="O994" s="10">
        <v>175000000</v>
      </c>
      <c r="P994" s="140" t="s">
        <v>2763</v>
      </c>
    </row>
    <row r="995" spans="1:16" ht="43.5" x14ac:dyDescent="0.35">
      <c r="A995" s="139" t="e">
        <f t="shared" si="16"/>
        <v>#REF!</v>
      </c>
      <c r="B995" s="140" t="s">
        <v>18</v>
      </c>
      <c r="C995" s="140" t="s">
        <v>37</v>
      </c>
      <c r="D995" s="140" t="s">
        <v>1570</v>
      </c>
      <c r="E995" s="140" t="s">
        <v>2764</v>
      </c>
      <c r="F995" s="140" t="s">
        <v>2765</v>
      </c>
      <c r="G995" s="140" t="s">
        <v>970</v>
      </c>
      <c r="H995" s="140" t="s">
        <v>2766</v>
      </c>
      <c r="I995" s="140" t="s">
        <v>2767</v>
      </c>
      <c r="J995" s="140">
        <v>79600000</v>
      </c>
      <c r="K995" s="139" t="s">
        <v>221</v>
      </c>
      <c r="L995" s="140">
        <v>3010328</v>
      </c>
      <c r="M995" s="155" t="s">
        <v>173</v>
      </c>
      <c r="N995" s="10">
        <v>75</v>
      </c>
      <c r="O995" s="10">
        <v>75000000</v>
      </c>
      <c r="P995" s="140" t="s">
        <v>2685</v>
      </c>
    </row>
    <row r="996" spans="1:16" ht="43.5" x14ac:dyDescent="0.35">
      <c r="A996" s="139" t="e">
        <f t="shared" si="16"/>
        <v>#REF!</v>
      </c>
      <c r="B996" s="140" t="s">
        <v>18</v>
      </c>
      <c r="C996" s="140" t="s">
        <v>37</v>
      </c>
      <c r="D996" s="140" t="s">
        <v>1515</v>
      </c>
      <c r="E996" s="140" t="s">
        <v>2768</v>
      </c>
      <c r="F996" s="140" t="s">
        <v>2769</v>
      </c>
      <c r="G996" s="140" t="s">
        <v>970</v>
      </c>
      <c r="H996" s="140" t="s">
        <v>2770</v>
      </c>
      <c r="I996" s="140" t="s">
        <v>35</v>
      </c>
      <c r="J996" s="140">
        <v>88000000</v>
      </c>
      <c r="K996" s="139" t="s">
        <v>221</v>
      </c>
      <c r="L996" s="140">
        <v>3011820</v>
      </c>
      <c r="M996" s="155" t="s">
        <v>173</v>
      </c>
      <c r="N996" s="10">
        <v>300</v>
      </c>
      <c r="O996" s="10">
        <v>88800000</v>
      </c>
      <c r="P996" s="140" t="s">
        <v>2771</v>
      </c>
    </row>
    <row r="997" spans="1:16" ht="43.5" x14ac:dyDescent="0.35">
      <c r="A997" s="139" t="e">
        <f t="shared" si="16"/>
        <v>#REF!</v>
      </c>
      <c r="B997" s="140" t="s">
        <v>18</v>
      </c>
      <c r="C997" s="140" t="s">
        <v>37</v>
      </c>
      <c r="D997" s="140" t="s">
        <v>1515</v>
      </c>
      <c r="E997" s="140" t="s">
        <v>2768</v>
      </c>
      <c r="F997" s="140" t="s">
        <v>2772</v>
      </c>
      <c r="G997" s="140" t="s">
        <v>970</v>
      </c>
      <c r="H997" s="140" t="s">
        <v>2773</v>
      </c>
      <c r="I997" s="140" t="s">
        <v>431</v>
      </c>
      <c r="J997" s="140">
        <v>50000000</v>
      </c>
      <c r="K997" s="139" t="s">
        <v>221</v>
      </c>
      <c r="L997" s="140">
        <v>3011731</v>
      </c>
      <c r="M997" s="155" t="s">
        <v>173</v>
      </c>
      <c r="N997" s="10">
        <v>300</v>
      </c>
      <c r="O997" s="10">
        <v>85000000</v>
      </c>
      <c r="P997" s="140" t="s">
        <v>2774</v>
      </c>
    </row>
    <row r="998" spans="1:16" ht="43.5" x14ac:dyDescent="0.35">
      <c r="A998" s="139" t="e">
        <f t="shared" si="16"/>
        <v>#REF!</v>
      </c>
      <c r="B998" s="140" t="s">
        <v>18</v>
      </c>
      <c r="C998" s="140" t="s">
        <v>37</v>
      </c>
      <c r="D998" s="140" t="s">
        <v>1515</v>
      </c>
      <c r="E998" s="140" t="s">
        <v>2768</v>
      </c>
      <c r="F998" s="140" t="s">
        <v>2775</v>
      </c>
      <c r="G998" s="140" t="s">
        <v>970</v>
      </c>
      <c r="H998" s="140" t="s">
        <v>2776</v>
      </c>
      <c r="I998" s="140" t="s">
        <v>35</v>
      </c>
      <c r="J998" s="140">
        <v>59600000</v>
      </c>
      <c r="K998" s="139" t="s">
        <v>221</v>
      </c>
      <c r="L998" s="140">
        <v>3011739</v>
      </c>
      <c r="M998" s="155" t="s">
        <v>173</v>
      </c>
      <c r="N998" s="10">
        <v>220</v>
      </c>
      <c r="O998" s="10">
        <v>65000000</v>
      </c>
      <c r="P998" s="140" t="s">
        <v>2777</v>
      </c>
    </row>
    <row r="999" spans="1:16" ht="43.5" x14ac:dyDescent="0.35">
      <c r="A999" s="139" t="e">
        <f t="shared" si="16"/>
        <v>#REF!</v>
      </c>
      <c r="B999" s="140" t="s">
        <v>18</v>
      </c>
      <c r="C999" s="140" t="s">
        <v>37</v>
      </c>
      <c r="D999" s="140" t="s">
        <v>1515</v>
      </c>
      <c r="E999" s="140" t="s">
        <v>2768</v>
      </c>
      <c r="F999" s="140" t="s">
        <v>2778</v>
      </c>
      <c r="G999" s="140" t="s">
        <v>970</v>
      </c>
      <c r="H999" s="140" t="s">
        <v>2779</v>
      </c>
      <c r="I999" s="140" t="s">
        <v>628</v>
      </c>
      <c r="J999" s="140">
        <v>79600000</v>
      </c>
      <c r="K999" s="139" t="s">
        <v>221</v>
      </c>
      <c r="L999" s="140">
        <v>3011756</v>
      </c>
      <c r="M999" s="155" t="s">
        <v>173</v>
      </c>
      <c r="N999" s="10">
        <v>280</v>
      </c>
      <c r="O999" s="10">
        <v>80000000</v>
      </c>
      <c r="P999" s="140" t="s">
        <v>2777</v>
      </c>
    </row>
    <row r="1000" spans="1:16" ht="43.5" x14ac:dyDescent="0.35">
      <c r="A1000" s="139" t="e">
        <f t="shared" si="16"/>
        <v>#REF!</v>
      </c>
      <c r="B1000" s="140" t="s">
        <v>18</v>
      </c>
      <c r="C1000" s="140" t="s">
        <v>37</v>
      </c>
      <c r="D1000" s="140" t="s">
        <v>476</v>
      </c>
      <c r="E1000" s="140" t="s">
        <v>2780</v>
      </c>
      <c r="F1000" s="140" t="s">
        <v>2781</v>
      </c>
      <c r="G1000" s="140" t="s">
        <v>970</v>
      </c>
      <c r="H1000" s="140" t="s">
        <v>2782</v>
      </c>
      <c r="I1000" s="140" t="s">
        <v>431</v>
      </c>
      <c r="J1000" s="140">
        <v>85000000</v>
      </c>
      <c r="K1000" s="139" t="s">
        <v>221</v>
      </c>
      <c r="L1000" s="140">
        <v>3010845</v>
      </c>
      <c r="M1000" s="155" t="s">
        <v>173</v>
      </c>
      <c r="N1000" s="10">
        <v>10</v>
      </c>
      <c r="O1000" s="10">
        <v>314178000</v>
      </c>
      <c r="P1000" s="140" t="s">
        <v>1747</v>
      </c>
    </row>
    <row r="1001" spans="1:16" ht="43.5" x14ac:dyDescent="0.35">
      <c r="A1001" s="139" t="e">
        <f t="shared" si="16"/>
        <v>#REF!</v>
      </c>
      <c r="B1001" s="140" t="s">
        <v>18</v>
      </c>
      <c r="C1001" s="140" t="s">
        <v>37</v>
      </c>
      <c r="D1001" s="140" t="s">
        <v>1515</v>
      </c>
      <c r="E1001" s="140" t="s">
        <v>2783</v>
      </c>
      <c r="F1001" s="140" t="s">
        <v>2784</v>
      </c>
      <c r="G1001" s="140" t="s">
        <v>756</v>
      </c>
      <c r="H1001" s="140" t="s">
        <v>2785</v>
      </c>
      <c r="I1001" s="140" t="s">
        <v>1542</v>
      </c>
      <c r="J1001" s="140">
        <v>200000000</v>
      </c>
      <c r="K1001" s="139" t="s">
        <v>221</v>
      </c>
      <c r="L1001" s="140">
        <v>3149866</v>
      </c>
      <c r="M1001" s="155" t="s">
        <v>226</v>
      </c>
      <c r="N1001" s="10">
        <v>353</v>
      </c>
      <c r="O1001" s="10">
        <v>150000000</v>
      </c>
      <c r="P1001" s="140"/>
    </row>
    <row r="1002" spans="1:16" ht="43.5" x14ac:dyDescent="0.35">
      <c r="A1002" s="139" t="e">
        <f t="shared" si="16"/>
        <v>#REF!</v>
      </c>
      <c r="B1002" s="140" t="s">
        <v>18</v>
      </c>
      <c r="C1002" s="140" t="s">
        <v>37</v>
      </c>
      <c r="D1002" s="140" t="s">
        <v>1570</v>
      </c>
      <c r="E1002" s="140" t="s">
        <v>1256</v>
      </c>
      <c r="F1002" s="140" t="s">
        <v>2786</v>
      </c>
      <c r="G1002" s="140" t="s">
        <v>756</v>
      </c>
      <c r="H1002" s="140" t="s">
        <v>756</v>
      </c>
      <c r="I1002" s="140" t="s">
        <v>1870</v>
      </c>
      <c r="J1002" s="140">
        <v>300000000</v>
      </c>
      <c r="K1002" s="139" t="s">
        <v>221</v>
      </c>
      <c r="L1002" s="140">
        <v>3149861</v>
      </c>
      <c r="M1002" s="155" t="s">
        <v>226</v>
      </c>
      <c r="N1002" s="10">
        <v>353</v>
      </c>
      <c r="O1002" s="10">
        <v>300000000</v>
      </c>
      <c r="P1002" s="140"/>
    </row>
    <row r="1003" spans="1:16" ht="43.5" x14ac:dyDescent="0.35">
      <c r="A1003" s="139" t="e">
        <f t="shared" si="16"/>
        <v>#REF!</v>
      </c>
      <c r="B1003" s="140" t="s">
        <v>18</v>
      </c>
      <c r="C1003" s="140" t="s">
        <v>37</v>
      </c>
      <c r="D1003" s="140" t="s">
        <v>1570</v>
      </c>
      <c r="E1003" s="140" t="s">
        <v>2787</v>
      </c>
      <c r="F1003" s="140" t="s">
        <v>755</v>
      </c>
      <c r="G1003" s="140" t="s">
        <v>2788</v>
      </c>
      <c r="H1003" s="140" t="s">
        <v>2789</v>
      </c>
      <c r="I1003" s="140" t="s">
        <v>2790</v>
      </c>
      <c r="J1003" s="140">
        <v>100000000</v>
      </c>
      <c r="K1003" s="139" t="s">
        <v>221</v>
      </c>
      <c r="L1003" s="140">
        <v>2791858</v>
      </c>
      <c r="M1003" s="155" t="s">
        <v>226</v>
      </c>
      <c r="N1003" s="10">
        <v>118</v>
      </c>
      <c r="O1003" s="10">
        <v>100000000</v>
      </c>
      <c r="P1003" s="140"/>
    </row>
    <row r="1004" spans="1:16" ht="43.5" x14ac:dyDescent="0.35">
      <c r="A1004" s="139" t="e">
        <f t="shared" si="16"/>
        <v>#REF!</v>
      </c>
      <c r="B1004" s="140" t="s">
        <v>18</v>
      </c>
      <c r="C1004" s="140" t="s">
        <v>37</v>
      </c>
      <c r="D1004" s="140" t="s">
        <v>1515</v>
      </c>
      <c r="E1004" s="140" t="s">
        <v>2791</v>
      </c>
      <c r="F1004" s="140" t="s">
        <v>2792</v>
      </c>
      <c r="G1004" s="140" t="s">
        <v>2788</v>
      </c>
      <c r="H1004" s="140" t="s">
        <v>2793</v>
      </c>
      <c r="I1004" s="140" t="s">
        <v>2794</v>
      </c>
      <c r="J1004" s="140">
        <v>100000000</v>
      </c>
      <c r="K1004" s="139" t="s">
        <v>221</v>
      </c>
      <c r="L1004" s="140">
        <v>2792856</v>
      </c>
      <c r="M1004" s="155" t="s">
        <v>226</v>
      </c>
      <c r="N1004" s="10">
        <v>250</v>
      </c>
      <c r="O1004" s="10">
        <v>100000000</v>
      </c>
      <c r="P1004" s="140"/>
    </row>
    <row r="1005" spans="1:16" ht="43.5" x14ac:dyDescent="0.35">
      <c r="A1005" s="139" t="e">
        <f t="shared" si="16"/>
        <v>#REF!</v>
      </c>
      <c r="B1005" s="140" t="s">
        <v>18</v>
      </c>
      <c r="C1005" s="140" t="s">
        <v>37</v>
      </c>
      <c r="D1005" s="140" t="s">
        <v>1521</v>
      </c>
      <c r="E1005" s="140" t="s">
        <v>2795</v>
      </c>
      <c r="F1005" s="140" t="s">
        <v>2792</v>
      </c>
      <c r="G1005" s="140" t="s">
        <v>2788</v>
      </c>
      <c r="H1005" s="140" t="s">
        <v>2796</v>
      </c>
      <c r="I1005" s="140" t="s">
        <v>2797</v>
      </c>
      <c r="J1005" s="140">
        <v>100000000</v>
      </c>
      <c r="K1005" s="139" t="s">
        <v>221</v>
      </c>
      <c r="L1005" s="140">
        <v>2906135</v>
      </c>
      <c r="M1005" s="155" t="s">
        <v>226</v>
      </c>
      <c r="N1005" s="10">
        <v>10.5</v>
      </c>
      <c r="O1005" s="10">
        <v>100000000</v>
      </c>
      <c r="P1005" s="140"/>
    </row>
    <row r="1006" spans="1:16" ht="43.5" x14ac:dyDescent="0.35">
      <c r="A1006" s="139" t="e">
        <f t="shared" si="16"/>
        <v>#REF!</v>
      </c>
      <c r="B1006" s="140" t="s">
        <v>18</v>
      </c>
      <c r="C1006" s="140" t="s">
        <v>37</v>
      </c>
      <c r="D1006" s="140" t="s">
        <v>1515</v>
      </c>
      <c r="E1006" s="140" t="s">
        <v>2791</v>
      </c>
      <c r="F1006" s="140" t="s">
        <v>2792</v>
      </c>
      <c r="G1006" s="140" t="s">
        <v>2788</v>
      </c>
      <c r="H1006" s="140" t="s">
        <v>2798</v>
      </c>
      <c r="I1006" s="140" t="s">
        <v>2799</v>
      </c>
      <c r="J1006" s="140">
        <v>100000000</v>
      </c>
      <c r="K1006" s="139" t="s">
        <v>221</v>
      </c>
      <c r="L1006" s="140">
        <v>2932005</v>
      </c>
      <c r="M1006" s="155" t="s">
        <v>226</v>
      </c>
      <c r="N1006" s="10">
        <v>250</v>
      </c>
      <c r="O1006" s="10">
        <v>100000000</v>
      </c>
      <c r="P1006" s="140"/>
    </row>
    <row r="1007" spans="1:16" ht="43.5" x14ac:dyDescent="0.35">
      <c r="A1007" s="139" t="e">
        <f t="shared" si="16"/>
        <v>#REF!</v>
      </c>
      <c r="B1007" s="140" t="s">
        <v>18</v>
      </c>
      <c r="C1007" s="140" t="s">
        <v>37</v>
      </c>
      <c r="D1007" s="140" t="s">
        <v>1515</v>
      </c>
      <c r="E1007" s="140" t="s">
        <v>2791</v>
      </c>
      <c r="F1007" s="140" t="s">
        <v>2792</v>
      </c>
      <c r="G1007" s="140" t="s">
        <v>2788</v>
      </c>
      <c r="H1007" s="140" t="s">
        <v>2800</v>
      </c>
      <c r="I1007" s="140" t="s">
        <v>2799</v>
      </c>
      <c r="J1007" s="140">
        <v>100000000</v>
      </c>
      <c r="K1007" s="139" t="s">
        <v>221</v>
      </c>
      <c r="L1007" s="140">
        <v>2793776</v>
      </c>
      <c r="M1007" s="155" t="s">
        <v>226</v>
      </c>
      <c r="N1007" s="10">
        <v>250</v>
      </c>
      <c r="O1007" s="10">
        <v>100000000</v>
      </c>
      <c r="P1007" s="140"/>
    </row>
    <row r="1008" spans="1:16" ht="43.5" x14ac:dyDescent="0.35">
      <c r="A1008" s="139" t="e">
        <f t="shared" si="16"/>
        <v>#REF!</v>
      </c>
      <c r="B1008" s="140" t="s">
        <v>18</v>
      </c>
      <c r="C1008" s="140" t="s">
        <v>37</v>
      </c>
      <c r="D1008" s="140" t="s">
        <v>1515</v>
      </c>
      <c r="E1008" s="140" t="s">
        <v>2801</v>
      </c>
      <c r="F1008" s="140" t="s">
        <v>2792</v>
      </c>
      <c r="G1008" s="140" t="s">
        <v>2788</v>
      </c>
      <c r="H1008" s="140" t="s">
        <v>2802</v>
      </c>
      <c r="I1008" s="140" t="s">
        <v>2790</v>
      </c>
      <c r="J1008" s="140">
        <v>100000000</v>
      </c>
      <c r="K1008" s="139" t="s">
        <v>221</v>
      </c>
      <c r="L1008" s="140">
        <v>2817823</v>
      </c>
      <c r="M1008" s="155" t="s">
        <v>226</v>
      </c>
      <c r="N1008" s="10">
        <v>118</v>
      </c>
      <c r="O1008" s="10">
        <v>100000000</v>
      </c>
      <c r="P1008" s="140"/>
    </row>
    <row r="1009" spans="1:16" ht="43.5" x14ac:dyDescent="0.35">
      <c r="A1009" s="139" t="e">
        <f t="shared" si="16"/>
        <v>#REF!</v>
      </c>
      <c r="B1009" s="140" t="s">
        <v>18</v>
      </c>
      <c r="C1009" s="140" t="s">
        <v>37</v>
      </c>
      <c r="D1009" s="140" t="s">
        <v>1515</v>
      </c>
      <c r="E1009" s="140" t="s">
        <v>2791</v>
      </c>
      <c r="F1009" s="140" t="s">
        <v>2792</v>
      </c>
      <c r="G1009" s="140" t="s">
        <v>2788</v>
      </c>
      <c r="H1009" s="140" t="s">
        <v>2803</v>
      </c>
      <c r="I1009" s="140">
        <v>19</v>
      </c>
      <c r="J1009" s="140">
        <v>100000000</v>
      </c>
      <c r="K1009" s="139" t="s">
        <v>221</v>
      </c>
      <c r="L1009" s="140">
        <v>2932075</v>
      </c>
      <c r="M1009" s="155" t="s">
        <v>226</v>
      </c>
      <c r="N1009" s="10">
        <v>250</v>
      </c>
      <c r="O1009" s="10">
        <v>100000000</v>
      </c>
      <c r="P1009" s="140"/>
    </row>
    <row r="1010" spans="1:16" ht="43.5" x14ac:dyDescent="0.35">
      <c r="A1010" s="139" t="e">
        <f t="shared" si="16"/>
        <v>#REF!</v>
      </c>
      <c r="B1010" s="140" t="s">
        <v>18</v>
      </c>
      <c r="C1010" s="140" t="s">
        <v>37</v>
      </c>
      <c r="D1010" s="140" t="s">
        <v>1515</v>
      </c>
      <c r="E1010" s="140" t="s">
        <v>2804</v>
      </c>
      <c r="F1010" s="140" t="s">
        <v>2792</v>
      </c>
      <c r="G1010" s="140" t="s">
        <v>2788</v>
      </c>
      <c r="H1010" s="140" t="s">
        <v>2805</v>
      </c>
      <c r="I1010" s="140" t="s">
        <v>2806</v>
      </c>
      <c r="J1010" s="140">
        <v>100000000</v>
      </c>
      <c r="K1010" s="139" t="s">
        <v>221</v>
      </c>
      <c r="L1010" s="140">
        <v>2792764</v>
      </c>
      <c r="M1010" s="155" t="s">
        <v>226</v>
      </c>
      <c r="N1010" s="10">
        <v>250</v>
      </c>
      <c r="O1010" s="10">
        <v>100000000</v>
      </c>
      <c r="P1010" s="140"/>
    </row>
    <row r="1011" spans="1:16" ht="43.5" x14ac:dyDescent="0.35">
      <c r="A1011" s="139" t="e">
        <f t="shared" si="16"/>
        <v>#REF!</v>
      </c>
      <c r="B1011" s="140" t="s">
        <v>18</v>
      </c>
      <c r="C1011" s="140" t="s">
        <v>37</v>
      </c>
      <c r="D1011" s="140" t="s">
        <v>1515</v>
      </c>
      <c r="E1011" s="140" t="s">
        <v>2791</v>
      </c>
      <c r="F1011" s="140" t="s">
        <v>2792</v>
      </c>
      <c r="G1011" s="140" t="s">
        <v>2788</v>
      </c>
      <c r="H1011" s="140" t="s">
        <v>2807</v>
      </c>
      <c r="I1011" s="140" t="s">
        <v>2794</v>
      </c>
      <c r="J1011" s="140">
        <v>100000000</v>
      </c>
      <c r="K1011" s="139" t="s">
        <v>221</v>
      </c>
      <c r="L1011" s="140">
        <v>2820615</v>
      </c>
      <c r="M1011" s="155" t="s">
        <v>226</v>
      </c>
      <c r="N1011" s="10">
        <v>250</v>
      </c>
      <c r="O1011" s="10">
        <v>100000000</v>
      </c>
      <c r="P1011" s="140"/>
    </row>
    <row r="1012" spans="1:16" ht="43.5" x14ac:dyDescent="0.35">
      <c r="A1012" s="139" t="e">
        <f t="shared" si="16"/>
        <v>#REF!</v>
      </c>
      <c r="B1012" s="140" t="s">
        <v>18</v>
      </c>
      <c r="C1012" s="140" t="s">
        <v>37</v>
      </c>
      <c r="D1012" s="140" t="s">
        <v>1515</v>
      </c>
      <c r="E1012" s="140" t="s">
        <v>2804</v>
      </c>
      <c r="F1012" s="140" t="s">
        <v>2792</v>
      </c>
      <c r="G1012" s="140" t="s">
        <v>2788</v>
      </c>
      <c r="H1012" s="140" t="s">
        <v>2808</v>
      </c>
      <c r="I1012" s="140" t="s">
        <v>2806</v>
      </c>
      <c r="J1012" s="140">
        <v>100000000</v>
      </c>
      <c r="K1012" s="139" t="s">
        <v>221</v>
      </c>
      <c r="L1012" s="140">
        <v>2792822</v>
      </c>
      <c r="M1012" s="155" t="s">
        <v>226</v>
      </c>
      <c r="N1012" s="10">
        <v>250</v>
      </c>
      <c r="O1012" s="10">
        <v>100000000</v>
      </c>
      <c r="P1012" s="140"/>
    </row>
    <row r="1013" spans="1:16" ht="58" x14ac:dyDescent="0.35">
      <c r="A1013" s="139" t="e">
        <f t="shared" si="16"/>
        <v>#REF!</v>
      </c>
      <c r="B1013" s="140" t="s">
        <v>18</v>
      </c>
      <c r="C1013" s="140" t="s">
        <v>37</v>
      </c>
      <c r="D1013" s="140" t="s">
        <v>476</v>
      </c>
      <c r="E1013" s="140" t="s">
        <v>2809</v>
      </c>
      <c r="F1013" s="140" t="s">
        <v>2810</v>
      </c>
      <c r="G1013" s="140" t="s">
        <v>2811</v>
      </c>
      <c r="H1013" s="140" t="s">
        <v>2812</v>
      </c>
      <c r="I1013" s="140" t="s">
        <v>2813</v>
      </c>
      <c r="J1013" s="140">
        <v>1000000000</v>
      </c>
      <c r="K1013" s="139" t="s">
        <v>221</v>
      </c>
      <c r="L1013" s="140">
        <v>3011945</v>
      </c>
      <c r="M1013" s="155" t="s">
        <v>226</v>
      </c>
      <c r="N1013" s="10" t="s">
        <v>2814</v>
      </c>
      <c r="O1013" s="10">
        <v>1000000000</v>
      </c>
      <c r="P1013" s="140" t="s">
        <v>2815</v>
      </c>
    </row>
    <row r="1014" spans="1:16" ht="43.5" x14ac:dyDescent="0.35">
      <c r="A1014" s="139" t="e">
        <f t="shared" si="16"/>
        <v>#REF!</v>
      </c>
      <c r="B1014" s="140" t="s">
        <v>18</v>
      </c>
      <c r="C1014" s="140" t="s">
        <v>37</v>
      </c>
      <c r="D1014" s="140" t="s">
        <v>1515</v>
      </c>
      <c r="E1014" s="140" t="s">
        <v>1718</v>
      </c>
      <c r="F1014" s="140" t="s">
        <v>2816</v>
      </c>
      <c r="G1014" s="140" t="s">
        <v>1376</v>
      </c>
      <c r="H1014" s="140" t="s">
        <v>2817</v>
      </c>
      <c r="I1014" s="140" t="s">
        <v>2818</v>
      </c>
      <c r="J1014" s="140">
        <v>200000000</v>
      </c>
      <c r="K1014" s="139" t="s">
        <v>221</v>
      </c>
      <c r="L1014" s="140">
        <v>3174597</v>
      </c>
      <c r="M1014" s="155" t="s">
        <v>226</v>
      </c>
      <c r="N1014" s="10">
        <v>610.00000457500005</v>
      </c>
      <c r="O1014" s="10">
        <v>200000000</v>
      </c>
      <c r="P1014" s="140"/>
    </row>
    <row r="1015" spans="1:16" ht="43.5" x14ac:dyDescent="0.35">
      <c r="A1015" s="139" t="e">
        <f t="shared" si="16"/>
        <v>#REF!</v>
      </c>
      <c r="B1015" s="140" t="s">
        <v>18</v>
      </c>
      <c r="C1015" s="140" t="s">
        <v>37</v>
      </c>
      <c r="D1015" s="140" t="s">
        <v>1515</v>
      </c>
      <c r="E1015" s="140" t="s">
        <v>1718</v>
      </c>
      <c r="F1015" s="140" t="s">
        <v>2816</v>
      </c>
      <c r="G1015" s="140" t="s">
        <v>1376</v>
      </c>
      <c r="H1015" s="140" t="s">
        <v>2819</v>
      </c>
      <c r="I1015" s="140" t="s">
        <v>2818</v>
      </c>
      <c r="J1015" s="140">
        <v>200000000</v>
      </c>
      <c r="K1015" s="139" t="s">
        <v>221</v>
      </c>
      <c r="L1015" s="140">
        <v>3174597</v>
      </c>
      <c r="M1015" s="155" t="s">
        <v>226</v>
      </c>
      <c r="N1015" s="10">
        <v>610.00000457500005</v>
      </c>
      <c r="O1015" s="10">
        <v>200000000</v>
      </c>
      <c r="P1015" s="140">
        <v>327868.84999999998</v>
      </c>
    </row>
    <row r="1016" spans="1:16" ht="43.5" x14ac:dyDescent="0.35">
      <c r="A1016" s="139" t="e">
        <f t="shared" si="16"/>
        <v>#REF!</v>
      </c>
      <c r="B1016" s="140" t="s">
        <v>18</v>
      </c>
      <c r="C1016" s="140" t="s">
        <v>37</v>
      </c>
      <c r="D1016" s="140" t="s">
        <v>1515</v>
      </c>
      <c r="E1016" s="140" t="s">
        <v>1718</v>
      </c>
      <c r="F1016" s="140" t="s">
        <v>2816</v>
      </c>
      <c r="G1016" s="140" t="s">
        <v>1376</v>
      </c>
      <c r="H1016" s="140" t="s">
        <v>1377</v>
      </c>
      <c r="I1016" s="140" t="s">
        <v>2820</v>
      </c>
      <c r="J1016" s="140">
        <v>100000000</v>
      </c>
      <c r="K1016" s="139" t="s">
        <v>221</v>
      </c>
      <c r="L1016" s="140">
        <v>3174597</v>
      </c>
      <c r="M1016" s="155" t="s">
        <v>226</v>
      </c>
      <c r="N1016" s="10">
        <v>305.00000228750002</v>
      </c>
      <c r="O1016" s="10">
        <v>100000000</v>
      </c>
      <c r="P1016" s="140"/>
    </row>
    <row r="1017" spans="1:16" ht="43.5" x14ac:dyDescent="0.35">
      <c r="A1017" s="139" t="e">
        <f>#REF!+1</f>
        <v>#REF!</v>
      </c>
      <c r="B1017" s="140" t="s">
        <v>18</v>
      </c>
      <c r="C1017" s="140" t="s">
        <v>37</v>
      </c>
      <c r="D1017" s="140" t="s">
        <v>1515</v>
      </c>
      <c r="E1017" s="140" t="s">
        <v>1718</v>
      </c>
      <c r="F1017" s="140" t="s">
        <v>2816</v>
      </c>
      <c r="G1017" s="140" t="s">
        <v>1376</v>
      </c>
      <c r="H1017" s="140" t="s">
        <v>2821</v>
      </c>
      <c r="I1017" s="140" t="s">
        <v>2822</v>
      </c>
      <c r="J1017" s="140">
        <v>145000000</v>
      </c>
      <c r="K1017" s="139" t="s">
        <v>221</v>
      </c>
      <c r="L1017" s="140">
        <v>3174597</v>
      </c>
      <c r="M1017" s="155" t="s">
        <v>226</v>
      </c>
      <c r="N1017" s="10">
        <v>442.25000331687505</v>
      </c>
      <c r="O1017" s="10">
        <v>144755100</v>
      </c>
      <c r="P1017" s="140"/>
    </row>
    <row r="1018" spans="1:16" ht="43.5" x14ac:dyDescent="0.35">
      <c r="A1018" s="139" t="e">
        <f t="shared" si="16"/>
        <v>#REF!</v>
      </c>
      <c r="B1018" s="140" t="s">
        <v>18</v>
      </c>
      <c r="C1018" s="140" t="s">
        <v>37</v>
      </c>
      <c r="D1018" s="140" t="s">
        <v>1515</v>
      </c>
      <c r="E1018" s="140" t="s">
        <v>1718</v>
      </c>
      <c r="F1018" s="140" t="s">
        <v>2816</v>
      </c>
      <c r="G1018" s="140" t="s">
        <v>1376</v>
      </c>
      <c r="H1018" s="140" t="s">
        <v>2823</v>
      </c>
      <c r="I1018" s="140" t="s">
        <v>2818</v>
      </c>
      <c r="J1018" s="140">
        <v>200000000</v>
      </c>
      <c r="K1018" s="139" t="s">
        <v>221</v>
      </c>
      <c r="L1018" s="140">
        <v>3174597</v>
      </c>
      <c r="M1018" s="155" t="s">
        <v>226</v>
      </c>
      <c r="N1018" s="10">
        <v>610.00000457500005</v>
      </c>
      <c r="O1018" s="10">
        <v>200000000</v>
      </c>
      <c r="P1018" s="140"/>
    </row>
    <row r="1019" spans="1:16" ht="43.5" x14ac:dyDescent="0.35">
      <c r="A1019" s="139" t="e">
        <f t="shared" si="16"/>
        <v>#REF!</v>
      </c>
      <c r="B1019" s="140" t="s">
        <v>18</v>
      </c>
      <c r="C1019" s="140" t="s">
        <v>37</v>
      </c>
      <c r="D1019" s="140" t="s">
        <v>1515</v>
      </c>
      <c r="E1019" s="140" t="s">
        <v>1544</v>
      </c>
      <c r="F1019" s="140" t="s">
        <v>2824</v>
      </c>
      <c r="G1019" s="140" t="s">
        <v>1545</v>
      </c>
      <c r="H1019" s="140" t="s">
        <v>2825</v>
      </c>
      <c r="I1019" s="140" t="s">
        <v>1547</v>
      </c>
      <c r="J1019" s="140">
        <v>100000000</v>
      </c>
      <c r="K1019" s="139" t="s">
        <v>221</v>
      </c>
      <c r="L1019" s="140">
        <v>2971269</v>
      </c>
      <c r="M1019" s="155" t="s">
        <v>226</v>
      </c>
      <c r="N1019" s="10">
        <v>250</v>
      </c>
      <c r="O1019" s="10">
        <v>100000000</v>
      </c>
      <c r="P1019" s="140"/>
    </row>
    <row r="1020" spans="1:16" ht="43.5" x14ac:dyDescent="0.35">
      <c r="A1020" s="139" t="e">
        <f t="shared" si="16"/>
        <v>#REF!</v>
      </c>
      <c r="B1020" s="140" t="s">
        <v>18</v>
      </c>
      <c r="C1020" s="140" t="s">
        <v>37</v>
      </c>
      <c r="D1020" s="140" t="s">
        <v>1515</v>
      </c>
      <c r="E1020" s="140" t="s">
        <v>1544</v>
      </c>
      <c r="F1020" s="140" t="s">
        <v>2824</v>
      </c>
      <c r="G1020" s="140" t="s">
        <v>1545</v>
      </c>
      <c r="H1020" s="140" t="s">
        <v>2826</v>
      </c>
      <c r="I1020" s="140" t="s">
        <v>1547</v>
      </c>
      <c r="J1020" s="140">
        <v>100000000</v>
      </c>
      <c r="K1020" s="139" t="s">
        <v>221</v>
      </c>
      <c r="L1020" s="140">
        <v>2971618</v>
      </c>
      <c r="M1020" s="155" t="s">
        <v>226</v>
      </c>
      <c r="N1020" s="10">
        <v>250</v>
      </c>
      <c r="O1020" s="10">
        <v>100000000</v>
      </c>
      <c r="P1020" s="140"/>
    </row>
    <row r="1021" spans="1:16" ht="43.5" x14ac:dyDescent="0.35">
      <c r="A1021" s="139" t="e">
        <f t="shared" si="16"/>
        <v>#REF!</v>
      </c>
      <c r="B1021" s="140" t="s">
        <v>18</v>
      </c>
      <c r="C1021" s="140" t="s">
        <v>37</v>
      </c>
      <c r="D1021" s="140" t="s">
        <v>1515</v>
      </c>
      <c r="E1021" s="140" t="s">
        <v>1544</v>
      </c>
      <c r="F1021" s="140" t="s">
        <v>2824</v>
      </c>
      <c r="G1021" s="140" t="s">
        <v>1545</v>
      </c>
      <c r="H1021" s="140" t="s">
        <v>2827</v>
      </c>
      <c r="I1021" s="140" t="s">
        <v>1547</v>
      </c>
      <c r="J1021" s="140">
        <v>100000000</v>
      </c>
      <c r="K1021" s="139" t="s">
        <v>221</v>
      </c>
      <c r="L1021" s="140">
        <v>2871445</v>
      </c>
      <c r="M1021" s="155" t="s">
        <v>226</v>
      </c>
      <c r="N1021" s="10">
        <v>250</v>
      </c>
      <c r="O1021" s="10">
        <v>100000000</v>
      </c>
      <c r="P1021" s="140"/>
    </row>
    <row r="1022" spans="1:16" ht="43.5" x14ac:dyDescent="0.35">
      <c r="A1022" s="139" t="e">
        <f t="shared" si="16"/>
        <v>#REF!</v>
      </c>
      <c r="B1022" s="140" t="s">
        <v>18</v>
      </c>
      <c r="C1022" s="140" t="s">
        <v>37</v>
      </c>
      <c r="D1022" s="140" t="s">
        <v>1515</v>
      </c>
      <c r="E1022" s="140" t="s">
        <v>1544</v>
      </c>
      <c r="F1022" s="140" t="s">
        <v>2824</v>
      </c>
      <c r="G1022" s="140" t="s">
        <v>1545</v>
      </c>
      <c r="H1022" s="140" t="s">
        <v>2828</v>
      </c>
      <c r="I1022" s="140" t="s">
        <v>1547</v>
      </c>
      <c r="J1022" s="140">
        <v>100000000</v>
      </c>
      <c r="K1022" s="139" t="s">
        <v>221</v>
      </c>
      <c r="L1022" s="140">
        <v>2971950</v>
      </c>
      <c r="M1022" s="155" t="s">
        <v>226</v>
      </c>
      <c r="N1022" s="10">
        <v>250</v>
      </c>
      <c r="O1022" s="10">
        <v>100000000</v>
      </c>
      <c r="P1022" s="140"/>
    </row>
    <row r="1023" spans="1:16" ht="43.5" x14ac:dyDescent="0.35">
      <c r="A1023" s="139" t="e">
        <f t="shared" si="16"/>
        <v>#REF!</v>
      </c>
      <c r="B1023" s="140" t="s">
        <v>18</v>
      </c>
      <c r="C1023" s="140" t="s">
        <v>37</v>
      </c>
      <c r="D1023" s="140" t="s">
        <v>1515</v>
      </c>
      <c r="E1023" s="140" t="s">
        <v>1544</v>
      </c>
      <c r="F1023" s="140" t="s">
        <v>2824</v>
      </c>
      <c r="G1023" s="140" t="s">
        <v>1545</v>
      </c>
      <c r="H1023" s="140" t="s">
        <v>2829</v>
      </c>
      <c r="I1023" s="140" t="s">
        <v>1547</v>
      </c>
      <c r="J1023" s="140">
        <v>100000000</v>
      </c>
      <c r="K1023" s="139" t="s">
        <v>221</v>
      </c>
      <c r="L1023" s="140">
        <v>2971769</v>
      </c>
      <c r="M1023" s="155" t="s">
        <v>226</v>
      </c>
      <c r="N1023" s="10">
        <v>250</v>
      </c>
      <c r="O1023" s="10">
        <v>100000000</v>
      </c>
      <c r="P1023" s="140"/>
    </row>
    <row r="1024" spans="1:16" ht="43.5" x14ac:dyDescent="0.35">
      <c r="A1024" s="139" t="e">
        <f t="shared" si="16"/>
        <v>#REF!</v>
      </c>
      <c r="B1024" s="140" t="s">
        <v>18</v>
      </c>
      <c r="C1024" s="140" t="s">
        <v>37</v>
      </c>
      <c r="D1024" s="140" t="s">
        <v>1515</v>
      </c>
      <c r="E1024" s="140" t="s">
        <v>1544</v>
      </c>
      <c r="F1024" s="140" t="s">
        <v>2824</v>
      </c>
      <c r="G1024" s="140" t="s">
        <v>1545</v>
      </c>
      <c r="H1024" s="140" t="s">
        <v>2830</v>
      </c>
      <c r="I1024" s="140" t="s">
        <v>1547</v>
      </c>
      <c r="J1024" s="140">
        <v>100000000</v>
      </c>
      <c r="K1024" s="139" t="s">
        <v>221</v>
      </c>
      <c r="L1024" s="140">
        <v>2871335</v>
      </c>
      <c r="M1024" s="155" t="s">
        <v>226</v>
      </c>
      <c r="N1024" s="10">
        <v>250</v>
      </c>
      <c r="O1024" s="10">
        <v>100000000</v>
      </c>
      <c r="P1024" s="140"/>
    </row>
    <row r="1025" spans="1:16" ht="43.5" x14ac:dyDescent="0.35">
      <c r="A1025" s="139" t="e">
        <f t="shared" si="16"/>
        <v>#REF!</v>
      </c>
      <c r="B1025" s="140" t="s">
        <v>18</v>
      </c>
      <c r="C1025" s="140" t="s">
        <v>37</v>
      </c>
      <c r="D1025" s="140" t="s">
        <v>1515</v>
      </c>
      <c r="E1025" s="140" t="s">
        <v>1544</v>
      </c>
      <c r="F1025" s="140" t="s">
        <v>2824</v>
      </c>
      <c r="G1025" s="140" t="s">
        <v>1545</v>
      </c>
      <c r="H1025" s="140" t="s">
        <v>2831</v>
      </c>
      <c r="I1025" s="140" t="s">
        <v>1547</v>
      </c>
      <c r="J1025" s="140">
        <v>100000000</v>
      </c>
      <c r="K1025" s="139" t="s">
        <v>221</v>
      </c>
      <c r="L1025" s="140">
        <v>2871164</v>
      </c>
      <c r="M1025" s="155" t="s">
        <v>226</v>
      </c>
      <c r="N1025" s="10">
        <v>250</v>
      </c>
      <c r="O1025" s="10">
        <v>100000000</v>
      </c>
      <c r="P1025" s="140"/>
    </row>
    <row r="1026" spans="1:16" ht="43.5" x14ac:dyDescent="0.35">
      <c r="A1026" s="139" t="e">
        <f t="shared" si="16"/>
        <v>#REF!</v>
      </c>
      <c r="B1026" s="140" t="s">
        <v>18</v>
      </c>
      <c r="C1026" s="140" t="s">
        <v>37</v>
      </c>
      <c r="D1026" s="140" t="s">
        <v>1515</v>
      </c>
      <c r="E1026" s="140" t="s">
        <v>1544</v>
      </c>
      <c r="F1026" s="140" t="s">
        <v>2824</v>
      </c>
      <c r="G1026" s="140" t="s">
        <v>1545</v>
      </c>
      <c r="H1026" s="140" t="s">
        <v>2832</v>
      </c>
      <c r="I1026" s="140" t="s">
        <v>1547</v>
      </c>
      <c r="J1026" s="140">
        <v>100000000</v>
      </c>
      <c r="K1026" s="139" t="s">
        <v>221</v>
      </c>
      <c r="L1026" s="140">
        <v>2871244</v>
      </c>
      <c r="M1026" s="155" t="s">
        <v>226</v>
      </c>
      <c r="N1026" s="10">
        <v>250</v>
      </c>
      <c r="O1026" s="10">
        <v>100000000</v>
      </c>
      <c r="P1026" s="140"/>
    </row>
    <row r="1027" spans="1:16" ht="43.5" x14ac:dyDescent="0.35">
      <c r="A1027" s="139" t="e">
        <f t="shared" si="16"/>
        <v>#REF!</v>
      </c>
      <c r="B1027" s="140" t="s">
        <v>18</v>
      </c>
      <c r="C1027" s="140" t="s">
        <v>37</v>
      </c>
      <c r="D1027" s="140" t="s">
        <v>1515</v>
      </c>
      <c r="E1027" s="140" t="s">
        <v>1544</v>
      </c>
      <c r="F1027" s="140" t="s">
        <v>2824</v>
      </c>
      <c r="G1027" s="140" t="s">
        <v>1545</v>
      </c>
      <c r="H1027" s="140" t="s">
        <v>2833</v>
      </c>
      <c r="I1027" s="140" t="s">
        <v>1547</v>
      </c>
      <c r="J1027" s="140">
        <v>100000000</v>
      </c>
      <c r="K1027" s="139" t="s">
        <v>221</v>
      </c>
      <c r="L1027" s="140">
        <v>2871098</v>
      </c>
      <c r="M1027" s="155" t="s">
        <v>226</v>
      </c>
      <c r="N1027" s="10">
        <v>250</v>
      </c>
      <c r="O1027" s="10">
        <v>100000000</v>
      </c>
      <c r="P1027" s="140"/>
    </row>
    <row r="1028" spans="1:16" ht="43.5" x14ac:dyDescent="0.35">
      <c r="A1028" s="139" t="e">
        <f t="shared" si="16"/>
        <v>#REF!</v>
      </c>
      <c r="B1028" s="140" t="s">
        <v>18</v>
      </c>
      <c r="C1028" s="140" t="s">
        <v>37</v>
      </c>
      <c r="D1028" s="140" t="s">
        <v>1515</v>
      </c>
      <c r="E1028" s="140" t="s">
        <v>1544</v>
      </c>
      <c r="F1028" s="140" t="s">
        <v>2824</v>
      </c>
      <c r="G1028" s="140" t="s">
        <v>1545</v>
      </c>
      <c r="H1028" s="140" t="s">
        <v>2834</v>
      </c>
      <c r="I1028" s="140" t="s">
        <v>1547</v>
      </c>
      <c r="J1028" s="140">
        <v>100000000</v>
      </c>
      <c r="K1028" s="139" t="s">
        <v>221</v>
      </c>
      <c r="L1028" s="140">
        <v>2870962</v>
      </c>
      <c r="M1028" s="155" t="s">
        <v>226</v>
      </c>
      <c r="N1028" s="10">
        <v>250</v>
      </c>
      <c r="O1028" s="10">
        <v>100000000</v>
      </c>
      <c r="P1028" s="140"/>
    </row>
    <row r="1029" spans="1:16" ht="43.5" x14ac:dyDescent="0.35">
      <c r="A1029" s="139" t="e">
        <f t="shared" si="16"/>
        <v>#REF!</v>
      </c>
      <c r="B1029" s="140" t="s">
        <v>18</v>
      </c>
      <c r="C1029" s="140" t="s">
        <v>37</v>
      </c>
      <c r="D1029" s="140" t="s">
        <v>1521</v>
      </c>
      <c r="E1029" s="140" t="s">
        <v>2625</v>
      </c>
      <c r="F1029" s="140" t="s">
        <v>48</v>
      </c>
      <c r="G1029" s="140" t="s">
        <v>429</v>
      </c>
      <c r="H1029" s="140" t="s">
        <v>2835</v>
      </c>
      <c r="I1029" s="140" t="s">
        <v>1259</v>
      </c>
      <c r="J1029" s="140">
        <v>142500000</v>
      </c>
      <c r="K1029" s="139" t="s">
        <v>221</v>
      </c>
      <c r="L1029" s="140">
        <v>2895840</v>
      </c>
      <c r="M1029" s="155" t="s">
        <v>226</v>
      </c>
      <c r="N1029" s="10">
        <v>15</v>
      </c>
      <c r="O1029" s="10">
        <v>179985000</v>
      </c>
      <c r="P1029" s="140"/>
    </row>
    <row r="1030" spans="1:16" ht="43.5" x14ac:dyDescent="0.35">
      <c r="A1030" s="139" t="e">
        <f t="shared" si="16"/>
        <v>#REF!</v>
      </c>
      <c r="B1030" s="140" t="s">
        <v>18</v>
      </c>
      <c r="C1030" s="140" t="s">
        <v>37</v>
      </c>
      <c r="D1030" s="140" t="s">
        <v>1521</v>
      </c>
      <c r="E1030" s="140" t="s">
        <v>2836</v>
      </c>
      <c r="F1030" s="140" t="s">
        <v>48</v>
      </c>
      <c r="G1030" s="140" t="s">
        <v>429</v>
      </c>
      <c r="H1030" s="140" t="s">
        <v>2837</v>
      </c>
      <c r="I1030" s="140" t="s">
        <v>1187</v>
      </c>
      <c r="J1030" s="140">
        <v>100000000</v>
      </c>
      <c r="K1030" s="139" t="s">
        <v>221</v>
      </c>
      <c r="L1030" s="140">
        <v>2895706</v>
      </c>
      <c r="M1030" s="155" t="s">
        <v>226</v>
      </c>
      <c r="N1030" s="10">
        <v>200</v>
      </c>
      <c r="O1030" s="10">
        <v>31140000</v>
      </c>
      <c r="P1030" s="140"/>
    </row>
    <row r="1031" spans="1:16" ht="43.5" x14ac:dyDescent="0.35">
      <c r="A1031" s="139" t="e">
        <f t="shared" si="16"/>
        <v>#REF!</v>
      </c>
      <c r="B1031" s="140" t="s">
        <v>18</v>
      </c>
      <c r="C1031" s="140" t="s">
        <v>37</v>
      </c>
      <c r="D1031" s="140" t="s">
        <v>1515</v>
      </c>
      <c r="E1031" s="140" t="s">
        <v>2838</v>
      </c>
      <c r="F1031" s="140" t="s">
        <v>48</v>
      </c>
      <c r="G1031" s="140" t="s">
        <v>429</v>
      </c>
      <c r="H1031" s="140" t="s">
        <v>2837</v>
      </c>
      <c r="I1031" s="140" t="s">
        <v>341</v>
      </c>
      <c r="J1031" s="140">
        <v>70000000</v>
      </c>
      <c r="K1031" s="139" t="s">
        <v>221</v>
      </c>
      <c r="L1031" s="140">
        <v>2905974</v>
      </c>
      <c r="M1031" s="155" t="s">
        <v>226</v>
      </c>
      <c r="N1031" s="10">
        <v>50</v>
      </c>
      <c r="O1031" s="10">
        <v>139100000</v>
      </c>
      <c r="P1031" s="140"/>
    </row>
    <row r="1032" spans="1:16" ht="43.5" x14ac:dyDescent="0.35">
      <c r="A1032" s="139" t="e">
        <f t="shared" si="16"/>
        <v>#REF!</v>
      </c>
      <c r="B1032" s="140" t="s">
        <v>18</v>
      </c>
      <c r="C1032" s="140" t="s">
        <v>37</v>
      </c>
      <c r="D1032" s="140" t="s">
        <v>1515</v>
      </c>
      <c r="E1032" s="140" t="s">
        <v>2839</v>
      </c>
      <c r="F1032" s="140" t="s">
        <v>2816</v>
      </c>
      <c r="G1032" s="140" t="s">
        <v>429</v>
      </c>
      <c r="H1032" s="140" t="s">
        <v>430</v>
      </c>
      <c r="I1032" s="140" t="s">
        <v>1213</v>
      </c>
      <c r="J1032" s="140">
        <v>75000000</v>
      </c>
      <c r="K1032" s="139" t="s">
        <v>221</v>
      </c>
      <c r="L1032" s="140">
        <v>2906000</v>
      </c>
      <c r="M1032" s="155" t="s">
        <v>226</v>
      </c>
      <c r="N1032" s="10">
        <v>187.5</v>
      </c>
      <c r="O1032" s="10">
        <v>75000000</v>
      </c>
      <c r="P1032" s="140"/>
    </row>
    <row r="1033" spans="1:16" ht="43.5" x14ac:dyDescent="0.35">
      <c r="A1033" s="139" t="e">
        <f t="shared" si="16"/>
        <v>#REF!</v>
      </c>
      <c r="B1033" s="140" t="s">
        <v>18</v>
      </c>
      <c r="C1033" s="140" t="s">
        <v>37</v>
      </c>
      <c r="D1033" s="140" t="s">
        <v>1521</v>
      </c>
      <c r="E1033" s="140" t="s">
        <v>2840</v>
      </c>
      <c r="F1033" s="140" t="s">
        <v>48</v>
      </c>
      <c r="G1033" s="140" t="s">
        <v>429</v>
      </c>
      <c r="H1033" s="140" t="s">
        <v>433</v>
      </c>
      <c r="I1033" s="140" t="s">
        <v>1187</v>
      </c>
      <c r="J1033" s="140">
        <v>100000000</v>
      </c>
      <c r="K1033" s="139" t="s">
        <v>221</v>
      </c>
      <c r="L1033" s="140">
        <v>2895743</v>
      </c>
      <c r="M1033" s="155" t="s">
        <v>226</v>
      </c>
      <c r="N1033" s="10">
        <v>400</v>
      </c>
      <c r="O1033" s="10">
        <v>62280000</v>
      </c>
      <c r="P1033" s="140"/>
    </row>
    <row r="1034" spans="1:16" ht="43.5" x14ac:dyDescent="0.35">
      <c r="A1034" s="139" t="e">
        <f t="shared" si="16"/>
        <v>#REF!</v>
      </c>
      <c r="B1034" s="140" t="s">
        <v>18</v>
      </c>
      <c r="C1034" s="140" t="s">
        <v>37</v>
      </c>
      <c r="D1034" s="140" t="s">
        <v>1515</v>
      </c>
      <c r="E1034" s="140" t="s">
        <v>2839</v>
      </c>
      <c r="F1034" s="140" t="s">
        <v>2816</v>
      </c>
      <c r="G1034" s="140" t="s">
        <v>429</v>
      </c>
      <c r="H1034" s="140" t="s">
        <v>433</v>
      </c>
      <c r="I1034" s="140" t="s">
        <v>341</v>
      </c>
      <c r="J1034" s="140">
        <v>55000000</v>
      </c>
      <c r="K1034" s="139" t="s">
        <v>221</v>
      </c>
      <c r="L1034" s="140">
        <v>2906000</v>
      </c>
      <c r="M1034" s="155" t="s">
        <v>226</v>
      </c>
      <c r="N1034" s="10">
        <v>137.5</v>
      </c>
      <c r="O1034" s="10">
        <v>55000000</v>
      </c>
      <c r="P1034" s="140"/>
    </row>
    <row r="1035" spans="1:16" ht="43.5" x14ac:dyDescent="0.35">
      <c r="A1035" s="139" t="e">
        <f t="shared" si="16"/>
        <v>#REF!</v>
      </c>
      <c r="B1035" s="140" t="s">
        <v>18</v>
      </c>
      <c r="C1035" s="140" t="s">
        <v>37</v>
      </c>
      <c r="D1035" s="140" t="s">
        <v>1515</v>
      </c>
      <c r="E1035" s="140" t="s">
        <v>2839</v>
      </c>
      <c r="F1035" s="140" t="s">
        <v>2816</v>
      </c>
      <c r="G1035" s="140" t="s">
        <v>429</v>
      </c>
      <c r="H1035" s="140" t="s">
        <v>1380</v>
      </c>
      <c r="I1035" s="140" t="s">
        <v>1259</v>
      </c>
      <c r="J1035" s="140">
        <v>35000000</v>
      </c>
      <c r="K1035" s="139" t="s">
        <v>221</v>
      </c>
      <c r="L1035" s="140">
        <v>2906000</v>
      </c>
      <c r="M1035" s="155" t="s">
        <v>226</v>
      </c>
      <c r="N1035" s="10">
        <v>87.5</v>
      </c>
      <c r="O1035" s="10">
        <v>35000000</v>
      </c>
      <c r="P1035" s="140"/>
    </row>
    <row r="1036" spans="1:16" ht="43.5" x14ac:dyDescent="0.35">
      <c r="A1036" s="139" t="e">
        <f t="shared" si="16"/>
        <v>#REF!</v>
      </c>
      <c r="B1036" s="140" t="s">
        <v>18</v>
      </c>
      <c r="C1036" s="140" t="s">
        <v>37</v>
      </c>
      <c r="D1036" s="140" t="s">
        <v>1515</v>
      </c>
      <c r="E1036" s="140" t="s">
        <v>2839</v>
      </c>
      <c r="F1036" s="140" t="s">
        <v>2816</v>
      </c>
      <c r="G1036" s="140" t="s">
        <v>429</v>
      </c>
      <c r="H1036" s="140" t="s">
        <v>762</v>
      </c>
      <c r="I1036" s="140" t="s">
        <v>2841</v>
      </c>
      <c r="J1036" s="140">
        <v>135000000</v>
      </c>
      <c r="K1036" s="139" t="s">
        <v>221</v>
      </c>
      <c r="L1036" s="140">
        <v>2906000</v>
      </c>
      <c r="M1036" s="155" t="s">
        <v>226</v>
      </c>
      <c r="N1036" s="10">
        <v>337.5</v>
      </c>
      <c r="O1036" s="10">
        <v>135000000</v>
      </c>
      <c r="P1036" s="140"/>
    </row>
    <row r="1037" spans="1:16" ht="43.5" x14ac:dyDescent="0.35">
      <c r="A1037" s="139" t="e">
        <f t="shared" si="16"/>
        <v>#REF!</v>
      </c>
      <c r="B1037" s="140" t="s">
        <v>18</v>
      </c>
      <c r="C1037" s="140" t="s">
        <v>37</v>
      </c>
      <c r="D1037" s="140" t="s">
        <v>1515</v>
      </c>
      <c r="E1037" s="140" t="s">
        <v>2842</v>
      </c>
      <c r="F1037" s="140" t="s">
        <v>48</v>
      </c>
      <c r="G1037" s="140" t="s">
        <v>436</v>
      </c>
      <c r="H1037" s="140" t="s">
        <v>2843</v>
      </c>
      <c r="I1037" s="140" t="s">
        <v>1599</v>
      </c>
      <c r="J1037" s="140">
        <v>50000000</v>
      </c>
      <c r="K1037" s="139" t="s">
        <v>221</v>
      </c>
      <c r="L1037" s="140">
        <v>2937677</v>
      </c>
      <c r="M1037" s="155" t="s">
        <v>226</v>
      </c>
      <c r="N1037" s="10" t="s">
        <v>1173</v>
      </c>
      <c r="O1037" s="10">
        <v>260000000</v>
      </c>
      <c r="P1037" s="140" t="s">
        <v>2844</v>
      </c>
    </row>
    <row r="1038" spans="1:16" ht="43.5" x14ac:dyDescent="0.35">
      <c r="A1038" s="139" t="e">
        <f t="shared" si="16"/>
        <v>#REF!</v>
      </c>
      <c r="B1038" s="140" t="s">
        <v>18</v>
      </c>
      <c r="C1038" s="140" t="s">
        <v>37</v>
      </c>
      <c r="D1038" s="140" t="s">
        <v>1515</v>
      </c>
      <c r="E1038" s="140" t="s">
        <v>2845</v>
      </c>
      <c r="F1038" s="140" t="s">
        <v>48</v>
      </c>
      <c r="G1038" s="140" t="s">
        <v>436</v>
      </c>
      <c r="H1038" s="140" t="s">
        <v>2846</v>
      </c>
      <c r="I1038" s="140" t="s">
        <v>2847</v>
      </c>
      <c r="J1038" s="140">
        <v>20000000</v>
      </c>
      <c r="K1038" s="139" t="s">
        <v>221</v>
      </c>
      <c r="L1038" s="140">
        <v>2946006</v>
      </c>
      <c r="M1038" s="155" t="s">
        <v>226</v>
      </c>
      <c r="N1038" s="10">
        <v>200</v>
      </c>
      <c r="O1038" s="10">
        <v>80000000</v>
      </c>
      <c r="P1038" s="140"/>
    </row>
    <row r="1039" spans="1:16" ht="43.5" x14ac:dyDescent="0.35">
      <c r="A1039" s="139" t="e">
        <f t="shared" si="16"/>
        <v>#REF!</v>
      </c>
      <c r="B1039" s="140" t="s">
        <v>18</v>
      </c>
      <c r="C1039" s="140" t="s">
        <v>37</v>
      </c>
      <c r="D1039" s="140" t="s">
        <v>1634</v>
      </c>
      <c r="E1039" s="140" t="s">
        <v>1635</v>
      </c>
      <c r="F1039" s="140" t="s">
        <v>48</v>
      </c>
      <c r="G1039" s="140" t="s">
        <v>436</v>
      </c>
      <c r="H1039" s="140" t="s">
        <v>2846</v>
      </c>
      <c r="I1039" s="140" t="s">
        <v>280</v>
      </c>
      <c r="J1039" s="140">
        <v>35000000</v>
      </c>
      <c r="K1039" s="139" t="s">
        <v>221</v>
      </c>
      <c r="L1039" s="140">
        <v>2901176</v>
      </c>
      <c r="M1039" s="155" t="s">
        <v>226</v>
      </c>
      <c r="N1039" s="10" t="s">
        <v>280</v>
      </c>
      <c r="O1039" s="10">
        <v>35000000</v>
      </c>
      <c r="P1039" s="140"/>
    </row>
    <row r="1040" spans="1:16" ht="43.5" x14ac:dyDescent="0.35">
      <c r="A1040" s="139" t="e">
        <f>#REF!+1</f>
        <v>#REF!</v>
      </c>
      <c r="B1040" s="140" t="s">
        <v>18</v>
      </c>
      <c r="C1040" s="140" t="s">
        <v>37</v>
      </c>
      <c r="D1040" s="140" t="s">
        <v>1634</v>
      </c>
      <c r="E1040" s="140" t="s">
        <v>1635</v>
      </c>
      <c r="F1040" s="140" t="s">
        <v>48</v>
      </c>
      <c r="G1040" s="140" t="s">
        <v>436</v>
      </c>
      <c r="H1040" s="140" t="s">
        <v>2848</v>
      </c>
      <c r="I1040" s="140" t="s">
        <v>280</v>
      </c>
      <c r="J1040" s="140">
        <v>35000000</v>
      </c>
      <c r="K1040" s="139" t="s">
        <v>221</v>
      </c>
      <c r="L1040" s="140">
        <v>2901176</v>
      </c>
      <c r="M1040" s="155" t="s">
        <v>226</v>
      </c>
      <c r="N1040" s="10" t="s">
        <v>280</v>
      </c>
      <c r="O1040" s="10">
        <v>35000000</v>
      </c>
      <c r="P1040" s="140"/>
    </row>
    <row r="1041" spans="1:16" ht="43.5" x14ac:dyDescent="0.35">
      <c r="A1041" s="139" t="e">
        <f t="shared" si="16"/>
        <v>#REF!</v>
      </c>
      <c r="B1041" s="140" t="s">
        <v>18</v>
      </c>
      <c r="C1041" s="140" t="s">
        <v>37</v>
      </c>
      <c r="D1041" s="140" t="s">
        <v>1634</v>
      </c>
      <c r="E1041" s="140" t="s">
        <v>1635</v>
      </c>
      <c r="F1041" s="140" t="s">
        <v>48</v>
      </c>
      <c r="G1041" s="140" t="s">
        <v>436</v>
      </c>
      <c r="H1041" s="140" t="s">
        <v>437</v>
      </c>
      <c r="I1041" s="140" t="s">
        <v>129</v>
      </c>
      <c r="J1041" s="140">
        <v>135000000</v>
      </c>
      <c r="K1041" s="139" t="s">
        <v>221</v>
      </c>
      <c r="L1041" s="140">
        <v>2901176</v>
      </c>
      <c r="M1041" s="155" t="s">
        <v>226</v>
      </c>
      <c r="N1041" s="10" t="s">
        <v>54</v>
      </c>
      <c r="O1041" s="10">
        <v>70000000</v>
      </c>
      <c r="P1041" s="140"/>
    </row>
    <row r="1042" spans="1:16" ht="43.5" x14ac:dyDescent="0.35">
      <c r="A1042" s="139" t="e">
        <f>#REF!+1</f>
        <v>#REF!</v>
      </c>
      <c r="B1042" s="140" t="s">
        <v>18</v>
      </c>
      <c r="C1042" s="140" t="s">
        <v>37</v>
      </c>
      <c r="D1042" s="140" t="s">
        <v>1515</v>
      </c>
      <c r="E1042" s="140" t="s">
        <v>2849</v>
      </c>
      <c r="F1042" s="140" t="s">
        <v>48</v>
      </c>
      <c r="G1042" s="140" t="s">
        <v>436</v>
      </c>
      <c r="H1042" s="140" t="s">
        <v>2850</v>
      </c>
      <c r="I1042" s="140" t="s">
        <v>48</v>
      </c>
      <c r="J1042" s="140">
        <v>50000000</v>
      </c>
      <c r="K1042" s="139" t="s">
        <v>221</v>
      </c>
      <c r="L1042" s="140">
        <v>2957141</v>
      </c>
      <c r="M1042" s="155" t="s">
        <v>226</v>
      </c>
      <c r="N1042" s="10" t="s">
        <v>561</v>
      </c>
      <c r="O1042" s="10">
        <v>150130000</v>
      </c>
      <c r="P1042" s="140"/>
    </row>
    <row r="1043" spans="1:16" ht="43.5" x14ac:dyDescent="0.35">
      <c r="A1043" s="139" t="e">
        <f>#REF!+1</f>
        <v>#REF!</v>
      </c>
      <c r="B1043" s="140" t="s">
        <v>18</v>
      </c>
      <c r="C1043" s="140" t="s">
        <v>37</v>
      </c>
      <c r="D1043" s="140" t="s">
        <v>1515</v>
      </c>
      <c r="E1043" s="140" t="s">
        <v>2851</v>
      </c>
      <c r="F1043" s="140" t="s">
        <v>48</v>
      </c>
      <c r="G1043" s="140" t="s">
        <v>436</v>
      </c>
      <c r="H1043" s="140" t="s">
        <v>2852</v>
      </c>
      <c r="I1043" s="140" t="s">
        <v>2853</v>
      </c>
      <c r="J1043" s="140">
        <v>34000000</v>
      </c>
      <c r="K1043" s="139" t="s">
        <v>221</v>
      </c>
      <c r="L1043" s="140">
        <v>2957188</v>
      </c>
      <c r="M1043" s="155" t="s">
        <v>226</v>
      </c>
      <c r="N1043" s="10">
        <v>35</v>
      </c>
      <c r="O1043" s="10">
        <v>97370000</v>
      </c>
      <c r="P1043" s="140"/>
    </row>
    <row r="1044" spans="1:16" ht="43.5" x14ac:dyDescent="0.35">
      <c r="A1044" s="139" t="e">
        <f t="shared" si="16"/>
        <v>#REF!</v>
      </c>
      <c r="B1044" s="140" t="s">
        <v>18</v>
      </c>
      <c r="C1044" s="140" t="s">
        <v>37</v>
      </c>
      <c r="D1044" s="140" t="s">
        <v>1515</v>
      </c>
      <c r="E1044" s="140" t="s">
        <v>2854</v>
      </c>
      <c r="F1044" s="140" t="s">
        <v>111</v>
      </c>
      <c r="G1044" s="140" t="s">
        <v>764</v>
      </c>
      <c r="H1044" s="140" t="s">
        <v>765</v>
      </c>
      <c r="I1044" s="140" t="s">
        <v>48</v>
      </c>
      <c r="J1044" s="140">
        <v>19166500</v>
      </c>
      <c r="K1044" s="139" t="s">
        <v>221</v>
      </c>
      <c r="L1044" s="140">
        <v>2933602</v>
      </c>
      <c r="M1044" s="155" t="s">
        <v>226</v>
      </c>
      <c r="N1044" s="10">
        <v>175</v>
      </c>
      <c r="O1044" s="10">
        <v>70000000</v>
      </c>
      <c r="P1044" s="140" t="s">
        <v>2855</v>
      </c>
    </row>
    <row r="1045" spans="1:16" ht="43.5" x14ac:dyDescent="0.35">
      <c r="A1045" s="139" t="e">
        <f t="shared" si="16"/>
        <v>#REF!</v>
      </c>
      <c r="B1045" s="140" t="s">
        <v>18</v>
      </c>
      <c r="C1045" s="140" t="s">
        <v>37</v>
      </c>
      <c r="D1045" s="140" t="s">
        <v>1515</v>
      </c>
      <c r="E1045" s="140" t="s">
        <v>2856</v>
      </c>
      <c r="F1045" s="140" t="s">
        <v>111</v>
      </c>
      <c r="G1045" s="140" t="s">
        <v>764</v>
      </c>
      <c r="H1045" s="140" t="s">
        <v>765</v>
      </c>
      <c r="I1045" s="140" t="s">
        <v>48</v>
      </c>
      <c r="J1045" s="140">
        <v>53478000</v>
      </c>
      <c r="K1045" s="139" t="s">
        <v>221</v>
      </c>
      <c r="L1045" s="140">
        <v>2933869</v>
      </c>
      <c r="M1045" s="155" t="s">
        <v>226</v>
      </c>
      <c r="N1045" s="10">
        <v>50</v>
      </c>
      <c r="O1045" s="10">
        <v>139100000</v>
      </c>
      <c r="P1045" s="140"/>
    </row>
    <row r="1046" spans="1:16" ht="43.5" x14ac:dyDescent="0.35">
      <c r="A1046" s="139" t="e">
        <f t="shared" si="16"/>
        <v>#REF!</v>
      </c>
      <c r="B1046" s="140" t="s">
        <v>18</v>
      </c>
      <c r="C1046" s="140" t="s">
        <v>37</v>
      </c>
      <c r="D1046" s="140" t="s">
        <v>1515</v>
      </c>
      <c r="E1046" s="140" t="s">
        <v>2856</v>
      </c>
      <c r="F1046" s="140" t="s">
        <v>111</v>
      </c>
      <c r="G1046" s="140" t="s">
        <v>764</v>
      </c>
      <c r="H1046" s="140" t="s">
        <v>2857</v>
      </c>
      <c r="I1046" s="140" t="s">
        <v>48</v>
      </c>
      <c r="J1046" s="140">
        <v>68932510</v>
      </c>
      <c r="K1046" s="139" t="s">
        <v>221</v>
      </c>
      <c r="L1046" s="140">
        <v>2934385</v>
      </c>
      <c r="M1046" s="155" t="s">
        <v>226</v>
      </c>
      <c r="N1046" s="10">
        <v>75</v>
      </c>
      <c r="O1046" s="10">
        <v>208650000</v>
      </c>
      <c r="P1046" s="140"/>
    </row>
    <row r="1047" spans="1:16" ht="43.5" x14ac:dyDescent="0.35">
      <c r="A1047" s="139" t="e">
        <f t="shared" si="16"/>
        <v>#REF!</v>
      </c>
      <c r="B1047" s="140" t="s">
        <v>18</v>
      </c>
      <c r="C1047" s="140" t="s">
        <v>37</v>
      </c>
      <c r="D1047" s="140" t="s">
        <v>1515</v>
      </c>
      <c r="E1047" s="140" t="s">
        <v>2856</v>
      </c>
      <c r="F1047" s="140" t="s">
        <v>111</v>
      </c>
      <c r="G1047" s="140" t="s">
        <v>764</v>
      </c>
      <c r="H1047" s="140" t="s">
        <v>2857</v>
      </c>
      <c r="I1047" s="140" t="s">
        <v>48</v>
      </c>
      <c r="J1047" s="140">
        <v>57206000</v>
      </c>
      <c r="K1047" s="139" t="s">
        <v>221</v>
      </c>
      <c r="L1047" s="140">
        <v>2934160</v>
      </c>
      <c r="M1047" s="155" t="s">
        <v>226</v>
      </c>
      <c r="N1047" s="10">
        <v>28</v>
      </c>
      <c r="O1047" s="10">
        <v>77896000</v>
      </c>
      <c r="P1047" s="140"/>
    </row>
    <row r="1048" spans="1:16" ht="43.5" x14ac:dyDescent="0.35">
      <c r="A1048" s="139" t="e">
        <f t="shared" si="16"/>
        <v>#REF!</v>
      </c>
      <c r="B1048" s="140" t="s">
        <v>18</v>
      </c>
      <c r="C1048" s="140" t="s">
        <v>37</v>
      </c>
      <c r="D1048" s="140" t="s">
        <v>1515</v>
      </c>
      <c r="E1048" s="140" t="s">
        <v>2854</v>
      </c>
      <c r="F1048" s="140" t="s">
        <v>111</v>
      </c>
      <c r="G1048" s="140" t="s">
        <v>764</v>
      </c>
      <c r="H1048" s="140" t="s">
        <v>1383</v>
      </c>
      <c r="I1048" s="140" t="s">
        <v>48</v>
      </c>
      <c r="J1048" s="140">
        <v>28821500</v>
      </c>
      <c r="K1048" s="139" t="s">
        <v>221</v>
      </c>
      <c r="L1048" s="140">
        <v>2934602</v>
      </c>
      <c r="M1048" s="155" t="s">
        <v>226</v>
      </c>
      <c r="N1048" s="10">
        <v>225</v>
      </c>
      <c r="O1048" s="10">
        <v>90000000</v>
      </c>
      <c r="P1048" s="140"/>
    </row>
    <row r="1049" spans="1:16" ht="43.5" x14ac:dyDescent="0.35">
      <c r="A1049" s="139" t="e">
        <f t="shared" si="16"/>
        <v>#REF!</v>
      </c>
      <c r="B1049" s="140" t="s">
        <v>18</v>
      </c>
      <c r="C1049" s="140" t="s">
        <v>37</v>
      </c>
      <c r="D1049" s="140" t="s">
        <v>1515</v>
      </c>
      <c r="E1049" s="140" t="s">
        <v>2858</v>
      </c>
      <c r="F1049" s="140" t="s">
        <v>111</v>
      </c>
      <c r="G1049" s="140" t="s">
        <v>764</v>
      </c>
      <c r="H1049" s="140" t="s">
        <v>2859</v>
      </c>
      <c r="I1049" s="140" t="s">
        <v>48</v>
      </c>
      <c r="J1049" s="140">
        <v>64340000</v>
      </c>
      <c r="K1049" s="139" t="s">
        <v>221</v>
      </c>
      <c r="L1049" s="140">
        <v>2933121</v>
      </c>
      <c r="M1049" s="155" t="s">
        <v>226</v>
      </c>
      <c r="N1049" s="10">
        <v>175</v>
      </c>
      <c r="O1049" s="10">
        <v>70000000</v>
      </c>
      <c r="P1049" s="140" t="s">
        <v>2860</v>
      </c>
    </row>
    <row r="1050" spans="1:16" ht="43.5" x14ac:dyDescent="0.35">
      <c r="A1050" s="139" t="e">
        <f t="shared" si="16"/>
        <v>#REF!</v>
      </c>
      <c r="B1050" s="140" t="s">
        <v>18</v>
      </c>
      <c r="C1050" s="140" t="s">
        <v>37</v>
      </c>
      <c r="D1050" s="140" t="s">
        <v>1521</v>
      </c>
      <c r="E1050" s="140" t="s">
        <v>2861</v>
      </c>
      <c r="F1050" s="140" t="s">
        <v>111</v>
      </c>
      <c r="G1050" s="140" t="s">
        <v>764</v>
      </c>
      <c r="H1050" s="140" t="s">
        <v>2862</v>
      </c>
      <c r="I1050" s="140" t="s">
        <v>48</v>
      </c>
      <c r="J1050" s="140">
        <v>67765500</v>
      </c>
      <c r="K1050" s="139" t="s">
        <v>221</v>
      </c>
      <c r="L1050" s="140">
        <v>2978802</v>
      </c>
      <c r="M1050" s="155" t="s">
        <v>226</v>
      </c>
      <c r="N1050" s="10">
        <v>24</v>
      </c>
      <c r="O1050" s="10">
        <v>66768000</v>
      </c>
      <c r="P1050" s="140" t="s">
        <v>2860</v>
      </c>
    </row>
    <row r="1051" spans="1:16" ht="43.5" x14ac:dyDescent="0.35">
      <c r="A1051" s="139" t="e">
        <f t="shared" si="16"/>
        <v>#REF!</v>
      </c>
      <c r="B1051" s="140" t="s">
        <v>18</v>
      </c>
      <c r="C1051" s="140" t="s">
        <v>37</v>
      </c>
      <c r="D1051" s="140" t="s">
        <v>1515</v>
      </c>
      <c r="E1051" s="140" t="s">
        <v>2854</v>
      </c>
      <c r="F1051" s="140" t="s">
        <v>111</v>
      </c>
      <c r="G1051" s="140" t="s">
        <v>764</v>
      </c>
      <c r="H1051" s="140" t="s">
        <v>2863</v>
      </c>
      <c r="I1051" s="140" t="s">
        <v>48</v>
      </c>
      <c r="J1051" s="140">
        <v>12121000</v>
      </c>
      <c r="K1051" s="139" t="s">
        <v>221</v>
      </c>
      <c r="L1051" s="140">
        <v>2939520</v>
      </c>
      <c r="M1051" s="155" t="s">
        <v>226</v>
      </c>
      <c r="N1051" s="10">
        <v>112.5</v>
      </c>
      <c r="O1051" s="10">
        <v>45000000</v>
      </c>
      <c r="P1051" s="140"/>
    </row>
    <row r="1052" spans="1:16" ht="43.5" x14ac:dyDescent="0.35">
      <c r="A1052" s="139" t="e">
        <f t="shared" si="16"/>
        <v>#REF!</v>
      </c>
      <c r="B1052" s="140" t="s">
        <v>18</v>
      </c>
      <c r="C1052" s="140" t="s">
        <v>37</v>
      </c>
      <c r="D1052" s="140" t="s">
        <v>1515</v>
      </c>
      <c r="E1052" s="140" t="s">
        <v>2864</v>
      </c>
      <c r="F1052" s="140" t="s">
        <v>2865</v>
      </c>
      <c r="G1052" s="140" t="s">
        <v>2866</v>
      </c>
      <c r="H1052" s="140" t="s">
        <v>2867</v>
      </c>
      <c r="I1052" s="140" t="s">
        <v>1233</v>
      </c>
      <c r="J1052" s="140">
        <v>100000000</v>
      </c>
      <c r="K1052" s="139" t="s">
        <v>221</v>
      </c>
      <c r="L1052" s="140" t="s">
        <v>48</v>
      </c>
      <c r="M1052" s="155" t="s">
        <v>226</v>
      </c>
      <c r="N1052" s="10">
        <v>117.64705882352941</v>
      </c>
      <c r="O1052" s="10">
        <v>100000000</v>
      </c>
      <c r="P1052" s="140" t="s">
        <v>2868</v>
      </c>
    </row>
    <row r="1053" spans="1:16" ht="43.5" x14ac:dyDescent="0.35">
      <c r="A1053" s="139" t="e">
        <f t="shared" si="16"/>
        <v>#REF!</v>
      </c>
      <c r="B1053" s="140" t="s">
        <v>18</v>
      </c>
      <c r="C1053" s="140" t="s">
        <v>37</v>
      </c>
      <c r="D1053" s="140" t="s">
        <v>1515</v>
      </c>
      <c r="E1053" s="140" t="s">
        <v>2869</v>
      </c>
      <c r="F1053" s="140" t="s">
        <v>2865</v>
      </c>
      <c r="G1053" s="140" t="s">
        <v>2866</v>
      </c>
      <c r="H1053" s="140" t="s">
        <v>2870</v>
      </c>
      <c r="I1053" s="140" t="s">
        <v>2871</v>
      </c>
      <c r="J1053" s="140">
        <v>100000000</v>
      </c>
      <c r="K1053" s="139" t="s">
        <v>221</v>
      </c>
      <c r="L1053" s="140">
        <v>2857879</v>
      </c>
      <c r="M1053" s="155" t="s">
        <v>226</v>
      </c>
      <c r="N1053" s="10">
        <v>250</v>
      </c>
      <c r="O1053" s="10">
        <v>100000000</v>
      </c>
      <c r="P1053" s="140"/>
    </row>
    <row r="1054" spans="1:16" ht="43.5" x14ac:dyDescent="0.35">
      <c r="A1054" s="139" t="e">
        <f t="shared" si="16"/>
        <v>#REF!</v>
      </c>
      <c r="B1054" s="140" t="s">
        <v>18</v>
      </c>
      <c r="C1054" s="140" t="s">
        <v>37</v>
      </c>
      <c r="D1054" s="140" t="s">
        <v>1515</v>
      </c>
      <c r="E1054" s="140" t="s">
        <v>2864</v>
      </c>
      <c r="F1054" s="140" t="s">
        <v>2865</v>
      </c>
      <c r="G1054" s="140" t="s">
        <v>2866</v>
      </c>
      <c r="H1054" s="140" t="s">
        <v>2872</v>
      </c>
      <c r="I1054" s="140" t="s">
        <v>1547</v>
      </c>
      <c r="J1054" s="140">
        <v>100000000</v>
      </c>
      <c r="K1054" s="139" t="s">
        <v>221</v>
      </c>
      <c r="L1054" s="140" t="s">
        <v>48</v>
      </c>
      <c r="M1054" s="155" t="s">
        <v>226</v>
      </c>
      <c r="N1054" s="10">
        <v>117.64705882352941</v>
      </c>
      <c r="O1054" s="10">
        <v>100000000</v>
      </c>
      <c r="P1054" s="140" t="s">
        <v>2873</v>
      </c>
    </row>
    <row r="1055" spans="1:16" ht="43.5" x14ac:dyDescent="0.35">
      <c r="A1055" s="139" t="e">
        <f t="shared" si="16"/>
        <v>#REF!</v>
      </c>
      <c r="B1055" s="140" t="s">
        <v>18</v>
      </c>
      <c r="C1055" s="140" t="s">
        <v>37</v>
      </c>
      <c r="D1055" s="140" t="s">
        <v>1515</v>
      </c>
      <c r="E1055" s="140" t="s">
        <v>2864</v>
      </c>
      <c r="F1055" s="140" t="s">
        <v>2865</v>
      </c>
      <c r="G1055" s="140" t="s">
        <v>2866</v>
      </c>
      <c r="H1055" s="140" t="s">
        <v>1397</v>
      </c>
      <c r="I1055" s="140" t="s">
        <v>2874</v>
      </c>
      <c r="J1055" s="140">
        <v>100000000</v>
      </c>
      <c r="K1055" s="139" t="s">
        <v>221</v>
      </c>
      <c r="L1055" s="140" t="s">
        <v>48</v>
      </c>
      <c r="M1055" s="155" t="s">
        <v>226</v>
      </c>
      <c r="N1055" s="10">
        <v>117.64705882352941</v>
      </c>
      <c r="O1055" s="10">
        <v>100000000</v>
      </c>
      <c r="P1055" s="140" t="s">
        <v>2873</v>
      </c>
    </row>
    <row r="1056" spans="1:16" ht="43.5" x14ac:dyDescent="0.35">
      <c r="A1056" s="139" t="e">
        <f t="shared" si="16"/>
        <v>#REF!</v>
      </c>
      <c r="B1056" s="140" t="s">
        <v>18</v>
      </c>
      <c r="C1056" s="140" t="s">
        <v>37</v>
      </c>
      <c r="D1056" s="140" t="s">
        <v>1515</v>
      </c>
      <c r="E1056" s="140" t="s">
        <v>2875</v>
      </c>
      <c r="F1056" s="140" t="s">
        <v>2865</v>
      </c>
      <c r="G1056" s="140" t="s">
        <v>2866</v>
      </c>
      <c r="H1056" s="140" t="s">
        <v>2876</v>
      </c>
      <c r="I1056" s="140" t="s">
        <v>2877</v>
      </c>
      <c r="J1056" s="140">
        <v>100000000</v>
      </c>
      <c r="K1056" s="139" t="s">
        <v>221</v>
      </c>
      <c r="L1056" s="140">
        <v>2857676</v>
      </c>
      <c r="M1056" s="155" t="s">
        <v>226</v>
      </c>
      <c r="N1056" s="10">
        <v>250</v>
      </c>
      <c r="O1056" s="10">
        <v>100000000</v>
      </c>
      <c r="P1056" s="140"/>
    </row>
    <row r="1057" spans="1:16" ht="43.5" x14ac:dyDescent="0.35">
      <c r="A1057" s="139" t="e">
        <f t="shared" si="16"/>
        <v>#REF!</v>
      </c>
      <c r="B1057" s="140" t="s">
        <v>18</v>
      </c>
      <c r="C1057" s="140" t="s">
        <v>37</v>
      </c>
      <c r="D1057" s="140" t="s">
        <v>1521</v>
      </c>
      <c r="E1057" s="140" t="s">
        <v>2625</v>
      </c>
      <c r="F1057" s="140" t="s">
        <v>2865</v>
      </c>
      <c r="G1057" s="140" t="s">
        <v>2866</v>
      </c>
      <c r="H1057" s="140" t="s">
        <v>2878</v>
      </c>
      <c r="I1057" s="140" t="s">
        <v>2847</v>
      </c>
      <c r="J1057" s="140">
        <v>50000000</v>
      </c>
      <c r="K1057" s="139" t="s">
        <v>221</v>
      </c>
      <c r="L1057" s="140">
        <v>2858119</v>
      </c>
      <c r="M1057" s="155" t="s">
        <v>226</v>
      </c>
      <c r="N1057" s="10">
        <v>29</v>
      </c>
      <c r="O1057" s="10">
        <v>50000000</v>
      </c>
      <c r="P1057" s="140" t="s">
        <v>1564</v>
      </c>
    </row>
    <row r="1058" spans="1:16" ht="43.5" x14ac:dyDescent="0.35">
      <c r="A1058" s="139" t="e">
        <f t="shared" ref="A1058:A1084" si="17">A1057+1</f>
        <v>#REF!</v>
      </c>
      <c r="B1058" s="140" t="s">
        <v>18</v>
      </c>
      <c r="C1058" s="140" t="s">
        <v>37</v>
      </c>
      <c r="D1058" s="140" t="s">
        <v>476</v>
      </c>
      <c r="E1058" s="140" t="s">
        <v>2879</v>
      </c>
      <c r="F1058" s="140" t="s">
        <v>2865</v>
      </c>
      <c r="G1058" s="140" t="s">
        <v>2866</v>
      </c>
      <c r="H1058" s="140" t="s">
        <v>2880</v>
      </c>
      <c r="I1058" s="140" t="s">
        <v>2881</v>
      </c>
      <c r="J1058" s="140">
        <v>100000000</v>
      </c>
      <c r="K1058" s="139" t="s">
        <v>221</v>
      </c>
      <c r="L1058" s="140" t="s">
        <v>48</v>
      </c>
      <c r="M1058" s="155" t="s">
        <v>226</v>
      </c>
      <c r="N1058" s="10"/>
      <c r="O1058" s="10">
        <v>143525000</v>
      </c>
      <c r="P1058" s="140" t="s">
        <v>1955</v>
      </c>
    </row>
    <row r="1059" spans="1:16" ht="43.5" x14ac:dyDescent="0.35">
      <c r="A1059" s="139" t="e">
        <f t="shared" si="17"/>
        <v>#REF!</v>
      </c>
      <c r="B1059" s="140" t="s">
        <v>18</v>
      </c>
      <c r="C1059" s="140" t="s">
        <v>37</v>
      </c>
      <c r="D1059" s="140" t="s">
        <v>1515</v>
      </c>
      <c r="E1059" s="140" t="s">
        <v>2864</v>
      </c>
      <c r="F1059" s="140" t="s">
        <v>2865</v>
      </c>
      <c r="G1059" s="140" t="s">
        <v>2866</v>
      </c>
      <c r="H1059" s="140" t="s">
        <v>2882</v>
      </c>
      <c r="I1059" s="140" t="s">
        <v>617</v>
      </c>
      <c r="J1059" s="140">
        <v>100000000</v>
      </c>
      <c r="K1059" s="139" t="s">
        <v>221</v>
      </c>
      <c r="L1059" s="140" t="s">
        <v>48</v>
      </c>
      <c r="M1059" s="155" t="s">
        <v>226</v>
      </c>
      <c r="N1059" s="10">
        <v>117.64705882352941</v>
      </c>
      <c r="O1059" s="10">
        <v>100000000</v>
      </c>
      <c r="P1059" s="140" t="s">
        <v>2873</v>
      </c>
    </row>
    <row r="1060" spans="1:16" ht="43.5" x14ac:dyDescent="0.35">
      <c r="A1060" s="139" t="e">
        <f t="shared" si="17"/>
        <v>#REF!</v>
      </c>
      <c r="B1060" s="140" t="s">
        <v>18</v>
      </c>
      <c r="C1060" s="140" t="s">
        <v>37</v>
      </c>
      <c r="D1060" s="140" t="s">
        <v>1515</v>
      </c>
      <c r="E1060" s="140" t="s">
        <v>992</v>
      </c>
      <c r="F1060" s="140" t="s">
        <v>48</v>
      </c>
      <c r="G1060" s="140" t="s">
        <v>978</v>
      </c>
      <c r="H1060" s="140" t="s">
        <v>2883</v>
      </c>
      <c r="I1060" s="140">
        <v>1</v>
      </c>
      <c r="J1060" s="140">
        <v>25000000</v>
      </c>
      <c r="K1060" s="139" t="s">
        <v>221</v>
      </c>
      <c r="L1060" s="140">
        <v>2857976</v>
      </c>
      <c r="M1060" s="155" t="s">
        <v>226</v>
      </c>
      <c r="N1060" s="10">
        <v>125</v>
      </c>
      <c r="O1060" s="10">
        <v>50000000</v>
      </c>
      <c r="P1060" s="140"/>
    </row>
    <row r="1061" spans="1:16" ht="43.5" x14ac:dyDescent="0.35">
      <c r="A1061" s="139" t="e">
        <f t="shared" si="17"/>
        <v>#REF!</v>
      </c>
      <c r="B1061" s="140" t="s">
        <v>18</v>
      </c>
      <c r="C1061" s="140" t="s">
        <v>37</v>
      </c>
      <c r="D1061" s="140" t="s">
        <v>1634</v>
      </c>
      <c r="E1061" s="140" t="s">
        <v>2884</v>
      </c>
      <c r="F1061" s="140" t="s">
        <v>48</v>
      </c>
      <c r="G1061" s="140" t="s">
        <v>978</v>
      </c>
      <c r="H1061" s="140" t="s">
        <v>2883</v>
      </c>
      <c r="I1061" s="140">
        <v>2</v>
      </c>
      <c r="J1061" s="140">
        <v>50000000</v>
      </c>
      <c r="K1061" s="139" t="s">
        <v>221</v>
      </c>
      <c r="L1061" s="140">
        <v>2857883</v>
      </c>
      <c r="M1061" s="155" t="s">
        <v>226</v>
      </c>
      <c r="N1061" s="10">
        <v>2</v>
      </c>
      <c r="O1061" s="10">
        <v>50000000</v>
      </c>
      <c r="P1061" s="140"/>
    </row>
    <row r="1062" spans="1:16" ht="43.5" x14ac:dyDescent="0.35">
      <c r="A1062" s="139" t="e">
        <f t="shared" si="17"/>
        <v>#REF!</v>
      </c>
      <c r="B1062" s="140" t="s">
        <v>18</v>
      </c>
      <c r="C1062" s="140" t="s">
        <v>37</v>
      </c>
      <c r="D1062" s="140" t="s">
        <v>1634</v>
      </c>
      <c r="E1062" s="140" t="s">
        <v>2884</v>
      </c>
      <c r="F1062" s="140" t="s">
        <v>48</v>
      </c>
      <c r="G1062" s="140" t="s">
        <v>978</v>
      </c>
      <c r="H1062" s="140" t="s">
        <v>1401</v>
      </c>
      <c r="I1062" s="140">
        <v>1</v>
      </c>
      <c r="J1062" s="140">
        <v>25000000</v>
      </c>
      <c r="K1062" s="139" t="s">
        <v>221</v>
      </c>
      <c r="L1062" s="140">
        <v>2857883</v>
      </c>
      <c r="M1062" s="155" t="s">
        <v>226</v>
      </c>
      <c r="N1062" s="10">
        <v>1</v>
      </c>
      <c r="O1062" s="10">
        <v>25000000</v>
      </c>
      <c r="P1062" s="140"/>
    </row>
    <row r="1063" spans="1:16" ht="43.5" x14ac:dyDescent="0.35">
      <c r="A1063" s="139" t="e">
        <f t="shared" si="17"/>
        <v>#REF!</v>
      </c>
      <c r="B1063" s="140" t="s">
        <v>18</v>
      </c>
      <c r="C1063" s="140" t="s">
        <v>37</v>
      </c>
      <c r="D1063" s="140" t="s">
        <v>1570</v>
      </c>
      <c r="E1063" s="140" t="s">
        <v>1221</v>
      </c>
      <c r="F1063" s="140" t="s">
        <v>48</v>
      </c>
      <c r="G1063" s="140" t="s">
        <v>978</v>
      </c>
      <c r="H1063" s="140" t="s">
        <v>1401</v>
      </c>
      <c r="I1063" s="140">
        <v>1</v>
      </c>
      <c r="J1063" s="140">
        <v>25000000</v>
      </c>
      <c r="K1063" s="139" t="s">
        <v>221</v>
      </c>
      <c r="L1063" s="140">
        <v>3012336</v>
      </c>
      <c r="M1063" s="155" t="s">
        <v>226</v>
      </c>
      <c r="N1063" s="10">
        <v>25</v>
      </c>
      <c r="O1063" s="10">
        <v>69550000</v>
      </c>
      <c r="P1063" s="140" t="s">
        <v>2885</v>
      </c>
    </row>
    <row r="1064" spans="1:16" ht="43.5" x14ac:dyDescent="0.35">
      <c r="A1064" s="139" t="e">
        <f t="shared" si="17"/>
        <v>#REF!</v>
      </c>
      <c r="B1064" s="140" t="s">
        <v>18</v>
      </c>
      <c r="C1064" s="140" t="s">
        <v>37</v>
      </c>
      <c r="D1064" s="140" t="s">
        <v>1515</v>
      </c>
      <c r="E1064" s="140" t="s">
        <v>992</v>
      </c>
      <c r="F1064" s="140" t="s">
        <v>48</v>
      </c>
      <c r="G1064" s="140" t="s">
        <v>978</v>
      </c>
      <c r="H1064" s="140" t="s">
        <v>2886</v>
      </c>
      <c r="I1064" s="140">
        <v>1</v>
      </c>
      <c r="J1064" s="140">
        <v>25000000</v>
      </c>
      <c r="K1064" s="139" t="s">
        <v>221</v>
      </c>
      <c r="L1064" s="140">
        <v>2936458</v>
      </c>
      <c r="M1064" s="155" t="s">
        <v>226</v>
      </c>
      <c r="N1064" s="10">
        <v>125</v>
      </c>
      <c r="O1064" s="10">
        <v>50000000</v>
      </c>
      <c r="P1064" s="140"/>
    </row>
    <row r="1065" spans="1:16" ht="43.5" x14ac:dyDescent="0.35">
      <c r="A1065" s="139" t="e">
        <f t="shared" si="17"/>
        <v>#REF!</v>
      </c>
      <c r="B1065" s="140" t="s">
        <v>18</v>
      </c>
      <c r="C1065" s="140" t="s">
        <v>37</v>
      </c>
      <c r="D1065" s="140" t="s">
        <v>1634</v>
      </c>
      <c r="E1065" s="140" t="s">
        <v>2884</v>
      </c>
      <c r="F1065" s="140" t="s">
        <v>48</v>
      </c>
      <c r="G1065" s="140" t="s">
        <v>978</v>
      </c>
      <c r="H1065" s="140" t="s">
        <v>2886</v>
      </c>
      <c r="I1065" s="140">
        <v>2</v>
      </c>
      <c r="J1065" s="140">
        <v>50000000</v>
      </c>
      <c r="K1065" s="139" t="s">
        <v>221</v>
      </c>
      <c r="L1065" s="140">
        <v>2857883</v>
      </c>
      <c r="M1065" s="155" t="s">
        <v>226</v>
      </c>
      <c r="N1065" s="10">
        <v>2</v>
      </c>
      <c r="O1065" s="10">
        <v>50000000</v>
      </c>
      <c r="P1065" s="140"/>
    </row>
    <row r="1066" spans="1:16" ht="43.5" x14ac:dyDescent="0.35">
      <c r="A1066" s="139" t="e">
        <f>#REF!+1</f>
        <v>#REF!</v>
      </c>
      <c r="B1066" s="140" t="s">
        <v>18</v>
      </c>
      <c r="C1066" s="140" t="s">
        <v>37</v>
      </c>
      <c r="D1066" s="140" t="s">
        <v>1634</v>
      </c>
      <c r="E1066" s="140" t="s">
        <v>2884</v>
      </c>
      <c r="F1066" s="140" t="s">
        <v>48</v>
      </c>
      <c r="G1066" s="140" t="s">
        <v>978</v>
      </c>
      <c r="H1066" s="140" t="s">
        <v>225</v>
      </c>
      <c r="I1066" s="140">
        <v>2</v>
      </c>
      <c r="J1066" s="140">
        <v>50000000</v>
      </c>
      <c r="K1066" s="139" t="s">
        <v>221</v>
      </c>
      <c r="L1066" s="140">
        <v>2857883</v>
      </c>
      <c r="M1066" s="155" t="s">
        <v>226</v>
      </c>
      <c r="N1066" s="10">
        <v>2</v>
      </c>
      <c r="O1066" s="10">
        <v>50000000</v>
      </c>
      <c r="P1066" s="140"/>
    </row>
    <row r="1067" spans="1:16" ht="43.5" x14ac:dyDescent="0.35">
      <c r="A1067" s="139" t="e">
        <f t="shared" si="17"/>
        <v>#REF!</v>
      </c>
      <c r="B1067" s="140" t="s">
        <v>18</v>
      </c>
      <c r="C1067" s="140" t="s">
        <v>37</v>
      </c>
      <c r="D1067" s="140" t="s">
        <v>1634</v>
      </c>
      <c r="E1067" s="140" t="s">
        <v>2884</v>
      </c>
      <c r="F1067" s="140" t="s">
        <v>48</v>
      </c>
      <c r="G1067" s="140" t="s">
        <v>978</v>
      </c>
      <c r="H1067" s="140" t="s">
        <v>1404</v>
      </c>
      <c r="I1067" s="140">
        <v>1</v>
      </c>
      <c r="J1067" s="140">
        <v>25000000</v>
      </c>
      <c r="K1067" s="139" t="s">
        <v>221</v>
      </c>
      <c r="L1067" s="140">
        <v>2857883</v>
      </c>
      <c r="M1067" s="155" t="s">
        <v>226</v>
      </c>
      <c r="N1067" s="10">
        <v>1</v>
      </c>
      <c r="O1067" s="10">
        <v>25000000</v>
      </c>
      <c r="P1067" s="140"/>
    </row>
    <row r="1068" spans="1:16" ht="43.5" x14ac:dyDescent="0.35">
      <c r="A1068" s="139" t="e">
        <f t="shared" si="17"/>
        <v>#REF!</v>
      </c>
      <c r="B1068" s="140" t="s">
        <v>18</v>
      </c>
      <c r="C1068" s="140" t="s">
        <v>37</v>
      </c>
      <c r="D1068" s="140" t="s">
        <v>1634</v>
      </c>
      <c r="E1068" s="140" t="s">
        <v>2884</v>
      </c>
      <c r="F1068" s="140" t="s">
        <v>48</v>
      </c>
      <c r="G1068" s="140" t="s">
        <v>978</v>
      </c>
      <c r="H1068" s="140" t="s">
        <v>979</v>
      </c>
      <c r="I1068" s="140">
        <v>1</v>
      </c>
      <c r="J1068" s="140">
        <v>25000000</v>
      </c>
      <c r="K1068" s="139" t="s">
        <v>221</v>
      </c>
      <c r="L1068" s="140">
        <v>2857883</v>
      </c>
      <c r="M1068" s="155" t="s">
        <v>226</v>
      </c>
      <c r="N1068" s="10">
        <v>1</v>
      </c>
      <c r="O1068" s="10">
        <v>25000000</v>
      </c>
      <c r="P1068" s="140"/>
    </row>
    <row r="1069" spans="1:16" ht="43.5" x14ac:dyDescent="0.35">
      <c r="A1069" s="139" t="e">
        <f t="shared" si="17"/>
        <v>#REF!</v>
      </c>
      <c r="B1069" s="140" t="s">
        <v>18</v>
      </c>
      <c r="C1069" s="140" t="s">
        <v>37</v>
      </c>
      <c r="D1069" s="140" t="s">
        <v>1515</v>
      </c>
      <c r="E1069" s="140" t="s">
        <v>992</v>
      </c>
      <c r="F1069" s="140" t="s">
        <v>48</v>
      </c>
      <c r="G1069" s="140" t="s">
        <v>978</v>
      </c>
      <c r="H1069" s="140" t="s">
        <v>2887</v>
      </c>
      <c r="I1069" s="140">
        <v>1</v>
      </c>
      <c r="J1069" s="140">
        <v>50000000</v>
      </c>
      <c r="K1069" s="139" t="s">
        <v>221</v>
      </c>
      <c r="L1069" s="140">
        <v>2936458</v>
      </c>
      <c r="M1069" s="155" t="s">
        <v>226</v>
      </c>
      <c r="N1069" s="10">
        <v>85</v>
      </c>
      <c r="O1069" s="10">
        <v>34000000</v>
      </c>
      <c r="P1069" s="140"/>
    </row>
    <row r="1070" spans="1:16" ht="43.5" x14ac:dyDescent="0.35">
      <c r="A1070" s="139" t="e">
        <f t="shared" si="17"/>
        <v>#REF!</v>
      </c>
      <c r="B1070" s="140" t="s">
        <v>18</v>
      </c>
      <c r="C1070" s="140" t="s">
        <v>37</v>
      </c>
      <c r="D1070" s="140" t="s">
        <v>1634</v>
      </c>
      <c r="E1070" s="140" t="s">
        <v>2884</v>
      </c>
      <c r="F1070" s="140" t="s">
        <v>48</v>
      </c>
      <c r="G1070" s="140" t="s">
        <v>978</v>
      </c>
      <c r="H1070" s="140" t="s">
        <v>2887</v>
      </c>
      <c r="I1070" s="140">
        <v>2</v>
      </c>
      <c r="J1070" s="140">
        <v>50000000</v>
      </c>
      <c r="K1070" s="139" t="s">
        <v>221</v>
      </c>
      <c r="L1070" s="140">
        <v>2857883</v>
      </c>
      <c r="M1070" s="155" t="s">
        <v>226</v>
      </c>
      <c r="N1070" s="10">
        <v>2</v>
      </c>
      <c r="O1070" s="10">
        <v>50000000</v>
      </c>
      <c r="P1070" s="140"/>
    </row>
    <row r="1071" spans="1:16" ht="43.5" x14ac:dyDescent="0.35">
      <c r="A1071" s="139" t="e">
        <f t="shared" si="17"/>
        <v>#REF!</v>
      </c>
      <c r="B1071" s="140" t="s">
        <v>18</v>
      </c>
      <c r="C1071" s="140" t="s">
        <v>37</v>
      </c>
      <c r="D1071" s="140" t="s">
        <v>1570</v>
      </c>
      <c r="E1071" s="140" t="s">
        <v>2888</v>
      </c>
      <c r="F1071" s="140" t="s">
        <v>2889</v>
      </c>
      <c r="G1071" s="140" t="s">
        <v>978</v>
      </c>
      <c r="H1071" s="140" t="s">
        <v>2890</v>
      </c>
      <c r="I1071" s="140">
        <v>1</v>
      </c>
      <c r="J1071" s="140">
        <v>100000000</v>
      </c>
      <c r="K1071" s="139" t="s">
        <v>221</v>
      </c>
      <c r="L1071" s="140">
        <v>3012336</v>
      </c>
      <c r="M1071" s="155" t="s">
        <v>226</v>
      </c>
      <c r="N1071" s="10">
        <v>25</v>
      </c>
      <c r="O1071" s="10">
        <v>69550000</v>
      </c>
      <c r="P1071" s="140"/>
    </row>
    <row r="1072" spans="1:16" ht="43.5" x14ac:dyDescent="0.35">
      <c r="A1072" s="139" t="e">
        <f t="shared" si="17"/>
        <v>#REF!</v>
      </c>
      <c r="B1072" s="140" t="s">
        <v>18</v>
      </c>
      <c r="C1072" s="140" t="s">
        <v>37</v>
      </c>
      <c r="D1072" s="140" t="s">
        <v>1634</v>
      </c>
      <c r="E1072" s="140" t="s">
        <v>2884</v>
      </c>
      <c r="F1072" s="140" t="s">
        <v>48</v>
      </c>
      <c r="G1072" s="140" t="s">
        <v>978</v>
      </c>
      <c r="H1072" s="140" t="s">
        <v>2890</v>
      </c>
      <c r="I1072" s="140">
        <v>2</v>
      </c>
      <c r="J1072" s="140">
        <v>50000000</v>
      </c>
      <c r="K1072" s="139" t="s">
        <v>221</v>
      </c>
      <c r="L1072" s="140">
        <v>2857883</v>
      </c>
      <c r="M1072" s="155" t="s">
        <v>226</v>
      </c>
      <c r="N1072" s="10">
        <v>2</v>
      </c>
      <c r="O1072" s="10">
        <v>50000000</v>
      </c>
      <c r="P1072" s="140"/>
    </row>
    <row r="1073" spans="1:16" ht="43.5" x14ac:dyDescent="0.35">
      <c r="A1073" s="139" t="e">
        <f>#REF!+1</f>
        <v>#REF!</v>
      </c>
      <c r="B1073" s="140" t="s">
        <v>18</v>
      </c>
      <c r="C1073" s="140" t="s">
        <v>37</v>
      </c>
      <c r="D1073" s="140" t="s">
        <v>1515</v>
      </c>
      <c r="E1073" s="140" t="s">
        <v>2891</v>
      </c>
      <c r="F1073" s="140" t="s">
        <v>768</v>
      </c>
      <c r="G1073" s="140" t="s">
        <v>769</v>
      </c>
      <c r="H1073" s="140" t="s">
        <v>770</v>
      </c>
      <c r="I1073" s="140" t="s">
        <v>431</v>
      </c>
      <c r="J1073" s="140">
        <v>60000000</v>
      </c>
      <c r="K1073" s="139" t="s">
        <v>221</v>
      </c>
      <c r="L1073" s="140">
        <v>2887894</v>
      </c>
      <c r="M1073" s="155" t="s">
        <v>226</v>
      </c>
      <c r="N1073" s="10">
        <v>236</v>
      </c>
      <c r="O1073" s="10">
        <v>60000000</v>
      </c>
      <c r="P1073" s="140" t="s">
        <v>1544</v>
      </c>
    </row>
    <row r="1074" spans="1:16" ht="43.5" x14ac:dyDescent="0.35">
      <c r="A1074" s="139" t="e">
        <f t="shared" si="17"/>
        <v>#REF!</v>
      </c>
      <c r="B1074" s="140" t="s">
        <v>18</v>
      </c>
      <c r="C1074" s="140" t="s">
        <v>37</v>
      </c>
      <c r="D1074" s="140" t="s">
        <v>1515</v>
      </c>
      <c r="E1074" s="140" t="s">
        <v>2891</v>
      </c>
      <c r="F1074" s="140" t="s">
        <v>768</v>
      </c>
      <c r="G1074" s="140" t="s">
        <v>769</v>
      </c>
      <c r="H1074" s="140" t="s">
        <v>773</v>
      </c>
      <c r="I1074" s="140" t="s">
        <v>431</v>
      </c>
      <c r="J1074" s="140">
        <v>60000000</v>
      </c>
      <c r="K1074" s="139" t="s">
        <v>221</v>
      </c>
      <c r="L1074" s="140">
        <v>2887894</v>
      </c>
      <c r="M1074" s="155" t="s">
        <v>226</v>
      </c>
      <c r="N1074" s="10">
        <v>71</v>
      </c>
      <c r="O1074" s="10">
        <v>60000000</v>
      </c>
      <c r="P1074" s="140" t="s">
        <v>2892</v>
      </c>
    </row>
    <row r="1075" spans="1:16" ht="43.5" x14ac:dyDescent="0.35">
      <c r="A1075" s="139" t="e">
        <f t="shared" si="17"/>
        <v>#REF!</v>
      </c>
      <c r="B1075" s="140" t="s">
        <v>18</v>
      </c>
      <c r="C1075" s="140" t="s">
        <v>37</v>
      </c>
      <c r="D1075" s="140" t="s">
        <v>1515</v>
      </c>
      <c r="E1075" s="140" t="s">
        <v>2891</v>
      </c>
      <c r="F1075" s="140" t="s">
        <v>768</v>
      </c>
      <c r="G1075" s="140" t="s">
        <v>769</v>
      </c>
      <c r="H1075" s="140" t="s">
        <v>774</v>
      </c>
      <c r="I1075" s="140" t="s">
        <v>431</v>
      </c>
      <c r="J1075" s="140">
        <v>60000000</v>
      </c>
      <c r="K1075" s="139" t="s">
        <v>221</v>
      </c>
      <c r="L1075" s="140">
        <v>2887894</v>
      </c>
      <c r="M1075" s="155" t="s">
        <v>226</v>
      </c>
      <c r="N1075" s="10">
        <v>236</v>
      </c>
      <c r="O1075" s="10">
        <v>60000000</v>
      </c>
      <c r="P1075" s="140" t="s">
        <v>1544</v>
      </c>
    </row>
    <row r="1076" spans="1:16" ht="43.5" x14ac:dyDescent="0.35">
      <c r="A1076" s="139" t="e">
        <f t="shared" si="17"/>
        <v>#REF!</v>
      </c>
      <c r="B1076" s="140" t="s">
        <v>18</v>
      </c>
      <c r="C1076" s="140" t="s">
        <v>37</v>
      </c>
      <c r="D1076" s="140" t="s">
        <v>1515</v>
      </c>
      <c r="E1076" s="140" t="s">
        <v>2891</v>
      </c>
      <c r="F1076" s="140" t="s">
        <v>768</v>
      </c>
      <c r="G1076" s="140" t="s">
        <v>769</v>
      </c>
      <c r="H1076" s="140" t="s">
        <v>775</v>
      </c>
      <c r="I1076" s="140" t="s">
        <v>431</v>
      </c>
      <c r="J1076" s="140">
        <v>60000000</v>
      </c>
      <c r="K1076" s="139" t="s">
        <v>221</v>
      </c>
      <c r="L1076" s="140">
        <v>2887894</v>
      </c>
      <c r="M1076" s="155" t="s">
        <v>226</v>
      </c>
      <c r="N1076" s="10">
        <v>71</v>
      </c>
      <c r="O1076" s="10">
        <v>60000000</v>
      </c>
      <c r="P1076" s="140" t="s">
        <v>2892</v>
      </c>
    </row>
    <row r="1077" spans="1:16" ht="43.5" x14ac:dyDescent="0.35">
      <c r="A1077" s="139" t="e">
        <f t="shared" si="17"/>
        <v>#REF!</v>
      </c>
      <c r="B1077" s="140" t="s">
        <v>18</v>
      </c>
      <c r="C1077" s="140" t="s">
        <v>37</v>
      </c>
      <c r="D1077" s="140" t="s">
        <v>1515</v>
      </c>
      <c r="E1077" s="140" t="s">
        <v>2891</v>
      </c>
      <c r="F1077" s="140" t="s">
        <v>768</v>
      </c>
      <c r="G1077" s="140" t="s">
        <v>769</v>
      </c>
      <c r="H1077" s="140" t="s">
        <v>776</v>
      </c>
      <c r="I1077" s="140" t="s">
        <v>431</v>
      </c>
      <c r="J1077" s="140">
        <v>60000000</v>
      </c>
      <c r="K1077" s="139" t="s">
        <v>221</v>
      </c>
      <c r="L1077" s="140">
        <v>2887894</v>
      </c>
      <c r="M1077" s="155" t="s">
        <v>226</v>
      </c>
      <c r="N1077" s="10">
        <v>236</v>
      </c>
      <c r="O1077" s="10">
        <v>60000000</v>
      </c>
      <c r="P1077" s="140" t="s">
        <v>1544</v>
      </c>
    </row>
    <row r="1078" spans="1:16" ht="43.5" x14ac:dyDescent="0.35">
      <c r="A1078" s="139" t="e">
        <f t="shared" si="17"/>
        <v>#REF!</v>
      </c>
      <c r="B1078" s="140" t="s">
        <v>18</v>
      </c>
      <c r="C1078" s="140" t="s">
        <v>37</v>
      </c>
      <c r="D1078" s="140" t="s">
        <v>1515</v>
      </c>
      <c r="E1078" s="140" t="s">
        <v>2891</v>
      </c>
      <c r="F1078" s="140" t="s">
        <v>768</v>
      </c>
      <c r="G1078" s="140" t="s">
        <v>769</v>
      </c>
      <c r="H1078" s="140" t="s">
        <v>777</v>
      </c>
      <c r="I1078" s="140" t="s">
        <v>431</v>
      </c>
      <c r="J1078" s="140">
        <v>60000000</v>
      </c>
      <c r="K1078" s="139" t="s">
        <v>221</v>
      </c>
      <c r="L1078" s="140">
        <v>2887894</v>
      </c>
      <c r="M1078" s="155" t="s">
        <v>226</v>
      </c>
      <c r="N1078" s="10">
        <v>150</v>
      </c>
      <c r="O1078" s="10">
        <v>60000000</v>
      </c>
      <c r="P1078" s="140" t="s">
        <v>2383</v>
      </c>
    </row>
    <row r="1079" spans="1:16" ht="43.5" x14ac:dyDescent="0.35">
      <c r="A1079" s="139" t="e">
        <f t="shared" si="17"/>
        <v>#REF!</v>
      </c>
      <c r="B1079" s="140" t="s">
        <v>18</v>
      </c>
      <c r="C1079" s="140" t="s">
        <v>37</v>
      </c>
      <c r="D1079" s="140" t="s">
        <v>1515</v>
      </c>
      <c r="E1079" s="140" t="s">
        <v>2891</v>
      </c>
      <c r="F1079" s="140" t="s">
        <v>768</v>
      </c>
      <c r="G1079" s="140" t="s">
        <v>769</v>
      </c>
      <c r="H1079" s="140" t="s">
        <v>778</v>
      </c>
      <c r="I1079" s="140" t="s">
        <v>431</v>
      </c>
      <c r="J1079" s="140">
        <v>60000000</v>
      </c>
      <c r="K1079" s="139" t="s">
        <v>221</v>
      </c>
      <c r="L1079" s="140">
        <v>2887894</v>
      </c>
      <c r="M1079" s="155" t="s">
        <v>226</v>
      </c>
      <c r="N1079" s="10">
        <v>236</v>
      </c>
      <c r="O1079" s="10">
        <v>60000000</v>
      </c>
      <c r="P1079" s="140" t="s">
        <v>2892</v>
      </c>
    </row>
    <row r="1080" spans="1:16" ht="43.5" x14ac:dyDescent="0.35">
      <c r="A1080" s="139" t="e">
        <f t="shared" si="17"/>
        <v>#REF!</v>
      </c>
      <c r="B1080" s="140" t="s">
        <v>18</v>
      </c>
      <c r="C1080" s="140" t="s">
        <v>37</v>
      </c>
      <c r="D1080" s="140" t="s">
        <v>1515</v>
      </c>
      <c r="E1080" s="140" t="s">
        <v>2891</v>
      </c>
      <c r="F1080" s="140" t="s">
        <v>768</v>
      </c>
      <c r="G1080" s="140" t="s">
        <v>769</v>
      </c>
      <c r="H1080" s="140" t="s">
        <v>779</v>
      </c>
      <c r="I1080" s="140" t="s">
        <v>431</v>
      </c>
      <c r="J1080" s="140">
        <v>60000000</v>
      </c>
      <c r="K1080" s="139" t="s">
        <v>221</v>
      </c>
      <c r="L1080" s="140">
        <v>2887894</v>
      </c>
      <c r="M1080" s="155" t="s">
        <v>226</v>
      </c>
      <c r="N1080" s="10">
        <v>236</v>
      </c>
      <c r="O1080" s="10">
        <v>60000000</v>
      </c>
      <c r="P1080" s="140" t="s">
        <v>2892</v>
      </c>
    </row>
    <row r="1081" spans="1:16" ht="43.5" x14ac:dyDescent="0.35">
      <c r="A1081" s="139" t="e">
        <f t="shared" si="17"/>
        <v>#REF!</v>
      </c>
      <c r="B1081" s="140" t="s">
        <v>18</v>
      </c>
      <c r="C1081" s="140" t="s">
        <v>37</v>
      </c>
      <c r="D1081" s="140" t="s">
        <v>1515</v>
      </c>
      <c r="E1081" s="140" t="s">
        <v>2891</v>
      </c>
      <c r="F1081" s="140" t="s">
        <v>768</v>
      </c>
      <c r="G1081" s="140" t="s">
        <v>769</v>
      </c>
      <c r="H1081" s="140" t="s">
        <v>780</v>
      </c>
      <c r="I1081" s="140" t="s">
        <v>431</v>
      </c>
      <c r="J1081" s="140">
        <v>60000000</v>
      </c>
      <c r="K1081" s="139" t="s">
        <v>221</v>
      </c>
      <c r="L1081" s="140">
        <v>2887894</v>
      </c>
      <c r="M1081" s="155" t="s">
        <v>226</v>
      </c>
      <c r="N1081" s="10">
        <v>236</v>
      </c>
      <c r="O1081" s="10">
        <v>60000000</v>
      </c>
      <c r="P1081" s="140" t="s">
        <v>1544</v>
      </c>
    </row>
    <row r="1082" spans="1:16" ht="43.5" x14ac:dyDescent="0.35">
      <c r="A1082" s="139" t="e">
        <f t="shared" si="17"/>
        <v>#REF!</v>
      </c>
      <c r="B1082" s="140" t="s">
        <v>18</v>
      </c>
      <c r="C1082" s="140" t="s">
        <v>37</v>
      </c>
      <c r="D1082" s="140" t="s">
        <v>1515</v>
      </c>
      <c r="E1082" s="140" t="s">
        <v>2893</v>
      </c>
      <c r="F1082" s="140" t="s">
        <v>297</v>
      </c>
      <c r="G1082" s="140" t="s">
        <v>783</v>
      </c>
      <c r="H1082" s="140" t="s">
        <v>2894</v>
      </c>
      <c r="I1082" s="140" t="s">
        <v>2895</v>
      </c>
      <c r="J1082" s="140">
        <v>252500000</v>
      </c>
      <c r="K1082" s="139" t="s">
        <v>221</v>
      </c>
      <c r="L1082" s="140"/>
      <c r="M1082" s="155" t="s">
        <v>226</v>
      </c>
      <c r="N1082" s="10" t="s">
        <v>2896</v>
      </c>
      <c r="O1082" s="10">
        <v>250000000</v>
      </c>
      <c r="P1082" s="140"/>
    </row>
    <row r="1083" spans="1:16" ht="43.5" x14ac:dyDescent="0.35">
      <c r="A1083" s="139" t="e">
        <f t="shared" si="17"/>
        <v>#REF!</v>
      </c>
      <c r="B1083" s="140" t="s">
        <v>18</v>
      </c>
      <c r="C1083" s="140" t="s">
        <v>37</v>
      </c>
      <c r="D1083" s="140" t="s">
        <v>1515</v>
      </c>
      <c r="E1083" s="140" t="s">
        <v>2897</v>
      </c>
      <c r="F1083" s="140" t="s">
        <v>297</v>
      </c>
      <c r="G1083" s="140" t="s">
        <v>783</v>
      </c>
      <c r="H1083" s="140" t="s">
        <v>2898</v>
      </c>
      <c r="I1083" s="140" t="s">
        <v>2899</v>
      </c>
      <c r="J1083" s="140">
        <v>187500000</v>
      </c>
      <c r="K1083" s="139" t="s">
        <v>221</v>
      </c>
      <c r="L1083" s="140"/>
      <c r="M1083" s="155" t="s">
        <v>226</v>
      </c>
      <c r="N1083" s="10" t="s">
        <v>2900</v>
      </c>
      <c r="O1083" s="10">
        <v>250000000</v>
      </c>
      <c r="P1083" s="140"/>
    </row>
    <row r="1084" spans="1:16" ht="43.5" x14ac:dyDescent="0.35">
      <c r="A1084" s="139" t="e">
        <f t="shared" si="17"/>
        <v>#REF!</v>
      </c>
      <c r="B1084" s="140" t="s">
        <v>18</v>
      </c>
      <c r="C1084" s="140" t="s">
        <v>37</v>
      </c>
      <c r="D1084" s="140" t="s">
        <v>476</v>
      </c>
      <c r="E1084" s="140" t="s">
        <v>2901</v>
      </c>
      <c r="F1084" s="140" t="s">
        <v>48</v>
      </c>
      <c r="G1084" s="140" t="s">
        <v>240</v>
      </c>
      <c r="H1084" s="140" t="s">
        <v>241</v>
      </c>
      <c r="I1084" s="140" t="s">
        <v>2902</v>
      </c>
      <c r="J1084" s="140">
        <v>20000000</v>
      </c>
      <c r="K1084" s="139" t="s">
        <v>221</v>
      </c>
      <c r="L1084" s="140">
        <v>2931751</v>
      </c>
      <c r="M1084" s="155" t="s">
        <v>226</v>
      </c>
      <c r="N1084" s="10">
        <v>1</v>
      </c>
      <c r="O1084" s="10">
        <v>81909920</v>
      </c>
      <c r="P1084" s="140" t="s">
        <v>2903</v>
      </c>
    </row>
    <row r="1085" spans="1:16" ht="43.5" x14ac:dyDescent="0.35">
      <c r="A1085" s="139" t="e">
        <f>#REF!+1</f>
        <v>#REF!</v>
      </c>
      <c r="B1085" s="140" t="s">
        <v>18</v>
      </c>
      <c r="C1085" s="140" t="s">
        <v>37</v>
      </c>
      <c r="D1085" s="140" t="s">
        <v>1515</v>
      </c>
      <c r="E1085" s="140" t="s">
        <v>2904</v>
      </c>
      <c r="F1085" s="140" t="s">
        <v>48</v>
      </c>
      <c r="G1085" s="140" t="s">
        <v>240</v>
      </c>
      <c r="H1085" s="140" t="s">
        <v>243</v>
      </c>
      <c r="I1085" s="140" t="s">
        <v>2905</v>
      </c>
      <c r="J1085" s="140">
        <v>10000000</v>
      </c>
      <c r="K1085" s="139" t="s">
        <v>221</v>
      </c>
      <c r="L1085" s="140">
        <v>2933133</v>
      </c>
      <c r="M1085" s="155" t="s">
        <v>226</v>
      </c>
      <c r="N1085" s="10">
        <v>1</v>
      </c>
      <c r="O1085" s="10">
        <v>81909920</v>
      </c>
      <c r="P1085" s="140" t="s">
        <v>2906</v>
      </c>
    </row>
    <row r="1086" spans="1:16" ht="43.5" x14ac:dyDescent="0.35">
      <c r="A1086" s="139" t="e">
        <f t="shared" ref="A1086:A1149" si="18">A1085+1</f>
        <v>#REF!</v>
      </c>
      <c r="B1086" s="140" t="s">
        <v>18</v>
      </c>
      <c r="C1086" s="140" t="s">
        <v>37</v>
      </c>
      <c r="D1086" s="140" t="s">
        <v>1515</v>
      </c>
      <c r="E1086" s="140" t="s">
        <v>2907</v>
      </c>
      <c r="F1086" s="140" t="s">
        <v>48</v>
      </c>
      <c r="G1086" s="140" t="s">
        <v>240</v>
      </c>
      <c r="H1086" s="140" t="s">
        <v>244</v>
      </c>
      <c r="I1086" s="140" t="s">
        <v>2908</v>
      </c>
      <c r="J1086" s="140">
        <v>80000000</v>
      </c>
      <c r="K1086" s="139" t="s">
        <v>221</v>
      </c>
      <c r="L1086" s="140">
        <v>2933978</v>
      </c>
      <c r="M1086" s="155" t="s">
        <v>226</v>
      </c>
      <c r="N1086" s="10">
        <v>144</v>
      </c>
      <c r="O1086" s="10">
        <v>57600000</v>
      </c>
      <c r="P1086" s="140" t="s">
        <v>2906</v>
      </c>
    </row>
    <row r="1087" spans="1:16" ht="43.5" x14ac:dyDescent="0.35">
      <c r="A1087" s="139" t="e">
        <f t="shared" si="18"/>
        <v>#REF!</v>
      </c>
      <c r="B1087" s="140" t="s">
        <v>18</v>
      </c>
      <c r="C1087" s="140" t="s">
        <v>37</v>
      </c>
      <c r="D1087" s="140" t="s">
        <v>1515</v>
      </c>
      <c r="E1087" s="140" t="s">
        <v>2909</v>
      </c>
      <c r="F1087" s="140" t="s">
        <v>48</v>
      </c>
      <c r="G1087" s="140" t="s">
        <v>240</v>
      </c>
      <c r="H1087" s="140" t="s">
        <v>245</v>
      </c>
      <c r="I1087" s="140" t="s">
        <v>2910</v>
      </c>
      <c r="J1087" s="140">
        <v>39000000</v>
      </c>
      <c r="K1087" s="139" t="s">
        <v>221</v>
      </c>
      <c r="L1087" s="140">
        <v>2934241</v>
      </c>
      <c r="M1087" s="155" t="s">
        <v>226</v>
      </c>
      <c r="N1087" s="10">
        <v>93</v>
      </c>
      <c r="O1087" s="10">
        <v>37200000</v>
      </c>
      <c r="P1087" s="140"/>
    </row>
    <row r="1088" spans="1:16" ht="43.5" x14ac:dyDescent="0.35">
      <c r="A1088" s="139" t="e">
        <f t="shared" si="18"/>
        <v>#REF!</v>
      </c>
      <c r="B1088" s="140" t="s">
        <v>18</v>
      </c>
      <c r="C1088" s="140" t="s">
        <v>37</v>
      </c>
      <c r="D1088" s="140" t="s">
        <v>1515</v>
      </c>
      <c r="E1088" s="140" t="s">
        <v>2909</v>
      </c>
      <c r="F1088" s="140" t="s">
        <v>48</v>
      </c>
      <c r="G1088" s="140" t="s">
        <v>240</v>
      </c>
      <c r="H1088" s="140" t="s">
        <v>245</v>
      </c>
      <c r="I1088" s="140" t="s">
        <v>2911</v>
      </c>
      <c r="J1088" s="140">
        <v>19000000</v>
      </c>
      <c r="K1088" s="139" t="s">
        <v>221</v>
      </c>
      <c r="L1088" s="140">
        <v>2934931</v>
      </c>
      <c r="M1088" s="155" t="s">
        <v>226</v>
      </c>
      <c r="N1088" s="10">
        <v>49.5</v>
      </c>
      <c r="O1088" s="10">
        <v>19800000</v>
      </c>
      <c r="P1088" s="140"/>
    </row>
    <row r="1089" spans="1:16" ht="43.5" x14ac:dyDescent="0.35">
      <c r="A1089" s="139" t="e">
        <f t="shared" si="18"/>
        <v>#REF!</v>
      </c>
      <c r="B1089" s="140" t="s">
        <v>18</v>
      </c>
      <c r="C1089" s="140" t="s">
        <v>37</v>
      </c>
      <c r="D1089" s="140" t="s">
        <v>1515</v>
      </c>
      <c r="E1089" s="140" t="s">
        <v>2909</v>
      </c>
      <c r="F1089" s="140" t="s">
        <v>48</v>
      </c>
      <c r="G1089" s="140" t="s">
        <v>240</v>
      </c>
      <c r="H1089" s="140" t="s">
        <v>245</v>
      </c>
      <c r="I1089" s="140" t="s">
        <v>2912</v>
      </c>
      <c r="J1089" s="140">
        <v>17000000</v>
      </c>
      <c r="K1089" s="139" t="s">
        <v>221</v>
      </c>
      <c r="L1089" s="140">
        <v>2934856</v>
      </c>
      <c r="M1089" s="155" t="s">
        <v>226</v>
      </c>
      <c r="N1089" s="10">
        <v>39</v>
      </c>
      <c r="O1089" s="10">
        <v>15600000</v>
      </c>
      <c r="P1089" s="140"/>
    </row>
    <row r="1090" spans="1:16" ht="43.5" x14ac:dyDescent="0.35">
      <c r="A1090" s="139" t="e">
        <f t="shared" si="18"/>
        <v>#REF!</v>
      </c>
      <c r="B1090" s="140" t="s">
        <v>18</v>
      </c>
      <c r="C1090" s="140" t="s">
        <v>37</v>
      </c>
      <c r="D1090" s="140" t="s">
        <v>1515</v>
      </c>
      <c r="E1090" s="140" t="s">
        <v>2907</v>
      </c>
      <c r="F1090" s="140" t="s">
        <v>48</v>
      </c>
      <c r="G1090" s="140" t="s">
        <v>240</v>
      </c>
      <c r="H1090" s="140" t="s">
        <v>245</v>
      </c>
      <c r="I1090" s="140" t="s">
        <v>2913</v>
      </c>
      <c r="J1090" s="140">
        <v>15000000</v>
      </c>
      <c r="K1090" s="139" t="s">
        <v>221</v>
      </c>
      <c r="L1090" s="140">
        <v>2935054</v>
      </c>
      <c r="M1090" s="155" t="s">
        <v>226</v>
      </c>
      <c r="N1090" s="10">
        <v>37.5</v>
      </c>
      <c r="O1090" s="10">
        <v>15000000</v>
      </c>
      <c r="P1090" s="140"/>
    </row>
    <row r="1091" spans="1:16" ht="43.5" x14ac:dyDescent="0.35">
      <c r="A1091" s="139" t="e">
        <f>#REF!+1</f>
        <v>#REF!</v>
      </c>
      <c r="B1091" s="140" t="s">
        <v>18</v>
      </c>
      <c r="C1091" s="140" t="s">
        <v>37</v>
      </c>
      <c r="D1091" s="140" t="s">
        <v>1515</v>
      </c>
      <c r="E1091" s="140" t="s">
        <v>2914</v>
      </c>
      <c r="F1091" s="140" t="s">
        <v>48</v>
      </c>
      <c r="G1091" s="140" t="s">
        <v>240</v>
      </c>
      <c r="H1091" s="140" t="s">
        <v>246</v>
      </c>
      <c r="I1091" s="140" t="s">
        <v>2915</v>
      </c>
      <c r="J1091" s="140">
        <v>30000000</v>
      </c>
      <c r="K1091" s="139" t="s">
        <v>221</v>
      </c>
      <c r="L1091" s="140">
        <v>2933630</v>
      </c>
      <c r="M1091" s="155" t="s">
        <v>226</v>
      </c>
      <c r="N1091" s="10">
        <v>1</v>
      </c>
      <c r="O1091" s="10">
        <v>81909920</v>
      </c>
      <c r="P1091" s="140"/>
    </row>
    <row r="1092" spans="1:16" ht="43.5" x14ac:dyDescent="0.35">
      <c r="A1092" s="139" t="e">
        <f t="shared" si="18"/>
        <v>#REF!</v>
      </c>
      <c r="B1092" s="140" t="s">
        <v>18</v>
      </c>
      <c r="C1092" s="140" t="s">
        <v>37</v>
      </c>
      <c r="D1092" s="140" t="s">
        <v>1515</v>
      </c>
      <c r="E1092" s="140" t="s">
        <v>2909</v>
      </c>
      <c r="F1092" s="140" t="s">
        <v>48</v>
      </c>
      <c r="G1092" s="140" t="s">
        <v>240</v>
      </c>
      <c r="H1092" s="140" t="s">
        <v>253</v>
      </c>
      <c r="I1092" s="140" t="s">
        <v>2916</v>
      </c>
      <c r="J1092" s="140">
        <v>40000000</v>
      </c>
      <c r="K1092" s="139" t="s">
        <v>221</v>
      </c>
      <c r="L1092" s="140">
        <v>2958673</v>
      </c>
      <c r="M1092" s="155" t="s">
        <v>226</v>
      </c>
      <c r="N1092" s="10">
        <v>112.5</v>
      </c>
      <c r="O1092" s="10">
        <v>45000000</v>
      </c>
      <c r="P1092" s="140"/>
    </row>
    <row r="1093" spans="1:16" ht="43.5" x14ac:dyDescent="0.35">
      <c r="A1093" s="139" t="e">
        <f t="shared" si="18"/>
        <v>#REF!</v>
      </c>
      <c r="B1093" s="140" t="s">
        <v>18</v>
      </c>
      <c r="C1093" s="140" t="s">
        <v>37</v>
      </c>
      <c r="D1093" s="140" t="s">
        <v>1515</v>
      </c>
      <c r="E1093" s="140" t="s">
        <v>2917</v>
      </c>
      <c r="F1093" s="140" t="s">
        <v>48</v>
      </c>
      <c r="G1093" s="140" t="s">
        <v>240</v>
      </c>
      <c r="H1093" s="140" t="s">
        <v>253</v>
      </c>
      <c r="I1093" s="140" t="s">
        <v>2918</v>
      </c>
      <c r="J1093" s="140">
        <v>21000000</v>
      </c>
      <c r="K1093" s="139" t="s">
        <v>221</v>
      </c>
      <c r="L1093" s="140">
        <v>2958638</v>
      </c>
      <c r="M1093" s="155" t="s">
        <v>226</v>
      </c>
      <c r="N1093" s="10">
        <v>37.5</v>
      </c>
      <c r="O1093" s="10">
        <v>15000000</v>
      </c>
      <c r="P1093" s="140"/>
    </row>
    <row r="1094" spans="1:16" ht="43.5" x14ac:dyDescent="0.35">
      <c r="A1094" s="139" t="e">
        <f t="shared" si="18"/>
        <v>#REF!</v>
      </c>
      <c r="B1094" s="140" t="s">
        <v>18</v>
      </c>
      <c r="C1094" s="140" t="s">
        <v>37</v>
      </c>
      <c r="D1094" s="140" t="s">
        <v>1515</v>
      </c>
      <c r="E1094" s="140" t="s">
        <v>2909</v>
      </c>
      <c r="F1094" s="140" t="s">
        <v>48</v>
      </c>
      <c r="G1094" s="140" t="s">
        <v>240</v>
      </c>
      <c r="H1094" s="140" t="s">
        <v>247</v>
      </c>
      <c r="I1094" s="140" t="s">
        <v>2919</v>
      </c>
      <c r="J1094" s="140">
        <v>25000000</v>
      </c>
      <c r="K1094" s="139" t="s">
        <v>221</v>
      </c>
      <c r="L1094" s="140">
        <v>2935978</v>
      </c>
      <c r="M1094" s="155" t="s">
        <v>226</v>
      </c>
      <c r="N1094" s="10">
        <v>111</v>
      </c>
      <c r="O1094" s="10">
        <v>44400000</v>
      </c>
      <c r="P1094" s="140"/>
    </row>
    <row r="1095" spans="1:16" ht="43.5" x14ac:dyDescent="0.35">
      <c r="A1095" s="139" t="e">
        <f t="shared" si="18"/>
        <v>#REF!</v>
      </c>
      <c r="B1095" s="140" t="s">
        <v>18</v>
      </c>
      <c r="C1095" s="140" t="s">
        <v>37</v>
      </c>
      <c r="D1095" s="140" t="s">
        <v>1515</v>
      </c>
      <c r="E1095" s="140" t="s">
        <v>2920</v>
      </c>
      <c r="F1095" s="140" t="s">
        <v>48</v>
      </c>
      <c r="G1095" s="140" t="s">
        <v>240</v>
      </c>
      <c r="H1095" s="140" t="s">
        <v>248</v>
      </c>
      <c r="I1095" s="140" t="s">
        <v>2921</v>
      </c>
      <c r="J1095" s="140">
        <v>27000000</v>
      </c>
      <c r="K1095" s="139" t="s">
        <v>221</v>
      </c>
      <c r="L1095" s="140">
        <v>2958537</v>
      </c>
      <c r="M1095" s="155" t="s">
        <v>226</v>
      </c>
      <c r="N1095" s="10">
        <v>150</v>
      </c>
      <c r="O1095" s="10">
        <v>60000000</v>
      </c>
      <c r="P1095" s="140"/>
    </row>
    <row r="1096" spans="1:16" ht="43.5" x14ac:dyDescent="0.35">
      <c r="A1096" s="139" t="e">
        <f t="shared" si="18"/>
        <v>#REF!</v>
      </c>
      <c r="B1096" s="140" t="s">
        <v>18</v>
      </c>
      <c r="C1096" s="140" t="s">
        <v>37</v>
      </c>
      <c r="D1096" s="140" t="s">
        <v>1515</v>
      </c>
      <c r="E1096" s="140" t="s">
        <v>2922</v>
      </c>
      <c r="F1096" s="140" t="s">
        <v>48</v>
      </c>
      <c r="G1096" s="140" t="s">
        <v>240</v>
      </c>
      <c r="H1096" s="140" t="s">
        <v>248</v>
      </c>
      <c r="I1096" s="140" t="s">
        <v>2923</v>
      </c>
      <c r="J1096" s="140">
        <v>39000000</v>
      </c>
      <c r="K1096" s="139" t="s">
        <v>221</v>
      </c>
      <c r="L1096" s="140">
        <v>2958509</v>
      </c>
      <c r="M1096" s="155" t="s">
        <v>226</v>
      </c>
      <c r="N1096" s="10">
        <v>160</v>
      </c>
      <c r="O1096" s="10">
        <v>64000000</v>
      </c>
      <c r="P1096" s="140" t="s">
        <v>1747</v>
      </c>
    </row>
    <row r="1097" spans="1:16" ht="43.5" x14ac:dyDescent="0.35">
      <c r="A1097" s="139" t="e">
        <f t="shared" si="18"/>
        <v>#REF!</v>
      </c>
      <c r="B1097" s="140" t="s">
        <v>18</v>
      </c>
      <c r="C1097" s="140" t="s">
        <v>37</v>
      </c>
      <c r="D1097" s="140" t="s">
        <v>1515</v>
      </c>
      <c r="E1097" s="140" t="s">
        <v>2922</v>
      </c>
      <c r="F1097" s="140" t="s">
        <v>48</v>
      </c>
      <c r="G1097" s="140" t="s">
        <v>240</v>
      </c>
      <c r="H1097" s="140" t="s">
        <v>2924</v>
      </c>
      <c r="I1097" s="140" t="s">
        <v>2925</v>
      </c>
      <c r="J1097" s="140">
        <v>100000000</v>
      </c>
      <c r="K1097" s="139" t="s">
        <v>221</v>
      </c>
      <c r="L1097" s="140">
        <v>2931680</v>
      </c>
      <c r="M1097" s="155" t="s">
        <v>226</v>
      </c>
      <c r="N1097" s="10">
        <v>200</v>
      </c>
      <c r="O1097" s="10">
        <v>80000000</v>
      </c>
      <c r="P1097" s="140" t="s">
        <v>1747</v>
      </c>
    </row>
    <row r="1098" spans="1:16" ht="43.5" x14ac:dyDescent="0.35">
      <c r="A1098" s="139" t="e">
        <f t="shared" si="18"/>
        <v>#REF!</v>
      </c>
      <c r="B1098" s="140" t="s">
        <v>18</v>
      </c>
      <c r="C1098" s="140" t="s">
        <v>37</v>
      </c>
      <c r="D1098" s="140" t="s">
        <v>1515</v>
      </c>
      <c r="E1098" s="140" t="s">
        <v>2909</v>
      </c>
      <c r="F1098" s="140" t="s">
        <v>48</v>
      </c>
      <c r="G1098" s="140" t="s">
        <v>240</v>
      </c>
      <c r="H1098" s="140" t="s">
        <v>249</v>
      </c>
      <c r="I1098" s="140" t="s">
        <v>2926</v>
      </c>
      <c r="J1098" s="140">
        <v>80000000</v>
      </c>
      <c r="K1098" s="139" t="s">
        <v>221</v>
      </c>
      <c r="L1098" s="140">
        <v>2936912</v>
      </c>
      <c r="M1098" s="155" t="s">
        <v>226</v>
      </c>
      <c r="N1098" s="10">
        <v>138</v>
      </c>
      <c r="O1098" s="10">
        <v>55200000</v>
      </c>
      <c r="P1098" s="140" t="s">
        <v>1747</v>
      </c>
    </row>
    <row r="1099" spans="1:16" ht="43.5" x14ac:dyDescent="0.35">
      <c r="A1099" s="139" t="e">
        <f t="shared" si="18"/>
        <v>#REF!</v>
      </c>
      <c r="B1099" s="140" t="s">
        <v>18</v>
      </c>
      <c r="C1099" s="140" t="s">
        <v>37</v>
      </c>
      <c r="D1099" s="140" t="s">
        <v>1515</v>
      </c>
      <c r="E1099" s="140" t="s">
        <v>2909</v>
      </c>
      <c r="F1099" s="140" t="s">
        <v>48</v>
      </c>
      <c r="G1099" s="140" t="s">
        <v>240</v>
      </c>
      <c r="H1099" s="140" t="s">
        <v>250</v>
      </c>
      <c r="I1099" s="140" t="s">
        <v>2927</v>
      </c>
      <c r="J1099" s="140">
        <v>50000000</v>
      </c>
      <c r="K1099" s="139" t="s">
        <v>221</v>
      </c>
      <c r="L1099" s="140">
        <v>2958442</v>
      </c>
      <c r="M1099" s="155" t="s">
        <v>226</v>
      </c>
      <c r="N1099" s="10">
        <v>154.5</v>
      </c>
      <c r="O1099" s="10">
        <v>61800000</v>
      </c>
      <c r="P1099" s="140"/>
    </row>
    <row r="1100" spans="1:16" ht="43.5" x14ac:dyDescent="0.35">
      <c r="A1100" s="139" t="e">
        <f t="shared" si="18"/>
        <v>#REF!</v>
      </c>
      <c r="B1100" s="140" t="s">
        <v>18</v>
      </c>
      <c r="C1100" s="140" t="s">
        <v>37</v>
      </c>
      <c r="D1100" s="140" t="s">
        <v>1515</v>
      </c>
      <c r="E1100" s="140" t="s">
        <v>2917</v>
      </c>
      <c r="F1100" s="140" t="s">
        <v>48</v>
      </c>
      <c r="G1100" s="140" t="s">
        <v>240</v>
      </c>
      <c r="H1100" s="140" t="s">
        <v>250</v>
      </c>
      <c r="I1100" s="140" t="s">
        <v>2928</v>
      </c>
      <c r="J1100" s="140">
        <v>30000000</v>
      </c>
      <c r="K1100" s="139" t="s">
        <v>221</v>
      </c>
      <c r="L1100" s="140">
        <v>2958464</v>
      </c>
      <c r="M1100" s="155" t="s">
        <v>226</v>
      </c>
      <c r="N1100" s="10">
        <v>78</v>
      </c>
      <c r="O1100" s="10">
        <v>31200000</v>
      </c>
      <c r="P1100" s="140"/>
    </row>
    <row r="1101" spans="1:16" ht="43.5" x14ac:dyDescent="0.35">
      <c r="A1101" s="139" t="e">
        <f>#REF!+1</f>
        <v>#REF!</v>
      </c>
      <c r="B1101" s="140" t="s">
        <v>18</v>
      </c>
      <c r="C1101" s="140" t="s">
        <v>37</v>
      </c>
      <c r="D1101" s="140" t="s">
        <v>1515</v>
      </c>
      <c r="E1101" s="140" t="s">
        <v>2929</v>
      </c>
      <c r="F1101" s="140" t="s">
        <v>2784</v>
      </c>
      <c r="G1101" s="140" t="s">
        <v>756</v>
      </c>
      <c r="H1101" s="140" t="s">
        <v>2930</v>
      </c>
      <c r="I1101" s="140" t="s">
        <v>2931</v>
      </c>
      <c r="J1101" s="140">
        <v>35000000</v>
      </c>
      <c r="K1101" s="139" t="s">
        <v>221</v>
      </c>
      <c r="L1101" s="140"/>
      <c r="M1101" s="155" t="s">
        <v>226</v>
      </c>
      <c r="N1101" s="10">
        <v>125</v>
      </c>
      <c r="O1101" s="10">
        <v>85000000</v>
      </c>
      <c r="P1101" s="140" t="s">
        <v>2932</v>
      </c>
    </row>
    <row r="1102" spans="1:16" ht="43.5" x14ac:dyDescent="0.35">
      <c r="A1102" s="139" t="e">
        <f t="shared" si="18"/>
        <v>#REF!</v>
      </c>
      <c r="B1102" s="140" t="s">
        <v>18</v>
      </c>
      <c r="C1102" s="140" t="s">
        <v>37</v>
      </c>
      <c r="D1102" s="140" t="s">
        <v>1515</v>
      </c>
      <c r="E1102" s="140" t="s">
        <v>2933</v>
      </c>
      <c r="F1102" s="140" t="s">
        <v>1410</v>
      </c>
      <c r="G1102" s="140" t="s">
        <v>177</v>
      </c>
      <c r="H1102" s="140" t="s">
        <v>1414</v>
      </c>
      <c r="I1102" s="140" t="s">
        <v>1259</v>
      </c>
      <c r="J1102" s="140">
        <v>20000000</v>
      </c>
      <c r="K1102" s="139" t="s">
        <v>221</v>
      </c>
      <c r="L1102" s="140">
        <v>2947414</v>
      </c>
      <c r="M1102" s="155" t="s">
        <v>180</v>
      </c>
      <c r="N1102" s="10">
        <v>160</v>
      </c>
      <c r="O1102" s="10">
        <v>50000000</v>
      </c>
      <c r="P1102" s="140">
        <v>200</v>
      </c>
    </row>
    <row r="1103" spans="1:16" ht="43.5" x14ac:dyDescent="0.35">
      <c r="A1103" s="139" t="e">
        <f t="shared" si="18"/>
        <v>#REF!</v>
      </c>
      <c r="B1103" s="140" t="s">
        <v>18</v>
      </c>
      <c r="C1103" s="140" t="s">
        <v>37</v>
      </c>
      <c r="D1103" s="140" t="s">
        <v>1515</v>
      </c>
      <c r="E1103" s="140" t="s">
        <v>1610</v>
      </c>
      <c r="F1103" s="140" t="s">
        <v>1410</v>
      </c>
      <c r="G1103" s="140" t="s">
        <v>177</v>
      </c>
      <c r="H1103" s="140" t="s">
        <v>1415</v>
      </c>
      <c r="I1103" s="140" t="s">
        <v>1129</v>
      </c>
      <c r="J1103" s="140">
        <v>20000000</v>
      </c>
      <c r="K1103" s="139" t="s">
        <v>221</v>
      </c>
      <c r="L1103" s="140">
        <v>2947414</v>
      </c>
      <c r="M1103" s="155" t="s">
        <v>180</v>
      </c>
      <c r="N1103" s="10">
        <v>125</v>
      </c>
      <c r="O1103" s="10">
        <v>31777777.5</v>
      </c>
      <c r="P1103" s="140"/>
    </row>
    <row r="1104" spans="1:16" ht="43.5" x14ac:dyDescent="0.35">
      <c r="A1104" s="139" t="e">
        <f t="shared" si="18"/>
        <v>#REF!</v>
      </c>
      <c r="B1104" s="140" t="s">
        <v>18</v>
      </c>
      <c r="C1104" s="140" t="s">
        <v>37</v>
      </c>
      <c r="D1104" s="140" t="s">
        <v>1570</v>
      </c>
      <c r="E1104" s="140" t="s">
        <v>1221</v>
      </c>
      <c r="F1104" s="140" t="s">
        <v>1410</v>
      </c>
      <c r="G1104" s="140" t="s">
        <v>177</v>
      </c>
      <c r="H1104" s="140" t="s">
        <v>2934</v>
      </c>
      <c r="I1104" s="140" t="s">
        <v>341</v>
      </c>
      <c r="J1104" s="140">
        <v>60000000</v>
      </c>
      <c r="K1104" s="139" t="s">
        <v>221</v>
      </c>
      <c r="L1104" s="140">
        <v>2945467</v>
      </c>
      <c r="M1104" s="155" t="s">
        <v>180</v>
      </c>
      <c r="N1104" s="10" t="s">
        <v>561</v>
      </c>
      <c r="O1104" s="10">
        <v>85000000</v>
      </c>
      <c r="P1104" s="140" t="s">
        <v>1571</v>
      </c>
    </row>
    <row r="1105" spans="1:16" ht="43.5" x14ac:dyDescent="0.35">
      <c r="A1105" s="139" t="e">
        <f t="shared" si="18"/>
        <v>#REF!</v>
      </c>
      <c r="B1105" s="140" t="s">
        <v>18</v>
      </c>
      <c r="C1105" s="140" t="s">
        <v>37</v>
      </c>
      <c r="D1105" s="140" t="s">
        <v>1515</v>
      </c>
      <c r="E1105" s="140" t="s">
        <v>1610</v>
      </c>
      <c r="F1105" s="140" t="s">
        <v>1410</v>
      </c>
      <c r="G1105" s="140" t="s">
        <v>177</v>
      </c>
      <c r="H1105" s="140" t="s">
        <v>2935</v>
      </c>
      <c r="I1105" s="140" t="s">
        <v>1259</v>
      </c>
      <c r="J1105" s="140">
        <v>40000000</v>
      </c>
      <c r="K1105" s="139" t="s">
        <v>221</v>
      </c>
      <c r="L1105" s="140">
        <v>2947414</v>
      </c>
      <c r="M1105" s="155" t="s">
        <v>180</v>
      </c>
      <c r="N1105" s="10">
        <v>200</v>
      </c>
      <c r="O1105" s="10">
        <v>72244443</v>
      </c>
      <c r="P1105" s="140" t="s">
        <v>2936</v>
      </c>
    </row>
    <row r="1106" spans="1:16" ht="43.5" x14ac:dyDescent="0.35">
      <c r="A1106" s="139" t="e">
        <f t="shared" si="18"/>
        <v>#REF!</v>
      </c>
      <c r="B1106" s="140" t="s">
        <v>18</v>
      </c>
      <c r="C1106" s="140" t="s">
        <v>37</v>
      </c>
      <c r="D1106" s="140" t="s">
        <v>1515</v>
      </c>
      <c r="E1106" s="140" t="s">
        <v>1221</v>
      </c>
      <c r="F1106" s="140" t="s">
        <v>1410</v>
      </c>
      <c r="G1106" s="140" t="s">
        <v>177</v>
      </c>
      <c r="H1106" s="140" t="s">
        <v>787</v>
      </c>
      <c r="I1106" s="140" t="s">
        <v>1426</v>
      </c>
      <c r="J1106" s="140">
        <v>45000000</v>
      </c>
      <c r="K1106" s="139" t="s">
        <v>221</v>
      </c>
      <c r="L1106" s="140">
        <v>2958755</v>
      </c>
      <c r="M1106" s="155" t="s">
        <v>180</v>
      </c>
      <c r="N1106" s="10">
        <v>100</v>
      </c>
      <c r="O1106" s="10">
        <v>88600000</v>
      </c>
      <c r="P1106" s="140"/>
    </row>
    <row r="1107" spans="1:16" ht="43.5" x14ac:dyDescent="0.35">
      <c r="A1107" s="139" t="e">
        <f t="shared" si="18"/>
        <v>#REF!</v>
      </c>
      <c r="B1107" s="140" t="s">
        <v>18</v>
      </c>
      <c r="C1107" s="140" t="s">
        <v>37</v>
      </c>
      <c r="D1107" s="140" t="s">
        <v>1515</v>
      </c>
      <c r="E1107" s="140" t="s">
        <v>1610</v>
      </c>
      <c r="F1107" s="140" t="s">
        <v>1410</v>
      </c>
      <c r="G1107" s="140" t="s">
        <v>177</v>
      </c>
      <c r="H1107" s="140" t="s">
        <v>2937</v>
      </c>
      <c r="I1107" s="140" t="s">
        <v>1426</v>
      </c>
      <c r="J1107" s="140">
        <v>60000000</v>
      </c>
      <c r="K1107" s="139" t="s">
        <v>221</v>
      </c>
      <c r="L1107" s="140">
        <v>2947414</v>
      </c>
      <c r="M1107" s="155" t="s">
        <v>180</v>
      </c>
      <c r="N1107" s="10">
        <v>300</v>
      </c>
      <c r="O1107" s="10">
        <v>76266600</v>
      </c>
      <c r="P1107" s="140"/>
    </row>
    <row r="1108" spans="1:16" ht="43.5" x14ac:dyDescent="0.35">
      <c r="A1108" s="139" t="e">
        <f t="shared" si="18"/>
        <v>#REF!</v>
      </c>
      <c r="B1108" s="140" t="s">
        <v>18</v>
      </c>
      <c r="C1108" s="140" t="s">
        <v>37</v>
      </c>
      <c r="D1108" s="140" t="s">
        <v>1515</v>
      </c>
      <c r="E1108" s="140" t="s">
        <v>1610</v>
      </c>
      <c r="F1108" s="140" t="s">
        <v>1410</v>
      </c>
      <c r="G1108" s="140" t="s">
        <v>177</v>
      </c>
      <c r="H1108" s="140" t="s">
        <v>2938</v>
      </c>
      <c r="I1108" s="140" t="s">
        <v>1259</v>
      </c>
      <c r="J1108" s="140">
        <v>40000000</v>
      </c>
      <c r="K1108" s="139" t="s">
        <v>221</v>
      </c>
      <c r="L1108" s="140">
        <v>2947414</v>
      </c>
      <c r="M1108" s="155" t="s">
        <v>180</v>
      </c>
      <c r="N1108" s="10">
        <v>250</v>
      </c>
      <c r="O1108" s="10">
        <v>85731179</v>
      </c>
      <c r="P1108" s="140" t="s">
        <v>2936</v>
      </c>
    </row>
    <row r="1109" spans="1:16" ht="43.5" x14ac:dyDescent="0.35">
      <c r="A1109" s="139" t="e">
        <f>#REF!+1</f>
        <v>#REF!</v>
      </c>
      <c r="B1109" s="140" t="s">
        <v>18</v>
      </c>
      <c r="C1109" s="140" t="s">
        <v>37</v>
      </c>
      <c r="D1109" s="140" t="s">
        <v>476</v>
      </c>
      <c r="E1109" s="140" t="s">
        <v>2939</v>
      </c>
      <c r="F1109" s="140" t="s">
        <v>791</v>
      </c>
      <c r="G1109" s="140" t="s">
        <v>792</v>
      </c>
      <c r="H1109" s="140" t="s">
        <v>2940</v>
      </c>
      <c r="I1109" s="140" t="s">
        <v>2941</v>
      </c>
      <c r="J1109" s="140">
        <v>20000000</v>
      </c>
      <c r="K1109" s="139" t="s">
        <v>221</v>
      </c>
      <c r="L1109" s="140">
        <v>2945145</v>
      </c>
      <c r="M1109" s="155" t="s">
        <v>180</v>
      </c>
      <c r="N1109" s="10">
        <v>7</v>
      </c>
      <c r="O1109" s="10">
        <v>172829517</v>
      </c>
      <c r="P1109" s="140" t="s">
        <v>1955</v>
      </c>
    </row>
    <row r="1110" spans="1:16" ht="43.5" x14ac:dyDescent="0.35">
      <c r="A1110" s="139" t="e">
        <f t="shared" si="18"/>
        <v>#REF!</v>
      </c>
      <c r="B1110" s="140" t="s">
        <v>18</v>
      </c>
      <c r="C1110" s="140" t="s">
        <v>37</v>
      </c>
      <c r="D1110" s="140" t="s">
        <v>1521</v>
      </c>
      <c r="E1110" s="140" t="s">
        <v>2942</v>
      </c>
      <c r="F1110" s="140" t="s">
        <v>791</v>
      </c>
      <c r="G1110" s="140" t="s">
        <v>792</v>
      </c>
      <c r="H1110" s="140" t="s">
        <v>2943</v>
      </c>
      <c r="I1110" s="140" t="s">
        <v>2944</v>
      </c>
      <c r="J1110" s="140">
        <v>35000000</v>
      </c>
      <c r="K1110" s="139" t="s">
        <v>221</v>
      </c>
      <c r="L1110" s="140">
        <v>2947562</v>
      </c>
      <c r="M1110" s="155" t="s">
        <v>180</v>
      </c>
      <c r="N1110" s="10"/>
      <c r="O1110" s="10">
        <v>50000000</v>
      </c>
      <c r="P1110" s="140" t="s">
        <v>1839</v>
      </c>
    </row>
    <row r="1111" spans="1:16" ht="43.5" x14ac:dyDescent="0.35">
      <c r="A1111" s="139" t="e">
        <f t="shared" si="18"/>
        <v>#REF!</v>
      </c>
      <c r="B1111" s="140" t="s">
        <v>18</v>
      </c>
      <c r="C1111" s="140" t="s">
        <v>37</v>
      </c>
      <c r="D1111" s="140" t="s">
        <v>476</v>
      </c>
      <c r="E1111" s="140" t="s">
        <v>2945</v>
      </c>
      <c r="F1111" s="140" t="s">
        <v>791</v>
      </c>
      <c r="G1111" s="140" t="s">
        <v>792</v>
      </c>
      <c r="H1111" s="140" t="s">
        <v>2943</v>
      </c>
      <c r="I1111" s="140" t="s">
        <v>2944</v>
      </c>
      <c r="J1111" s="140">
        <v>35000000</v>
      </c>
      <c r="K1111" s="139" t="s">
        <v>221</v>
      </c>
      <c r="L1111" s="140">
        <v>2947769</v>
      </c>
      <c r="M1111" s="155" t="s">
        <v>180</v>
      </c>
      <c r="N1111" s="10"/>
      <c r="O1111" s="10">
        <v>50000000</v>
      </c>
      <c r="P1111" s="140" t="s">
        <v>1839</v>
      </c>
    </row>
    <row r="1112" spans="1:16" ht="43.5" x14ac:dyDescent="0.35">
      <c r="A1112" s="139" t="e">
        <f t="shared" si="18"/>
        <v>#REF!</v>
      </c>
      <c r="B1112" s="140" t="s">
        <v>18</v>
      </c>
      <c r="C1112" s="140" t="s">
        <v>37</v>
      </c>
      <c r="D1112" s="140" t="s">
        <v>1521</v>
      </c>
      <c r="E1112" s="140" t="s">
        <v>2946</v>
      </c>
      <c r="F1112" s="140" t="s">
        <v>791</v>
      </c>
      <c r="G1112" s="140" t="s">
        <v>792</v>
      </c>
      <c r="H1112" s="140" t="s">
        <v>2947</v>
      </c>
      <c r="I1112" s="140" t="s">
        <v>1259</v>
      </c>
      <c r="J1112" s="140">
        <v>60000000</v>
      </c>
      <c r="K1112" s="139" t="s">
        <v>221</v>
      </c>
      <c r="L1112" s="140">
        <v>2947562</v>
      </c>
      <c r="M1112" s="155" t="s">
        <v>180</v>
      </c>
      <c r="N1112" s="10"/>
      <c r="O1112" s="10">
        <v>100000000</v>
      </c>
      <c r="P1112" s="310" t="s">
        <v>2932</v>
      </c>
    </row>
    <row r="1113" spans="1:16" ht="43.5" x14ac:dyDescent="0.35">
      <c r="A1113" s="139" t="e">
        <f>#REF!+1</f>
        <v>#REF!</v>
      </c>
      <c r="B1113" s="140" t="s">
        <v>18</v>
      </c>
      <c r="C1113" s="140" t="s">
        <v>37</v>
      </c>
      <c r="D1113" s="140" t="s">
        <v>1521</v>
      </c>
      <c r="E1113" s="140" t="s">
        <v>1714</v>
      </c>
      <c r="F1113" s="140" t="s">
        <v>791</v>
      </c>
      <c r="G1113" s="140" t="s">
        <v>792</v>
      </c>
      <c r="H1113" s="140" t="s">
        <v>2948</v>
      </c>
      <c r="I1113" s="140" t="s">
        <v>2949</v>
      </c>
      <c r="J1113" s="140">
        <v>125000000</v>
      </c>
      <c r="K1113" s="139" t="s">
        <v>221</v>
      </c>
      <c r="L1113" s="140">
        <v>2963407</v>
      </c>
      <c r="M1113" s="155" t="s">
        <v>180</v>
      </c>
      <c r="N1113" s="10"/>
      <c r="O1113" s="10">
        <v>100000000</v>
      </c>
      <c r="P1113" s="140" t="s">
        <v>2936</v>
      </c>
    </row>
    <row r="1114" spans="1:16" ht="43.5" x14ac:dyDescent="0.35">
      <c r="A1114" s="139" t="e">
        <f t="shared" si="18"/>
        <v>#REF!</v>
      </c>
      <c r="B1114" s="140" t="s">
        <v>18</v>
      </c>
      <c r="C1114" s="140" t="s">
        <v>37</v>
      </c>
      <c r="D1114" s="140" t="s">
        <v>476</v>
      </c>
      <c r="E1114" s="140" t="s">
        <v>2950</v>
      </c>
      <c r="F1114" s="140" t="s">
        <v>791</v>
      </c>
      <c r="G1114" s="140" t="s">
        <v>792</v>
      </c>
      <c r="H1114" s="140" t="s">
        <v>795</v>
      </c>
      <c r="I1114" s="140" t="s">
        <v>2951</v>
      </c>
      <c r="J1114" s="140">
        <v>40000000</v>
      </c>
      <c r="K1114" s="139" t="s">
        <v>221</v>
      </c>
      <c r="L1114" s="140">
        <v>2943601</v>
      </c>
      <c r="M1114" s="155" t="s">
        <v>180</v>
      </c>
      <c r="N1114" s="10">
        <v>4</v>
      </c>
      <c r="O1114" s="10">
        <v>180000000</v>
      </c>
      <c r="P1114" s="140" t="s">
        <v>2952</v>
      </c>
    </row>
    <row r="1115" spans="1:16" ht="43.5" x14ac:dyDescent="0.35">
      <c r="A1115" s="139" t="e">
        <f>#REF!+1</f>
        <v>#REF!</v>
      </c>
      <c r="B1115" s="140" t="s">
        <v>18</v>
      </c>
      <c r="C1115" s="140" t="s">
        <v>37</v>
      </c>
      <c r="D1115" s="140" t="s">
        <v>1570</v>
      </c>
      <c r="E1115" s="140" t="s">
        <v>2719</v>
      </c>
      <c r="F1115" s="140" t="s">
        <v>798</v>
      </c>
      <c r="G1115" s="140" t="s">
        <v>185</v>
      </c>
      <c r="H1115" s="140" t="s">
        <v>2953</v>
      </c>
      <c r="I1115" s="140" t="s">
        <v>2954</v>
      </c>
      <c r="J1115" s="140">
        <v>91200000</v>
      </c>
      <c r="K1115" s="139" t="s">
        <v>221</v>
      </c>
      <c r="L1115" s="140">
        <v>2928774</v>
      </c>
      <c r="M1115" s="155" t="s">
        <v>180</v>
      </c>
      <c r="N1115" s="10">
        <v>160</v>
      </c>
      <c r="O1115" s="10">
        <v>141760000</v>
      </c>
      <c r="P1115" s="310" t="s">
        <v>2955</v>
      </c>
    </row>
    <row r="1116" spans="1:16" ht="43.5" x14ac:dyDescent="0.35">
      <c r="A1116" s="139" t="e">
        <f t="shared" si="18"/>
        <v>#REF!</v>
      </c>
      <c r="B1116" s="140" t="s">
        <v>18</v>
      </c>
      <c r="C1116" s="140" t="s">
        <v>37</v>
      </c>
      <c r="D1116" s="140" t="s">
        <v>1570</v>
      </c>
      <c r="E1116" s="140" t="s">
        <v>2719</v>
      </c>
      <c r="F1116" s="140" t="s">
        <v>798</v>
      </c>
      <c r="G1116" s="140" t="s">
        <v>185</v>
      </c>
      <c r="H1116" s="140" t="s">
        <v>2956</v>
      </c>
      <c r="I1116" s="140" t="s">
        <v>2957</v>
      </c>
      <c r="J1116" s="140">
        <v>60600000</v>
      </c>
      <c r="K1116" s="139" t="s">
        <v>221</v>
      </c>
      <c r="L1116" s="140">
        <v>2928878</v>
      </c>
      <c r="M1116" s="155" t="s">
        <v>180</v>
      </c>
      <c r="N1116" s="10">
        <v>160</v>
      </c>
      <c r="O1116" s="10">
        <v>141760000</v>
      </c>
      <c r="P1116" s="310" t="s">
        <v>2955</v>
      </c>
    </row>
    <row r="1117" spans="1:16" ht="43.5" x14ac:dyDescent="0.35">
      <c r="A1117" s="139" t="e">
        <f t="shared" si="18"/>
        <v>#REF!</v>
      </c>
      <c r="B1117" s="140" t="s">
        <v>18</v>
      </c>
      <c r="C1117" s="140" t="s">
        <v>37</v>
      </c>
      <c r="D1117" s="140" t="s">
        <v>1515</v>
      </c>
      <c r="E1117" s="140" t="s">
        <v>2958</v>
      </c>
      <c r="F1117" s="140" t="s">
        <v>798</v>
      </c>
      <c r="G1117" s="140" t="s">
        <v>185</v>
      </c>
      <c r="H1117" s="140" t="s">
        <v>799</v>
      </c>
      <c r="I1117" s="140" t="s">
        <v>2959</v>
      </c>
      <c r="J1117" s="140">
        <v>34500000</v>
      </c>
      <c r="K1117" s="139" t="s">
        <v>221</v>
      </c>
      <c r="L1117" s="140">
        <v>2933502</v>
      </c>
      <c r="M1117" s="155" t="s">
        <v>180</v>
      </c>
      <c r="N1117" s="10">
        <v>200</v>
      </c>
      <c r="O1117" s="10">
        <v>50154317</v>
      </c>
      <c r="P1117" s="140"/>
    </row>
    <row r="1118" spans="1:16" ht="43.5" x14ac:dyDescent="0.35">
      <c r="A1118" s="139" t="e">
        <f>#REF!+1</f>
        <v>#REF!</v>
      </c>
      <c r="B1118" s="140" t="s">
        <v>18</v>
      </c>
      <c r="C1118" s="140" t="s">
        <v>37</v>
      </c>
      <c r="D1118" s="140" t="s">
        <v>1515</v>
      </c>
      <c r="E1118" s="140" t="s">
        <v>2960</v>
      </c>
      <c r="F1118" s="140" t="s">
        <v>798</v>
      </c>
      <c r="G1118" s="140" t="s">
        <v>185</v>
      </c>
      <c r="H1118" s="140" t="s">
        <v>799</v>
      </c>
      <c r="I1118" s="140" t="s">
        <v>2961</v>
      </c>
      <c r="J1118" s="140">
        <v>39000000</v>
      </c>
      <c r="K1118" s="139" t="s">
        <v>221</v>
      </c>
      <c r="L1118" s="140">
        <v>2933742</v>
      </c>
      <c r="M1118" s="155" t="s">
        <v>180</v>
      </c>
      <c r="N1118" s="10">
        <v>240</v>
      </c>
      <c r="O1118" s="10">
        <v>61013332.799999997</v>
      </c>
      <c r="P1118" s="140"/>
    </row>
    <row r="1119" spans="1:16" ht="43.5" x14ac:dyDescent="0.35">
      <c r="A1119" s="139" t="e">
        <f t="shared" si="18"/>
        <v>#REF!</v>
      </c>
      <c r="B1119" s="140" t="s">
        <v>18</v>
      </c>
      <c r="C1119" s="140" t="s">
        <v>37</v>
      </c>
      <c r="D1119" s="140" t="s">
        <v>1521</v>
      </c>
      <c r="E1119" s="140" t="s">
        <v>2962</v>
      </c>
      <c r="F1119" s="140" t="s">
        <v>798</v>
      </c>
      <c r="G1119" s="140" t="s">
        <v>185</v>
      </c>
      <c r="H1119" s="140" t="s">
        <v>2963</v>
      </c>
      <c r="I1119" s="140" t="s">
        <v>2964</v>
      </c>
      <c r="J1119" s="140">
        <v>82000000</v>
      </c>
      <c r="K1119" s="139" t="s">
        <v>221</v>
      </c>
      <c r="L1119" s="140">
        <v>2929025</v>
      </c>
      <c r="M1119" s="155" t="s">
        <v>180</v>
      </c>
      <c r="N1119" s="10">
        <v>200</v>
      </c>
      <c r="O1119" s="10">
        <v>165000000</v>
      </c>
      <c r="P1119" s="140" t="s">
        <v>2965</v>
      </c>
    </row>
    <row r="1120" spans="1:16" ht="43.5" x14ac:dyDescent="0.35">
      <c r="A1120" s="139" t="e">
        <f>#REF!+1</f>
        <v>#REF!</v>
      </c>
      <c r="B1120" s="140" t="s">
        <v>18</v>
      </c>
      <c r="C1120" s="140" t="s">
        <v>37</v>
      </c>
      <c r="D1120" s="140" t="s">
        <v>1570</v>
      </c>
      <c r="E1120" s="140" t="s">
        <v>2966</v>
      </c>
      <c r="F1120" s="140" t="s">
        <v>798</v>
      </c>
      <c r="G1120" s="140" t="s">
        <v>185</v>
      </c>
      <c r="H1120" s="140" t="s">
        <v>2967</v>
      </c>
      <c r="I1120" s="140" t="s">
        <v>2968</v>
      </c>
      <c r="J1120" s="140">
        <v>70400000</v>
      </c>
      <c r="K1120" s="139" t="s">
        <v>221</v>
      </c>
      <c r="L1120" s="140">
        <v>2929079</v>
      </c>
      <c r="M1120" s="155" t="s">
        <v>180</v>
      </c>
      <c r="N1120" s="10">
        <v>145</v>
      </c>
      <c r="O1120" s="10">
        <v>128470000</v>
      </c>
      <c r="P1120" s="140" t="s">
        <v>2969</v>
      </c>
    </row>
    <row r="1121" spans="1:16" ht="43.5" x14ac:dyDescent="0.35">
      <c r="A1121" s="139" t="e">
        <f t="shared" si="18"/>
        <v>#REF!</v>
      </c>
      <c r="B1121" s="140" t="s">
        <v>18</v>
      </c>
      <c r="C1121" s="140" t="s">
        <v>37</v>
      </c>
      <c r="D1121" s="140" t="s">
        <v>1515</v>
      </c>
      <c r="E1121" s="140" t="s">
        <v>2958</v>
      </c>
      <c r="F1121" s="140" t="s">
        <v>798</v>
      </c>
      <c r="G1121" s="140" t="s">
        <v>185</v>
      </c>
      <c r="H1121" s="140" t="s">
        <v>664</v>
      </c>
      <c r="I1121" s="140" t="s">
        <v>2970</v>
      </c>
      <c r="J1121" s="140">
        <v>72400000</v>
      </c>
      <c r="K1121" s="139" t="s">
        <v>221</v>
      </c>
      <c r="L1121" s="140">
        <v>2929199</v>
      </c>
      <c r="M1121" s="155" t="s">
        <v>180</v>
      </c>
      <c r="N1121" s="10">
        <v>350</v>
      </c>
      <c r="O1121" s="10">
        <v>88977700</v>
      </c>
      <c r="P1121" s="140"/>
    </row>
    <row r="1122" spans="1:16" ht="43.5" x14ac:dyDescent="0.35">
      <c r="A1122" s="139" t="e">
        <f t="shared" si="18"/>
        <v>#REF!</v>
      </c>
      <c r="B1122" s="140" t="s">
        <v>18</v>
      </c>
      <c r="C1122" s="140" t="s">
        <v>37</v>
      </c>
      <c r="D1122" s="140" t="s">
        <v>1515</v>
      </c>
      <c r="E1122" s="140" t="s">
        <v>2971</v>
      </c>
      <c r="F1122" s="140" t="s">
        <v>798</v>
      </c>
      <c r="G1122" s="140" t="s">
        <v>185</v>
      </c>
      <c r="H1122" s="140" t="s">
        <v>664</v>
      </c>
      <c r="I1122" s="140" t="s">
        <v>2972</v>
      </c>
      <c r="J1122" s="140">
        <v>54600000</v>
      </c>
      <c r="K1122" s="139" t="s">
        <v>221</v>
      </c>
      <c r="L1122" s="140">
        <v>2929205</v>
      </c>
      <c r="M1122" s="155" t="s">
        <v>180</v>
      </c>
      <c r="N1122" s="10">
        <v>300</v>
      </c>
      <c r="O1122" s="10">
        <v>76266600</v>
      </c>
      <c r="P1122" s="140"/>
    </row>
    <row r="1123" spans="1:16" ht="43.5" x14ac:dyDescent="0.35">
      <c r="A1123" s="139" t="e">
        <f t="shared" si="18"/>
        <v>#REF!</v>
      </c>
      <c r="B1123" s="140" t="s">
        <v>18</v>
      </c>
      <c r="C1123" s="140" t="s">
        <v>37</v>
      </c>
      <c r="D1123" s="140" t="s">
        <v>1570</v>
      </c>
      <c r="E1123" s="140" t="s">
        <v>1571</v>
      </c>
      <c r="F1123" s="140" t="s">
        <v>636</v>
      </c>
      <c r="G1123" s="140" t="s">
        <v>182</v>
      </c>
      <c r="H1123" s="140" t="s">
        <v>2973</v>
      </c>
      <c r="I1123" s="140" t="s">
        <v>2974</v>
      </c>
      <c r="J1123" s="140">
        <v>100000000</v>
      </c>
      <c r="K1123" s="139" t="s">
        <v>221</v>
      </c>
      <c r="L1123" s="140">
        <v>2920905</v>
      </c>
      <c r="M1123" s="155" t="s">
        <v>180</v>
      </c>
      <c r="N1123" s="10">
        <v>100</v>
      </c>
      <c r="O1123" s="10">
        <v>88600000</v>
      </c>
      <c r="P1123" s="140" t="s">
        <v>2975</v>
      </c>
    </row>
    <row r="1124" spans="1:16" ht="43.5" x14ac:dyDescent="0.35">
      <c r="A1124" s="139" t="e">
        <f t="shared" si="18"/>
        <v>#REF!</v>
      </c>
      <c r="B1124" s="140" t="s">
        <v>18</v>
      </c>
      <c r="C1124" s="140" t="s">
        <v>37</v>
      </c>
      <c r="D1124" s="140" t="s">
        <v>1515</v>
      </c>
      <c r="E1124" s="140" t="s">
        <v>2100</v>
      </c>
      <c r="F1124" s="140" t="s">
        <v>636</v>
      </c>
      <c r="G1124" s="140" t="s">
        <v>182</v>
      </c>
      <c r="H1124" s="140" t="s">
        <v>2976</v>
      </c>
      <c r="I1124" s="140" t="s">
        <v>2977</v>
      </c>
      <c r="J1124" s="140">
        <v>100000000</v>
      </c>
      <c r="K1124" s="139" t="s">
        <v>221</v>
      </c>
      <c r="L1124" s="140">
        <v>2946884</v>
      </c>
      <c r="M1124" s="155" t="s">
        <v>180</v>
      </c>
      <c r="N1124" s="10">
        <v>300</v>
      </c>
      <c r="O1124" s="10">
        <v>88600000</v>
      </c>
      <c r="P1124" s="140" t="s">
        <v>2966</v>
      </c>
    </row>
    <row r="1125" spans="1:16" ht="43.5" x14ac:dyDescent="0.35">
      <c r="A1125" s="139" t="e">
        <f t="shared" si="18"/>
        <v>#REF!</v>
      </c>
      <c r="B1125" s="140" t="s">
        <v>18</v>
      </c>
      <c r="C1125" s="140" t="s">
        <v>37</v>
      </c>
      <c r="D1125" s="140" t="s">
        <v>1570</v>
      </c>
      <c r="E1125" s="140" t="s">
        <v>1571</v>
      </c>
      <c r="F1125" s="140" t="s">
        <v>636</v>
      </c>
      <c r="G1125" s="140" t="s">
        <v>182</v>
      </c>
      <c r="H1125" s="140" t="s">
        <v>93</v>
      </c>
      <c r="I1125" s="140" t="s">
        <v>1821</v>
      </c>
      <c r="J1125" s="140">
        <v>65000000</v>
      </c>
      <c r="K1125" s="139" t="s">
        <v>221</v>
      </c>
      <c r="L1125" s="140">
        <v>2947049</v>
      </c>
      <c r="M1125" s="155" t="s">
        <v>180</v>
      </c>
      <c r="N1125" s="10"/>
      <c r="O1125" s="10">
        <v>100000000</v>
      </c>
      <c r="P1125" s="140" t="s">
        <v>2978</v>
      </c>
    </row>
    <row r="1126" spans="1:16" ht="43.5" x14ac:dyDescent="0.35">
      <c r="A1126" s="139" t="e">
        <f t="shared" si="18"/>
        <v>#REF!</v>
      </c>
      <c r="B1126" s="140" t="s">
        <v>18</v>
      </c>
      <c r="C1126" s="140" t="s">
        <v>37</v>
      </c>
      <c r="D1126" s="140" t="s">
        <v>476</v>
      </c>
      <c r="E1126" s="140" t="s">
        <v>2394</v>
      </c>
      <c r="F1126" s="140" t="s">
        <v>636</v>
      </c>
      <c r="G1126" s="140" t="s">
        <v>182</v>
      </c>
      <c r="H1126" s="140" t="s">
        <v>185</v>
      </c>
      <c r="I1126" s="140" t="s">
        <v>1821</v>
      </c>
      <c r="J1126" s="140">
        <v>100000000</v>
      </c>
      <c r="K1126" s="139" t="s">
        <v>221</v>
      </c>
      <c r="L1126" s="140">
        <v>2947088</v>
      </c>
      <c r="M1126" s="155" t="s">
        <v>180</v>
      </c>
      <c r="N1126" s="10"/>
      <c r="O1126" s="10">
        <v>100000000</v>
      </c>
      <c r="P1126" s="140" t="s">
        <v>1839</v>
      </c>
    </row>
    <row r="1127" spans="1:16" ht="101.5" x14ac:dyDescent="0.35">
      <c r="A1127" s="139" t="e">
        <f>#REF!+1</f>
        <v>#REF!</v>
      </c>
      <c r="B1127" s="140" t="s">
        <v>18</v>
      </c>
      <c r="C1127" s="140" t="s">
        <v>37</v>
      </c>
      <c r="D1127" s="140" t="s">
        <v>1515</v>
      </c>
      <c r="E1127" s="140" t="s">
        <v>1979</v>
      </c>
      <c r="F1127" s="140" t="s">
        <v>2979</v>
      </c>
      <c r="G1127" s="140" t="s">
        <v>1424</v>
      </c>
      <c r="H1127" s="140" t="s">
        <v>2980</v>
      </c>
      <c r="I1127" s="140"/>
      <c r="J1127" s="140">
        <v>100000000</v>
      </c>
      <c r="K1127" s="139" t="s">
        <v>221</v>
      </c>
      <c r="L1127" s="140">
        <v>2765823</v>
      </c>
      <c r="M1127" s="155" t="s">
        <v>180</v>
      </c>
      <c r="N1127" s="10">
        <v>45</v>
      </c>
      <c r="O1127" s="10">
        <v>100000000</v>
      </c>
      <c r="P1127" s="140"/>
    </row>
    <row r="1128" spans="1:16" ht="101.5" x14ac:dyDescent="0.35">
      <c r="A1128" s="139" t="e">
        <f t="shared" si="18"/>
        <v>#REF!</v>
      </c>
      <c r="B1128" s="140" t="s">
        <v>18</v>
      </c>
      <c r="C1128" s="140" t="s">
        <v>37</v>
      </c>
      <c r="D1128" s="140" t="s">
        <v>1521</v>
      </c>
      <c r="E1128" s="140" t="s">
        <v>1979</v>
      </c>
      <c r="F1128" s="140" t="s">
        <v>2979</v>
      </c>
      <c r="G1128" s="140" t="s">
        <v>1424</v>
      </c>
      <c r="H1128" s="140" t="s">
        <v>2981</v>
      </c>
      <c r="I1128" s="140" t="s">
        <v>1259</v>
      </c>
      <c r="J1128" s="140">
        <v>75000000</v>
      </c>
      <c r="K1128" s="139" t="s">
        <v>221</v>
      </c>
      <c r="L1128" s="140">
        <v>2764515</v>
      </c>
      <c r="M1128" s="155" t="s">
        <v>180</v>
      </c>
      <c r="N1128" s="10">
        <v>250</v>
      </c>
      <c r="O1128" s="10">
        <v>100000000</v>
      </c>
      <c r="P1128" s="140" t="s">
        <v>1839</v>
      </c>
    </row>
    <row r="1129" spans="1:16" ht="101.5" x14ac:dyDescent="0.35">
      <c r="A1129" s="139" t="e">
        <f t="shared" si="18"/>
        <v>#REF!</v>
      </c>
      <c r="B1129" s="140" t="s">
        <v>18</v>
      </c>
      <c r="C1129" s="140" t="s">
        <v>37</v>
      </c>
      <c r="D1129" s="140" t="s">
        <v>1515</v>
      </c>
      <c r="E1129" s="140" t="s">
        <v>1979</v>
      </c>
      <c r="F1129" s="140" t="s">
        <v>2979</v>
      </c>
      <c r="G1129" s="140" t="s">
        <v>1424</v>
      </c>
      <c r="H1129" s="140" t="s">
        <v>2982</v>
      </c>
      <c r="I1129" s="140" t="s">
        <v>341</v>
      </c>
      <c r="J1129" s="140">
        <v>100000000</v>
      </c>
      <c r="K1129" s="139" t="s">
        <v>221</v>
      </c>
      <c r="L1129" s="140">
        <v>2797829</v>
      </c>
      <c r="M1129" s="155" t="s">
        <v>180</v>
      </c>
      <c r="N1129" s="10"/>
      <c r="O1129" s="10">
        <v>100000000</v>
      </c>
      <c r="P1129" s="140" t="s">
        <v>2983</v>
      </c>
    </row>
    <row r="1130" spans="1:16" ht="101.5" x14ac:dyDescent="0.35">
      <c r="A1130" s="139" t="e">
        <f t="shared" si="18"/>
        <v>#REF!</v>
      </c>
      <c r="B1130" s="140" t="s">
        <v>18</v>
      </c>
      <c r="C1130" s="140" t="s">
        <v>37</v>
      </c>
      <c r="D1130" s="140" t="s">
        <v>1515</v>
      </c>
      <c r="E1130" s="140" t="s">
        <v>1979</v>
      </c>
      <c r="F1130" s="140" t="s">
        <v>2979</v>
      </c>
      <c r="G1130" s="140" t="s">
        <v>1424</v>
      </c>
      <c r="H1130" s="140" t="s">
        <v>2984</v>
      </c>
      <c r="I1130" s="140" t="s">
        <v>341</v>
      </c>
      <c r="J1130" s="140">
        <v>100000000</v>
      </c>
      <c r="K1130" s="139" t="s">
        <v>221</v>
      </c>
      <c r="L1130" s="140">
        <v>2797641</v>
      </c>
      <c r="M1130" s="155" t="s">
        <v>180</v>
      </c>
      <c r="N1130" s="10">
        <v>500</v>
      </c>
      <c r="O1130" s="10">
        <v>127111000</v>
      </c>
      <c r="P1130" s="140" t="s">
        <v>2985</v>
      </c>
    </row>
    <row r="1131" spans="1:16" ht="101.5" x14ac:dyDescent="0.35">
      <c r="A1131" s="139" t="e">
        <f t="shared" si="18"/>
        <v>#REF!</v>
      </c>
      <c r="B1131" s="140" t="s">
        <v>18</v>
      </c>
      <c r="C1131" s="140" t="s">
        <v>37</v>
      </c>
      <c r="D1131" s="140" t="s">
        <v>1515</v>
      </c>
      <c r="E1131" s="140" t="s">
        <v>1979</v>
      </c>
      <c r="F1131" s="140" t="s">
        <v>2979</v>
      </c>
      <c r="G1131" s="140" t="s">
        <v>1424</v>
      </c>
      <c r="H1131" s="140" t="s">
        <v>2986</v>
      </c>
      <c r="I1131" s="140" t="s">
        <v>1742</v>
      </c>
      <c r="J1131" s="140">
        <v>40000000</v>
      </c>
      <c r="K1131" s="139" t="s">
        <v>221</v>
      </c>
      <c r="L1131" s="140">
        <v>2797710</v>
      </c>
      <c r="M1131" s="155" t="s">
        <v>180</v>
      </c>
      <c r="N1131" s="10" t="s">
        <v>2987</v>
      </c>
      <c r="O1131" s="10">
        <v>75000000</v>
      </c>
      <c r="P1131" s="140" t="s">
        <v>2985</v>
      </c>
    </row>
    <row r="1132" spans="1:16" ht="101.5" x14ac:dyDescent="0.35">
      <c r="A1132" s="139" t="e">
        <f t="shared" si="18"/>
        <v>#REF!</v>
      </c>
      <c r="B1132" s="140" t="s">
        <v>18</v>
      </c>
      <c r="C1132" s="140" t="s">
        <v>37</v>
      </c>
      <c r="D1132" s="140" t="s">
        <v>1515</v>
      </c>
      <c r="E1132" s="140" t="s">
        <v>1979</v>
      </c>
      <c r="F1132" s="140" t="s">
        <v>2979</v>
      </c>
      <c r="G1132" s="140" t="s">
        <v>1424</v>
      </c>
      <c r="H1132" s="140" t="s">
        <v>2988</v>
      </c>
      <c r="I1132" s="140" t="s">
        <v>1259</v>
      </c>
      <c r="J1132" s="140">
        <v>100000000</v>
      </c>
      <c r="K1132" s="139" t="s">
        <v>221</v>
      </c>
      <c r="L1132" s="140">
        <v>2797749</v>
      </c>
      <c r="M1132" s="155" t="s">
        <v>180</v>
      </c>
      <c r="N1132" s="10">
        <v>500</v>
      </c>
      <c r="O1132" s="10">
        <v>100000000</v>
      </c>
      <c r="P1132" s="140" t="s">
        <v>2989</v>
      </c>
    </row>
    <row r="1133" spans="1:16" ht="101.5" x14ac:dyDescent="0.35">
      <c r="A1133" s="139" t="e">
        <f t="shared" si="18"/>
        <v>#REF!</v>
      </c>
      <c r="B1133" s="140" t="s">
        <v>18</v>
      </c>
      <c r="C1133" s="140" t="s">
        <v>37</v>
      </c>
      <c r="D1133" s="140" t="s">
        <v>1515</v>
      </c>
      <c r="E1133" s="140" t="s">
        <v>1979</v>
      </c>
      <c r="F1133" s="140" t="s">
        <v>2979</v>
      </c>
      <c r="G1133" s="140" t="s">
        <v>1424</v>
      </c>
      <c r="H1133" s="140" t="s">
        <v>2990</v>
      </c>
      <c r="I1133" s="140" t="s">
        <v>341</v>
      </c>
      <c r="J1133" s="140">
        <v>100000000</v>
      </c>
      <c r="K1133" s="139" t="s">
        <v>221</v>
      </c>
      <c r="L1133" s="140">
        <v>2797892</v>
      </c>
      <c r="M1133" s="155" t="s">
        <v>180</v>
      </c>
      <c r="N1133" s="10">
        <v>500</v>
      </c>
      <c r="O1133" s="10">
        <v>100000000</v>
      </c>
      <c r="P1133" s="140" t="s">
        <v>2989</v>
      </c>
    </row>
    <row r="1134" spans="1:16" ht="101.5" x14ac:dyDescent="0.35">
      <c r="A1134" s="139" t="e">
        <f t="shared" si="18"/>
        <v>#REF!</v>
      </c>
      <c r="B1134" s="140" t="s">
        <v>18</v>
      </c>
      <c r="C1134" s="140" t="s">
        <v>37</v>
      </c>
      <c r="D1134" s="140" t="s">
        <v>1515</v>
      </c>
      <c r="E1134" s="140" t="s">
        <v>1979</v>
      </c>
      <c r="F1134" s="140" t="s">
        <v>2979</v>
      </c>
      <c r="G1134" s="140" t="s">
        <v>1424</v>
      </c>
      <c r="H1134" s="140" t="s">
        <v>2991</v>
      </c>
      <c r="I1134" s="140" t="s">
        <v>2128</v>
      </c>
      <c r="J1134" s="140">
        <v>100000000</v>
      </c>
      <c r="K1134" s="139" t="s">
        <v>221</v>
      </c>
      <c r="L1134" s="140">
        <v>2797724</v>
      </c>
      <c r="M1134" s="155" t="s">
        <v>180</v>
      </c>
      <c r="N1134" s="10">
        <v>500</v>
      </c>
      <c r="O1134" s="10">
        <v>100000000</v>
      </c>
      <c r="P1134" s="140" t="s">
        <v>2989</v>
      </c>
    </row>
    <row r="1135" spans="1:16" ht="101.5" x14ac:dyDescent="0.35">
      <c r="A1135" s="139" t="e">
        <f t="shared" si="18"/>
        <v>#REF!</v>
      </c>
      <c r="B1135" s="140" t="s">
        <v>18</v>
      </c>
      <c r="C1135" s="140" t="s">
        <v>37</v>
      </c>
      <c r="D1135" s="140" t="s">
        <v>1515</v>
      </c>
      <c r="E1135" s="140" t="s">
        <v>1979</v>
      </c>
      <c r="F1135" s="140" t="s">
        <v>2979</v>
      </c>
      <c r="G1135" s="140" t="s">
        <v>1424</v>
      </c>
      <c r="H1135" s="140" t="s">
        <v>2992</v>
      </c>
      <c r="I1135" s="140" t="s">
        <v>341</v>
      </c>
      <c r="J1135" s="140">
        <v>100000000</v>
      </c>
      <c r="K1135" s="139" t="s">
        <v>221</v>
      </c>
      <c r="L1135" s="140">
        <v>2797803</v>
      </c>
      <c r="M1135" s="155" t="s">
        <v>180</v>
      </c>
      <c r="N1135" s="10">
        <v>500</v>
      </c>
      <c r="O1135" s="10">
        <v>107111000</v>
      </c>
      <c r="P1135" s="140" t="s">
        <v>2989</v>
      </c>
    </row>
    <row r="1136" spans="1:16" ht="101.5" x14ac:dyDescent="0.35">
      <c r="A1136" s="139" t="e">
        <f t="shared" si="18"/>
        <v>#REF!</v>
      </c>
      <c r="B1136" s="140" t="s">
        <v>18</v>
      </c>
      <c r="C1136" s="140" t="s">
        <v>37</v>
      </c>
      <c r="D1136" s="140" t="s">
        <v>1515</v>
      </c>
      <c r="E1136" s="140" t="s">
        <v>1979</v>
      </c>
      <c r="F1136" s="140" t="s">
        <v>2979</v>
      </c>
      <c r="G1136" s="140" t="s">
        <v>1424</v>
      </c>
      <c r="H1136" s="140" t="s">
        <v>2993</v>
      </c>
      <c r="I1136" s="140" t="s">
        <v>2128</v>
      </c>
      <c r="J1136" s="140">
        <v>100000000</v>
      </c>
      <c r="K1136" s="139" t="s">
        <v>221</v>
      </c>
      <c r="L1136" s="140">
        <v>2797872</v>
      </c>
      <c r="M1136" s="155" t="s">
        <v>180</v>
      </c>
      <c r="N1136" s="10">
        <v>625</v>
      </c>
      <c r="O1136" s="10">
        <v>60000000</v>
      </c>
      <c r="P1136" s="140" t="s">
        <v>2989</v>
      </c>
    </row>
    <row r="1137" spans="1:16" ht="43.5" x14ac:dyDescent="0.35">
      <c r="A1137" s="139" t="e">
        <f t="shared" si="18"/>
        <v>#REF!</v>
      </c>
      <c r="B1137" s="140" t="s">
        <v>18</v>
      </c>
      <c r="C1137" s="140" t="s">
        <v>37</v>
      </c>
      <c r="D1137" s="140" t="s">
        <v>1570</v>
      </c>
      <c r="E1137" s="140" t="s">
        <v>1256</v>
      </c>
      <c r="F1137" s="140" t="s">
        <v>2979</v>
      </c>
      <c r="G1137" s="140" t="s">
        <v>1424</v>
      </c>
      <c r="H1137" s="140" t="s">
        <v>1424</v>
      </c>
      <c r="I1137" s="140" t="s">
        <v>1426</v>
      </c>
      <c r="J1137" s="140">
        <v>100000000</v>
      </c>
      <c r="K1137" s="139" t="s">
        <v>221</v>
      </c>
      <c r="L1137" s="140">
        <v>2800200</v>
      </c>
      <c r="M1137" s="155" t="s">
        <v>180</v>
      </c>
      <c r="N1137" s="10">
        <v>375</v>
      </c>
      <c r="O1137" s="10">
        <v>127500000</v>
      </c>
      <c r="P1137" s="140" t="s">
        <v>2994</v>
      </c>
    </row>
    <row r="1138" spans="1:16" ht="43.5" x14ac:dyDescent="0.35">
      <c r="A1138" s="139" t="e">
        <f t="shared" si="18"/>
        <v>#REF!</v>
      </c>
      <c r="B1138" s="140" t="s">
        <v>18</v>
      </c>
      <c r="C1138" s="140" t="s">
        <v>37</v>
      </c>
      <c r="D1138" s="140" t="s">
        <v>1515</v>
      </c>
      <c r="E1138" s="140" t="s">
        <v>1544</v>
      </c>
      <c r="F1138" s="140" t="s">
        <v>441</v>
      </c>
      <c r="G1138" s="140" t="s">
        <v>442</v>
      </c>
      <c r="H1138" s="140" t="s">
        <v>443</v>
      </c>
      <c r="I1138" s="140" t="s">
        <v>341</v>
      </c>
      <c r="J1138" s="140">
        <v>70000000</v>
      </c>
      <c r="K1138" s="139" t="s">
        <v>221</v>
      </c>
      <c r="L1138" s="140">
        <v>2959469</v>
      </c>
      <c r="M1138" s="155" t="s">
        <v>180</v>
      </c>
      <c r="N1138" s="10"/>
      <c r="O1138" s="10">
        <v>66500000</v>
      </c>
      <c r="P1138" s="140" t="s">
        <v>2936</v>
      </c>
    </row>
    <row r="1139" spans="1:16" ht="43.5" x14ac:dyDescent="0.35">
      <c r="A1139" s="139" t="e">
        <f t="shared" si="18"/>
        <v>#REF!</v>
      </c>
      <c r="B1139" s="140" t="s">
        <v>18</v>
      </c>
      <c r="C1139" s="140" t="s">
        <v>37</v>
      </c>
      <c r="D1139" s="140" t="s">
        <v>1521</v>
      </c>
      <c r="E1139" s="140" t="s">
        <v>2995</v>
      </c>
      <c r="F1139" s="140" t="s">
        <v>441</v>
      </c>
      <c r="G1139" s="140" t="s">
        <v>442</v>
      </c>
      <c r="H1139" s="140" t="s">
        <v>2996</v>
      </c>
      <c r="I1139" s="140" t="s">
        <v>1426</v>
      </c>
      <c r="J1139" s="140">
        <v>50000000</v>
      </c>
      <c r="K1139" s="139" t="s">
        <v>221</v>
      </c>
      <c r="L1139" s="140">
        <v>3012175</v>
      </c>
      <c r="M1139" s="155" t="s">
        <v>180</v>
      </c>
      <c r="N1139" s="10">
        <v>1</v>
      </c>
      <c r="O1139" s="10">
        <v>300000000</v>
      </c>
      <c r="P1139" s="310" t="s">
        <v>1724</v>
      </c>
    </row>
    <row r="1140" spans="1:16" ht="43.5" x14ac:dyDescent="0.35">
      <c r="A1140" s="139" t="e">
        <f t="shared" si="18"/>
        <v>#REF!</v>
      </c>
      <c r="B1140" s="140" t="s">
        <v>18</v>
      </c>
      <c r="C1140" s="140" t="s">
        <v>37</v>
      </c>
      <c r="D1140" s="140" t="s">
        <v>1515</v>
      </c>
      <c r="E1140" s="140" t="s">
        <v>1544</v>
      </c>
      <c r="F1140" s="140" t="s">
        <v>441</v>
      </c>
      <c r="G1140" s="140" t="s">
        <v>442</v>
      </c>
      <c r="H1140" s="140" t="s">
        <v>2997</v>
      </c>
      <c r="I1140" s="140" t="s">
        <v>341</v>
      </c>
      <c r="J1140" s="140">
        <v>75000000</v>
      </c>
      <c r="K1140" s="139" t="s">
        <v>221</v>
      </c>
      <c r="L1140" s="140">
        <v>3012263</v>
      </c>
      <c r="M1140" s="155" t="s">
        <v>180</v>
      </c>
      <c r="N1140" s="10">
        <v>321</v>
      </c>
      <c r="O1140" s="10">
        <v>100000000</v>
      </c>
      <c r="P1140" s="140" t="s">
        <v>2936</v>
      </c>
    </row>
    <row r="1141" spans="1:16" ht="43.5" x14ac:dyDescent="0.35">
      <c r="A1141" s="139" t="e">
        <f t="shared" si="18"/>
        <v>#REF!</v>
      </c>
      <c r="B1141" s="140" t="s">
        <v>18</v>
      </c>
      <c r="C1141" s="140" t="s">
        <v>37</v>
      </c>
      <c r="D1141" s="140" t="s">
        <v>1515</v>
      </c>
      <c r="E1141" s="140" t="s">
        <v>1544</v>
      </c>
      <c r="F1141" s="140" t="s">
        <v>441</v>
      </c>
      <c r="G1141" s="140" t="s">
        <v>442</v>
      </c>
      <c r="H1141" s="140" t="s">
        <v>615</v>
      </c>
      <c r="I1141" s="140" t="s">
        <v>2128</v>
      </c>
      <c r="J1141" s="140">
        <v>100000000</v>
      </c>
      <c r="K1141" s="139" t="s">
        <v>221</v>
      </c>
      <c r="L1141" s="140">
        <v>3012263</v>
      </c>
      <c r="M1141" s="155" t="s">
        <v>180</v>
      </c>
      <c r="N1141" s="10">
        <v>750</v>
      </c>
      <c r="O1141" s="10">
        <v>100000000</v>
      </c>
      <c r="P1141" s="140" t="s">
        <v>2936</v>
      </c>
    </row>
    <row r="1142" spans="1:16" ht="43.5" x14ac:dyDescent="0.35">
      <c r="A1142" s="139" t="e">
        <f t="shared" si="18"/>
        <v>#REF!</v>
      </c>
      <c r="B1142" s="140" t="s">
        <v>18</v>
      </c>
      <c r="C1142" s="140" t="s">
        <v>37</v>
      </c>
      <c r="D1142" s="140" t="s">
        <v>1521</v>
      </c>
      <c r="E1142" s="140" t="s">
        <v>1714</v>
      </c>
      <c r="F1142" s="140" t="s">
        <v>441</v>
      </c>
      <c r="G1142" s="140" t="s">
        <v>442</v>
      </c>
      <c r="H1142" s="140" t="s">
        <v>1429</v>
      </c>
      <c r="I1142" s="140" t="s">
        <v>1213</v>
      </c>
      <c r="J1142" s="140">
        <v>75000000</v>
      </c>
      <c r="K1142" s="139" t="s">
        <v>221</v>
      </c>
      <c r="L1142" s="140">
        <v>3010913</v>
      </c>
      <c r="M1142" s="155" t="s">
        <v>180</v>
      </c>
      <c r="N1142" s="10">
        <v>58.6</v>
      </c>
      <c r="O1142" s="10">
        <v>100000000</v>
      </c>
      <c r="P1142" s="140" t="s">
        <v>2936</v>
      </c>
    </row>
    <row r="1143" spans="1:16" ht="43.5" x14ac:dyDescent="0.35">
      <c r="A1143" s="139" t="e">
        <f t="shared" si="18"/>
        <v>#REF!</v>
      </c>
      <c r="B1143" s="140" t="s">
        <v>18</v>
      </c>
      <c r="C1143" s="140" t="s">
        <v>37</v>
      </c>
      <c r="D1143" s="140" t="s">
        <v>1515</v>
      </c>
      <c r="E1143" s="140" t="s">
        <v>2998</v>
      </c>
      <c r="F1143" s="140" t="s">
        <v>441</v>
      </c>
      <c r="G1143" s="140" t="s">
        <v>442</v>
      </c>
      <c r="H1143" s="140" t="s">
        <v>2999</v>
      </c>
      <c r="I1143" s="140" t="s">
        <v>2128</v>
      </c>
      <c r="J1143" s="140">
        <v>100000000</v>
      </c>
      <c r="K1143" s="139" t="s">
        <v>221</v>
      </c>
      <c r="L1143" s="140">
        <v>3012263</v>
      </c>
      <c r="M1143" s="155" t="s">
        <v>180</v>
      </c>
      <c r="N1143" s="10">
        <v>300</v>
      </c>
      <c r="O1143" s="10">
        <v>100000000</v>
      </c>
      <c r="P1143" s="140" t="s">
        <v>2936</v>
      </c>
    </row>
    <row r="1144" spans="1:16" ht="43.5" x14ac:dyDescent="0.35">
      <c r="A1144" s="139" t="e">
        <f t="shared" si="18"/>
        <v>#REF!</v>
      </c>
      <c r="B1144" s="140" t="s">
        <v>18</v>
      </c>
      <c r="C1144" s="140" t="s">
        <v>37</v>
      </c>
      <c r="D1144" s="140" t="s">
        <v>1515</v>
      </c>
      <c r="E1144" s="140" t="s">
        <v>1544</v>
      </c>
      <c r="F1144" s="140" t="s">
        <v>441</v>
      </c>
      <c r="G1144" s="140" t="s">
        <v>442</v>
      </c>
      <c r="H1144" s="140" t="s">
        <v>3000</v>
      </c>
      <c r="I1144" s="140" t="s">
        <v>1259</v>
      </c>
      <c r="J1144" s="140">
        <v>40000000</v>
      </c>
      <c r="K1144" s="139" t="s">
        <v>221</v>
      </c>
      <c r="L1144" s="140">
        <v>3012263</v>
      </c>
      <c r="M1144" s="155" t="s">
        <v>180</v>
      </c>
      <c r="N1144" s="10"/>
      <c r="O1144" s="10">
        <v>100000000</v>
      </c>
      <c r="P1144" s="140" t="s">
        <v>2936</v>
      </c>
    </row>
    <row r="1145" spans="1:16" ht="58" x14ac:dyDescent="0.35">
      <c r="A1145" s="139" t="e">
        <f>#REF!+1</f>
        <v>#REF!</v>
      </c>
      <c r="B1145" s="140" t="s">
        <v>18</v>
      </c>
      <c r="C1145" s="140" t="s">
        <v>37</v>
      </c>
      <c r="D1145" s="140" t="s">
        <v>1515</v>
      </c>
      <c r="E1145" s="140" t="s">
        <v>2153</v>
      </c>
      <c r="F1145" s="140" t="s">
        <v>448</v>
      </c>
      <c r="G1145" s="140" t="s">
        <v>449</v>
      </c>
      <c r="H1145" s="140" t="s">
        <v>1456</v>
      </c>
      <c r="I1145" s="140" t="s">
        <v>1259</v>
      </c>
      <c r="J1145" s="140">
        <v>30000000</v>
      </c>
      <c r="K1145" s="139" t="s">
        <v>221</v>
      </c>
      <c r="L1145" s="140">
        <v>2768360</v>
      </c>
      <c r="M1145" s="155" t="s">
        <v>180</v>
      </c>
      <c r="N1145" s="10">
        <v>250</v>
      </c>
      <c r="O1145" s="10">
        <v>75000000</v>
      </c>
      <c r="P1145" s="140" t="s">
        <v>2936</v>
      </c>
    </row>
    <row r="1146" spans="1:16" ht="58" x14ac:dyDescent="0.35">
      <c r="A1146" s="139" t="e">
        <f t="shared" si="18"/>
        <v>#REF!</v>
      </c>
      <c r="B1146" s="140" t="s">
        <v>18</v>
      </c>
      <c r="C1146" s="140" t="s">
        <v>37</v>
      </c>
      <c r="D1146" s="140" t="s">
        <v>1515</v>
      </c>
      <c r="E1146" s="140" t="s">
        <v>2153</v>
      </c>
      <c r="F1146" s="140"/>
      <c r="G1146" s="140" t="s">
        <v>449</v>
      </c>
      <c r="H1146" s="140" t="s">
        <v>3001</v>
      </c>
      <c r="I1146" s="140" t="s">
        <v>1426</v>
      </c>
      <c r="J1146" s="140">
        <v>45000000</v>
      </c>
      <c r="K1146" s="139" t="s">
        <v>221</v>
      </c>
      <c r="L1146" s="140">
        <v>2768360</v>
      </c>
      <c r="M1146" s="155" t="s">
        <v>180</v>
      </c>
      <c r="N1146" s="10">
        <v>375</v>
      </c>
      <c r="O1146" s="10">
        <v>75000000</v>
      </c>
      <c r="P1146" s="140" t="s">
        <v>2936</v>
      </c>
    </row>
    <row r="1147" spans="1:16" ht="58" x14ac:dyDescent="0.35">
      <c r="A1147" s="139" t="e">
        <f t="shared" si="18"/>
        <v>#REF!</v>
      </c>
      <c r="B1147" s="140" t="s">
        <v>18</v>
      </c>
      <c r="C1147" s="140" t="s">
        <v>37</v>
      </c>
      <c r="D1147" s="140" t="s">
        <v>1515</v>
      </c>
      <c r="E1147" s="140" t="s">
        <v>2153</v>
      </c>
      <c r="F1147" s="140" t="s">
        <v>448</v>
      </c>
      <c r="G1147" s="140" t="s">
        <v>449</v>
      </c>
      <c r="H1147" s="140" t="s">
        <v>3002</v>
      </c>
      <c r="I1147" s="140" t="s">
        <v>1426</v>
      </c>
      <c r="J1147" s="140">
        <v>30000000</v>
      </c>
      <c r="K1147" s="139" t="s">
        <v>221</v>
      </c>
      <c r="L1147" s="140">
        <v>2768360</v>
      </c>
      <c r="M1147" s="155" t="s">
        <v>180</v>
      </c>
      <c r="N1147" s="10">
        <v>375</v>
      </c>
      <c r="O1147" s="10">
        <v>75000000</v>
      </c>
      <c r="P1147" s="140" t="s">
        <v>2936</v>
      </c>
    </row>
    <row r="1148" spans="1:16" ht="58" x14ac:dyDescent="0.35">
      <c r="A1148" s="139" t="e">
        <f t="shared" si="18"/>
        <v>#REF!</v>
      </c>
      <c r="B1148" s="140" t="s">
        <v>18</v>
      </c>
      <c r="C1148" s="140" t="s">
        <v>37</v>
      </c>
      <c r="D1148" s="140" t="s">
        <v>1515</v>
      </c>
      <c r="E1148" s="140" t="s">
        <v>2153</v>
      </c>
      <c r="F1148" s="140" t="s">
        <v>448</v>
      </c>
      <c r="G1148" s="140" t="s">
        <v>449</v>
      </c>
      <c r="H1148" s="140" t="s">
        <v>3003</v>
      </c>
      <c r="I1148" s="140">
        <v>100</v>
      </c>
      <c r="J1148" s="140">
        <v>30000000</v>
      </c>
      <c r="K1148" s="139" t="s">
        <v>221</v>
      </c>
      <c r="L1148" s="140">
        <v>2768360</v>
      </c>
      <c r="M1148" s="155" t="s">
        <v>180</v>
      </c>
      <c r="N1148" s="10">
        <v>250</v>
      </c>
      <c r="O1148" s="10">
        <v>75000000</v>
      </c>
      <c r="P1148" s="140" t="s">
        <v>2936</v>
      </c>
    </row>
    <row r="1149" spans="1:16" ht="58" x14ac:dyDescent="0.35">
      <c r="A1149" s="139" t="e">
        <f t="shared" si="18"/>
        <v>#REF!</v>
      </c>
      <c r="B1149" s="140" t="s">
        <v>18</v>
      </c>
      <c r="C1149" s="140" t="s">
        <v>37</v>
      </c>
      <c r="D1149" s="140" t="s">
        <v>1515</v>
      </c>
      <c r="E1149" s="140" t="s">
        <v>2153</v>
      </c>
      <c r="F1149" s="140" t="s">
        <v>448</v>
      </c>
      <c r="G1149" s="140" t="s">
        <v>449</v>
      </c>
      <c r="H1149" s="140" t="s">
        <v>3004</v>
      </c>
      <c r="I1149" s="140" t="s">
        <v>341</v>
      </c>
      <c r="J1149" s="140">
        <v>60000000</v>
      </c>
      <c r="K1149" s="139" t="s">
        <v>221</v>
      </c>
      <c r="L1149" s="140">
        <v>2768360</v>
      </c>
      <c r="M1149" s="155" t="s">
        <v>180</v>
      </c>
      <c r="N1149" s="10">
        <v>500</v>
      </c>
      <c r="O1149" s="10">
        <v>75000000</v>
      </c>
      <c r="P1149" s="140" t="s">
        <v>2936</v>
      </c>
    </row>
    <row r="1150" spans="1:16" ht="58" x14ac:dyDescent="0.35">
      <c r="A1150" s="139" t="e">
        <f t="shared" ref="A1150:A1196" si="19">A1149+1</f>
        <v>#REF!</v>
      </c>
      <c r="B1150" s="140" t="s">
        <v>18</v>
      </c>
      <c r="C1150" s="140" t="s">
        <v>37</v>
      </c>
      <c r="D1150" s="140" t="s">
        <v>1515</v>
      </c>
      <c r="E1150" s="140" t="s">
        <v>2153</v>
      </c>
      <c r="F1150" s="140" t="s">
        <v>448</v>
      </c>
      <c r="G1150" s="140" t="s">
        <v>449</v>
      </c>
      <c r="H1150" s="140" t="s">
        <v>3005</v>
      </c>
      <c r="I1150" s="140" t="s">
        <v>1426</v>
      </c>
      <c r="J1150" s="140">
        <v>35000000</v>
      </c>
      <c r="K1150" s="139" t="s">
        <v>221</v>
      </c>
      <c r="L1150" s="140">
        <v>2768360</v>
      </c>
      <c r="M1150" s="155" t="s">
        <v>180</v>
      </c>
      <c r="N1150" s="10">
        <v>375</v>
      </c>
      <c r="O1150" s="10">
        <v>75000000</v>
      </c>
      <c r="P1150" s="140" t="s">
        <v>2936</v>
      </c>
    </row>
    <row r="1151" spans="1:16" ht="58" x14ac:dyDescent="0.35">
      <c r="A1151" s="139" t="e">
        <f t="shared" si="19"/>
        <v>#REF!</v>
      </c>
      <c r="B1151" s="140" t="s">
        <v>18</v>
      </c>
      <c r="C1151" s="140" t="s">
        <v>37</v>
      </c>
      <c r="D1151" s="140" t="s">
        <v>1515</v>
      </c>
      <c r="E1151" s="140" t="s">
        <v>2153</v>
      </c>
      <c r="F1151" s="140" t="s">
        <v>448</v>
      </c>
      <c r="G1151" s="140" t="s">
        <v>449</v>
      </c>
      <c r="H1151" s="140" t="s">
        <v>3006</v>
      </c>
      <c r="I1151" s="140">
        <v>300</v>
      </c>
      <c r="J1151" s="140">
        <v>75000000</v>
      </c>
      <c r="K1151" s="139" t="s">
        <v>221</v>
      </c>
      <c r="L1151" s="140">
        <v>2768360</v>
      </c>
      <c r="M1151" s="155" t="s">
        <v>180</v>
      </c>
      <c r="N1151" s="10">
        <v>750</v>
      </c>
      <c r="O1151" s="10">
        <v>75000000</v>
      </c>
      <c r="P1151" s="140" t="s">
        <v>2936</v>
      </c>
    </row>
    <row r="1152" spans="1:16" ht="101.5" x14ac:dyDescent="0.35">
      <c r="A1152" s="139" t="e">
        <f t="shared" si="19"/>
        <v>#REF!</v>
      </c>
      <c r="B1152" s="140" t="s">
        <v>18</v>
      </c>
      <c r="C1152" s="140" t="s">
        <v>37</v>
      </c>
      <c r="D1152" s="140" t="s">
        <v>1521</v>
      </c>
      <c r="E1152" s="140" t="s">
        <v>1979</v>
      </c>
      <c r="F1152" s="140" t="s">
        <v>3007</v>
      </c>
      <c r="G1152" s="140" t="s">
        <v>989</v>
      </c>
      <c r="H1152" s="140" t="s">
        <v>3008</v>
      </c>
      <c r="I1152" s="140" t="s">
        <v>3009</v>
      </c>
      <c r="J1152" s="140">
        <v>100000000</v>
      </c>
      <c r="K1152" s="139" t="s">
        <v>221</v>
      </c>
      <c r="L1152" s="140">
        <v>2900380</v>
      </c>
      <c r="M1152" s="155" t="s">
        <v>180</v>
      </c>
      <c r="N1152" s="10">
        <v>375</v>
      </c>
      <c r="O1152" s="10">
        <v>100000000</v>
      </c>
      <c r="P1152" s="140"/>
    </row>
    <row r="1153" spans="1:16" ht="101.5" x14ac:dyDescent="0.35">
      <c r="A1153" s="139" t="e">
        <f t="shared" si="19"/>
        <v>#REF!</v>
      </c>
      <c r="B1153" s="140" t="s">
        <v>18</v>
      </c>
      <c r="C1153" s="140" t="s">
        <v>37</v>
      </c>
      <c r="D1153" s="140" t="s">
        <v>476</v>
      </c>
      <c r="E1153" s="140" t="s">
        <v>1979</v>
      </c>
      <c r="F1153" s="140" t="s">
        <v>3007</v>
      </c>
      <c r="G1153" s="140" t="s">
        <v>989</v>
      </c>
      <c r="H1153" s="140" t="s">
        <v>990</v>
      </c>
      <c r="I1153" s="140" t="s">
        <v>3010</v>
      </c>
      <c r="J1153" s="140">
        <v>70000000</v>
      </c>
      <c r="K1153" s="139" t="s">
        <v>221</v>
      </c>
      <c r="L1153" s="140">
        <v>2900396</v>
      </c>
      <c r="M1153" s="155" t="s">
        <v>180</v>
      </c>
      <c r="N1153" s="10">
        <v>300</v>
      </c>
      <c r="O1153" s="10">
        <v>70000000</v>
      </c>
      <c r="P1153" s="140" t="s">
        <v>1839</v>
      </c>
    </row>
    <row r="1154" spans="1:16" ht="101.5" x14ac:dyDescent="0.35">
      <c r="A1154" s="139" t="e">
        <f t="shared" si="19"/>
        <v>#REF!</v>
      </c>
      <c r="B1154" s="140" t="s">
        <v>18</v>
      </c>
      <c r="C1154" s="140" t="s">
        <v>37</v>
      </c>
      <c r="D1154" s="140" t="s">
        <v>476</v>
      </c>
      <c r="E1154" s="140" t="s">
        <v>1979</v>
      </c>
      <c r="F1154" s="140" t="s">
        <v>3007</v>
      </c>
      <c r="G1154" s="140" t="s">
        <v>989</v>
      </c>
      <c r="H1154" s="140" t="s">
        <v>3011</v>
      </c>
      <c r="I1154" s="140" t="s">
        <v>3009</v>
      </c>
      <c r="J1154" s="140">
        <v>100000000</v>
      </c>
      <c r="K1154" s="139" t="s">
        <v>221</v>
      </c>
      <c r="L1154" s="140">
        <v>2900410</v>
      </c>
      <c r="M1154" s="155" t="s">
        <v>180</v>
      </c>
      <c r="N1154" s="10">
        <v>375</v>
      </c>
      <c r="O1154" s="10">
        <v>100000000</v>
      </c>
      <c r="P1154" s="140" t="s">
        <v>1839</v>
      </c>
    </row>
    <row r="1155" spans="1:16" ht="101.5" x14ac:dyDescent="0.35">
      <c r="A1155" s="139" t="e">
        <f t="shared" si="19"/>
        <v>#REF!</v>
      </c>
      <c r="B1155" s="140" t="s">
        <v>18</v>
      </c>
      <c r="C1155" s="140" t="s">
        <v>37</v>
      </c>
      <c r="D1155" s="140" t="s">
        <v>476</v>
      </c>
      <c r="E1155" s="140" t="s">
        <v>1979</v>
      </c>
      <c r="F1155" s="140" t="s">
        <v>3007</v>
      </c>
      <c r="G1155" s="140" t="s">
        <v>989</v>
      </c>
      <c r="H1155" s="140" t="s">
        <v>3012</v>
      </c>
      <c r="I1155" s="140" t="s">
        <v>3009</v>
      </c>
      <c r="J1155" s="140">
        <v>100000000</v>
      </c>
      <c r="K1155" s="139" t="s">
        <v>221</v>
      </c>
      <c r="L1155" s="140">
        <v>2900427</v>
      </c>
      <c r="M1155" s="155" t="s">
        <v>180</v>
      </c>
      <c r="N1155" s="10">
        <v>375</v>
      </c>
      <c r="O1155" s="10">
        <v>100000000</v>
      </c>
      <c r="P1155" s="140" t="s">
        <v>1839</v>
      </c>
    </row>
    <row r="1156" spans="1:16" ht="101.5" x14ac:dyDescent="0.35">
      <c r="A1156" s="139" t="e">
        <f t="shared" si="19"/>
        <v>#REF!</v>
      </c>
      <c r="B1156" s="140" t="s">
        <v>18</v>
      </c>
      <c r="C1156" s="140" t="s">
        <v>37</v>
      </c>
      <c r="D1156" s="140" t="s">
        <v>1515</v>
      </c>
      <c r="E1156" s="140" t="s">
        <v>1979</v>
      </c>
      <c r="F1156" s="140" t="s">
        <v>3007</v>
      </c>
      <c r="G1156" s="140" t="s">
        <v>989</v>
      </c>
      <c r="H1156" s="140" t="s">
        <v>3013</v>
      </c>
      <c r="I1156" s="140" t="s">
        <v>3009</v>
      </c>
      <c r="J1156" s="140">
        <v>100000000</v>
      </c>
      <c r="K1156" s="139" t="s">
        <v>221</v>
      </c>
      <c r="L1156" s="140">
        <v>2900434</v>
      </c>
      <c r="M1156" s="155" t="s">
        <v>180</v>
      </c>
      <c r="N1156" s="10">
        <v>375</v>
      </c>
      <c r="O1156" s="10">
        <v>100000000</v>
      </c>
      <c r="P1156" s="140" t="s">
        <v>992</v>
      </c>
    </row>
    <row r="1157" spans="1:16" ht="101.5" x14ac:dyDescent="0.35">
      <c r="A1157" s="139" t="e">
        <f t="shared" si="19"/>
        <v>#REF!</v>
      </c>
      <c r="B1157" s="140" t="s">
        <v>18</v>
      </c>
      <c r="C1157" s="140" t="s">
        <v>37</v>
      </c>
      <c r="D1157" s="140" t="s">
        <v>476</v>
      </c>
      <c r="E1157" s="140" t="s">
        <v>1979</v>
      </c>
      <c r="F1157" s="140" t="s">
        <v>3007</v>
      </c>
      <c r="G1157" s="140" t="s">
        <v>989</v>
      </c>
      <c r="H1157" s="140" t="s">
        <v>3014</v>
      </c>
      <c r="I1157" s="140" t="s">
        <v>3009</v>
      </c>
      <c r="J1157" s="140">
        <v>100000000</v>
      </c>
      <c r="K1157" s="139" t="s">
        <v>221</v>
      </c>
      <c r="L1157" s="140">
        <v>2900441</v>
      </c>
      <c r="M1157" s="155" t="s">
        <v>180</v>
      </c>
      <c r="N1157" s="10">
        <v>375</v>
      </c>
      <c r="O1157" s="10">
        <v>100000000</v>
      </c>
      <c r="P1157" s="140" t="s">
        <v>1839</v>
      </c>
    </row>
    <row r="1158" spans="1:16" ht="101.5" x14ac:dyDescent="0.35">
      <c r="A1158" s="139" t="e">
        <f t="shared" si="19"/>
        <v>#REF!</v>
      </c>
      <c r="B1158" s="140" t="s">
        <v>18</v>
      </c>
      <c r="C1158" s="140" t="s">
        <v>37</v>
      </c>
      <c r="D1158" s="140" t="s">
        <v>1515</v>
      </c>
      <c r="E1158" s="140" t="s">
        <v>1979</v>
      </c>
      <c r="F1158" s="140" t="s">
        <v>3007</v>
      </c>
      <c r="G1158" s="140" t="s">
        <v>989</v>
      </c>
      <c r="H1158" s="140" t="s">
        <v>3015</v>
      </c>
      <c r="I1158" s="140" t="s">
        <v>3009</v>
      </c>
      <c r="J1158" s="140">
        <v>100000000</v>
      </c>
      <c r="K1158" s="139" t="s">
        <v>221</v>
      </c>
      <c r="L1158" s="140">
        <v>2900445</v>
      </c>
      <c r="M1158" s="155" t="s">
        <v>180</v>
      </c>
      <c r="N1158" s="10">
        <v>375</v>
      </c>
      <c r="O1158" s="10">
        <v>100000000</v>
      </c>
      <c r="P1158" s="140" t="s">
        <v>992</v>
      </c>
    </row>
    <row r="1159" spans="1:16" ht="101.5" x14ac:dyDescent="0.35">
      <c r="A1159" s="139" t="e">
        <f t="shared" si="19"/>
        <v>#REF!</v>
      </c>
      <c r="B1159" s="140" t="s">
        <v>18</v>
      </c>
      <c r="C1159" s="140" t="s">
        <v>37</v>
      </c>
      <c r="D1159" s="140" t="s">
        <v>476</v>
      </c>
      <c r="E1159" s="140" t="s">
        <v>1979</v>
      </c>
      <c r="F1159" s="140" t="s">
        <v>3007</v>
      </c>
      <c r="G1159" s="140" t="s">
        <v>989</v>
      </c>
      <c r="H1159" s="140" t="s">
        <v>3016</v>
      </c>
      <c r="I1159" s="140" t="s">
        <v>3009</v>
      </c>
      <c r="J1159" s="140">
        <v>100000000</v>
      </c>
      <c r="K1159" s="139" t="s">
        <v>221</v>
      </c>
      <c r="L1159" s="140">
        <v>2900454</v>
      </c>
      <c r="M1159" s="155" t="s">
        <v>180</v>
      </c>
      <c r="N1159" s="10">
        <v>375</v>
      </c>
      <c r="O1159" s="10">
        <v>100000000</v>
      </c>
      <c r="P1159" s="140" t="s">
        <v>1839</v>
      </c>
    </row>
    <row r="1160" spans="1:16" ht="101.5" x14ac:dyDescent="0.35">
      <c r="A1160" s="139" t="e">
        <f t="shared" si="19"/>
        <v>#REF!</v>
      </c>
      <c r="B1160" s="140" t="s">
        <v>18</v>
      </c>
      <c r="C1160" s="140" t="s">
        <v>37</v>
      </c>
      <c r="D1160" s="140" t="s">
        <v>1515</v>
      </c>
      <c r="E1160" s="140" t="s">
        <v>1979</v>
      </c>
      <c r="F1160" s="140" t="s">
        <v>3007</v>
      </c>
      <c r="G1160" s="140" t="s">
        <v>989</v>
      </c>
      <c r="H1160" s="140" t="s">
        <v>3017</v>
      </c>
      <c r="I1160" s="140" t="s">
        <v>3018</v>
      </c>
      <c r="J1160" s="140">
        <v>100000000</v>
      </c>
      <c r="K1160" s="139" t="s">
        <v>221</v>
      </c>
      <c r="L1160" s="140">
        <v>2900459</v>
      </c>
      <c r="M1160" s="155" t="s">
        <v>180</v>
      </c>
      <c r="N1160" s="10">
        <v>375</v>
      </c>
      <c r="O1160" s="10">
        <v>100000000</v>
      </c>
      <c r="P1160" s="140" t="s">
        <v>992</v>
      </c>
    </row>
    <row r="1161" spans="1:16" ht="101.5" x14ac:dyDescent="0.35">
      <c r="A1161" s="139" t="e">
        <f t="shared" si="19"/>
        <v>#REF!</v>
      </c>
      <c r="B1161" s="140" t="s">
        <v>18</v>
      </c>
      <c r="C1161" s="140" t="s">
        <v>37</v>
      </c>
      <c r="D1161" s="140" t="s">
        <v>1515</v>
      </c>
      <c r="E1161" s="140" t="s">
        <v>1979</v>
      </c>
      <c r="F1161" s="140" t="s">
        <v>3007</v>
      </c>
      <c r="G1161" s="140" t="s">
        <v>989</v>
      </c>
      <c r="H1161" s="140" t="s">
        <v>3019</v>
      </c>
      <c r="I1161" s="140" t="s">
        <v>3020</v>
      </c>
      <c r="J1161" s="140"/>
      <c r="K1161" s="139" t="s">
        <v>221</v>
      </c>
      <c r="L1161" s="140">
        <v>2900463</v>
      </c>
      <c r="M1161" s="155" t="s">
        <v>180</v>
      </c>
      <c r="N1161" s="10">
        <v>150</v>
      </c>
      <c r="O1161" s="10">
        <v>100000000</v>
      </c>
      <c r="P1161" s="140" t="s">
        <v>992</v>
      </c>
    </row>
    <row r="1162" spans="1:16" ht="101.5" x14ac:dyDescent="0.35">
      <c r="A1162" s="139" t="e">
        <f t="shared" si="19"/>
        <v>#REF!</v>
      </c>
      <c r="B1162" s="140" t="s">
        <v>18</v>
      </c>
      <c r="C1162" s="140" t="s">
        <v>37</v>
      </c>
      <c r="D1162" s="140" t="s">
        <v>476</v>
      </c>
      <c r="E1162" s="140" t="s">
        <v>1979</v>
      </c>
      <c r="F1162" s="140" t="s">
        <v>3007</v>
      </c>
      <c r="G1162" s="140" t="s">
        <v>989</v>
      </c>
      <c r="H1162" s="140" t="s">
        <v>3021</v>
      </c>
      <c r="I1162" s="140" t="s">
        <v>3022</v>
      </c>
      <c r="J1162" s="140">
        <v>100000000</v>
      </c>
      <c r="K1162" s="139" t="s">
        <v>221</v>
      </c>
      <c r="L1162" s="140">
        <v>2901600</v>
      </c>
      <c r="M1162" s="155" t="s">
        <v>180</v>
      </c>
      <c r="N1162" s="10">
        <v>861</v>
      </c>
      <c r="O1162" s="10">
        <v>100000000</v>
      </c>
      <c r="P1162" s="140" t="s">
        <v>1839</v>
      </c>
    </row>
    <row r="1163" spans="1:16" ht="101.5" x14ac:dyDescent="0.35">
      <c r="A1163" s="139" t="e">
        <f t="shared" si="19"/>
        <v>#REF!</v>
      </c>
      <c r="B1163" s="140" t="s">
        <v>18</v>
      </c>
      <c r="C1163" s="140" t="s">
        <v>37</v>
      </c>
      <c r="D1163" s="140" t="s">
        <v>1515</v>
      </c>
      <c r="E1163" s="140" t="s">
        <v>1979</v>
      </c>
      <c r="F1163" s="140" t="s">
        <v>451</v>
      </c>
      <c r="G1163" s="140" t="s">
        <v>452</v>
      </c>
      <c r="H1163" s="140" t="s">
        <v>3023</v>
      </c>
      <c r="I1163" s="140" t="s">
        <v>3024</v>
      </c>
      <c r="J1163" s="140">
        <v>100000000</v>
      </c>
      <c r="K1163" s="139" t="s">
        <v>221</v>
      </c>
      <c r="L1163" s="140">
        <v>2959549</v>
      </c>
      <c r="M1163" s="155" t="s">
        <v>180</v>
      </c>
      <c r="N1163" s="10">
        <v>600</v>
      </c>
      <c r="O1163" s="10">
        <v>100000000</v>
      </c>
      <c r="P1163" s="140" t="s">
        <v>3025</v>
      </c>
    </row>
    <row r="1164" spans="1:16" ht="101.5" x14ac:dyDescent="0.35">
      <c r="A1164" s="139" t="e">
        <f t="shared" si="19"/>
        <v>#REF!</v>
      </c>
      <c r="B1164" s="140" t="s">
        <v>18</v>
      </c>
      <c r="C1164" s="140" t="s">
        <v>37</v>
      </c>
      <c r="D1164" s="140" t="s">
        <v>1515</v>
      </c>
      <c r="E1164" s="140" t="s">
        <v>1979</v>
      </c>
      <c r="F1164" s="140" t="s">
        <v>451</v>
      </c>
      <c r="G1164" s="140" t="s">
        <v>452</v>
      </c>
      <c r="H1164" s="140" t="s">
        <v>3026</v>
      </c>
      <c r="I1164" s="140" t="s">
        <v>3027</v>
      </c>
      <c r="J1164" s="140">
        <v>100000000</v>
      </c>
      <c r="K1164" s="139" t="s">
        <v>221</v>
      </c>
      <c r="L1164" s="140">
        <v>2959371</v>
      </c>
      <c r="M1164" s="155" t="s">
        <v>180</v>
      </c>
      <c r="N1164" s="10">
        <v>600</v>
      </c>
      <c r="O1164" s="10">
        <v>100000000</v>
      </c>
      <c r="P1164" s="140" t="s">
        <v>3025</v>
      </c>
    </row>
    <row r="1165" spans="1:16" ht="43.5" x14ac:dyDescent="0.35">
      <c r="A1165" s="139" t="e">
        <f t="shared" si="19"/>
        <v>#REF!</v>
      </c>
      <c r="B1165" s="140" t="s">
        <v>18</v>
      </c>
      <c r="C1165" s="140" t="s">
        <v>37</v>
      </c>
      <c r="D1165" s="140" t="s">
        <v>1521</v>
      </c>
      <c r="E1165" s="140" t="s">
        <v>2625</v>
      </c>
      <c r="F1165" s="140" t="s">
        <v>451</v>
      </c>
      <c r="G1165" s="140" t="s">
        <v>452</v>
      </c>
      <c r="H1165" s="140" t="s">
        <v>3028</v>
      </c>
      <c r="I1165" s="140" t="s">
        <v>3029</v>
      </c>
      <c r="J1165" s="140">
        <v>100000000</v>
      </c>
      <c r="K1165" s="139" t="s">
        <v>221</v>
      </c>
      <c r="L1165" s="140">
        <v>2960136</v>
      </c>
      <c r="M1165" s="155" t="s">
        <v>180</v>
      </c>
      <c r="N1165" s="10"/>
      <c r="O1165" s="10">
        <v>100000000</v>
      </c>
      <c r="P1165" s="140" t="s">
        <v>3030</v>
      </c>
    </row>
    <row r="1166" spans="1:16" ht="101.5" x14ac:dyDescent="0.35">
      <c r="A1166" s="139" t="e">
        <f t="shared" si="19"/>
        <v>#REF!</v>
      </c>
      <c r="B1166" s="140" t="s">
        <v>18</v>
      </c>
      <c r="C1166" s="140" t="s">
        <v>37</v>
      </c>
      <c r="D1166" s="140" t="s">
        <v>1515</v>
      </c>
      <c r="E1166" s="140" t="s">
        <v>1979</v>
      </c>
      <c r="F1166" s="140" t="s">
        <v>451</v>
      </c>
      <c r="G1166" s="140" t="s">
        <v>452</v>
      </c>
      <c r="H1166" s="140" t="s">
        <v>3031</v>
      </c>
      <c r="I1166" s="140" t="s">
        <v>3032</v>
      </c>
      <c r="J1166" s="140">
        <v>50000000</v>
      </c>
      <c r="K1166" s="139" t="s">
        <v>221</v>
      </c>
      <c r="L1166" s="140">
        <v>2959627</v>
      </c>
      <c r="M1166" s="155" t="s">
        <v>180</v>
      </c>
      <c r="N1166" s="10">
        <v>300</v>
      </c>
      <c r="O1166" s="10">
        <v>100000000</v>
      </c>
      <c r="P1166" s="140" t="s">
        <v>3025</v>
      </c>
    </row>
    <row r="1167" spans="1:16" ht="43.5" x14ac:dyDescent="0.35">
      <c r="A1167" s="139" t="e">
        <f t="shared" si="19"/>
        <v>#REF!</v>
      </c>
      <c r="B1167" s="140" t="s">
        <v>18</v>
      </c>
      <c r="C1167" s="140" t="s">
        <v>37</v>
      </c>
      <c r="D1167" s="140" t="s">
        <v>1521</v>
      </c>
      <c r="E1167" s="140" t="s">
        <v>2625</v>
      </c>
      <c r="F1167" s="140" t="s">
        <v>451</v>
      </c>
      <c r="G1167" s="140" t="s">
        <v>452</v>
      </c>
      <c r="H1167" s="140" t="s">
        <v>3033</v>
      </c>
      <c r="I1167" s="140" t="s">
        <v>3034</v>
      </c>
      <c r="J1167" s="140">
        <v>100000000</v>
      </c>
      <c r="K1167" s="139" t="s">
        <v>221</v>
      </c>
      <c r="L1167" s="140">
        <v>2961307</v>
      </c>
      <c r="M1167" s="155" t="s">
        <v>180</v>
      </c>
      <c r="N1167" s="10"/>
      <c r="O1167" s="10">
        <v>100000000</v>
      </c>
      <c r="P1167" s="140" t="s">
        <v>3030</v>
      </c>
    </row>
    <row r="1168" spans="1:16" ht="101.5" x14ac:dyDescent="0.35">
      <c r="A1168" s="139" t="e">
        <f t="shared" si="19"/>
        <v>#REF!</v>
      </c>
      <c r="B1168" s="140" t="s">
        <v>18</v>
      </c>
      <c r="C1168" s="140" t="s">
        <v>37</v>
      </c>
      <c r="D1168" s="140" t="s">
        <v>1515</v>
      </c>
      <c r="E1168" s="140" t="s">
        <v>1979</v>
      </c>
      <c r="F1168" s="140" t="s">
        <v>451</v>
      </c>
      <c r="G1168" s="140" t="s">
        <v>452</v>
      </c>
      <c r="H1168" s="140" t="s">
        <v>1459</v>
      </c>
      <c r="I1168" s="140" t="s">
        <v>3032</v>
      </c>
      <c r="J1168" s="140">
        <v>70000000</v>
      </c>
      <c r="K1168" s="139" t="s">
        <v>221</v>
      </c>
      <c r="L1168" s="140">
        <v>2961617</v>
      </c>
      <c r="M1168" s="155" t="s">
        <v>180</v>
      </c>
      <c r="N1168" s="10">
        <v>100</v>
      </c>
      <c r="O1168" s="10">
        <v>80750000</v>
      </c>
      <c r="P1168" s="140" t="s">
        <v>3035</v>
      </c>
    </row>
    <row r="1169" spans="1:16" ht="101.5" x14ac:dyDescent="0.35">
      <c r="A1169" s="139" t="e">
        <f>#REF!+1</f>
        <v>#REF!</v>
      </c>
      <c r="B1169" s="140" t="s">
        <v>18</v>
      </c>
      <c r="C1169" s="140" t="s">
        <v>37</v>
      </c>
      <c r="D1169" s="140" t="s">
        <v>1515</v>
      </c>
      <c r="E1169" s="140" t="s">
        <v>1979</v>
      </c>
      <c r="F1169" s="140" t="s">
        <v>451</v>
      </c>
      <c r="G1169" s="140" t="s">
        <v>452</v>
      </c>
      <c r="H1169" s="140" t="s">
        <v>3036</v>
      </c>
      <c r="I1169" s="140" t="s">
        <v>3027</v>
      </c>
      <c r="J1169" s="140">
        <v>100000000</v>
      </c>
      <c r="K1169" s="139" t="s">
        <v>221</v>
      </c>
      <c r="L1169" s="140">
        <v>2960309</v>
      </c>
      <c r="M1169" s="155" t="s">
        <v>180</v>
      </c>
      <c r="N1169" s="10">
        <v>600</v>
      </c>
      <c r="O1169" s="10">
        <v>100000000</v>
      </c>
      <c r="P1169" s="140" t="s">
        <v>3037</v>
      </c>
    </row>
    <row r="1170" spans="1:16" ht="43.5" x14ac:dyDescent="0.35">
      <c r="A1170" s="139" t="e">
        <f t="shared" si="19"/>
        <v>#REF!</v>
      </c>
      <c r="B1170" s="140" t="s">
        <v>18</v>
      </c>
      <c r="C1170" s="140" t="s">
        <v>37</v>
      </c>
      <c r="D1170" s="140" t="s">
        <v>476</v>
      </c>
      <c r="E1170" s="140" t="s">
        <v>2394</v>
      </c>
      <c r="F1170" s="140" t="s">
        <v>451</v>
      </c>
      <c r="G1170" s="140" t="s">
        <v>452</v>
      </c>
      <c r="H1170" s="140" t="s">
        <v>3038</v>
      </c>
      <c r="I1170" s="140" t="s">
        <v>3027</v>
      </c>
      <c r="J1170" s="140">
        <v>100000000</v>
      </c>
      <c r="K1170" s="139" t="s">
        <v>221</v>
      </c>
      <c r="L1170" s="140">
        <v>2757834</v>
      </c>
      <c r="M1170" s="155" t="s">
        <v>180</v>
      </c>
      <c r="N1170" s="10">
        <v>4.2</v>
      </c>
      <c r="O1170" s="10">
        <v>100000000</v>
      </c>
      <c r="P1170" s="140" t="s">
        <v>1839</v>
      </c>
    </row>
    <row r="1171" spans="1:16" ht="101.5" x14ac:dyDescent="0.35">
      <c r="A1171" s="139" t="e">
        <f t="shared" si="19"/>
        <v>#REF!</v>
      </c>
      <c r="B1171" s="140" t="s">
        <v>18</v>
      </c>
      <c r="C1171" s="140" t="s">
        <v>37</v>
      </c>
      <c r="D1171" s="140" t="s">
        <v>1515</v>
      </c>
      <c r="E1171" s="140" t="s">
        <v>1979</v>
      </c>
      <c r="F1171" s="140" t="s">
        <v>451</v>
      </c>
      <c r="G1171" s="140" t="s">
        <v>452</v>
      </c>
      <c r="H1171" s="140" t="s">
        <v>3039</v>
      </c>
      <c r="I1171" s="140" t="s">
        <v>3027</v>
      </c>
      <c r="J1171" s="140">
        <v>100000000</v>
      </c>
      <c r="K1171" s="139" t="s">
        <v>221</v>
      </c>
      <c r="L1171" s="140">
        <v>2960309</v>
      </c>
      <c r="M1171" s="155" t="s">
        <v>180</v>
      </c>
      <c r="N1171" s="10">
        <v>600</v>
      </c>
      <c r="O1171" s="10">
        <v>100000000</v>
      </c>
      <c r="P1171" s="140" t="s">
        <v>3037</v>
      </c>
    </row>
    <row r="1172" spans="1:16" ht="101.5" x14ac:dyDescent="0.35">
      <c r="A1172" s="139" t="e">
        <f t="shared" si="19"/>
        <v>#REF!</v>
      </c>
      <c r="B1172" s="140" t="s">
        <v>18</v>
      </c>
      <c r="C1172" s="140" t="s">
        <v>37</v>
      </c>
      <c r="D1172" s="140" t="s">
        <v>1515</v>
      </c>
      <c r="E1172" s="140" t="s">
        <v>1979</v>
      </c>
      <c r="F1172" s="140" t="s">
        <v>451</v>
      </c>
      <c r="G1172" s="140" t="s">
        <v>452</v>
      </c>
      <c r="H1172" s="140" t="s">
        <v>3040</v>
      </c>
      <c r="I1172" s="140" t="s">
        <v>3041</v>
      </c>
      <c r="J1172" s="140">
        <v>100000000</v>
      </c>
      <c r="K1172" s="139" t="s">
        <v>221</v>
      </c>
      <c r="L1172" s="140">
        <v>2960371</v>
      </c>
      <c r="M1172" s="155" t="s">
        <v>180</v>
      </c>
      <c r="N1172" s="10">
        <v>600</v>
      </c>
      <c r="O1172" s="10">
        <v>100000000</v>
      </c>
      <c r="P1172" s="140" t="s">
        <v>3037</v>
      </c>
    </row>
    <row r="1173" spans="1:16" ht="29" x14ac:dyDescent="0.35">
      <c r="A1173" s="139" t="e">
        <f t="shared" si="19"/>
        <v>#REF!</v>
      </c>
      <c r="B1173" s="140" t="s">
        <v>576</v>
      </c>
      <c r="C1173" s="140" t="s">
        <v>3042</v>
      </c>
      <c r="D1173" s="140" t="s">
        <v>1515</v>
      </c>
      <c r="E1173" s="140" t="s">
        <v>992</v>
      </c>
      <c r="F1173" s="140" t="s">
        <v>3043</v>
      </c>
      <c r="G1173" s="139" t="s">
        <v>469</v>
      </c>
      <c r="H1173" s="139" t="s">
        <v>3044</v>
      </c>
      <c r="I1173" s="139">
        <v>450</v>
      </c>
      <c r="J1173" s="269">
        <v>100000000</v>
      </c>
      <c r="K1173" s="139" t="s">
        <v>221</v>
      </c>
      <c r="L1173" s="139" t="s">
        <v>62</v>
      </c>
      <c r="M1173" s="155" t="s">
        <v>55</v>
      </c>
      <c r="N1173" s="139">
        <v>450</v>
      </c>
      <c r="O1173" s="17">
        <v>114300000</v>
      </c>
      <c r="P1173" s="141" t="s">
        <v>995</v>
      </c>
    </row>
    <row r="1174" spans="1:16" ht="43.5" x14ac:dyDescent="0.35">
      <c r="A1174" s="139" t="e">
        <f t="shared" si="19"/>
        <v>#REF!</v>
      </c>
      <c r="B1174" s="140" t="s">
        <v>18</v>
      </c>
      <c r="C1174" s="140" t="s">
        <v>37</v>
      </c>
      <c r="D1174" s="140" t="s">
        <v>1515</v>
      </c>
      <c r="E1174" s="140" t="s">
        <v>992</v>
      </c>
      <c r="F1174" s="140" t="s">
        <v>3045</v>
      </c>
      <c r="G1174" s="139" t="s">
        <v>1003</v>
      </c>
      <c r="H1174" s="139" t="s">
        <v>3046</v>
      </c>
      <c r="I1174" s="139" t="s">
        <v>1213</v>
      </c>
      <c r="J1174" s="269">
        <v>100000000</v>
      </c>
      <c r="K1174" s="139" t="s">
        <v>221</v>
      </c>
      <c r="L1174" s="139">
        <v>2951281</v>
      </c>
      <c r="M1174" s="155" t="s">
        <v>55</v>
      </c>
      <c r="N1174" s="139">
        <v>450</v>
      </c>
      <c r="O1174" s="13">
        <v>114300000</v>
      </c>
      <c r="P1174" s="141"/>
    </row>
    <row r="1175" spans="1:16" ht="43.5" x14ac:dyDescent="0.35">
      <c r="A1175" s="139" t="e">
        <f t="shared" si="19"/>
        <v>#REF!</v>
      </c>
      <c r="B1175" s="140" t="s">
        <v>18</v>
      </c>
      <c r="C1175" s="140" t="s">
        <v>37</v>
      </c>
      <c r="D1175" s="140" t="s">
        <v>1515</v>
      </c>
      <c r="E1175" s="140" t="s">
        <v>992</v>
      </c>
      <c r="F1175" s="140" t="s">
        <v>3047</v>
      </c>
      <c r="G1175" s="139" t="s">
        <v>1003</v>
      </c>
      <c r="H1175" s="139" t="s">
        <v>3048</v>
      </c>
      <c r="I1175" s="139" t="s">
        <v>1213</v>
      </c>
      <c r="J1175" s="269">
        <v>100000000</v>
      </c>
      <c r="K1175" s="139" t="s">
        <v>221</v>
      </c>
      <c r="L1175" s="139">
        <v>2951498</v>
      </c>
      <c r="M1175" s="155" t="s">
        <v>55</v>
      </c>
      <c r="N1175" s="139">
        <v>450</v>
      </c>
      <c r="O1175" s="13">
        <v>114300000</v>
      </c>
      <c r="P1175" s="141"/>
    </row>
    <row r="1176" spans="1:16" ht="43.5" x14ac:dyDescent="0.35">
      <c r="A1176" s="139" t="e">
        <f t="shared" si="19"/>
        <v>#REF!</v>
      </c>
      <c r="B1176" s="140" t="s">
        <v>18</v>
      </c>
      <c r="C1176" s="140" t="s">
        <v>37</v>
      </c>
      <c r="D1176" s="140" t="s">
        <v>1515</v>
      </c>
      <c r="E1176" s="140" t="s">
        <v>992</v>
      </c>
      <c r="F1176" s="140" t="s">
        <v>3049</v>
      </c>
      <c r="G1176" s="139" t="s">
        <v>1003</v>
      </c>
      <c r="H1176" s="139" t="s">
        <v>3050</v>
      </c>
      <c r="I1176" s="139" t="s">
        <v>1213</v>
      </c>
      <c r="J1176" s="269">
        <v>100000000</v>
      </c>
      <c r="K1176" s="139" t="s">
        <v>221</v>
      </c>
      <c r="L1176" s="139">
        <v>2951205</v>
      </c>
      <c r="M1176" s="155" t="s">
        <v>55</v>
      </c>
      <c r="N1176" s="139">
        <v>450</v>
      </c>
      <c r="O1176" s="13">
        <v>114300000</v>
      </c>
      <c r="P1176" s="311">
        <v>1.5</v>
      </c>
    </row>
    <row r="1177" spans="1:16" ht="43.5" x14ac:dyDescent="0.35">
      <c r="A1177" s="139" t="e">
        <f>#REF!+1</f>
        <v>#REF!</v>
      </c>
      <c r="B1177" s="140" t="s">
        <v>18</v>
      </c>
      <c r="C1177" s="140" t="s">
        <v>37</v>
      </c>
      <c r="D1177" s="140" t="s">
        <v>1515</v>
      </c>
      <c r="E1177" s="140" t="s">
        <v>992</v>
      </c>
      <c r="F1177" s="140" t="s">
        <v>3051</v>
      </c>
      <c r="G1177" s="139" t="s">
        <v>1003</v>
      </c>
      <c r="H1177" s="139" t="s">
        <v>3052</v>
      </c>
      <c r="I1177" s="139" t="s">
        <v>1213</v>
      </c>
      <c r="J1177" s="269">
        <v>100000000</v>
      </c>
      <c r="K1177" s="139" t="s">
        <v>221</v>
      </c>
      <c r="L1177" s="139">
        <v>2951379</v>
      </c>
      <c r="M1177" s="155" t="s">
        <v>55</v>
      </c>
      <c r="N1177" s="139">
        <v>450</v>
      </c>
      <c r="O1177" s="13">
        <v>114300000</v>
      </c>
      <c r="P1177" s="141"/>
    </row>
    <row r="1178" spans="1:16" ht="43.5" x14ac:dyDescent="0.35">
      <c r="A1178" s="139" t="e">
        <f t="shared" si="19"/>
        <v>#REF!</v>
      </c>
      <c r="B1178" s="140" t="s">
        <v>18</v>
      </c>
      <c r="C1178" s="140" t="s">
        <v>37</v>
      </c>
      <c r="D1178" s="140" t="s">
        <v>1515</v>
      </c>
      <c r="E1178" s="140" t="s">
        <v>992</v>
      </c>
      <c r="F1178" s="140" t="s">
        <v>3053</v>
      </c>
      <c r="G1178" s="139" t="s">
        <v>1003</v>
      </c>
      <c r="H1178" s="139" t="s">
        <v>3054</v>
      </c>
      <c r="I1178" s="139" t="s">
        <v>1272</v>
      </c>
      <c r="J1178" s="269">
        <v>100000000</v>
      </c>
      <c r="K1178" s="139" t="s">
        <v>221</v>
      </c>
      <c r="L1178" s="139">
        <v>2951085</v>
      </c>
      <c r="M1178" s="155" t="s">
        <v>55</v>
      </c>
      <c r="N1178" s="139">
        <v>450</v>
      </c>
      <c r="O1178" s="13">
        <v>114300000</v>
      </c>
      <c r="P1178" s="141"/>
    </row>
    <row r="1179" spans="1:16" ht="43.5" x14ac:dyDescent="0.35">
      <c r="A1179" s="139" t="e">
        <f t="shared" si="19"/>
        <v>#REF!</v>
      </c>
      <c r="B1179" s="140" t="s">
        <v>18</v>
      </c>
      <c r="C1179" s="140" t="s">
        <v>37</v>
      </c>
      <c r="D1179" s="277" t="s">
        <v>1570</v>
      </c>
      <c r="E1179" s="140" t="s">
        <v>2327</v>
      </c>
      <c r="F1179" s="140" t="s">
        <v>3055</v>
      </c>
      <c r="G1179" s="139" t="s">
        <v>1003</v>
      </c>
      <c r="H1179" s="139" t="s">
        <v>3056</v>
      </c>
      <c r="I1179" s="139" t="s">
        <v>1213</v>
      </c>
      <c r="J1179" s="269">
        <v>100000000</v>
      </c>
      <c r="K1179" s="139" t="s">
        <v>221</v>
      </c>
      <c r="L1179" s="139">
        <v>2951700</v>
      </c>
      <c r="M1179" s="155" t="s">
        <v>55</v>
      </c>
      <c r="N1179" s="139">
        <v>40</v>
      </c>
      <c r="O1179" s="13">
        <v>111280000</v>
      </c>
      <c r="P1179" s="141"/>
    </row>
    <row r="1180" spans="1:16" ht="43.5" x14ac:dyDescent="0.35">
      <c r="A1180" s="139" t="e">
        <f t="shared" si="19"/>
        <v>#REF!</v>
      </c>
      <c r="B1180" s="140" t="s">
        <v>18</v>
      </c>
      <c r="C1180" s="140" t="s">
        <v>37</v>
      </c>
      <c r="D1180" s="140" t="s">
        <v>1515</v>
      </c>
      <c r="E1180" s="140" t="s">
        <v>992</v>
      </c>
      <c r="F1180" s="140" t="s">
        <v>3057</v>
      </c>
      <c r="G1180" s="139" t="s">
        <v>1003</v>
      </c>
      <c r="H1180" s="139" t="s">
        <v>3058</v>
      </c>
      <c r="I1180" s="139" t="s">
        <v>1213</v>
      </c>
      <c r="J1180" s="269">
        <v>100000000</v>
      </c>
      <c r="K1180" s="139" t="s">
        <v>221</v>
      </c>
      <c r="L1180" s="139">
        <v>2951459</v>
      </c>
      <c r="M1180" s="155" t="s">
        <v>55</v>
      </c>
      <c r="N1180" s="139">
        <v>450</v>
      </c>
      <c r="O1180" s="13">
        <v>114300000</v>
      </c>
      <c r="P1180" s="141"/>
    </row>
    <row r="1181" spans="1:16" ht="43.5" x14ac:dyDescent="0.35">
      <c r="A1181" s="139" t="e">
        <f t="shared" si="19"/>
        <v>#REF!</v>
      </c>
      <c r="B1181" s="140" t="s">
        <v>18</v>
      </c>
      <c r="C1181" s="140" t="s">
        <v>37</v>
      </c>
      <c r="D1181" s="140" t="s">
        <v>1515</v>
      </c>
      <c r="E1181" s="140" t="s">
        <v>992</v>
      </c>
      <c r="F1181" s="140" t="s">
        <v>3059</v>
      </c>
      <c r="G1181" s="139" t="s">
        <v>1003</v>
      </c>
      <c r="H1181" s="139" t="s">
        <v>3060</v>
      </c>
      <c r="I1181" s="139" t="s">
        <v>1272</v>
      </c>
      <c r="J1181" s="269">
        <v>100000000</v>
      </c>
      <c r="K1181" s="139" t="s">
        <v>221</v>
      </c>
      <c r="L1181" s="139">
        <v>2951435</v>
      </c>
      <c r="M1181" s="155" t="s">
        <v>55</v>
      </c>
      <c r="N1181" s="139">
        <v>450</v>
      </c>
      <c r="O1181" s="13">
        <v>114300000</v>
      </c>
      <c r="P1181" s="141"/>
    </row>
    <row r="1182" spans="1:16" ht="43.5" x14ac:dyDescent="0.35">
      <c r="A1182" s="139" t="e">
        <f t="shared" si="19"/>
        <v>#REF!</v>
      </c>
      <c r="B1182" s="140" t="s">
        <v>18</v>
      </c>
      <c r="C1182" s="140" t="s">
        <v>37</v>
      </c>
      <c r="D1182" s="140" t="s">
        <v>1515</v>
      </c>
      <c r="E1182" s="140" t="s">
        <v>992</v>
      </c>
      <c r="F1182" s="140" t="s">
        <v>3061</v>
      </c>
      <c r="G1182" s="139" t="s">
        <v>469</v>
      </c>
      <c r="H1182" s="139" t="s">
        <v>3062</v>
      </c>
      <c r="I1182" s="139">
        <v>450</v>
      </c>
      <c r="J1182" s="269">
        <v>100000000</v>
      </c>
      <c r="K1182" s="139" t="s">
        <v>221</v>
      </c>
      <c r="L1182" s="139">
        <v>2968863</v>
      </c>
      <c r="M1182" s="155" t="s">
        <v>55</v>
      </c>
      <c r="N1182" s="139">
        <v>450</v>
      </c>
      <c r="O1182" s="13">
        <v>114300000</v>
      </c>
      <c r="P1182" s="312">
        <v>5.35</v>
      </c>
    </row>
    <row r="1183" spans="1:16" ht="43.5" x14ac:dyDescent="0.35">
      <c r="A1183" s="139" t="e">
        <f t="shared" si="19"/>
        <v>#REF!</v>
      </c>
      <c r="B1183" s="140" t="s">
        <v>18</v>
      </c>
      <c r="C1183" s="140" t="s">
        <v>37</v>
      </c>
      <c r="D1183" s="140" t="s">
        <v>1515</v>
      </c>
      <c r="E1183" s="140" t="s">
        <v>992</v>
      </c>
      <c r="F1183" s="140" t="s">
        <v>3063</v>
      </c>
      <c r="G1183" s="139" t="s">
        <v>469</v>
      </c>
      <c r="H1183" s="139" t="s">
        <v>3064</v>
      </c>
      <c r="I1183" s="139">
        <v>450</v>
      </c>
      <c r="J1183" s="269">
        <v>100000000</v>
      </c>
      <c r="K1183" s="139" t="s">
        <v>221</v>
      </c>
      <c r="L1183" s="139">
        <v>2969006</v>
      </c>
      <c r="M1183" s="155" t="s">
        <v>55</v>
      </c>
      <c r="N1183" s="139">
        <v>450</v>
      </c>
      <c r="O1183" s="13">
        <v>114300000</v>
      </c>
      <c r="P1183" s="141"/>
    </row>
    <row r="1184" spans="1:16" ht="43.5" x14ac:dyDescent="0.35">
      <c r="A1184" s="139" t="e">
        <f t="shared" si="19"/>
        <v>#REF!</v>
      </c>
      <c r="B1184" s="140" t="s">
        <v>18</v>
      </c>
      <c r="C1184" s="140" t="s">
        <v>37</v>
      </c>
      <c r="D1184" s="140" t="s">
        <v>1521</v>
      </c>
      <c r="E1184" s="140" t="s">
        <v>992</v>
      </c>
      <c r="F1184" s="140" t="s">
        <v>3065</v>
      </c>
      <c r="G1184" s="139" t="s">
        <v>469</v>
      </c>
      <c r="H1184" s="139" t="s">
        <v>3066</v>
      </c>
      <c r="I1184" s="139">
        <v>450</v>
      </c>
      <c r="J1184" s="269">
        <v>100000000</v>
      </c>
      <c r="K1184" s="139" t="s">
        <v>221</v>
      </c>
      <c r="L1184" s="139" t="s">
        <v>62</v>
      </c>
      <c r="M1184" s="155" t="s">
        <v>55</v>
      </c>
      <c r="N1184" s="139">
        <v>450</v>
      </c>
      <c r="O1184" s="13">
        <v>114300000</v>
      </c>
      <c r="P1184" s="141" t="s">
        <v>995</v>
      </c>
    </row>
    <row r="1185" spans="1:16" ht="43.5" x14ac:dyDescent="0.35">
      <c r="A1185" s="139" t="e">
        <f t="shared" si="19"/>
        <v>#REF!</v>
      </c>
      <c r="B1185" s="140" t="s">
        <v>18</v>
      </c>
      <c r="C1185" s="140" t="s">
        <v>37</v>
      </c>
      <c r="D1185" s="140" t="s">
        <v>1515</v>
      </c>
      <c r="E1185" s="140" t="s">
        <v>992</v>
      </c>
      <c r="F1185" s="140" t="s">
        <v>3067</v>
      </c>
      <c r="G1185" s="139" t="s">
        <v>469</v>
      </c>
      <c r="H1185" s="139" t="s">
        <v>3068</v>
      </c>
      <c r="I1185" s="139" t="s">
        <v>1272</v>
      </c>
      <c r="J1185" s="269">
        <v>100000000</v>
      </c>
      <c r="K1185" s="139" t="s">
        <v>221</v>
      </c>
      <c r="L1185" s="139">
        <v>2969193</v>
      </c>
      <c r="M1185" s="155" t="s">
        <v>55</v>
      </c>
      <c r="N1185" s="139">
        <v>750</v>
      </c>
      <c r="O1185" s="13">
        <v>190500000</v>
      </c>
      <c r="P1185" s="141"/>
    </row>
    <row r="1186" spans="1:16" ht="43.5" x14ac:dyDescent="0.35">
      <c r="A1186" s="139" t="e">
        <f t="shared" si="19"/>
        <v>#REF!</v>
      </c>
      <c r="B1186" s="140" t="s">
        <v>18</v>
      </c>
      <c r="C1186" s="140" t="s">
        <v>37</v>
      </c>
      <c r="D1186" s="140" t="s">
        <v>1515</v>
      </c>
      <c r="E1186" s="140" t="s">
        <v>3069</v>
      </c>
      <c r="F1186" s="140" t="s">
        <v>3070</v>
      </c>
      <c r="G1186" s="139" t="s">
        <v>469</v>
      </c>
      <c r="H1186" s="139" t="s">
        <v>3071</v>
      </c>
      <c r="I1186" s="139" t="s">
        <v>1272</v>
      </c>
      <c r="J1186" s="269">
        <v>100000000</v>
      </c>
      <c r="K1186" s="139" t="s">
        <v>221</v>
      </c>
      <c r="L1186" s="139">
        <v>2968539</v>
      </c>
      <c r="M1186" s="155" t="s">
        <v>55</v>
      </c>
      <c r="N1186" s="139">
        <v>450</v>
      </c>
      <c r="O1186" s="13">
        <v>114300000</v>
      </c>
      <c r="P1186" s="141"/>
    </row>
    <row r="1187" spans="1:16" ht="43.5" x14ac:dyDescent="0.35">
      <c r="A1187" s="139" t="e">
        <f t="shared" si="19"/>
        <v>#REF!</v>
      </c>
      <c r="B1187" s="140" t="s">
        <v>18</v>
      </c>
      <c r="C1187" s="140" t="s">
        <v>37</v>
      </c>
      <c r="D1187" s="140" t="s">
        <v>1521</v>
      </c>
      <c r="E1187" s="140" t="s">
        <v>992</v>
      </c>
      <c r="F1187" s="140" t="s">
        <v>3072</v>
      </c>
      <c r="G1187" s="139" t="s">
        <v>469</v>
      </c>
      <c r="H1187" s="139" t="s">
        <v>3073</v>
      </c>
      <c r="I1187" s="139">
        <v>450</v>
      </c>
      <c r="J1187" s="269">
        <v>100000000</v>
      </c>
      <c r="K1187" s="139" t="s">
        <v>221</v>
      </c>
      <c r="L1187" s="139" t="s">
        <v>62</v>
      </c>
      <c r="M1187" s="155" t="s">
        <v>55</v>
      </c>
      <c r="N1187" s="139">
        <v>450</v>
      </c>
      <c r="O1187" s="13">
        <v>114300000</v>
      </c>
      <c r="P1187" s="141" t="s">
        <v>995</v>
      </c>
    </row>
    <row r="1188" spans="1:16" ht="43.5" x14ac:dyDescent="0.35">
      <c r="A1188" s="139" t="e">
        <f>#REF!+1</f>
        <v>#REF!</v>
      </c>
      <c r="B1188" s="140" t="s">
        <v>18</v>
      </c>
      <c r="C1188" s="140" t="s">
        <v>37</v>
      </c>
      <c r="D1188" s="140" t="s">
        <v>1521</v>
      </c>
      <c r="E1188" s="140" t="s">
        <v>992</v>
      </c>
      <c r="F1188" s="140" t="s">
        <v>3074</v>
      </c>
      <c r="G1188" s="139" t="s">
        <v>469</v>
      </c>
      <c r="H1188" s="139" t="s">
        <v>3075</v>
      </c>
      <c r="I1188" s="139">
        <v>450</v>
      </c>
      <c r="J1188" s="269">
        <v>100000000</v>
      </c>
      <c r="K1188" s="139" t="s">
        <v>221</v>
      </c>
      <c r="L1188" s="139" t="s">
        <v>62</v>
      </c>
      <c r="M1188" s="155" t="s">
        <v>55</v>
      </c>
      <c r="N1188" s="139">
        <v>450</v>
      </c>
      <c r="O1188" s="13">
        <v>114300000</v>
      </c>
      <c r="P1188" s="141" t="s">
        <v>3076</v>
      </c>
    </row>
    <row r="1189" spans="1:16" ht="43.5" x14ac:dyDescent="0.35">
      <c r="A1189" s="139" t="e">
        <f t="shared" si="19"/>
        <v>#REF!</v>
      </c>
      <c r="B1189" s="140" t="s">
        <v>18</v>
      </c>
      <c r="C1189" s="140" t="s">
        <v>37</v>
      </c>
      <c r="D1189" s="140" t="s">
        <v>1521</v>
      </c>
      <c r="E1189" s="140" t="s">
        <v>992</v>
      </c>
      <c r="F1189" s="140" t="s">
        <v>3077</v>
      </c>
      <c r="G1189" s="139" t="s">
        <v>469</v>
      </c>
      <c r="H1189" s="139" t="s">
        <v>3078</v>
      </c>
      <c r="I1189" s="139">
        <v>450</v>
      </c>
      <c r="J1189" s="269">
        <v>100000000</v>
      </c>
      <c r="K1189" s="139" t="s">
        <v>221</v>
      </c>
      <c r="L1189" s="139" t="s">
        <v>62</v>
      </c>
      <c r="M1189" s="155" t="s">
        <v>55</v>
      </c>
      <c r="N1189" s="139">
        <v>450</v>
      </c>
      <c r="O1189" s="13">
        <v>114300000</v>
      </c>
      <c r="P1189" s="141" t="s">
        <v>3076</v>
      </c>
    </row>
    <row r="1190" spans="1:16" ht="43.5" x14ac:dyDescent="0.35">
      <c r="A1190" s="139" t="e">
        <f>#REF!+1</f>
        <v>#REF!</v>
      </c>
      <c r="B1190" s="140" t="s">
        <v>18</v>
      </c>
      <c r="C1190" s="140" t="s">
        <v>37</v>
      </c>
      <c r="D1190" s="277" t="s">
        <v>476</v>
      </c>
      <c r="E1190" s="279" t="s">
        <v>3079</v>
      </c>
      <c r="F1190" s="140" t="s">
        <v>3080</v>
      </c>
      <c r="G1190" s="139" t="s">
        <v>469</v>
      </c>
      <c r="H1190" s="139" t="s">
        <v>3081</v>
      </c>
      <c r="I1190" s="139" t="s">
        <v>1272</v>
      </c>
      <c r="J1190" s="269">
        <v>100000000</v>
      </c>
      <c r="K1190" s="139" t="s">
        <v>221</v>
      </c>
      <c r="L1190" s="139">
        <v>2878654</v>
      </c>
      <c r="M1190" s="155" t="s">
        <v>55</v>
      </c>
      <c r="N1190" s="139">
        <v>450</v>
      </c>
      <c r="O1190" s="13">
        <v>114300000</v>
      </c>
      <c r="P1190" s="141" t="s">
        <v>1955</v>
      </c>
    </row>
    <row r="1191" spans="1:16" ht="43.5" x14ac:dyDescent="0.35">
      <c r="A1191" s="139" t="e">
        <f>#REF!+1</f>
        <v>#REF!</v>
      </c>
      <c r="B1191" s="140" t="s">
        <v>18</v>
      </c>
      <c r="C1191" s="140" t="s">
        <v>37</v>
      </c>
      <c r="D1191" s="140" t="s">
        <v>1521</v>
      </c>
      <c r="E1191" s="279" t="s">
        <v>3079</v>
      </c>
      <c r="F1191" s="279" t="s">
        <v>3082</v>
      </c>
      <c r="G1191" s="139" t="s">
        <v>469</v>
      </c>
      <c r="H1191" s="139" t="s">
        <v>3083</v>
      </c>
      <c r="I1191" s="139">
        <v>450</v>
      </c>
      <c r="J1191" s="269">
        <v>100000000</v>
      </c>
      <c r="K1191" s="139" t="s">
        <v>221</v>
      </c>
      <c r="L1191" s="139" t="s">
        <v>62</v>
      </c>
      <c r="M1191" s="155" t="s">
        <v>55</v>
      </c>
      <c r="N1191" s="139">
        <v>450</v>
      </c>
      <c r="O1191" s="13">
        <v>114300000</v>
      </c>
      <c r="P1191" s="141" t="s">
        <v>1955</v>
      </c>
    </row>
    <row r="1192" spans="1:16" ht="43.5" x14ac:dyDescent="0.35">
      <c r="A1192" s="139" t="e">
        <f t="shared" si="19"/>
        <v>#REF!</v>
      </c>
      <c r="B1192" s="140" t="s">
        <v>18</v>
      </c>
      <c r="C1192" s="140" t="s">
        <v>37</v>
      </c>
      <c r="D1192" s="140" t="s">
        <v>1521</v>
      </c>
      <c r="E1192" s="279" t="s">
        <v>3084</v>
      </c>
      <c r="F1192" s="279" t="s">
        <v>3085</v>
      </c>
      <c r="G1192" s="139" t="s">
        <v>469</v>
      </c>
      <c r="H1192" s="139" t="s">
        <v>3086</v>
      </c>
      <c r="I1192" s="139" t="s">
        <v>341</v>
      </c>
      <c r="J1192" s="269">
        <v>100000000</v>
      </c>
      <c r="K1192" s="139" t="s">
        <v>221</v>
      </c>
      <c r="L1192" s="139">
        <v>2959570</v>
      </c>
      <c r="M1192" s="155" t="s">
        <v>55</v>
      </c>
      <c r="N1192" s="139">
        <v>40</v>
      </c>
      <c r="O1192" s="13">
        <v>111280000</v>
      </c>
      <c r="P1192" s="141" t="s">
        <v>3076</v>
      </c>
    </row>
    <row r="1193" spans="1:16" ht="43.5" x14ac:dyDescent="0.35">
      <c r="A1193" s="139" t="e">
        <f t="shared" si="19"/>
        <v>#REF!</v>
      </c>
      <c r="B1193" s="140" t="s">
        <v>18</v>
      </c>
      <c r="C1193" s="140" t="s">
        <v>37</v>
      </c>
      <c r="D1193" s="140" t="s">
        <v>1515</v>
      </c>
      <c r="E1193" s="279" t="s">
        <v>992</v>
      </c>
      <c r="F1193" s="279" t="s">
        <v>3087</v>
      </c>
      <c r="G1193" s="139" t="s">
        <v>469</v>
      </c>
      <c r="H1193" s="139" t="s">
        <v>3088</v>
      </c>
      <c r="I1193" s="139" t="s">
        <v>1213</v>
      </c>
      <c r="J1193" s="269">
        <v>100000000</v>
      </c>
      <c r="K1193" s="139" t="s">
        <v>221</v>
      </c>
      <c r="L1193" s="139">
        <v>2968136</v>
      </c>
      <c r="M1193" s="155" t="s">
        <v>55</v>
      </c>
      <c r="N1193" s="139">
        <v>450</v>
      </c>
      <c r="O1193" s="13">
        <v>114300000</v>
      </c>
      <c r="P1193" s="141"/>
    </row>
    <row r="1194" spans="1:16" ht="43.5" x14ac:dyDescent="0.35">
      <c r="A1194" s="139" t="e">
        <f>#REF!+1</f>
        <v>#REF!</v>
      </c>
      <c r="B1194" s="140" t="s">
        <v>18</v>
      </c>
      <c r="C1194" s="140" t="s">
        <v>37</v>
      </c>
      <c r="D1194" s="277" t="s">
        <v>1521</v>
      </c>
      <c r="E1194" s="279" t="s">
        <v>992</v>
      </c>
      <c r="F1194" s="279" t="s">
        <v>3089</v>
      </c>
      <c r="G1194" s="139" t="s">
        <v>469</v>
      </c>
      <c r="H1194" s="139" t="s">
        <v>3090</v>
      </c>
      <c r="I1194" s="139">
        <v>450</v>
      </c>
      <c r="J1194" s="269">
        <v>100000000</v>
      </c>
      <c r="K1194" s="139" t="s">
        <v>221</v>
      </c>
      <c r="L1194" s="139" t="s">
        <v>62</v>
      </c>
      <c r="M1194" s="155" t="s">
        <v>55</v>
      </c>
      <c r="N1194" s="139">
        <v>450</v>
      </c>
      <c r="O1194" s="13">
        <v>114300000</v>
      </c>
      <c r="P1194" s="141" t="s">
        <v>1955</v>
      </c>
    </row>
    <row r="1195" spans="1:16" ht="43.5" x14ac:dyDescent="0.35">
      <c r="A1195" s="139" t="e">
        <f t="shared" si="19"/>
        <v>#REF!</v>
      </c>
      <c r="B1195" s="140" t="s">
        <v>18</v>
      </c>
      <c r="C1195" s="140" t="s">
        <v>37</v>
      </c>
      <c r="D1195" s="140" t="s">
        <v>1521</v>
      </c>
      <c r="E1195" s="279" t="s">
        <v>3091</v>
      </c>
      <c r="F1195" s="279" t="s">
        <v>3092</v>
      </c>
      <c r="G1195" s="139" t="s">
        <v>469</v>
      </c>
      <c r="H1195" s="139" t="s">
        <v>3093</v>
      </c>
      <c r="I1195" s="139" t="s">
        <v>1272</v>
      </c>
      <c r="J1195" s="269">
        <v>100000000</v>
      </c>
      <c r="K1195" s="139" t="s">
        <v>221</v>
      </c>
      <c r="L1195" s="139">
        <v>2959444</v>
      </c>
      <c r="M1195" s="155" t="s">
        <v>55</v>
      </c>
      <c r="N1195" s="139">
        <v>40</v>
      </c>
      <c r="O1195" s="13">
        <v>111280000</v>
      </c>
      <c r="P1195" s="141" t="s">
        <v>3076</v>
      </c>
    </row>
    <row r="1196" spans="1:16" ht="43.5" x14ac:dyDescent="0.35">
      <c r="A1196" s="139" t="e">
        <f t="shared" si="19"/>
        <v>#REF!</v>
      </c>
      <c r="B1196" s="140" t="s">
        <v>18</v>
      </c>
      <c r="C1196" s="140" t="s">
        <v>37</v>
      </c>
      <c r="D1196" s="140" t="s">
        <v>476</v>
      </c>
      <c r="E1196" s="279" t="s">
        <v>992</v>
      </c>
      <c r="F1196" s="279" t="s">
        <v>1548</v>
      </c>
      <c r="G1196" s="139" t="s">
        <v>457</v>
      </c>
      <c r="H1196" s="139" t="s">
        <v>3094</v>
      </c>
      <c r="I1196" s="139" t="s">
        <v>1272</v>
      </c>
      <c r="J1196" s="269">
        <v>100000000</v>
      </c>
      <c r="K1196" s="139" t="s">
        <v>221</v>
      </c>
      <c r="L1196" s="139" t="s">
        <v>62</v>
      </c>
      <c r="M1196" s="155" t="s">
        <v>55</v>
      </c>
      <c r="N1196" s="139">
        <v>450</v>
      </c>
      <c r="O1196" s="13">
        <v>114300000</v>
      </c>
      <c r="P1196" s="141" t="s">
        <v>1923</v>
      </c>
    </row>
    <row r="1197" spans="1:16" ht="43.5" x14ac:dyDescent="0.35">
      <c r="A1197" s="139" t="e">
        <f>#REF!+1</f>
        <v>#REF!</v>
      </c>
      <c r="B1197" s="140" t="s">
        <v>18</v>
      </c>
      <c r="C1197" s="140" t="s">
        <v>37</v>
      </c>
      <c r="D1197" s="140" t="s">
        <v>1515</v>
      </c>
      <c r="E1197" s="279" t="s">
        <v>1305</v>
      </c>
      <c r="F1197" s="279" t="s">
        <v>3095</v>
      </c>
      <c r="G1197" s="139" t="s">
        <v>457</v>
      </c>
      <c r="H1197" s="139" t="s">
        <v>3096</v>
      </c>
      <c r="I1197" s="139" t="s">
        <v>1272</v>
      </c>
      <c r="J1197" s="269">
        <v>100000000</v>
      </c>
      <c r="K1197" s="139" t="s">
        <v>221</v>
      </c>
      <c r="L1197" s="139">
        <v>2975902</v>
      </c>
      <c r="M1197" s="155" t="s">
        <v>55</v>
      </c>
      <c r="N1197" s="139">
        <v>450</v>
      </c>
      <c r="O1197" s="13">
        <v>114300000</v>
      </c>
      <c r="P1197" s="141"/>
    </row>
    <row r="1198" spans="1:16" ht="43.5" x14ac:dyDescent="0.35">
      <c r="A1198" s="139" t="e">
        <f>#REF!+1</f>
        <v>#REF!</v>
      </c>
      <c r="B1198" s="140" t="s">
        <v>18</v>
      </c>
      <c r="C1198" s="140" t="s">
        <v>37</v>
      </c>
      <c r="D1198" s="140" t="s">
        <v>476</v>
      </c>
      <c r="E1198" s="279" t="s">
        <v>3097</v>
      </c>
      <c r="F1198" s="279" t="s">
        <v>3098</v>
      </c>
      <c r="G1198" s="139" t="s">
        <v>457</v>
      </c>
      <c r="H1198" s="139" t="s">
        <v>3099</v>
      </c>
      <c r="I1198" s="139" t="s">
        <v>1272</v>
      </c>
      <c r="J1198" s="269">
        <v>100000000</v>
      </c>
      <c r="K1198" s="139" t="s">
        <v>221</v>
      </c>
      <c r="L1198" s="139">
        <v>2971512</v>
      </c>
      <c r="M1198" s="155" t="s">
        <v>55</v>
      </c>
      <c r="N1198" s="139">
        <v>450</v>
      </c>
      <c r="O1198" s="13">
        <v>114300000</v>
      </c>
      <c r="P1198" s="141" t="s">
        <v>1839</v>
      </c>
    </row>
    <row r="1199" spans="1:16" ht="43.5" x14ac:dyDescent="0.35">
      <c r="A1199" s="139" t="e">
        <f>#REF!+1</f>
        <v>#REF!</v>
      </c>
      <c r="B1199" s="140" t="s">
        <v>18</v>
      </c>
      <c r="C1199" s="140" t="s">
        <v>37</v>
      </c>
      <c r="D1199" s="140" t="s">
        <v>1634</v>
      </c>
      <c r="E1199" s="279" t="s">
        <v>1635</v>
      </c>
      <c r="F1199" s="279" t="s">
        <v>3100</v>
      </c>
      <c r="G1199" s="139" t="s">
        <v>457</v>
      </c>
      <c r="H1199" s="139" t="s">
        <v>3101</v>
      </c>
      <c r="I1199" s="139" t="s">
        <v>54</v>
      </c>
      <c r="J1199" s="269">
        <v>100000000</v>
      </c>
      <c r="K1199" s="139" t="s">
        <v>221</v>
      </c>
      <c r="L1199" s="139">
        <v>2978034</v>
      </c>
      <c r="M1199" s="155" t="s">
        <v>55</v>
      </c>
      <c r="N1199" s="139">
        <v>3</v>
      </c>
      <c r="O1199" s="13">
        <v>105000000</v>
      </c>
      <c r="P1199" s="141"/>
    </row>
    <row r="1200" spans="1:16" ht="43.5" x14ac:dyDescent="0.35">
      <c r="A1200" s="139" t="e">
        <f t="shared" ref="A1200:A1263" si="20">A1199+1</f>
        <v>#REF!</v>
      </c>
      <c r="B1200" s="140" t="s">
        <v>18</v>
      </c>
      <c r="C1200" s="140" t="s">
        <v>37</v>
      </c>
      <c r="D1200" s="140" t="s">
        <v>1515</v>
      </c>
      <c r="E1200" s="279" t="s">
        <v>992</v>
      </c>
      <c r="F1200" s="279" t="s">
        <v>3102</v>
      </c>
      <c r="G1200" s="139" t="s">
        <v>457</v>
      </c>
      <c r="H1200" s="139" t="s">
        <v>3103</v>
      </c>
      <c r="I1200" s="139" t="s">
        <v>1272</v>
      </c>
      <c r="J1200" s="269">
        <v>100000000</v>
      </c>
      <c r="K1200" s="139" t="s">
        <v>221</v>
      </c>
      <c r="L1200" s="139">
        <v>2975052</v>
      </c>
      <c r="M1200" s="155" t="s">
        <v>55</v>
      </c>
      <c r="N1200" s="139">
        <v>450</v>
      </c>
      <c r="O1200" s="13">
        <v>114300000</v>
      </c>
      <c r="P1200" s="141"/>
    </row>
    <row r="1201" spans="1:16" ht="43.5" x14ac:dyDescent="0.35">
      <c r="A1201" s="139" t="e">
        <f t="shared" si="20"/>
        <v>#REF!</v>
      </c>
      <c r="B1201" s="140" t="s">
        <v>18</v>
      </c>
      <c r="C1201" s="140" t="s">
        <v>37</v>
      </c>
      <c r="D1201" s="140" t="s">
        <v>1515</v>
      </c>
      <c r="E1201" s="140" t="s">
        <v>992</v>
      </c>
      <c r="F1201" s="140" t="s">
        <v>3104</v>
      </c>
      <c r="G1201" s="139" t="s">
        <v>457</v>
      </c>
      <c r="H1201" s="143" t="s">
        <v>3105</v>
      </c>
      <c r="I1201" s="139" t="s">
        <v>1272</v>
      </c>
      <c r="J1201" s="269">
        <v>100000000</v>
      </c>
      <c r="K1201" s="139" t="s">
        <v>221</v>
      </c>
      <c r="L1201" s="139" t="s">
        <v>3106</v>
      </c>
      <c r="M1201" s="155" t="s">
        <v>55</v>
      </c>
      <c r="N1201" s="139">
        <v>450</v>
      </c>
      <c r="O1201" s="13">
        <v>114300000</v>
      </c>
      <c r="P1201" s="141"/>
    </row>
    <row r="1202" spans="1:16" ht="43.5" x14ac:dyDescent="0.35">
      <c r="A1202" s="139" t="e">
        <f t="shared" si="20"/>
        <v>#REF!</v>
      </c>
      <c r="B1202" s="140" t="s">
        <v>18</v>
      </c>
      <c r="C1202" s="140" t="s">
        <v>37</v>
      </c>
      <c r="D1202" s="140" t="s">
        <v>1634</v>
      </c>
      <c r="E1202" s="140" t="s">
        <v>1635</v>
      </c>
      <c r="F1202" s="140" t="s">
        <v>3107</v>
      </c>
      <c r="G1202" s="139" t="s">
        <v>457</v>
      </c>
      <c r="H1202" s="143" t="s">
        <v>3108</v>
      </c>
      <c r="I1202" s="139" t="s">
        <v>54</v>
      </c>
      <c r="J1202" s="269">
        <v>100000000</v>
      </c>
      <c r="K1202" s="139" t="s">
        <v>221</v>
      </c>
      <c r="L1202" s="139">
        <v>2973022</v>
      </c>
      <c r="M1202" s="155" t="s">
        <v>55</v>
      </c>
      <c r="N1202" s="139">
        <v>3</v>
      </c>
      <c r="O1202" s="13">
        <v>105000000</v>
      </c>
      <c r="P1202" s="141"/>
    </row>
    <row r="1203" spans="1:16" ht="43.5" x14ac:dyDescent="0.35">
      <c r="A1203" s="139" t="e">
        <f>#REF!+1</f>
        <v>#REF!</v>
      </c>
      <c r="B1203" s="140" t="s">
        <v>18</v>
      </c>
      <c r="C1203" s="140" t="s">
        <v>37</v>
      </c>
      <c r="D1203" s="140" t="s">
        <v>476</v>
      </c>
      <c r="E1203" s="140" t="s">
        <v>3109</v>
      </c>
      <c r="F1203" s="140" t="s">
        <v>3110</v>
      </c>
      <c r="G1203" s="139" t="s">
        <v>457</v>
      </c>
      <c r="H1203" s="143" t="s">
        <v>3111</v>
      </c>
      <c r="I1203" s="139" t="s">
        <v>1272</v>
      </c>
      <c r="J1203" s="269">
        <v>100000000</v>
      </c>
      <c r="K1203" s="139" t="s">
        <v>221</v>
      </c>
      <c r="L1203" s="139">
        <v>2970660</v>
      </c>
      <c r="M1203" s="155" t="s">
        <v>55</v>
      </c>
      <c r="N1203" s="139">
        <v>450</v>
      </c>
      <c r="O1203" s="13">
        <v>114300000</v>
      </c>
      <c r="P1203" s="141" t="s">
        <v>1839</v>
      </c>
    </row>
    <row r="1204" spans="1:16" ht="43.5" x14ac:dyDescent="0.35">
      <c r="A1204" s="139" t="e">
        <f t="shared" si="20"/>
        <v>#REF!</v>
      </c>
      <c r="B1204" s="140" t="s">
        <v>18</v>
      </c>
      <c r="C1204" s="140" t="s">
        <v>37</v>
      </c>
      <c r="D1204" s="140" t="s">
        <v>1515</v>
      </c>
      <c r="E1204" s="140" t="s">
        <v>1544</v>
      </c>
      <c r="F1204" s="140" t="s">
        <v>3112</v>
      </c>
      <c r="G1204" s="139" t="s">
        <v>59</v>
      </c>
      <c r="H1204" s="139" t="s">
        <v>3113</v>
      </c>
      <c r="I1204" s="139" t="s">
        <v>1272</v>
      </c>
      <c r="J1204" s="269">
        <v>100000000</v>
      </c>
      <c r="K1204" s="139" t="s">
        <v>221</v>
      </c>
      <c r="L1204" s="139" t="s">
        <v>62</v>
      </c>
      <c r="M1204" s="155" t="s">
        <v>55</v>
      </c>
      <c r="N1204" s="139">
        <v>450</v>
      </c>
      <c r="O1204" s="13">
        <v>114300000</v>
      </c>
      <c r="P1204" s="141" t="s">
        <v>3114</v>
      </c>
    </row>
    <row r="1205" spans="1:16" ht="43.5" x14ac:dyDescent="0.35">
      <c r="A1205" s="139" t="e">
        <f t="shared" si="20"/>
        <v>#REF!</v>
      </c>
      <c r="B1205" s="140" t="s">
        <v>18</v>
      </c>
      <c r="C1205" s="140" t="s">
        <v>37</v>
      </c>
      <c r="D1205" s="140" t="s">
        <v>1634</v>
      </c>
      <c r="E1205" s="140" t="s">
        <v>3115</v>
      </c>
      <c r="F1205" s="140" t="s">
        <v>3116</v>
      </c>
      <c r="G1205" s="139" t="s">
        <v>59</v>
      </c>
      <c r="H1205" s="139" t="s">
        <v>3117</v>
      </c>
      <c r="I1205" s="139" t="s">
        <v>639</v>
      </c>
      <c r="J1205" s="269">
        <v>100000000</v>
      </c>
      <c r="K1205" s="139" t="s">
        <v>221</v>
      </c>
      <c r="L1205" s="139">
        <v>2943819</v>
      </c>
      <c r="M1205" s="155" t="s">
        <v>55</v>
      </c>
      <c r="N1205" s="139">
        <v>3</v>
      </c>
      <c r="O1205" s="13">
        <v>105000000</v>
      </c>
      <c r="P1205" s="141"/>
    </row>
    <row r="1206" spans="1:16" ht="43.5" x14ac:dyDescent="0.35">
      <c r="A1206" s="139" t="e">
        <f t="shared" si="20"/>
        <v>#REF!</v>
      </c>
      <c r="B1206" s="140" t="s">
        <v>18</v>
      </c>
      <c r="C1206" s="140" t="s">
        <v>37</v>
      </c>
      <c r="D1206" s="140" t="s">
        <v>1634</v>
      </c>
      <c r="E1206" s="140" t="s">
        <v>3115</v>
      </c>
      <c r="F1206" s="140" t="s">
        <v>3118</v>
      </c>
      <c r="G1206" s="139" t="s">
        <v>59</v>
      </c>
      <c r="H1206" s="139" t="s">
        <v>3119</v>
      </c>
      <c r="I1206" s="139" t="s">
        <v>639</v>
      </c>
      <c r="J1206" s="269">
        <v>100000000</v>
      </c>
      <c r="K1206" s="139" t="s">
        <v>221</v>
      </c>
      <c r="L1206" s="139">
        <v>2942395</v>
      </c>
      <c r="M1206" s="155" t="s">
        <v>55</v>
      </c>
      <c r="N1206" s="139">
        <v>3</v>
      </c>
      <c r="O1206" s="13">
        <v>105000000</v>
      </c>
      <c r="P1206" s="141"/>
    </row>
    <row r="1207" spans="1:16" ht="43.5" x14ac:dyDescent="0.35">
      <c r="A1207" s="139" t="e">
        <f t="shared" si="20"/>
        <v>#REF!</v>
      </c>
      <c r="B1207" s="140" t="s">
        <v>18</v>
      </c>
      <c r="C1207" s="140" t="s">
        <v>37</v>
      </c>
      <c r="D1207" s="140" t="s">
        <v>476</v>
      </c>
      <c r="E1207" s="140" t="s">
        <v>3120</v>
      </c>
      <c r="F1207" s="140" t="s">
        <v>3121</v>
      </c>
      <c r="G1207" s="139" t="s">
        <v>59</v>
      </c>
      <c r="H1207" s="139" t="s">
        <v>3122</v>
      </c>
      <c r="I1207" s="139" t="s">
        <v>1272</v>
      </c>
      <c r="J1207" s="269">
        <v>100000000</v>
      </c>
      <c r="K1207" s="139" t="s">
        <v>221</v>
      </c>
      <c r="L1207" s="139">
        <v>2943673</v>
      </c>
      <c r="M1207" s="155" t="s">
        <v>55</v>
      </c>
      <c r="N1207" s="139">
        <v>450</v>
      </c>
      <c r="O1207" s="13">
        <v>114300000</v>
      </c>
      <c r="P1207" s="141" t="s">
        <v>1839</v>
      </c>
    </row>
    <row r="1208" spans="1:16" ht="43.5" x14ac:dyDescent="0.35">
      <c r="A1208" s="139" t="e">
        <f t="shared" si="20"/>
        <v>#REF!</v>
      </c>
      <c r="B1208" s="140" t="s">
        <v>18</v>
      </c>
      <c r="C1208" s="140" t="s">
        <v>37</v>
      </c>
      <c r="D1208" s="140" t="s">
        <v>1634</v>
      </c>
      <c r="E1208" s="140" t="s">
        <v>3115</v>
      </c>
      <c r="F1208" s="140" t="s">
        <v>3123</v>
      </c>
      <c r="G1208" s="139" t="s">
        <v>59</v>
      </c>
      <c r="H1208" s="139" t="s">
        <v>3124</v>
      </c>
      <c r="I1208" s="139" t="s">
        <v>639</v>
      </c>
      <c r="J1208" s="269">
        <v>100000000</v>
      </c>
      <c r="K1208" s="139" t="s">
        <v>221</v>
      </c>
      <c r="L1208" s="139">
        <v>2942285</v>
      </c>
      <c r="M1208" s="155" t="s">
        <v>55</v>
      </c>
      <c r="N1208" s="139">
        <v>3</v>
      </c>
      <c r="O1208" s="13">
        <v>105000000</v>
      </c>
      <c r="P1208" s="141"/>
    </row>
    <row r="1209" spans="1:16" ht="43.5" x14ac:dyDescent="0.35">
      <c r="A1209" s="139" t="e">
        <f t="shared" si="20"/>
        <v>#REF!</v>
      </c>
      <c r="B1209" s="140" t="s">
        <v>18</v>
      </c>
      <c r="C1209" s="140" t="s">
        <v>37</v>
      </c>
      <c r="D1209" s="277" t="s">
        <v>476</v>
      </c>
      <c r="E1209" s="140" t="s">
        <v>3120</v>
      </c>
      <c r="F1209" s="140" t="s">
        <v>3125</v>
      </c>
      <c r="G1209" s="139" t="s">
        <v>59</v>
      </c>
      <c r="H1209" s="139" t="s">
        <v>3126</v>
      </c>
      <c r="I1209" s="139" t="s">
        <v>1272</v>
      </c>
      <c r="J1209" s="269">
        <v>100000000</v>
      </c>
      <c r="K1209" s="139" t="s">
        <v>221</v>
      </c>
      <c r="L1209" s="139">
        <v>2940459</v>
      </c>
      <c r="M1209" s="155" t="s">
        <v>55</v>
      </c>
      <c r="N1209" s="313">
        <v>450</v>
      </c>
      <c r="O1209" s="13">
        <v>114300000</v>
      </c>
      <c r="P1209" s="141" t="s">
        <v>1955</v>
      </c>
    </row>
    <row r="1210" spans="1:16" ht="43.5" x14ac:dyDescent="0.35">
      <c r="A1210" s="139" t="e">
        <f t="shared" si="20"/>
        <v>#REF!</v>
      </c>
      <c r="B1210" s="140" t="s">
        <v>18</v>
      </c>
      <c r="C1210" s="140" t="s">
        <v>37</v>
      </c>
      <c r="D1210" s="277" t="s">
        <v>476</v>
      </c>
      <c r="E1210" s="140" t="s">
        <v>1544</v>
      </c>
      <c r="F1210" s="140" t="s">
        <v>3127</v>
      </c>
      <c r="G1210" s="139" t="s">
        <v>59</v>
      </c>
      <c r="H1210" s="139" t="s">
        <v>3128</v>
      </c>
      <c r="I1210" s="139" t="s">
        <v>1272</v>
      </c>
      <c r="J1210" s="269">
        <v>100000000</v>
      </c>
      <c r="K1210" s="139" t="s">
        <v>221</v>
      </c>
      <c r="L1210" s="139">
        <v>2944512</v>
      </c>
      <c r="M1210" s="155" t="s">
        <v>55</v>
      </c>
      <c r="N1210" s="139">
        <v>450</v>
      </c>
      <c r="O1210" s="13">
        <v>114300000</v>
      </c>
      <c r="P1210" s="141" t="s">
        <v>1839</v>
      </c>
    </row>
    <row r="1211" spans="1:16" ht="43.5" x14ac:dyDescent="0.35">
      <c r="A1211" s="139" t="e">
        <f t="shared" si="20"/>
        <v>#REF!</v>
      </c>
      <c r="B1211" s="140" t="s">
        <v>18</v>
      </c>
      <c r="C1211" s="140" t="s">
        <v>37</v>
      </c>
      <c r="D1211" s="277" t="s">
        <v>476</v>
      </c>
      <c r="E1211" s="140" t="s">
        <v>1544</v>
      </c>
      <c r="F1211" s="140" t="s">
        <v>3129</v>
      </c>
      <c r="G1211" s="139" t="s">
        <v>59</v>
      </c>
      <c r="H1211" s="139" t="s">
        <v>3130</v>
      </c>
      <c r="I1211" s="139" t="s">
        <v>1272</v>
      </c>
      <c r="J1211" s="269">
        <v>100000000</v>
      </c>
      <c r="K1211" s="139" t="s">
        <v>221</v>
      </c>
      <c r="L1211" s="139">
        <v>2943708</v>
      </c>
      <c r="M1211" s="155" t="s">
        <v>55</v>
      </c>
      <c r="N1211" s="139">
        <v>450</v>
      </c>
      <c r="O1211" s="13">
        <v>114300000</v>
      </c>
      <c r="P1211" s="141" t="s">
        <v>1839</v>
      </c>
    </row>
    <row r="1212" spans="1:16" ht="43.5" x14ac:dyDescent="0.35">
      <c r="A1212" s="139" t="e">
        <f t="shared" si="20"/>
        <v>#REF!</v>
      </c>
      <c r="B1212" s="140" t="s">
        <v>18</v>
      </c>
      <c r="C1212" s="140" t="s">
        <v>37</v>
      </c>
      <c r="D1212" s="140" t="s">
        <v>1634</v>
      </c>
      <c r="E1212" s="140" t="s">
        <v>3115</v>
      </c>
      <c r="F1212" s="140" t="s">
        <v>3131</v>
      </c>
      <c r="G1212" s="139" t="s">
        <v>59</v>
      </c>
      <c r="H1212" s="139" t="s">
        <v>3132</v>
      </c>
      <c r="I1212" s="139" t="s">
        <v>639</v>
      </c>
      <c r="J1212" s="269">
        <v>100000000</v>
      </c>
      <c r="K1212" s="139" t="s">
        <v>221</v>
      </c>
      <c r="L1212" s="139">
        <v>2944013</v>
      </c>
      <c r="M1212" s="155" t="s">
        <v>55</v>
      </c>
      <c r="N1212" s="139">
        <v>3</v>
      </c>
      <c r="O1212" s="13">
        <v>105000000</v>
      </c>
      <c r="P1212" s="141"/>
    </row>
    <row r="1213" spans="1:16" ht="43.5" x14ac:dyDescent="0.35">
      <c r="A1213" s="139" t="e">
        <f t="shared" si="20"/>
        <v>#REF!</v>
      </c>
      <c r="B1213" s="140" t="s">
        <v>18</v>
      </c>
      <c r="C1213" s="140" t="s">
        <v>37</v>
      </c>
      <c r="D1213" s="140" t="s">
        <v>1515</v>
      </c>
      <c r="E1213" s="140" t="s">
        <v>1544</v>
      </c>
      <c r="F1213" s="140" t="s">
        <v>3133</v>
      </c>
      <c r="G1213" s="139" t="s">
        <v>3134</v>
      </c>
      <c r="H1213" s="139" t="s">
        <v>3135</v>
      </c>
      <c r="I1213" s="139" t="s">
        <v>1259</v>
      </c>
      <c r="J1213" s="269">
        <v>100000000</v>
      </c>
      <c r="K1213" s="139" t="s">
        <v>221</v>
      </c>
      <c r="L1213" s="139">
        <v>2820173</v>
      </c>
      <c r="M1213" s="155" t="s">
        <v>55</v>
      </c>
      <c r="N1213" s="139">
        <v>396</v>
      </c>
      <c r="O1213" s="13">
        <v>100584000</v>
      </c>
      <c r="P1213" s="141"/>
    </row>
    <row r="1214" spans="1:16" ht="43.5" x14ac:dyDescent="0.35">
      <c r="A1214" s="139" t="e">
        <f t="shared" si="20"/>
        <v>#REF!</v>
      </c>
      <c r="B1214" s="140" t="s">
        <v>18</v>
      </c>
      <c r="C1214" s="140" t="s">
        <v>37</v>
      </c>
      <c r="D1214" s="140" t="s">
        <v>1515</v>
      </c>
      <c r="E1214" s="140" t="s">
        <v>1544</v>
      </c>
      <c r="F1214" s="140" t="s">
        <v>3136</v>
      </c>
      <c r="G1214" s="139" t="s">
        <v>3134</v>
      </c>
      <c r="H1214" s="139" t="s">
        <v>3137</v>
      </c>
      <c r="I1214" s="139" t="s">
        <v>1259</v>
      </c>
      <c r="J1214" s="269">
        <v>100000000</v>
      </c>
      <c r="K1214" s="139" t="s">
        <v>221</v>
      </c>
      <c r="L1214" s="139">
        <v>2761528</v>
      </c>
      <c r="M1214" s="155" t="s">
        <v>55</v>
      </c>
      <c r="N1214" s="139">
        <v>396</v>
      </c>
      <c r="O1214" s="13">
        <v>100584000</v>
      </c>
      <c r="P1214" s="314">
        <v>3.2</v>
      </c>
    </row>
    <row r="1215" spans="1:16" ht="43.5" x14ac:dyDescent="0.35">
      <c r="A1215" s="139" t="e">
        <f t="shared" si="20"/>
        <v>#REF!</v>
      </c>
      <c r="B1215" s="140" t="s">
        <v>18</v>
      </c>
      <c r="C1215" s="140" t="s">
        <v>37</v>
      </c>
      <c r="D1215" s="140" t="s">
        <v>1515</v>
      </c>
      <c r="E1215" s="140" t="s">
        <v>1544</v>
      </c>
      <c r="F1215" s="140" t="s">
        <v>3138</v>
      </c>
      <c r="G1215" s="139" t="s">
        <v>3134</v>
      </c>
      <c r="H1215" s="139" t="s">
        <v>3139</v>
      </c>
      <c r="I1215" s="139" t="s">
        <v>1259</v>
      </c>
      <c r="J1215" s="269">
        <v>100000000</v>
      </c>
      <c r="K1215" s="139" t="s">
        <v>221</v>
      </c>
      <c r="L1215" s="139">
        <v>2798867</v>
      </c>
      <c r="M1215" s="155" t="s">
        <v>55</v>
      </c>
      <c r="N1215" s="139">
        <v>396</v>
      </c>
      <c r="O1215" s="13">
        <v>100584000</v>
      </c>
      <c r="P1215" s="141"/>
    </row>
    <row r="1216" spans="1:16" ht="43.5" x14ac:dyDescent="0.35">
      <c r="A1216" s="139" t="e">
        <f t="shared" si="20"/>
        <v>#REF!</v>
      </c>
      <c r="B1216" s="140" t="s">
        <v>18</v>
      </c>
      <c r="C1216" s="140" t="s">
        <v>37</v>
      </c>
      <c r="D1216" s="140" t="s">
        <v>1515</v>
      </c>
      <c r="E1216" s="140" t="s">
        <v>1544</v>
      </c>
      <c r="F1216" s="140" t="s">
        <v>3140</v>
      </c>
      <c r="G1216" s="139" t="s">
        <v>3134</v>
      </c>
      <c r="H1216" s="139" t="s">
        <v>3141</v>
      </c>
      <c r="I1216" s="139" t="s">
        <v>1259</v>
      </c>
      <c r="J1216" s="269">
        <v>100000000</v>
      </c>
      <c r="K1216" s="139" t="s">
        <v>221</v>
      </c>
      <c r="L1216" s="139">
        <v>2880240</v>
      </c>
      <c r="M1216" s="155" t="s">
        <v>55</v>
      </c>
      <c r="N1216" s="139">
        <v>396</v>
      </c>
      <c r="O1216" s="13">
        <v>100584000</v>
      </c>
      <c r="P1216" s="141"/>
    </row>
    <row r="1217" spans="1:16" ht="43.5" x14ac:dyDescent="0.35">
      <c r="A1217" s="139" t="e">
        <f t="shared" si="20"/>
        <v>#REF!</v>
      </c>
      <c r="B1217" s="140" t="s">
        <v>18</v>
      </c>
      <c r="C1217" s="140" t="s">
        <v>37</v>
      </c>
      <c r="D1217" s="140" t="s">
        <v>1515</v>
      </c>
      <c r="E1217" s="140" t="s">
        <v>3142</v>
      </c>
      <c r="F1217" s="140" t="s">
        <v>3143</v>
      </c>
      <c r="G1217" s="139" t="s">
        <v>3134</v>
      </c>
      <c r="H1217" s="139" t="s">
        <v>3144</v>
      </c>
      <c r="I1217" s="139" t="s">
        <v>1259</v>
      </c>
      <c r="J1217" s="269">
        <v>100000000</v>
      </c>
      <c r="K1217" s="139" t="s">
        <v>221</v>
      </c>
      <c r="L1217" s="139">
        <v>2871468</v>
      </c>
      <c r="M1217" s="155" t="s">
        <v>55</v>
      </c>
      <c r="N1217" s="139">
        <v>396</v>
      </c>
      <c r="O1217" s="13">
        <v>100584000</v>
      </c>
      <c r="P1217" s="141"/>
    </row>
    <row r="1218" spans="1:16" ht="43.5" x14ac:dyDescent="0.35">
      <c r="A1218" s="139" t="e">
        <f>#REF!+1</f>
        <v>#REF!</v>
      </c>
      <c r="B1218" s="140" t="s">
        <v>18</v>
      </c>
      <c r="C1218" s="140" t="s">
        <v>37</v>
      </c>
      <c r="D1218" s="140" t="s">
        <v>1515</v>
      </c>
      <c r="E1218" s="140" t="s">
        <v>1544</v>
      </c>
      <c r="F1218" s="140" t="s">
        <v>3145</v>
      </c>
      <c r="G1218" s="139" t="s">
        <v>3134</v>
      </c>
      <c r="H1218" s="139" t="s">
        <v>3146</v>
      </c>
      <c r="I1218" s="139" t="s">
        <v>1259</v>
      </c>
      <c r="J1218" s="269">
        <v>100000000</v>
      </c>
      <c r="K1218" s="139" t="s">
        <v>221</v>
      </c>
      <c r="L1218" s="139">
        <v>2800197</v>
      </c>
      <c r="M1218" s="155" t="s">
        <v>55</v>
      </c>
      <c r="N1218" s="139">
        <v>396</v>
      </c>
      <c r="O1218" s="13">
        <v>100584000</v>
      </c>
      <c r="P1218" s="141"/>
    </row>
    <row r="1219" spans="1:16" ht="43.5" x14ac:dyDescent="0.35">
      <c r="A1219" s="139" t="e">
        <f t="shared" si="20"/>
        <v>#REF!</v>
      </c>
      <c r="B1219" s="140" t="s">
        <v>18</v>
      </c>
      <c r="C1219" s="140" t="s">
        <v>37</v>
      </c>
      <c r="D1219" s="140" t="s">
        <v>1515</v>
      </c>
      <c r="E1219" s="140" t="s">
        <v>1544</v>
      </c>
      <c r="F1219" s="140" t="s">
        <v>3147</v>
      </c>
      <c r="G1219" s="139" t="s">
        <v>3134</v>
      </c>
      <c r="H1219" s="139" t="s">
        <v>3148</v>
      </c>
      <c r="I1219" s="139" t="s">
        <v>1259</v>
      </c>
      <c r="J1219" s="269">
        <v>100000000</v>
      </c>
      <c r="K1219" s="139" t="s">
        <v>221</v>
      </c>
      <c r="L1219" s="139">
        <v>2761142</v>
      </c>
      <c r="M1219" s="155" t="s">
        <v>55</v>
      </c>
      <c r="N1219" s="139">
        <v>396</v>
      </c>
      <c r="O1219" s="13">
        <v>100584000</v>
      </c>
      <c r="P1219" s="141"/>
    </row>
    <row r="1220" spans="1:16" ht="43.5" x14ac:dyDescent="0.35">
      <c r="A1220" s="139" t="e">
        <f t="shared" si="20"/>
        <v>#REF!</v>
      </c>
      <c r="B1220" s="140" t="s">
        <v>18</v>
      </c>
      <c r="C1220" s="140" t="s">
        <v>37</v>
      </c>
      <c r="D1220" s="140" t="s">
        <v>1515</v>
      </c>
      <c r="E1220" s="140" t="s">
        <v>1544</v>
      </c>
      <c r="F1220" s="140" t="s">
        <v>3149</v>
      </c>
      <c r="G1220" s="139" t="s">
        <v>3134</v>
      </c>
      <c r="H1220" s="139" t="s">
        <v>3150</v>
      </c>
      <c r="I1220" s="139" t="s">
        <v>1259</v>
      </c>
      <c r="J1220" s="269">
        <v>100000000</v>
      </c>
      <c r="K1220" s="139" t="s">
        <v>221</v>
      </c>
      <c r="L1220" s="139">
        <v>2761142</v>
      </c>
      <c r="M1220" s="155" t="s">
        <v>55</v>
      </c>
      <c r="N1220" s="139">
        <v>396</v>
      </c>
      <c r="O1220" s="13">
        <v>100584000</v>
      </c>
      <c r="P1220" s="141"/>
    </row>
    <row r="1221" spans="1:16" ht="43.5" x14ac:dyDescent="0.35">
      <c r="A1221" s="139" t="e">
        <f t="shared" si="20"/>
        <v>#REF!</v>
      </c>
      <c r="B1221" s="140" t="s">
        <v>18</v>
      </c>
      <c r="C1221" s="140" t="s">
        <v>37</v>
      </c>
      <c r="D1221" s="140" t="s">
        <v>1515</v>
      </c>
      <c r="E1221" s="140" t="s">
        <v>1544</v>
      </c>
      <c r="F1221" s="140" t="s">
        <v>3151</v>
      </c>
      <c r="G1221" s="139" t="s">
        <v>3134</v>
      </c>
      <c r="H1221" s="139" t="s">
        <v>3152</v>
      </c>
      <c r="I1221" s="139" t="s">
        <v>1259</v>
      </c>
      <c r="J1221" s="269">
        <v>100000000</v>
      </c>
      <c r="K1221" s="139" t="s">
        <v>221</v>
      </c>
      <c r="L1221" s="139">
        <v>2761234</v>
      </c>
      <c r="M1221" s="155" t="s">
        <v>55</v>
      </c>
      <c r="N1221" s="189">
        <v>396</v>
      </c>
      <c r="O1221" s="13">
        <v>100584000</v>
      </c>
      <c r="P1221" s="141"/>
    </row>
    <row r="1222" spans="1:16" ht="43.5" x14ac:dyDescent="0.35">
      <c r="A1222" s="139" t="e">
        <f t="shared" si="20"/>
        <v>#REF!</v>
      </c>
      <c r="B1222" s="140" t="s">
        <v>18</v>
      </c>
      <c r="C1222" s="140" t="s">
        <v>37</v>
      </c>
      <c r="D1222" s="140" t="s">
        <v>1515</v>
      </c>
      <c r="E1222" s="140" t="s">
        <v>1544</v>
      </c>
      <c r="F1222" s="140" t="s">
        <v>3153</v>
      </c>
      <c r="G1222" s="139" t="s">
        <v>3134</v>
      </c>
      <c r="H1222" s="139" t="s">
        <v>3154</v>
      </c>
      <c r="I1222" s="139" t="s">
        <v>1259</v>
      </c>
      <c r="J1222" s="269">
        <v>100000000</v>
      </c>
      <c r="K1222" s="139" t="s">
        <v>221</v>
      </c>
      <c r="L1222" s="139">
        <v>2761095</v>
      </c>
      <c r="M1222" s="155" t="s">
        <v>55</v>
      </c>
      <c r="N1222" s="139">
        <v>396</v>
      </c>
      <c r="O1222" s="13">
        <v>100584000</v>
      </c>
      <c r="P1222" s="314">
        <v>2.7</v>
      </c>
    </row>
    <row r="1223" spans="1:16" ht="43.5" x14ac:dyDescent="0.35">
      <c r="A1223" s="139" t="e">
        <f t="shared" si="20"/>
        <v>#REF!</v>
      </c>
      <c r="B1223" s="140" t="s">
        <v>18</v>
      </c>
      <c r="C1223" s="140" t="s">
        <v>37</v>
      </c>
      <c r="D1223" s="140" t="s">
        <v>1515</v>
      </c>
      <c r="E1223" s="140" t="s">
        <v>1544</v>
      </c>
      <c r="F1223" s="140" t="s">
        <v>3155</v>
      </c>
      <c r="G1223" s="139" t="s">
        <v>3134</v>
      </c>
      <c r="H1223" s="139" t="s">
        <v>3156</v>
      </c>
      <c r="I1223" s="139" t="s">
        <v>1259</v>
      </c>
      <c r="J1223" s="269">
        <v>100000000</v>
      </c>
      <c r="K1223" s="139" t="s">
        <v>221</v>
      </c>
      <c r="L1223" s="139">
        <v>2798645</v>
      </c>
      <c r="M1223" s="155" t="s">
        <v>55</v>
      </c>
      <c r="N1223" s="139">
        <v>396</v>
      </c>
      <c r="O1223" s="13">
        <v>100584000</v>
      </c>
      <c r="P1223" s="314">
        <v>3.2</v>
      </c>
    </row>
    <row r="1224" spans="1:16" ht="43.5" x14ac:dyDescent="0.35">
      <c r="A1224" s="139" t="e">
        <f>#REF!+1</f>
        <v>#REF!</v>
      </c>
      <c r="B1224" s="140" t="s">
        <v>18</v>
      </c>
      <c r="C1224" s="140" t="s">
        <v>37</v>
      </c>
      <c r="D1224" s="140" t="s">
        <v>1515</v>
      </c>
      <c r="E1224" s="140" t="s">
        <v>1544</v>
      </c>
      <c r="F1224" s="140" t="s">
        <v>3157</v>
      </c>
      <c r="G1224" s="139" t="s">
        <v>3134</v>
      </c>
      <c r="H1224" s="139" t="s">
        <v>3158</v>
      </c>
      <c r="I1224" s="139" t="s">
        <v>1259</v>
      </c>
      <c r="J1224" s="269">
        <v>100000000</v>
      </c>
      <c r="K1224" s="139" t="s">
        <v>221</v>
      </c>
      <c r="L1224" s="139">
        <v>2799136</v>
      </c>
      <c r="M1224" s="155" t="s">
        <v>55</v>
      </c>
      <c r="N1224" s="139">
        <v>396</v>
      </c>
      <c r="O1224" s="13">
        <v>100584000</v>
      </c>
      <c r="P1224" s="141"/>
    </row>
    <row r="1225" spans="1:16" ht="43.5" x14ac:dyDescent="0.35">
      <c r="A1225" s="139" t="e">
        <f>#REF!+1</f>
        <v>#REF!</v>
      </c>
      <c r="B1225" s="140" t="s">
        <v>18</v>
      </c>
      <c r="C1225" s="140" t="s">
        <v>37</v>
      </c>
      <c r="D1225" s="140" t="s">
        <v>1515</v>
      </c>
      <c r="E1225" s="140" t="s">
        <v>1544</v>
      </c>
      <c r="F1225" s="140" t="s">
        <v>3159</v>
      </c>
      <c r="G1225" s="139" t="s">
        <v>3134</v>
      </c>
      <c r="H1225" s="139" t="s">
        <v>3160</v>
      </c>
      <c r="I1225" s="139" t="s">
        <v>1259</v>
      </c>
      <c r="J1225" s="269">
        <v>100000000</v>
      </c>
      <c r="K1225" s="139" t="s">
        <v>221</v>
      </c>
      <c r="L1225" s="139">
        <v>2827166</v>
      </c>
      <c r="M1225" s="155" t="s">
        <v>55</v>
      </c>
      <c r="N1225" s="139">
        <v>396</v>
      </c>
      <c r="O1225" s="13">
        <v>100584000</v>
      </c>
      <c r="P1225" s="141"/>
    </row>
    <row r="1226" spans="1:16" ht="43.5" x14ac:dyDescent="0.35">
      <c r="A1226" s="139" t="e">
        <f>#REF!+1</f>
        <v>#REF!</v>
      </c>
      <c r="B1226" s="140" t="s">
        <v>18</v>
      </c>
      <c r="C1226" s="140" t="s">
        <v>37</v>
      </c>
      <c r="D1226" s="140" t="s">
        <v>1515</v>
      </c>
      <c r="E1226" s="140" t="s">
        <v>1544</v>
      </c>
      <c r="F1226" s="140" t="s">
        <v>3161</v>
      </c>
      <c r="G1226" s="139" t="s">
        <v>3134</v>
      </c>
      <c r="H1226" s="139" t="s">
        <v>3162</v>
      </c>
      <c r="I1226" s="139" t="s">
        <v>1259</v>
      </c>
      <c r="J1226" s="269">
        <v>100000000</v>
      </c>
      <c r="K1226" s="139" t="s">
        <v>221</v>
      </c>
      <c r="L1226" s="139">
        <v>2798533</v>
      </c>
      <c r="M1226" s="155" t="s">
        <v>55</v>
      </c>
      <c r="N1226" s="139">
        <v>396</v>
      </c>
      <c r="O1226" s="13">
        <v>100584000</v>
      </c>
      <c r="P1226" s="314">
        <v>3.2</v>
      </c>
    </row>
    <row r="1227" spans="1:16" ht="43.5" x14ac:dyDescent="0.35">
      <c r="A1227" s="139" t="e">
        <f t="shared" si="20"/>
        <v>#REF!</v>
      </c>
      <c r="B1227" s="140" t="s">
        <v>18</v>
      </c>
      <c r="C1227" s="140" t="s">
        <v>37</v>
      </c>
      <c r="D1227" s="140" t="s">
        <v>1515</v>
      </c>
      <c r="E1227" s="140" t="s">
        <v>1544</v>
      </c>
      <c r="F1227" s="140" t="s">
        <v>3163</v>
      </c>
      <c r="G1227" s="139" t="s">
        <v>3134</v>
      </c>
      <c r="H1227" s="139" t="s">
        <v>3164</v>
      </c>
      <c r="I1227" s="139" t="s">
        <v>1259</v>
      </c>
      <c r="J1227" s="269">
        <v>100000000</v>
      </c>
      <c r="K1227" s="139" t="s">
        <v>221</v>
      </c>
      <c r="L1227" s="139">
        <v>2798117</v>
      </c>
      <c r="M1227" s="155" t="s">
        <v>55</v>
      </c>
      <c r="N1227" s="139">
        <v>396</v>
      </c>
      <c r="O1227" s="13">
        <v>100584000</v>
      </c>
      <c r="P1227" s="141"/>
    </row>
    <row r="1228" spans="1:16" ht="43.5" x14ac:dyDescent="0.35">
      <c r="A1228" s="139" t="e">
        <f>#REF!+1</f>
        <v>#REF!</v>
      </c>
      <c r="B1228" s="140" t="s">
        <v>18</v>
      </c>
      <c r="C1228" s="140" t="s">
        <v>37</v>
      </c>
      <c r="D1228" s="140" t="s">
        <v>1515</v>
      </c>
      <c r="E1228" s="140" t="s">
        <v>1544</v>
      </c>
      <c r="F1228" s="140" t="s">
        <v>3165</v>
      </c>
      <c r="G1228" s="139" t="s">
        <v>529</v>
      </c>
      <c r="H1228" s="139" t="s">
        <v>3165</v>
      </c>
      <c r="I1228" s="139" t="s">
        <v>1213</v>
      </c>
      <c r="J1228" s="269">
        <v>100000000</v>
      </c>
      <c r="K1228" s="139" t="s">
        <v>221</v>
      </c>
      <c r="L1228" s="139">
        <v>2941289</v>
      </c>
      <c r="M1228" s="155" t="s">
        <v>55</v>
      </c>
      <c r="N1228" s="315">
        <v>250</v>
      </c>
      <c r="O1228" s="13">
        <v>100000000</v>
      </c>
      <c r="P1228" s="141"/>
    </row>
    <row r="1229" spans="1:16" ht="43.5" x14ac:dyDescent="0.35">
      <c r="A1229" s="139" t="e">
        <f>#REF!+1</f>
        <v>#REF!</v>
      </c>
      <c r="B1229" s="140" t="s">
        <v>18</v>
      </c>
      <c r="C1229" s="140" t="s">
        <v>37</v>
      </c>
      <c r="D1229" s="277" t="s">
        <v>1521</v>
      </c>
      <c r="E1229" s="140" t="s">
        <v>3166</v>
      </c>
      <c r="F1229" s="140" t="s">
        <v>3167</v>
      </c>
      <c r="G1229" s="139" t="s">
        <v>529</v>
      </c>
      <c r="H1229" s="139" t="s">
        <v>3167</v>
      </c>
      <c r="I1229" s="139" t="s">
        <v>1259</v>
      </c>
      <c r="J1229" s="269">
        <v>100000000</v>
      </c>
      <c r="K1229" s="139" t="s">
        <v>221</v>
      </c>
      <c r="L1229" s="139">
        <v>2932671</v>
      </c>
      <c r="M1229" s="155" t="s">
        <v>55</v>
      </c>
      <c r="N1229" s="189">
        <v>142</v>
      </c>
      <c r="O1229" s="17">
        <v>100000000</v>
      </c>
      <c r="P1229" s="316"/>
    </row>
    <row r="1230" spans="1:16" ht="43.5" x14ac:dyDescent="0.35">
      <c r="A1230" s="139" t="e">
        <f t="shared" si="20"/>
        <v>#REF!</v>
      </c>
      <c r="B1230" s="140" t="s">
        <v>18</v>
      </c>
      <c r="C1230" s="140" t="s">
        <v>37</v>
      </c>
      <c r="D1230" s="140" t="s">
        <v>1521</v>
      </c>
      <c r="E1230" s="140" t="s">
        <v>3166</v>
      </c>
      <c r="F1230" s="140" t="s">
        <v>3168</v>
      </c>
      <c r="G1230" s="139" t="s">
        <v>529</v>
      </c>
      <c r="H1230" s="139" t="s">
        <v>3169</v>
      </c>
      <c r="I1230" s="139" t="s">
        <v>341</v>
      </c>
      <c r="J1230" s="269">
        <v>100000000</v>
      </c>
      <c r="K1230" s="139" t="s">
        <v>221</v>
      </c>
      <c r="L1230" s="139">
        <v>2941673</v>
      </c>
      <c r="M1230" s="155" t="s">
        <v>55</v>
      </c>
      <c r="N1230" s="189">
        <v>36</v>
      </c>
      <c r="O1230" s="17">
        <v>100000000</v>
      </c>
      <c r="P1230" s="316"/>
    </row>
    <row r="1231" spans="1:16" ht="43.5" x14ac:dyDescent="0.35">
      <c r="A1231" s="139" t="e">
        <f t="shared" si="20"/>
        <v>#REF!</v>
      </c>
      <c r="B1231" s="140" t="s">
        <v>18</v>
      </c>
      <c r="C1231" s="140" t="s">
        <v>37</v>
      </c>
      <c r="D1231" s="140" t="s">
        <v>476</v>
      </c>
      <c r="E1231" s="140" t="s">
        <v>3120</v>
      </c>
      <c r="F1231" s="140" t="s">
        <v>3170</v>
      </c>
      <c r="G1231" s="139" t="s">
        <v>529</v>
      </c>
      <c r="H1231" s="139" t="s">
        <v>3171</v>
      </c>
      <c r="I1231" s="139" t="s">
        <v>1272</v>
      </c>
      <c r="J1231" s="269">
        <v>100000000</v>
      </c>
      <c r="K1231" s="139" t="s">
        <v>221</v>
      </c>
      <c r="L1231" s="139">
        <v>2932266</v>
      </c>
      <c r="M1231" s="155" t="s">
        <v>55</v>
      </c>
      <c r="N1231" s="317">
        <v>450</v>
      </c>
      <c r="O1231" s="13">
        <v>114300000</v>
      </c>
      <c r="P1231" s="141" t="s">
        <v>1955</v>
      </c>
    </row>
    <row r="1232" spans="1:16" ht="43.5" x14ac:dyDescent="0.35">
      <c r="A1232" s="139" t="e">
        <f t="shared" si="20"/>
        <v>#REF!</v>
      </c>
      <c r="B1232" s="140" t="s">
        <v>18</v>
      </c>
      <c r="C1232" s="140" t="s">
        <v>37</v>
      </c>
      <c r="D1232" s="140" t="s">
        <v>1515</v>
      </c>
      <c r="E1232" s="140" t="s">
        <v>1544</v>
      </c>
      <c r="F1232" s="140" t="s">
        <v>3172</v>
      </c>
      <c r="G1232" s="139" t="s">
        <v>529</v>
      </c>
      <c r="H1232" s="139" t="s">
        <v>3173</v>
      </c>
      <c r="I1232" s="139" t="s">
        <v>3174</v>
      </c>
      <c r="J1232" s="269">
        <v>100000000</v>
      </c>
      <c r="K1232" s="139" t="s">
        <v>221</v>
      </c>
      <c r="L1232" s="139">
        <v>2941636</v>
      </c>
      <c r="M1232" s="155" t="s">
        <v>55</v>
      </c>
      <c r="N1232" s="309">
        <v>250</v>
      </c>
      <c r="O1232" s="13">
        <v>100000000</v>
      </c>
      <c r="P1232" s="141"/>
    </row>
    <row r="1233" spans="1:16" ht="43.5" x14ac:dyDescent="0.35">
      <c r="A1233" s="139" t="e">
        <f t="shared" si="20"/>
        <v>#REF!</v>
      </c>
      <c r="B1233" s="140" t="s">
        <v>18</v>
      </c>
      <c r="C1233" s="140" t="s">
        <v>37</v>
      </c>
      <c r="D1233" s="140" t="s">
        <v>476</v>
      </c>
      <c r="E1233" s="140" t="s">
        <v>1544</v>
      </c>
      <c r="F1233" s="140" t="s">
        <v>3175</v>
      </c>
      <c r="G1233" s="139" t="s">
        <v>529</v>
      </c>
      <c r="H1233" s="139" t="s">
        <v>3176</v>
      </c>
      <c r="I1233" s="139" t="s">
        <v>1272</v>
      </c>
      <c r="J1233" s="269">
        <v>100000000</v>
      </c>
      <c r="K1233" s="139" t="s">
        <v>221</v>
      </c>
      <c r="L1233" s="139">
        <v>3258975</v>
      </c>
      <c r="M1233" s="155" t="s">
        <v>55</v>
      </c>
      <c r="N1233" s="309">
        <v>250</v>
      </c>
      <c r="O1233" s="13">
        <v>100000000</v>
      </c>
      <c r="P1233" s="141" t="s">
        <v>1839</v>
      </c>
    </row>
    <row r="1234" spans="1:16" ht="43.5" x14ac:dyDescent="0.35">
      <c r="A1234" s="139" t="e">
        <f t="shared" si="20"/>
        <v>#REF!</v>
      </c>
      <c r="B1234" s="140" t="s">
        <v>18</v>
      </c>
      <c r="C1234" s="140" t="s">
        <v>37</v>
      </c>
      <c r="D1234" s="140" t="s">
        <v>1570</v>
      </c>
      <c r="E1234" s="140" t="s">
        <v>3177</v>
      </c>
      <c r="F1234" s="140" t="s">
        <v>3178</v>
      </c>
      <c r="G1234" s="139" t="s">
        <v>529</v>
      </c>
      <c r="H1234" s="139" t="s">
        <v>3179</v>
      </c>
      <c r="I1234" s="139" t="s">
        <v>341</v>
      </c>
      <c r="J1234" s="269">
        <v>100000000</v>
      </c>
      <c r="K1234" s="139" t="s">
        <v>221</v>
      </c>
      <c r="L1234" s="139">
        <v>2941591</v>
      </c>
      <c r="M1234" s="155" t="s">
        <v>55</v>
      </c>
      <c r="N1234" s="317">
        <v>6.2</v>
      </c>
      <c r="O1234" s="13">
        <v>100000000</v>
      </c>
      <c r="P1234" s="141"/>
    </row>
    <row r="1235" spans="1:16" ht="43.5" x14ac:dyDescent="0.35">
      <c r="A1235" s="139" t="e">
        <f t="shared" si="20"/>
        <v>#REF!</v>
      </c>
      <c r="B1235" s="140" t="s">
        <v>18</v>
      </c>
      <c r="C1235" s="140" t="s">
        <v>37</v>
      </c>
      <c r="D1235" s="140" t="s">
        <v>1570</v>
      </c>
      <c r="E1235" s="140" t="s">
        <v>3177</v>
      </c>
      <c r="F1235" s="140" t="s">
        <v>3180</v>
      </c>
      <c r="G1235" s="139" t="s">
        <v>529</v>
      </c>
      <c r="H1235" s="139" t="s">
        <v>3181</v>
      </c>
      <c r="I1235" s="139" t="s">
        <v>341</v>
      </c>
      <c r="J1235" s="269">
        <v>100000000</v>
      </c>
      <c r="K1235" s="139" t="s">
        <v>221</v>
      </c>
      <c r="L1235" s="139">
        <v>2938397</v>
      </c>
      <c r="M1235" s="155" t="s">
        <v>55</v>
      </c>
      <c r="N1235" s="309">
        <v>35.945363048166783</v>
      </c>
      <c r="O1235" s="13">
        <v>100000000</v>
      </c>
      <c r="P1235" s="141"/>
    </row>
    <row r="1236" spans="1:16" ht="43.5" x14ac:dyDescent="0.35">
      <c r="A1236" s="139" t="e">
        <f t="shared" si="20"/>
        <v>#REF!</v>
      </c>
      <c r="B1236" s="140" t="s">
        <v>18</v>
      </c>
      <c r="C1236" s="140" t="s">
        <v>37</v>
      </c>
      <c r="D1236" s="140" t="s">
        <v>476</v>
      </c>
      <c r="E1236" s="140" t="s">
        <v>3120</v>
      </c>
      <c r="F1236" s="140" t="s">
        <v>3182</v>
      </c>
      <c r="G1236" s="139" t="s">
        <v>529</v>
      </c>
      <c r="H1236" s="139" t="s">
        <v>3183</v>
      </c>
      <c r="I1236" s="139" t="s">
        <v>1272</v>
      </c>
      <c r="J1236" s="269">
        <v>100000000</v>
      </c>
      <c r="K1236" s="139" t="s">
        <v>221</v>
      </c>
      <c r="L1236" s="139">
        <v>2932118</v>
      </c>
      <c r="M1236" s="155" t="s">
        <v>55</v>
      </c>
      <c r="N1236" s="317">
        <v>450</v>
      </c>
      <c r="O1236" s="13">
        <v>114300000</v>
      </c>
      <c r="P1236" s="141" t="s">
        <v>1955</v>
      </c>
    </row>
    <row r="1237" spans="1:16" ht="43.5" x14ac:dyDescent="0.35">
      <c r="A1237" s="139" t="e">
        <f t="shared" si="20"/>
        <v>#REF!</v>
      </c>
      <c r="B1237" s="140" t="s">
        <v>18</v>
      </c>
      <c r="C1237" s="140" t="s">
        <v>37</v>
      </c>
      <c r="D1237" s="140" t="s">
        <v>1521</v>
      </c>
      <c r="E1237" s="140" t="s">
        <v>3166</v>
      </c>
      <c r="F1237" s="140" t="s">
        <v>3184</v>
      </c>
      <c r="G1237" s="139" t="s">
        <v>529</v>
      </c>
      <c r="H1237" s="139" t="s">
        <v>3185</v>
      </c>
      <c r="I1237" s="139" t="s">
        <v>1259</v>
      </c>
      <c r="J1237" s="269">
        <v>100000000</v>
      </c>
      <c r="K1237" s="139" t="s">
        <v>221</v>
      </c>
      <c r="L1237" s="139">
        <v>2933448</v>
      </c>
      <c r="M1237" s="155" t="s">
        <v>55</v>
      </c>
      <c r="N1237" s="189">
        <v>142</v>
      </c>
      <c r="O1237" s="17">
        <f>J1237</f>
        <v>100000000</v>
      </c>
      <c r="P1237" s="316"/>
    </row>
    <row r="1238" spans="1:16" ht="43.5" x14ac:dyDescent="0.35">
      <c r="A1238" s="139" t="e">
        <f t="shared" si="20"/>
        <v>#REF!</v>
      </c>
      <c r="B1238" s="140" t="s">
        <v>18</v>
      </c>
      <c r="C1238" s="140" t="s">
        <v>37</v>
      </c>
      <c r="D1238" s="140" t="s">
        <v>1570</v>
      </c>
      <c r="E1238" s="140" t="s">
        <v>3177</v>
      </c>
      <c r="F1238" s="140" t="s">
        <v>3186</v>
      </c>
      <c r="G1238" s="139" t="s">
        <v>529</v>
      </c>
      <c r="H1238" s="139" t="s">
        <v>3187</v>
      </c>
      <c r="I1238" s="139" t="s">
        <v>341</v>
      </c>
      <c r="J1238" s="269">
        <v>100000000</v>
      </c>
      <c r="K1238" s="139" t="s">
        <v>221</v>
      </c>
      <c r="L1238" s="139">
        <v>2940416</v>
      </c>
      <c r="M1238" s="155" t="s">
        <v>55</v>
      </c>
      <c r="N1238" s="309">
        <v>35.945363048166783</v>
      </c>
      <c r="O1238" s="13">
        <v>100000000</v>
      </c>
      <c r="P1238" s="141"/>
    </row>
    <row r="1239" spans="1:16" ht="43.5" x14ac:dyDescent="0.35">
      <c r="A1239" s="139" t="e">
        <f t="shared" si="20"/>
        <v>#REF!</v>
      </c>
      <c r="B1239" s="140" t="s">
        <v>18</v>
      </c>
      <c r="C1239" s="140" t="s">
        <v>37</v>
      </c>
      <c r="D1239" s="140" t="s">
        <v>1515</v>
      </c>
      <c r="E1239" s="140" t="s">
        <v>1544</v>
      </c>
      <c r="F1239" s="140" t="s">
        <v>3188</v>
      </c>
      <c r="G1239" s="139" t="s">
        <v>529</v>
      </c>
      <c r="H1239" s="139" t="s">
        <v>3189</v>
      </c>
      <c r="I1239" s="139" t="s">
        <v>1272</v>
      </c>
      <c r="J1239" s="269">
        <v>100000000</v>
      </c>
      <c r="K1239" s="139" t="s">
        <v>221</v>
      </c>
      <c r="L1239" s="139">
        <v>2940883</v>
      </c>
      <c r="M1239" s="155" t="s">
        <v>55</v>
      </c>
      <c r="N1239" s="309">
        <v>250</v>
      </c>
      <c r="O1239" s="13">
        <v>100000000</v>
      </c>
      <c r="P1239" s="141"/>
    </row>
    <row r="1240" spans="1:16" ht="43.5" x14ac:dyDescent="0.35">
      <c r="A1240" s="139" t="e">
        <f t="shared" si="20"/>
        <v>#REF!</v>
      </c>
      <c r="B1240" s="140" t="s">
        <v>18</v>
      </c>
      <c r="C1240" s="140" t="s">
        <v>37</v>
      </c>
      <c r="D1240" s="140" t="s">
        <v>1521</v>
      </c>
      <c r="E1240" s="140" t="s">
        <v>3190</v>
      </c>
      <c r="F1240" s="140" t="s">
        <v>3191</v>
      </c>
      <c r="G1240" s="139" t="s">
        <v>529</v>
      </c>
      <c r="H1240" s="139" t="s">
        <v>3192</v>
      </c>
      <c r="I1240" s="139" t="s">
        <v>1259</v>
      </c>
      <c r="J1240" s="269">
        <v>100000000</v>
      </c>
      <c r="K1240" s="139" t="s">
        <v>221</v>
      </c>
      <c r="L1240" s="139">
        <v>2937948</v>
      </c>
      <c r="M1240" s="155" t="s">
        <v>55</v>
      </c>
      <c r="N1240" s="189">
        <v>14</v>
      </c>
      <c r="O1240" s="17">
        <f>J1240</f>
        <v>100000000</v>
      </c>
      <c r="P1240" s="316"/>
    </row>
    <row r="1241" spans="1:16" ht="43.5" x14ac:dyDescent="0.35">
      <c r="A1241" s="139" t="e">
        <f t="shared" si="20"/>
        <v>#REF!</v>
      </c>
      <c r="B1241" s="140" t="s">
        <v>18</v>
      </c>
      <c r="C1241" s="140" t="s">
        <v>37</v>
      </c>
      <c r="D1241" s="140" t="s">
        <v>1515</v>
      </c>
      <c r="E1241" s="140" t="s">
        <v>1872</v>
      </c>
      <c r="F1241" s="140" t="s">
        <v>297</v>
      </c>
      <c r="G1241" s="139" t="s">
        <v>52</v>
      </c>
      <c r="H1241" s="139" t="s">
        <v>3193</v>
      </c>
      <c r="I1241" s="139" t="s">
        <v>2128</v>
      </c>
      <c r="J1241" s="269">
        <v>100000000</v>
      </c>
      <c r="K1241" s="139" t="s">
        <v>221</v>
      </c>
      <c r="L1241" s="139">
        <v>2959802</v>
      </c>
      <c r="M1241" s="155" t="s">
        <v>55</v>
      </c>
      <c r="N1241" s="139">
        <v>450</v>
      </c>
      <c r="O1241" s="13">
        <v>114300000</v>
      </c>
      <c r="P1241" s="141"/>
    </row>
    <row r="1242" spans="1:16" ht="43.5" x14ac:dyDescent="0.35">
      <c r="A1242" s="139" t="e">
        <f t="shared" si="20"/>
        <v>#REF!</v>
      </c>
      <c r="B1242" s="140" t="s">
        <v>18</v>
      </c>
      <c r="C1242" s="140" t="s">
        <v>37</v>
      </c>
      <c r="D1242" s="140" t="s">
        <v>1515</v>
      </c>
      <c r="E1242" s="140" t="s">
        <v>3194</v>
      </c>
      <c r="F1242" s="140" t="s">
        <v>297</v>
      </c>
      <c r="G1242" s="139" t="s">
        <v>52</v>
      </c>
      <c r="H1242" s="139" t="s">
        <v>3195</v>
      </c>
      <c r="I1242" s="139" t="s">
        <v>341</v>
      </c>
      <c r="J1242" s="269">
        <v>100000000</v>
      </c>
      <c r="K1242" s="139" t="s">
        <v>221</v>
      </c>
      <c r="L1242" s="139">
        <v>2948470</v>
      </c>
      <c r="M1242" s="155" t="s">
        <v>55</v>
      </c>
      <c r="N1242" s="139">
        <v>450</v>
      </c>
      <c r="O1242" s="13">
        <v>114300000</v>
      </c>
      <c r="P1242" s="141" t="s">
        <v>3196</v>
      </c>
    </row>
    <row r="1243" spans="1:16" ht="43.5" x14ac:dyDescent="0.35">
      <c r="A1243" s="139" t="e">
        <f t="shared" si="20"/>
        <v>#REF!</v>
      </c>
      <c r="B1243" s="140" t="s">
        <v>18</v>
      </c>
      <c r="C1243" s="140" t="s">
        <v>37</v>
      </c>
      <c r="D1243" s="140" t="s">
        <v>1634</v>
      </c>
      <c r="E1243" s="140" t="s">
        <v>2054</v>
      </c>
      <c r="F1243" s="140" t="s">
        <v>297</v>
      </c>
      <c r="G1243" s="139" t="s">
        <v>52</v>
      </c>
      <c r="H1243" s="139" t="s">
        <v>3197</v>
      </c>
      <c r="I1243" s="139" t="s">
        <v>305</v>
      </c>
      <c r="J1243" s="269">
        <v>100000000</v>
      </c>
      <c r="K1243" s="139" t="s">
        <v>221</v>
      </c>
      <c r="L1243" s="139">
        <v>2948512</v>
      </c>
      <c r="M1243" s="155" t="s">
        <v>55</v>
      </c>
      <c r="N1243" s="139">
        <v>3</v>
      </c>
      <c r="O1243" s="13">
        <v>105000000</v>
      </c>
      <c r="P1243" s="141"/>
    </row>
    <row r="1244" spans="1:16" ht="43.5" x14ac:dyDescent="0.35">
      <c r="A1244" s="139" t="e">
        <f t="shared" si="20"/>
        <v>#REF!</v>
      </c>
      <c r="B1244" s="140" t="s">
        <v>18</v>
      </c>
      <c r="C1244" s="140" t="s">
        <v>37</v>
      </c>
      <c r="D1244" s="140" t="s">
        <v>1515</v>
      </c>
      <c r="E1244" s="140" t="s">
        <v>3194</v>
      </c>
      <c r="F1244" s="140" t="s">
        <v>297</v>
      </c>
      <c r="G1244" s="139" t="s">
        <v>52</v>
      </c>
      <c r="H1244" s="139" t="s">
        <v>3198</v>
      </c>
      <c r="I1244" s="139" t="s">
        <v>1213</v>
      </c>
      <c r="J1244" s="269">
        <v>100000000</v>
      </c>
      <c r="K1244" s="139" t="s">
        <v>221</v>
      </c>
      <c r="L1244" s="139">
        <v>2943056</v>
      </c>
      <c r="M1244" s="155" t="s">
        <v>55</v>
      </c>
      <c r="N1244" s="139">
        <v>450</v>
      </c>
      <c r="O1244" s="13">
        <v>114300000</v>
      </c>
      <c r="P1244" s="141"/>
    </row>
    <row r="1245" spans="1:16" ht="43.5" x14ac:dyDescent="0.35">
      <c r="A1245" s="139" t="e">
        <f t="shared" si="20"/>
        <v>#REF!</v>
      </c>
      <c r="B1245" s="140" t="s">
        <v>18</v>
      </c>
      <c r="C1245" s="140" t="s">
        <v>37</v>
      </c>
      <c r="D1245" s="140" t="s">
        <v>1515</v>
      </c>
      <c r="E1245" s="140" t="s">
        <v>1610</v>
      </c>
      <c r="F1245" s="140" t="s">
        <v>297</v>
      </c>
      <c r="G1245" s="139" t="s">
        <v>52</v>
      </c>
      <c r="H1245" s="139" t="s">
        <v>3199</v>
      </c>
      <c r="I1245" s="139" t="s">
        <v>2388</v>
      </c>
      <c r="J1245" s="269">
        <v>100000000</v>
      </c>
      <c r="K1245" s="139" t="s">
        <v>221</v>
      </c>
      <c r="L1245" s="139">
        <v>2958821</v>
      </c>
      <c r="M1245" s="155" t="s">
        <v>55</v>
      </c>
      <c r="N1245" s="139">
        <v>450</v>
      </c>
      <c r="O1245" s="13">
        <v>114300000</v>
      </c>
      <c r="P1245" s="141"/>
    </row>
    <row r="1246" spans="1:16" ht="43.5" x14ac:dyDescent="0.35">
      <c r="A1246" s="139" t="e">
        <f t="shared" si="20"/>
        <v>#REF!</v>
      </c>
      <c r="B1246" s="140" t="s">
        <v>18</v>
      </c>
      <c r="C1246" s="140" t="s">
        <v>37</v>
      </c>
      <c r="D1246" s="140" t="s">
        <v>1634</v>
      </c>
      <c r="E1246" s="140" t="s">
        <v>2054</v>
      </c>
      <c r="F1246" s="140" t="s">
        <v>297</v>
      </c>
      <c r="G1246" s="139" t="s">
        <v>52</v>
      </c>
      <c r="H1246" s="139" t="s">
        <v>3200</v>
      </c>
      <c r="I1246" s="139" t="s">
        <v>2330</v>
      </c>
      <c r="J1246" s="269">
        <v>100000000</v>
      </c>
      <c r="K1246" s="139" t="s">
        <v>221</v>
      </c>
      <c r="L1246" s="139">
        <v>2962528</v>
      </c>
      <c r="M1246" s="155" t="s">
        <v>55</v>
      </c>
      <c r="N1246" s="139">
        <v>3</v>
      </c>
      <c r="O1246" s="13">
        <v>105000000</v>
      </c>
      <c r="P1246" s="141"/>
    </row>
    <row r="1247" spans="1:16" ht="43.5" x14ac:dyDescent="0.35">
      <c r="A1247" s="139" t="e">
        <f t="shared" si="20"/>
        <v>#REF!</v>
      </c>
      <c r="B1247" s="140" t="s">
        <v>18</v>
      </c>
      <c r="C1247" s="140" t="s">
        <v>37</v>
      </c>
      <c r="D1247" s="140" t="s">
        <v>1521</v>
      </c>
      <c r="E1247" s="140" t="s">
        <v>1610</v>
      </c>
      <c r="F1247" s="140" t="s">
        <v>297</v>
      </c>
      <c r="G1247" s="139" t="s">
        <v>52</v>
      </c>
      <c r="H1247" s="139" t="s">
        <v>3201</v>
      </c>
      <c r="I1247" s="139">
        <v>450</v>
      </c>
      <c r="J1247" s="269">
        <v>100000000</v>
      </c>
      <c r="K1247" s="139" t="s">
        <v>221</v>
      </c>
      <c r="L1247" s="139" t="s">
        <v>62</v>
      </c>
      <c r="M1247" s="155" t="s">
        <v>55</v>
      </c>
      <c r="N1247" s="139">
        <v>450</v>
      </c>
      <c r="O1247" s="13">
        <v>114300000</v>
      </c>
      <c r="P1247" s="141" t="s">
        <v>3196</v>
      </c>
    </row>
    <row r="1248" spans="1:16" ht="43.5" x14ac:dyDescent="0.35">
      <c r="A1248" s="139" t="e">
        <f t="shared" si="20"/>
        <v>#REF!</v>
      </c>
      <c r="B1248" s="140" t="s">
        <v>18</v>
      </c>
      <c r="C1248" s="140" t="s">
        <v>37</v>
      </c>
      <c r="D1248" s="140" t="s">
        <v>1634</v>
      </c>
      <c r="E1248" s="140" t="s">
        <v>3202</v>
      </c>
      <c r="F1248" s="140" t="s">
        <v>297</v>
      </c>
      <c r="G1248" s="139" t="s">
        <v>52</v>
      </c>
      <c r="H1248" s="139" t="s">
        <v>3203</v>
      </c>
      <c r="I1248" s="139" t="s">
        <v>366</v>
      </c>
      <c r="J1248" s="269">
        <v>100000000</v>
      </c>
      <c r="K1248" s="139" t="s">
        <v>221</v>
      </c>
      <c r="L1248" s="139">
        <v>3258812</v>
      </c>
      <c r="M1248" s="155" t="s">
        <v>55</v>
      </c>
      <c r="N1248" s="139">
        <v>3</v>
      </c>
      <c r="O1248" s="13">
        <v>105000000</v>
      </c>
      <c r="P1248" s="141" t="s">
        <v>3204</v>
      </c>
    </row>
    <row r="1249" spans="1:16" ht="43.5" x14ac:dyDescent="0.35">
      <c r="A1249" s="139" t="e">
        <f t="shared" si="20"/>
        <v>#REF!</v>
      </c>
      <c r="B1249" s="140" t="s">
        <v>18</v>
      </c>
      <c r="C1249" s="140" t="s">
        <v>37</v>
      </c>
      <c r="D1249" s="140" t="s">
        <v>1515</v>
      </c>
      <c r="E1249" s="140" t="s">
        <v>1610</v>
      </c>
      <c r="F1249" s="140" t="s">
        <v>297</v>
      </c>
      <c r="G1249" s="139" t="s">
        <v>52</v>
      </c>
      <c r="H1249" s="139" t="s">
        <v>3205</v>
      </c>
      <c r="I1249" s="139" t="s">
        <v>1272</v>
      </c>
      <c r="J1249" s="269">
        <v>100000000</v>
      </c>
      <c r="K1249" s="139" t="s">
        <v>221</v>
      </c>
      <c r="L1249" s="139">
        <v>2963769</v>
      </c>
      <c r="M1249" s="155" t="s">
        <v>55</v>
      </c>
      <c r="N1249" s="139">
        <v>450</v>
      </c>
      <c r="O1249" s="13">
        <v>114300000</v>
      </c>
      <c r="P1249" s="141"/>
    </row>
    <row r="1250" spans="1:16" ht="43.5" x14ac:dyDescent="0.35">
      <c r="A1250" s="139" t="e">
        <f t="shared" si="20"/>
        <v>#REF!</v>
      </c>
      <c r="B1250" s="140" t="s">
        <v>18</v>
      </c>
      <c r="C1250" s="140" t="s">
        <v>37</v>
      </c>
      <c r="D1250" s="140" t="s">
        <v>1515</v>
      </c>
      <c r="E1250" s="140" t="s">
        <v>1610</v>
      </c>
      <c r="F1250" s="140" t="s">
        <v>297</v>
      </c>
      <c r="G1250" s="139" t="s">
        <v>52</v>
      </c>
      <c r="H1250" s="139" t="s">
        <v>3206</v>
      </c>
      <c r="I1250" s="139" t="s">
        <v>1272</v>
      </c>
      <c r="J1250" s="269">
        <v>100000000</v>
      </c>
      <c r="K1250" s="139" t="s">
        <v>221</v>
      </c>
      <c r="L1250" s="139">
        <v>2949434</v>
      </c>
      <c r="M1250" s="155" t="s">
        <v>55</v>
      </c>
      <c r="N1250" s="139">
        <v>450</v>
      </c>
      <c r="O1250" s="13">
        <v>114300000</v>
      </c>
      <c r="P1250" s="141"/>
    </row>
    <row r="1251" spans="1:16" ht="43.5" x14ac:dyDescent="0.35">
      <c r="A1251" s="139" t="e">
        <f t="shared" si="20"/>
        <v>#REF!</v>
      </c>
      <c r="B1251" s="140" t="s">
        <v>18</v>
      </c>
      <c r="C1251" s="140" t="s">
        <v>37</v>
      </c>
      <c r="D1251" s="140" t="s">
        <v>1634</v>
      </c>
      <c r="E1251" s="140" t="s">
        <v>2054</v>
      </c>
      <c r="F1251" s="140" t="s">
        <v>3207</v>
      </c>
      <c r="G1251" s="139" t="s">
        <v>52</v>
      </c>
      <c r="H1251" s="139" t="s">
        <v>3208</v>
      </c>
      <c r="I1251" s="139" t="s">
        <v>95</v>
      </c>
      <c r="J1251" s="269">
        <v>100000000</v>
      </c>
      <c r="K1251" s="139" t="s">
        <v>221</v>
      </c>
      <c r="L1251" s="139">
        <v>2963455</v>
      </c>
      <c r="M1251" s="155" t="s">
        <v>55</v>
      </c>
      <c r="N1251" s="139">
        <v>3</v>
      </c>
      <c r="O1251" s="13">
        <v>105000000</v>
      </c>
      <c r="P1251" s="141"/>
    </row>
    <row r="1252" spans="1:16" ht="43.5" x14ac:dyDescent="0.35">
      <c r="A1252" s="139" t="e">
        <f t="shared" si="20"/>
        <v>#REF!</v>
      </c>
      <c r="B1252" s="140" t="s">
        <v>18</v>
      </c>
      <c r="C1252" s="140" t="s">
        <v>37</v>
      </c>
      <c r="D1252" s="140" t="s">
        <v>1515</v>
      </c>
      <c r="E1252" s="140" t="s">
        <v>1610</v>
      </c>
      <c r="F1252" s="140" t="s">
        <v>2378</v>
      </c>
      <c r="G1252" s="139" t="s">
        <v>52</v>
      </c>
      <c r="H1252" s="139" t="s">
        <v>3209</v>
      </c>
      <c r="I1252" s="139" t="s">
        <v>2128</v>
      </c>
      <c r="J1252" s="269">
        <v>100000000</v>
      </c>
      <c r="K1252" s="139" t="s">
        <v>221</v>
      </c>
      <c r="L1252" s="139">
        <v>2961370</v>
      </c>
      <c r="M1252" s="155" t="s">
        <v>55</v>
      </c>
      <c r="N1252" s="139">
        <v>450</v>
      </c>
      <c r="O1252" s="13">
        <v>114300000</v>
      </c>
      <c r="P1252" s="141"/>
    </row>
    <row r="1253" spans="1:16" ht="43.5" x14ac:dyDescent="0.35">
      <c r="A1253" s="139" t="e">
        <f t="shared" si="20"/>
        <v>#REF!</v>
      </c>
      <c r="B1253" s="140" t="s">
        <v>18</v>
      </c>
      <c r="C1253" s="140" t="s">
        <v>37</v>
      </c>
      <c r="D1253" s="140" t="s">
        <v>1515</v>
      </c>
      <c r="E1253" s="140" t="s">
        <v>1610</v>
      </c>
      <c r="F1253" s="140" t="s">
        <v>2378</v>
      </c>
      <c r="G1253" s="139" t="s">
        <v>52</v>
      </c>
      <c r="H1253" s="139" t="s">
        <v>3210</v>
      </c>
      <c r="I1253" s="139" t="s">
        <v>1272</v>
      </c>
      <c r="J1253" s="269">
        <v>100000000</v>
      </c>
      <c r="K1253" s="139" t="s">
        <v>221</v>
      </c>
      <c r="L1253" s="139">
        <v>2798311</v>
      </c>
      <c r="M1253" s="155" t="s">
        <v>55</v>
      </c>
      <c r="N1253" s="139">
        <v>450</v>
      </c>
      <c r="O1253" s="13">
        <v>114300000</v>
      </c>
      <c r="P1253" s="141"/>
    </row>
    <row r="1254" spans="1:16" ht="43.5" x14ac:dyDescent="0.35">
      <c r="A1254" s="139" t="e">
        <f t="shared" si="20"/>
        <v>#REF!</v>
      </c>
      <c r="B1254" s="140" t="s">
        <v>18</v>
      </c>
      <c r="C1254" s="140" t="s">
        <v>37</v>
      </c>
      <c r="D1254" s="140" t="s">
        <v>1515</v>
      </c>
      <c r="E1254" s="140" t="s">
        <v>1610</v>
      </c>
      <c r="F1254" s="140"/>
      <c r="G1254" s="139" t="s">
        <v>52</v>
      </c>
      <c r="H1254" s="139" t="s">
        <v>3211</v>
      </c>
      <c r="I1254" s="139" t="s">
        <v>3212</v>
      </c>
      <c r="J1254" s="269">
        <v>100000000</v>
      </c>
      <c r="K1254" s="139" t="s">
        <v>221</v>
      </c>
      <c r="L1254" s="139">
        <v>2963239</v>
      </c>
      <c r="M1254" s="155" t="s">
        <v>55</v>
      </c>
      <c r="N1254" s="139">
        <v>450</v>
      </c>
      <c r="O1254" s="13">
        <v>114300000</v>
      </c>
      <c r="P1254" s="141"/>
    </row>
    <row r="1255" spans="1:16" ht="43.5" x14ac:dyDescent="0.35">
      <c r="A1255" s="139" t="e">
        <f t="shared" si="20"/>
        <v>#REF!</v>
      </c>
      <c r="B1255" s="140" t="s">
        <v>18</v>
      </c>
      <c r="C1255" s="140" t="s">
        <v>37</v>
      </c>
      <c r="D1255" s="140" t="s">
        <v>476</v>
      </c>
      <c r="E1255" s="140" t="s">
        <v>1610</v>
      </c>
      <c r="F1255" s="140" t="s">
        <v>2378</v>
      </c>
      <c r="G1255" s="139" t="s">
        <v>52</v>
      </c>
      <c r="H1255" s="139" t="s">
        <v>3213</v>
      </c>
      <c r="I1255" s="139" t="s">
        <v>2128</v>
      </c>
      <c r="J1255" s="269">
        <v>100000000</v>
      </c>
      <c r="K1255" s="139" t="s">
        <v>221</v>
      </c>
      <c r="L1255" s="139">
        <v>2794511</v>
      </c>
      <c r="M1255" s="155" t="s">
        <v>55</v>
      </c>
      <c r="N1255" s="139">
        <v>450</v>
      </c>
      <c r="O1255" s="13">
        <v>114300000</v>
      </c>
      <c r="P1255" s="141" t="s">
        <v>1839</v>
      </c>
    </row>
    <row r="1256" spans="1:16" ht="43.5" x14ac:dyDescent="0.35">
      <c r="A1256" s="139" t="e">
        <f t="shared" si="20"/>
        <v>#REF!</v>
      </c>
      <c r="B1256" s="140" t="s">
        <v>18</v>
      </c>
      <c r="C1256" s="140" t="s">
        <v>37</v>
      </c>
      <c r="D1256" s="140" t="s">
        <v>1570</v>
      </c>
      <c r="E1256" s="140" t="s">
        <v>1221</v>
      </c>
      <c r="F1256" s="140" t="s">
        <v>2378</v>
      </c>
      <c r="G1256" s="139" t="s">
        <v>52</v>
      </c>
      <c r="H1256" s="139" t="s">
        <v>3214</v>
      </c>
      <c r="I1256" s="139" t="s">
        <v>341</v>
      </c>
      <c r="J1256" s="269">
        <v>100000000</v>
      </c>
      <c r="K1256" s="139" t="s">
        <v>221</v>
      </c>
      <c r="L1256" s="139">
        <v>2960270</v>
      </c>
      <c r="M1256" s="155" t="s">
        <v>55</v>
      </c>
      <c r="N1256" s="139">
        <v>40</v>
      </c>
      <c r="O1256" s="13">
        <v>111280000</v>
      </c>
      <c r="P1256" s="141"/>
    </row>
    <row r="1257" spans="1:16" ht="43.5" x14ac:dyDescent="0.35">
      <c r="A1257" s="139" t="e">
        <f t="shared" si="20"/>
        <v>#REF!</v>
      </c>
      <c r="B1257" s="140" t="s">
        <v>18</v>
      </c>
      <c r="C1257" s="140" t="s">
        <v>37</v>
      </c>
      <c r="D1257" s="140" t="s">
        <v>1515</v>
      </c>
      <c r="E1257" s="140" t="s">
        <v>3194</v>
      </c>
      <c r="F1257" s="140" t="s">
        <v>2378</v>
      </c>
      <c r="G1257" s="139" t="s">
        <v>52</v>
      </c>
      <c r="H1257" s="139" t="s">
        <v>3215</v>
      </c>
      <c r="I1257" s="139" t="s">
        <v>1272</v>
      </c>
      <c r="J1257" s="269">
        <v>100000000</v>
      </c>
      <c r="K1257" s="139" t="s">
        <v>221</v>
      </c>
      <c r="L1257" s="139">
        <v>2967821</v>
      </c>
      <c r="M1257" s="155" t="s">
        <v>55</v>
      </c>
      <c r="N1257" s="139">
        <v>450</v>
      </c>
      <c r="O1257" s="13">
        <v>114300000</v>
      </c>
      <c r="P1257" s="141"/>
    </row>
    <row r="1258" spans="1:16" ht="43.5" x14ac:dyDescent="0.35">
      <c r="A1258" s="139" t="e">
        <f t="shared" si="20"/>
        <v>#REF!</v>
      </c>
      <c r="B1258" s="140" t="s">
        <v>18</v>
      </c>
      <c r="C1258" s="140" t="s">
        <v>37</v>
      </c>
      <c r="D1258" s="140" t="s">
        <v>1515</v>
      </c>
      <c r="E1258" s="140" t="s">
        <v>3194</v>
      </c>
      <c r="F1258" s="140" t="s">
        <v>297</v>
      </c>
      <c r="G1258" s="139" t="s">
        <v>52</v>
      </c>
      <c r="H1258" s="139" t="s">
        <v>3216</v>
      </c>
      <c r="I1258" s="139" t="s">
        <v>1272</v>
      </c>
      <c r="J1258" s="269">
        <v>100000000</v>
      </c>
      <c r="K1258" s="139" t="s">
        <v>221</v>
      </c>
      <c r="L1258" s="139">
        <v>2959588</v>
      </c>
      <c r="M1258" s="155" t="s">
        <v>55</v>
      </c>
      <c r="N1258" s="139">
        <v>450</v>
      </c>
      <c r="O1258" s="13">
        <v>114300000</v>
      </c>
      <c r="P1258" s="141"/>
    </row>
    <row r="1259" spans="1:16" ht="43.5" x14ac:dyDescent="0.35">
      <c r="A1259" s="139" t="e">
        <f t="shared" si="20"/>
        <v>#REF!</v>
      </c>
      <c r="B1259" s="140" t="s">
        <v>18</v>
      </c>
      <c r="C1259" s="140" t="s">
        <v>37</v>
      </c>
      <c r="D1259" s="140" t="s">
        <v>1515</v>
      </c>
      <c r="E1259" s="140" t="s">
        <v>3194</v>
      </c>
      <c r="F1259" s="140" t="s">
        <v>297</v>
      </c>
      <c r="G1259" s="139" t="s">
        <v>52</v>
      </c>
      <c r="H1259" s="139" t="s">
        <v>3217</v>
      </c>
      <c r="I1259" s="139" t="s">
        <v>1213</v>
      </c>
      <c r="J1259" s="269">
        <v>100000000</v>
      </c>
      <c r="K1259" s="139" t="s">
        <v>221</v>
      </c>
      <c r="L1259" s="139" t="s">
        <v>62</v>
      </c>
      <c r="M1259" s="155" t="s">
        <v>55</v>
      </c>
      <c r="N1259" s="139">
        <v>450</v>
      </c>
      <c r="O1259" s="13">
        <v>114300000</v>
      </c>
      <c r="P1259" s="141" t="s">
        <v>275</v>
      </c>
    </row>
    <row r="1260" spans="1:16" ht="43.5" x14ac:dyDescent="0.35">
      <c r="A1260" s="139" t="e">
        <f t="shared" si="20"/>
        <v>#REF!</v>
      </c>
      <c r="B1260" s="140" t="s">
        <v>18</v>
      </c>
      <c r="C1260" s="140" t="s">
        <v>37</v>
      </c>
      <c r="D1260" s="140" t="s">
        <v>1515</v>
      </c>
      <c r="E1260" s="140" t="s">
        <v>3194</v>
      </c>
      <c r="F1260" s="140" t="s">
        <v>297</v>
      </c>
      <c r="G1260" s="139" t="s">
        <v>52</v>
      </c>
      <c r="H1260" s="139" t="s">
        <v>3218</v>
      </c>
      <c r="I1260" s="139" t="s">
        <v>1213</v>
      </c>
      <c r="J1260" s="269">
        <v>100000000</v>
      </c>
      <c r="K1260" s="139" t="s">
        <v>221</v>
      </c>
      <c r="L1260" s="318">
        <v>2943182</v>
      </c>
      <c r="M1260" s="155" t="s">
        <v>55</v>
      </c>
      <c r="N1260" s="139">
        <v>450</v>
      </c>
      <c r="O1260" s="13">
        <v>114300000</v>
      </c>
      <c r="P1260" s="141"/>
    </row>
    <row r="1261" spans="1:16" ht="43.5" x14ac:dyDescent="0.35">
      <c r="A1261" s="139" t="e">
        <f t="shared" si="20"/>
        <v>#REF!</v>
      </c>
      <c r="B1261" s="140" t="s">
        <v>18</v>
      </c>
      <c r="C1261" s="140" t="s">
        <v>37</v>
      </c>
      <c r="D1261" s="140" t="s">
        <v>1634</v>
      </c>
      <c r="E1261" s="140" t="s">
        <v>2054</v>
      </c>
      <c r="F1261" s="140" t="s">
        <v>3219</v>
      </c>
      <c r="G1261" s="139" t="s">
        <v>52</v>
      </c>
      <c r="H1261" s="139" t="s">
        <v>3220</v>
      </c>
      <c r="I1261" s="139" t="s">
        <v>366</v>
      </c>
      <c r="J1261" s="269">
        <v>100000000</v>
      </c>
      <c r="K1261" s="139" t="s">
        <v>221</v>
      </c>
      <c r="L1261" s="139">
        <v>2945416</v>
      </c>
      <c r="M1261" s="155" t="s">
        <v>55</v>
      </c>
      <c r="N1261" s="139">
        <v>3</v>
      </c>
      <c r="O1261" s="13">
        <v>105000000</v>
      </c>
      <c r="P1261" s="141"/>
    </row>
    <row r="1262" spans="1:16" ht="43.5" x14ac:dyDescent="0.35">
      <c r="A1262" s="139" t="e">
        <f t="shared" si="20"/>
        <v>#REF!</v>
      </c>
      <c r="B1262" s="140" t="s">
        <v>18</v>
      </c>
      <c r="C1262" s="140" t="s">
        <v>37</v>
      </c>
      <c r="D1262" s="140" t="s">
        <v>1515</v>
      </c>
      <c r="E1262" s="140" t="s">
        <v>1544</v>
      </c>
      <c r="F1262" s="140" t="s">
        <v>3221</v>
      </c>
      <c r="G1262" s="139" t="s">
        <v>3222</v>
      </c>
      <c r="H1262" s="139" t="s">
        <v>3223</v>
      </c>
      <c r="I1262" s="139" t="s">
        <v>1272</v>
      </c>
      <c r="J1262" s="269">
        <v>100000000</v>
      </c>
      <c r="K1262" s="139" t="s">
        <v>221</v>
      </c>
      <c r="L1262" s="139">
        <v>2966107</v>
      </c>
      <c r="M1262" s="155" t="s">
        <v>55</v>
      </c>
      <c r="N1262" s="139">
        <v>450</v>
      </c>
      <c r="O1262" s="13">
        <v>114300000</v>
      </c>
      <c r="P1262" s="141"/>
    </row>
    <row r="1263" spans="1:16" ht="43.5" x14ac:dyDescent="0.35">
      <c r="A1263" s="139" t="e">
        <f t="shared" si="20"/>
        <v>#REF!</v>
      </c>
      <c r="B1263" s="140" t="s">
        <v>18</v>
      </c>
      <c r="C1263" s="140" t="s">
        <v>37</v>
      </c>
      <c r="D1263" s="140" t="s">
        <v>1515</v>
      </c>
      <c r="E1263" s="140" t="s">
        <v>1544</v>
      </c>
      <c r="F1263" s="140" t="s">
        <v>3224</v>
      </c>
      <c r="G1263" s="139" t="s">
        <v>3222</v>
      </c>
      <c r="H1263" s="139" t="s">
        <v>3225</v>
      </c>
      <c r="I1263" s="139" t="s">
        <v>1272</v>
      </c>
      <c r="J1263" s="269">
        <v>100000000</v>
      </c>
      <c r="K1263" s="139" t="s">
        <v>221</v>
      </c>
      <c r="L1263" s="139">
        <v>2978173</v>
      </c>
      <c r="M1263" s="155" t="s">
        <v>55</v>
      </c>
      <c r="N1263" s="139">
        <v>450</v>
      </c>
      <c r="O1263" s="13">
        <v>114300000</v>
      </c>
      <c r="P1263" s="311">
        <v>2.82</v>
      </c>
    </row>
    <row r="1264" spans="1:16" ht="43.5" x14ac:dyDescent="0.35">
      <c r="A1264" s="139" t="e">
        <f t="shared" ref="A1264:A1271" si="21">A1263+1</f>
        <v>#REF!</v>
      </c>
      <c r="B1264" s="140" t="s">
        <v>18</v>
      </c>
      <c r="C1264" s="140" t="s">
        <v>37</v>
      </c>
      <c r="D1264" s="140" t="s">
        <v>1521</v>
      </c>
      <c r="E1264" s="140" t="s">
        <v>3177</v>
      </c>
      <c r="F1264" s="140" t="s">
        <v>3226</v>
      </c>
      <c r="G1264" s="139" t="s">
        <v>3222</v>
      </c>
      <c r="H1264" s="139" t="s">
        <v>3227</v>
      </c>
      <c r="I1264" s="139" t="s">
        <v>341</v>
      </c>
      <c r="J1264" s="269">
        <v>100000000</v>
      </c>
      <c r="K1264" s="139" t="s">
        <v>221</v>
      </c>
      <c r="L1264" s="139">
        <v>2968303</v>
      </c>
      <c r="M1264" s="155" t="s">
        <v>55</v>
      </c>
      <c r="N1264" s="139">
        <v>40</v>
      </c>
      <c r="O1264" s="13">
        <v>111280000</v>
      </c>
      <c r="P1264" s="141" t="s">
        <v>3076</v>
      </c>
    </row>
    <row r="1265" spans="1:16" ht="43.5" x14ac:dyDescent="0.35">
      <c r="A1265" s="139" t="e">
        <f t="shared" si="21"/>
        <v>#REF!</v>
      </c>
      <c r="B1265" s="140" t="s">
        <v>18</v>
      </c>
      <c r="C1265" s="140" t="s">
        <v>37</v>
      </c>
      <c r="D1265" s="140" t="s">
        <v>1515</v>
      </c>
      <c r="E1265" s="140" t="s">
        <v>1544</v>
      </c>
      <c r="F1265" s="140" t="s">
        <v>3228</v>
      </c>
      <c r="G1265" s="139" t="s">
        <v>3222</v>
      </c>
      <c r="H1265" s="139" t="s">
        <v>3229</v>
      </c>
      <c r="I1265" s="139" t="s">
        <v>1272</v>
      </c>
      <c r="J1265" s="269">
        <v>100000000</v>
      </c>
      <c r="K1265" s="139" t="s">
        <v>221</v>
      </c>
      <c r="L1265" s="139">
        <v>2966468</v>
      </c>
      <c r="M1265" s="155" t="s">
        <v>55</v>
      </c>
      <c r="N1265" s="139">
        <v>450</v>
      </c>
      <c r="O1265" s="13">
        <v>114300000</v>
      </c>
      <c r="P1265" s="141"/>
    </row>
    <row r="1266" spans="1:16" ht="43.5" x14ac:dyDescent="0.35">
      <c r="A1266" s="139" t="e">
        <f t="shared" si="21"/>
        <v>#REF!</v>
      </c>
      <c r="B1266" s="140" t="s">
        <v>18</v>
      </c>
      <c r="C1266" s="140" t="s">
        <v>37</v>
      </c>
      <c r="D1266" s="140" t="s">
        <v>1515</v>
      </c>
      <c r="E1266" s="140" t="s">
        <v>3230</v>
      </c>
      <c r="F1266" s="140" t="s">
        <v>3231</v>
      </c>
      <c r="G1266" s="139" t="s">
        <v>3222</v>
      </c>
      <c r="H1266" s="139" t="s">
        <v>1003</v>
      </c>
      <c r="I1266" s="139" t="s">
        <v>341</v>
      </c>
      <c r="J1266" s="269">
        <v>100000000</v>
      </c>
      <c r="K1266" s="139" t="s">
        <v>221</v>
      </c>
      <c r="L1266" s="139">
        <v>2966681</v>
      </c>
      <c r="M1266" s="155" t="s">
        <v>55</v>
      </c>
      <c r="N1266" s="139">
        <v>40</v>
      </c>
      <c r="O1266" s="13">
        <v>111280000</v>
      </c>
      <c r="P1266" s="141"/>
    </row>
    <row r="1267" spans="1:16" ht="43.5" x14ac:dyDescent="0.35">
      <c r="A1267" s="139" t="e">
        <f t="shared" si="21"/>
        <v>#REF!</v>
      </c>
      <c r="B1267" s="140" t="s">
        <v>18</v>
      </c>
      <c r="C1267" s="140" t="s">
        <v>37</v>
      </c>
      <c r="D1267" s="140" t="s">
        <v>1515</v>
      </c>
      <c r="E1267" s="140" t="s">
        <v>1544</v>
      </c>
      <c r="F1267" s="140" t="s">
        <v>3232</v>
      </c>
      <c r="G1267" s="139" t="s">
        <v>3222</v>
      </c>
      <c r="H1267" s="139" t="s">
        <v>3233</v>
      </c>
      <c r="I1267" s="139" t="s">
        <v>1272</v>
      </c>
      <c r="J1267" s="269">
        <v>100000000</v>
      </c>
      <c r="K1267" s="139" t="s">
        <v>221</v>
      </c>
      <c r="L1267" s="139">
        <v>2966241</v>
      </c>
      <c r="M1267" s="155" t="s">
        <v>55</v>
      </c>
      <c r="N1267" s="139">
        <v>450</v>
      </c>
      <c r="O1267" s="13">
        <v>114300000</v>
      </c>
      <c r="P1267" s="141"/>
    </row>
    <row r="1268" spans="1:16" ht="43.5" x14ac:dyDescent="0.35">
      <c r="A1268" s="139" t="e">
        <f t="shared" si="21"/>
        <v>#REF!</v>
      </c>
      <c r="B1268" s="140" t="s">
        <v>18</v>
      </c>
      <c r="C1268" s="140" t="s">
        <v>37</v>
      </c>
      <c r="D1268" s="140" t="s">
        <v>1515</v>
      </c>
      <c r="E1268" s="140" t="s">
        <v>3177</v>
      </c>
      <c r="F1268" s="140" t="s">
        <v>3234</v>
      </c>
      <c r="G1268" s="139" t="s">
        <v>3222</v>
      </c>
      <c r="H1268" s="139" t="s">
        <v>3235</v>
      </c>
      <c r="I1268" s="139" t="s">
        <v>341</v>
      </c>
      <c r="J1268" s="269">
        <v>100000000</v>
      </c>
      <c r="K1268" s="139" t="s">
        <v>221</v>
      </c>
      <c r="L1268" s="139">
        <v>2965313</v>
      </c>
      <c r="M1268" s="155" t="s">
        <v>55</v>
      </c>
      <c r="N1268" s="139">
        <v>40</v>
      </c>
      <c r="O1268" s="13">
        <v>111280000</v>
      </c>
      <c r="P1268" s="141"/>
    </row>
    <row r="1269" spans="1:16" ht="43.5" x14ac:dyDescent="0.35">
      <c r="A1269" s="139" t="e">
        <f t="shared" si="21"/>
        <v>#REF!</v>
      </c>
      <c r="B1269" s="140" t="s">
        <v>18</v>
      </c>
      <c r="C1269" s="140" t="s">
        <v>37</v>
      </c>
      <c r="D1269" s="140" t="s">
        <v>1515</v>
      </c>
      <c r="E1269" s="140" t="s">
        <v>1544</v>
      </c>
      <c r="F1269" s="140" t="s">
        <v>3236</v>
      </c>
      <c r="G1269" s="139" t="s">
        <v>3222</v>
      </c>
      <c r="H1269" s="139" t="s">
        <v>3237</v>
      </c>
      <c r="I1269" s="139" t="s">
        <v>1272</v>
      </c>
      <c r="J1269" s="269">
        <v>100000000</v>
      </c>
      <c r="K1269" s="139" t="s">
        <v>221</v>
      </c>
      <c r="L1269" s="139">
        <v>2966014</v>
      </c>
      <c r="M1269" s="155" t="s">
        <v>55</v>
      </c>
      <c r="N1269" s="139">
        <v>450</v>
      </c>
      <c r="O1269" s="13">
        <v>114300000</v>
      </c>
      <c r="P1269" s="141"/>
    </row>
    <row r="1270" spans="1:16" ht="43.5" x14ac:dyDescent="0.35">
      <c r="A1270" s="139" t="e">
        <f t="shared" si="21"/>
        <v>#REF!</v>
      </c>
      <c r="B1270" s="140" t="s">
        <v>18</v>
      </c>
      <c r="C1270" s="140" t="s">
        <v>37</v>
      </c>
      <c r="D1270" s="140" t="s">
        <v>1515</v>
      </c>
      <c r="E1270" s="140" t="s">
        <v>3177</v>
      </c>
      <c r="F1270" s="140" t="s">
        <v>3238</v>
      </c>
      <c r="G1270" s="139" t="s">
        <v>3222</v>
      </c>
      <c r="H1270" s="139" t="s">
        <v>3239</v>
      </c>
      <c r="I1270" s="139" t="s">
        <v>341</v>
      </c>
      <c r="J1270" s="269">
        <v>100000000</v>
      </c>
      <c r="K1270" s="139" t="s">
        <v>221</v>
      </c>
      <c r="L1270" s="139">
        <v>2967943</v>
      </c>
      <c r="M1270" s="155" t="s">
        <v>55</v>
      </c>
      <c r="N1270" s="139">
        <v>40</v>
      </c>
      <c r="O1270" s="13">
        <v>111280000</v>
      </c>
      <c r="P1270" s="141"/>
    </row>
    <row r="1271" spans="1:16" ht="43.5" x14ac:dyDescent="0.35">
      <c r="A1271" s="139" t="e">
        <f t="shared" si="21"/>
        <v>#REF!</v>
      </c>
      <c r="B1271" s="140" t="s">
        <v>18</v>
      </c>
      <c r="C1271" s="140" t="s">
        <v>37</v>
      </c>
      <c r="D1271" s="140" t="s">
        <v>1515</v>
      </c>
      <c r="E1271" s="140" t="s">
        <v>3177</v>
      </c>
      <c r="F1271" s="140" t="s">
        <v>3240</v>
      </c>
      <c r="G1271" s="139" t="s">
        <v>3222</v>
      </c>
      <c r="H1271" s="139" t="s">
        <v>3241</v>
      </c>
      <c r="I1271" s="139" t="s">
        <v>341</v>
      </c>
      <c r="J1271" s="269">
        <v>100000000</v>
      </c>
      <c r="K1271" s="139" t="s">
        <v>221</v>
      </c>
      <c r="L1271" s="139">
        <v>2967900</v>
      </c>
      <c r="M1271" s="155" t="s">
        <v>55</v>
      </c>
      <c r="N1271" s="139">
        <v>40</v>
      </c>
      <c r="O1271" s="13">
        <v>111280000</v>
      </c>
      <c r="P1271" s="141"/>
    </row>
    <row r="1272" spans="1:16" ht="58" x14ac:dyDescent="0.35">
      <c r="A1272" s="319">
        <v>848</v>
      </c>
      <c r="B1272" s="27" t="s">
        <v>480</v>
      </c>
      <c r="C1272" s="29" t="s">
        <v>481</v>
      </c>
      <c r="D1272" s="29" t="s">
        <v>1021</v>
      </c>
      <c r="E1272" s="29" t="s">
        <v>1027</v>
      </c>
      <c r="F1272" s="29" t="s">
        <v>1028</v>
      </c>
      <c r="G1272" s="126" t="s">
        <v>1029</v>
      </c>
      <c r="H1272" s="126" t="s">
        <v>1030</v>
      </c>
      <c r="I1272" s="126" t="s">
        <v>1031</v>
      </c>
      <c r="J1272" s="127">
        <v>100000000</v>
      </c>
      <c r="K1272" s="126" t="s">
        <v>1025</v>
      </c>
      <c r="L1272" s="126">
        <v>2968895</v>
      </c>
      <c r="M1272" s="126" t="s">
        <v>79</v>
      </c>
      <c r="N1272" s="238" t="s">
        <v>28</v>
      </c>
      <c r="O1272" s="127">
        <v>154937240</v>
      </c>
      <c r="P1272" s="27" t="s">
        <v>3242</v>
      </c>
    </row>
    <row r="1273" spans="1:16" ht="31" x14ac:dyDescent="0.35">
      <c r="A1273" s="128">
        <v>758</v>
      </c>
      <c r="B1273" s="128" t="s">
        <v>71</v>
      </c>
      <c r="C1273" s="128" t="s">
        <v>537</v>
      </c>
      <c r="D1273" s="123" t="s">
        <v>834</v>
      </c>
      <c r="E1273" s="123" t="s">
        <v>992</v>
      </c>
      <c r="F1273" s="123" t="s">
        <v>993</v>
      </c>
      <c r="G1273" s="128" t="s">
        <v>469</v>
      </c>
      <c r="H1273" s="128" t="s">
        <v>994</v>
      </c>
      <c r="I1273" s="128">
        <v>450</v>
      </c>
      <c r="J1273" s="129">
        <v>100000000</v>
      </c>
      <c r="K1273" s="54" t="s">
        <v>197</v>
      </c>
      <c r="L1273" s="128" t="s">
        <v>62</v>
      </c>
      <c r="M1273" s="128" t="s">
        <v>55</v>
      </c>
      <c r="N1273" s="128">
        <v>450</v>
      </c>
      <c r="O1273" s="320">
        <v>114300000</v>
      </c>
      <c r="P1273" s="128" t="s">
        <v>3243</v>
      </c>
    </row>
    <row r="1274" spans="1:16" ht="31" x14ac:dyDescent="0.35">
      <c r="A1274" s="128">
        <v>759</v>
      </c>
      <c r="B1274" s="128" t="s">
        <v>71</v>
      </c>
      <c r="C1274" s="128" t="s">
        <v>537</v>
      </c>
      <c r="D1274" s="123" t="s">
        <v>834</v>
      </c>
      <c r="E1274" s="123" t="s">
        <v>992</v>
      </c>
      <c r="F1274" s="123" t="s">
        <v>997</v>
      </c>
      <c r="G1274" s="128" t="s">
        <v>469</v>
      </c>
      <c r="H1274" s="128" t="s">
        <v>998</v>
      </c>
      <c r="I1274" s="128">
        <v>450</v>
      </c>
      <c r="J1274" s="129">
        <v>100000000</v>
      </c>
      <c r="K1274" s="54" t="s">
        <v>197</v>
      </c>
      <c r="L1274" s="128" t="s">
        <v>62</v>
      </c>
      <c r="M1274" s="128" t="s">
        <v>55</v>
      </c>
      <c r="N1274" s="128">
        <v>450</v>
      </c>
      <c r="O1274" s="320">
        <v>114300000</v>
      </c>
      <c r="P1274" s="128" t="s">
        <v>3243</v>
      </c>
    </row>
    <row r="1275" spans="1:16" ht="43.5" x14ac:dyDescent="0.35">
      <c r="A1275" s="125">
        <v>760</v>
      </c>
      <c r="B1275" s="27" t="s">
        <v>18</v>
      </c>
      <c r="C1275" s="27" t="s">
        <v>37</v>
      </c>
      <c r="D1275" s="27" t="s">
        <v>1515</v>
      </c>
      <c r="E1275" s="27" t="s">
        <v>3244</v>
      </c>
      <c r="F1275" s="27" t="s">
        <v>3245</v>
      </c>
      <c r="G1275" s="27" t="s">
        <v>1376</v>
      </c>
      <c r="H1275" s="27" t="s">
        <v>1377</v>
      </c>
      <c r="I1275" s="27" t="s">
        <v>3246</v>
      </c>
      <c r="J1275" s="127">
        <v>50000000</v>
      </c>
      <c r="K1275" s="126" t="s">
        <v>221</v>
      </c>
      <c r="L1275" s="27">
        <v>3174597</v>
      </c>
      <c r="M1275" s="126" t="s">
        <v>226</v>
      </c>
      <c r="N1275" s="127">
        <v>58</v>
      </c>
      <c r="O1275" s="127">
        <v>49619900</v>
      </c>
      <c r="P1275" s="27" t="s">
        <v>3247</v>
      </c>
    </row>
    <row r="1276" spans="1:16" ht="31" x14ac:dyDescent="0.35">
      <c r="A1276" s="125">
        <v>761</v>
      </c>
      <c r="B1276" s="28"/>
      <c r="C1276" s="28"/>
      <c r="D1276" s="28"/>
      <c r="E1276" s="128" t="s">
        <v>3248</v>
      </c>
      <c r="F1276" s="28"/>
      <c r="G1276" s="27" t="s">
        <v>436</v>
      </c>
      <c r="H1276" s="27" t="s">
        <v>2846</v>
      </c>
      <c r="I1276" s="28"/>
      <c r="J1276" s="28"/>
      <c r="K1276" s="126" t="s">
        <v>221</v>
      </c>
      <c r="L1276" s="28"/>
      <c r="M1276" s="26" t="s">
        <v>226</v>
      </c>
      <c r="N1276" s="27" t="s">
        <v>35</v>
      </c>
      <c r="O1276" s="127">
        <v>210000000</v>
      </c>
      <c r="P1276" s="28" t="s">
        <v>3249</v>
      </c>
    </row>
    <row r="1277" spans="1:16" ht="29" x14ac:dyDescent="0.35">
      <c r="A1277" s="125">
        <v>762</v>
      </c>
      <c r="B1277" s="28"/>
      <c r="C1277" s="28"/>
      <c r="D1277" s="28"/>
      <c r="E1277" s="28"/>
      <c r="F1277" s="28"/>
      <c r="G1277" s="242" t="s">
        <v>769</v>
      </c>
      <c r="H1277" s="242" t="s">
        <v>3250</v>
      </c>
      <c r="I1277" s="28"/>
      <c r="J1277" s="28"/>
      <c r="K1277" s="126" t="s">
        <v>221</v>
      </c>
      <c r="L1277" s="28"/>
      <c r="M1277" s="26" t="s">
        <v>226</v>
      </c>
      <c r="N1277" s="28" t="s">
        <v>313</v>
      </c>
      <c r="O1277" s="321">
        <v>100000000</v>
      </c>
      <c r="P1277" s="28" t="s">
        <v>3249</v>
      </c>
    </row>
    <row r="1278" spans="1:16" ht="43.5" x14ac:dyDescent="0.35">
      <c r="A1278" s="125">
        <v>763</v>
      </c>
      <c r="B1278" s="27" t="s">
        <v>18</v>
      </c>
      <c r="C1278" s="27" t="s">
        <v>37</v>
      </c>
      <c r="D1278" s="27" t="s">
        <v>1515</v>
      </c>
      <c r="E1278" s="27" t="s">
        <v>2704</v>
      </c>
      <c r="F1278" s="27" t="s">
        <v>2712</v>
      </c>
      <c r="G1278" s="27" t="s">
        <v>912</v>
      </c>
      <c r="H1278" s="27" t="s">
        <v>2713</v>
      </c>
      <c r="I1278" s="27" t="s">
        <v>561</v>
      </c>
      <c r="J1278" s="27">
        <v>100000000</v>
      </c>
      <c r="K1278" s="126" t="s">
        <v>221</v>
      </c>
      <c r="L1278" s="27">
        <v>2790544</v>
      </c>
      <c r="M1278" s="126" t="s">
        <v>173</v>
      </c>
      <c r="N1278" s="127">
        <v>300</v>
      </c>
      <c r="O1278" s="127">
        <v>100000000</v>
      </c>
      <c r="P1278" s="27" t="s">
        <v>3251</v>
      </c>
    </row>
    <row r="1279" spans="1:16" ht="29" x14ac:dyDescent="0.35">
      <c r="A1279" s="125">
        <v>764</v>
      </c>
      <c r="B1279" s="28"/>
      <c r="C1279" s="28"/>
      <c r="D1279" s="28"/>
      <c r="E1279" s="131" t="s">
        <v>1635</v>
      </c>
      <c r="F1279" s="27" t="s">
        <v>373</v>
      </c>
      <c r="G1279" s="27" t="s">
        <v>209</v>
      </c>
      <c r="H1279" s="27" t="s">
        <v>2656</v>
      </c>
      <c r="I1279" s="28"/>
      <c r="J1279" s="28"/>
      <c r="K1279" s="126" t="s">
        <v>221</v>
      </c>
      <c r="L1279" s="28"/>
      <c r="M1279" s="26" t="s">
        <v>46</v>
      </c>
      <c r="N1279" s="27" t="s">
        <v>122</v>
      </c>
      <c r="O1279" s="127">
        <v>50000000</v>
      </c>
      <c r="P1279" s="28" t="s">
        <v>3249</v>
      </c>
    </row>
    <row r="1280" spans="1:16" ht="29" x14ac:dyDescent="0.35">
      <c r="A1280" s="125">
        <v>765</v>
      </c>
      <c r="B1280" s="28"/>
      <c r="C1280" s="28"/>
      <c r="D1280" s="28"/>
      <c r="E1280" s="131" t="s">
        <v>3252</v>
      </c>
      <c r="F1280" s="131" t="s">
        <v>3253</v>
      </c>
      <c r="G1280" s="126" t="s">
        <v>2566</v>
      </c>
      <c r="H1280" s="126" t="s">
        <v>3254</v>
      </c>
      <c r="I1280" s="28"/>
      <c r="J1280" s="28"/>
      <c r="K1280" s="126" t="s">
        <v>221</v>
      </c>
      <c r="L1280" s="28"/>
      <c r="M1280" s="26" t="s">
        <v>144</v>
      </c>
      <c r="N1280" s="126" t="s">
        <v>313</v>
      </c>
      <c r="O1280" s="222">
        <v>210000000</v>
      </c>
      <c r="P1280" s="28" t="s">
        <v>3249</v>
      </c>
    </row>
    <row r="1281" spans="1:16" ht="29" x14ac:dyDescent="0.35">
      <c r="A1281" s="125">
        <v>766</v>
      </c>
      <c r="B1281" s="28"/>
      <c r="C1281" s="28"/>
      <c r="D1281" s="28"/>
      <c r="E1281" s="322" t="s">
        <v>992</v>
      </c>
      <c r="F1281" s="323" t="s">
        <v>3255</v>
      </c>
      <c r="G1281" s="323" t="s">
        <v>3256</v>
      </c>
      <c r="H1281" s="322" t="s">
        <v>3257</v>
      </c>
      <c r="I1281" s="28"/>
      <c r="J1281" s="28"/>
      <c r="K1281" s="126" t="s">
        <v>221</v>
      </c>
      <c r="L1281" s="28"/>
      <c r="M1281" s="26" t="s">
        <v>27</v>
      </c>
      <c r="N1281" s="322" t="s">
        <v>1513</v>
      </c>
      <c r="O1281" s="346">
        <v>150000000</v>
      </c>
      <c r="P1281" s="28" t="s">
        <v>3249</v>
      </c>
    </row>
    <row r="1282" spans="1:16" ht="29" x14ac:dyDescent="0.35">
      <c r="A1282" s="125">
        <v>767</v>
      </c>
      <c r="B1282" s="28"/>
      <c r="C1282" s="28"/>
      <c r="D1282" s="28"/>
      <c r="E1282" s="31" t="s">
        <v>3258</v>
      </c>
      <c r="F1282" s="131" t="s">
        <v>3259</v>
      </c>
      <c r="G1282" s="131" t="s">
        <v>3260</v>
      </c>
      <c r="H1282" s="131" t="s">
        <v>3261</v>
      </c>
      <c r="I1282" s="27" t="s">
        <v>3262</v>
      </c>
      <c r="J1282" s="127">
        <v>100000000</v>
      </c>
      <c r="K1282" s="126" t="s">
        <v>221</v>
      </c>
      <c r="L1282" s="28"/>
      <c r="M1282" s="26" t="s">
        <v>180</v>
      </c>
      <c r="N1282" s="322" t="s">
        <v>1513</v>
      </c>
      <c r="O1282" s="127">
        <v>100000000</v>
      </c>
      <c r="P1282" s="28" t="s">
        <v>3249</v>
      </c>
    </row>
    <row r="1283" spans="1:16" ht="29" x14ac:dyDescent="0.35">
      <c r="A1283" s="125">
        <v>768</v>
      </c>
      <c r="B1283" s="28"/>
      <c r="C1283" s="28"/>
      <c r="D1283" s="28"/>
      <c r="E1283" s="131" t="s">
        <v>3263</v>
      </c>
      <c r="F1283" s="126" t="s">
        <v>3264</v>
      </c>
      <c r="G1283" s="126" t="s">
        <v>1003</v>
      </c>
      <c r="H1283" s="126" t="s">
        <v>3265</v>
      </c>
      <c r="I1283" s="28"/>
      <c r="J1283" s="222">
        <v>111280000</v>
      </c>
      <c r="K1283" s="126" t="s">
        <v>221</v>
      </c>
      <c r="L1283" s="28"/>
      <c r="M1283" s="26" t="s">
        <v>55</v>
      </c>
      <c r="N1283" s="131" t="s">
        <v>1507</v>
      </c>
      <c r="O1283" s="222">
        <v>111280000</v>
      </c>
      <c r="P1283" s="28" t="s">
        <v>3249</v>
      </c>
    </row>
    <row r="1284" spans="1:16" ht="29" x14ac:dyDescent="0.35">
      <c r="A1284" s="125">
        <v>769</v>
      </c>
      <c r="B1284" s="28"/>
      <c r="C1284" s="28"/>
      <c r="D1284" s="28"/>
      <c r="E1284" s="131" t="s">
        <v>3266</v>
      </c>
      <c r="F1284" s="126" t="s">
        <v>3264</v>
      </c>
      <c r="G1284" s="126" t="s">
        <v>469</v>
      </c>
      <c r="H1284" s="126" t="s">
        <v>3267</v>
      </c>
      <c r="I1284" s="28"/>
      <c r="J1284" s="222">
        <v>114300000</v>
      </c>
      <c r="K1284" s="126" t="s">
        <v>221</v>
      </c>
      <c r="L1284" s="28"/>
      <c r="M1284" s="26" t="s">
        <v>55</v>
      </c>
      <c r="N1284" s="131" t="s">
        <v>1507</v>
      </c>
      <c r="O1284" s="222">
        <v>114300000</v>
      </c>
      <c r="P1284" s="28" t="s">
        <v>3249</v>
      </c>
    </row>
    <row r="1285" spans="1:16" ht="29" x14ac:dyDescent="0.35">
      <c r="A1285" s="125">
        <v>770</v>
      </c>
      <c r="B1285" s="28"/>
      <c r="C1285" s="28"/>
      <c r="D1285" s="28"/>
      <c r="E1285" s="131" t="s">
        <v>3266</v>
      </c>
      <c r="F1285" s="126" t="s">
        <v>3264</v>
      </c>
      <c r="G1285" s="126" t="s">
        <v>469</v>
      </c>
      <c r="H1285" s="126" t="s">
        <v>3268</v>
      </c>
      <c r="I1285" s="28"/>
      <c r="J1285" s="222">
        <v>114300000</v>
      </c>
      <c r="K1285" s="126" t="s">
        <v>221</v>
      </c>
      <c r="L1285" s="28"/>
      <c r="M1285" s="26" t="s">
        <v>55</v>
      </c>
      <c r="N1285" s="131" t="s">
        <v>1507</v>
      </c>
      <c r="O1285" s="222">
        <v>114300000</v>
      </c>
      <c r="P1285" s="28" t="s">
        <v>3249</v>
      </c>
    </row>
    <row r="1286" spans="1:16" ht="29" x14ac:dyDescent="0.35">
      <c r="A1286" s="125">
        <v>771</v>
      </c>
      <c r="B1286" s="28"/>
      <c r="C1286" s="28"/>
      <c r="D1286" s="28"/>
      <c r="E1286" s="131" t="s">
        <v>3266</v>
      </c>
      <c r="F1286" s="126" t="s">
        <v>3264</v>
      </c>
      <c r="G1286" s="126" t="s">
        <v>469</v>
      </c>
      <c r="H1286" s="126" t="s">
        <v>3269</v>
      </c>
      <c r="I1286" s="28"/>
      <c r="J1286" s="222">
        <v>114300000</v>
      </c>
      <c r="K1286" s="126" t="s">
        <v>221</v>
      </c>
      <c r="L1286" s="28"/>
      <c r="M1286" s="26" t="s">
        <v>55</v>
      </c>
      <c r="N1286" s="131" t="s">
        <v>1507</v>
      </c>
      <c r="O1286" s="222">
        <v>114300000</v>
      </c>
      <c r="P1286" s="28" t="s">
        <v>3249</v>
      </c>
    </row>
    <row r="1287" spans="1:16" ht="29" x14ac:dyDescent="0.35">
      <c r="A1287" s="125">
        <v>772</v>
      </c>
      <c r="B1287" s="28"/>
      <c r="C1287" s="28"/>
      <c r="D1287" s="28"/>
      <c r="E1287" s="131" t="s">
        <v>3266</v>
      </c>
      <c r="F1287" s="126" t="s">
        <v>3264</v>
      </c>
      <c r="G1287" s="126" t="s">
        <v>469</v>
      </c>
      <c r="H1287" s="126" t="s">
        <v>3270</v>
      </c>
      <c r="I1287" s="28"/>
      <c r="J1287" s="222">
        <v>114300000</v>
      </c>
      <c r="K1287" s="126" t="s">
        <v>221</v>
      </c>
      <c r="L1287" s="28"/>
      <c r="M1287" s="26" t="s">
        <v>55</v>
      </c>
      <c r="N1287" s="131" t="s">
        <v>1507</v>
      </c>
      <c r="O1287" s="222">
        <v>114300000</v>
      </c>
      <c r="P1287" s="28" t="s">
        <v>3249</v>
      </c>
    </row>
    <row r="1288" spans="1:16" ht="29" x14ac:dyDescent="0.35">
      <c r="A1288" s="125">
        <v>773</v>
      </c>
      <c r="B1288" s="28"/>
      <c r="C1288" s="28"/>
      <c r="D1288" s="28"/>
      <c r="E1288" s="131" t="s">
        <v>3271</v>
      </c>
      <c r="F1288" s="26" t="s">
        <v>3272</v>
      </c>
      <c r="G1288" s="26" t="s">
        <v>219</v>
      </c>
      <c r="H1288" s="26" t="s">
        <v>3273</v>
      </c>
      <c r="I1288" s="28"/>
      <c r="J1288" s="222">
        <v>111280000</v>
      </c>
      <c r="K1288" s="126" t="s">
        <v>221</v>
      </c>
      <c r="L1288" s="28"/>
      <c r="M1288" s="26" t="s">
        <v>55</v>
      </c>
      <c r="N1288" s="131" t="s">
        <v>1507</v>
      </c>
      <c r="O1288" s="222">
        <v>111280000</v>
      </c>
      <c r="P1288" s="28" t="s">
        <v>3249</v>
      </c>
    </row>
    <row r="1289" spans="1:16" ht="29" x14ac:dyDescent="0.35">
      <c r="A1289" s="125">
        <v>774</v>
      </c>
      <c r="B1289" s="28"/>
      <c r="C1289" s="28"/>
      <c r="D1289" s="28"/>
      <c r="E1289" s="131" t="s">
        <v>3274</v>
      </c>
      <c r="F1289" s="28" t="s">
        <v>373</v>
      </c>
      <c r="G1289" s="125" t="s">
        <v>3275</v>
      </c>
      <c r="H1289" s="126" t="s">
        <v>3276</v>
      </c>
      <c r="I1289" s="28"/>
      <c r="J1289" s="222">
        <v>111280000</v>
      </c>
      <c r="K1289" s="126" t="s">
        <v>221</v>
      </c>
      <c r="L1289" s="28"/>
      <c r="M1289" s="26" t="s">
        <v>55</v>
      </c>
      <c r="N1289" s="131" t="s">
        <v>1507</v>
      </c>
      <c r="O1289" s="222">
        <v>111280000</v>
      </c>
      <c r="P1289" s="28" t="s">
        <v>3249</v>
      </c>
    </row>
    <row r="1290" spans="1:16" ht="29" x14ac:dyDescent="0.35">
      <c r="A1290" s="125">
        <v>775</v>
      </c>
      <c r="B1290" s="28"/>
      <c r="C1290" s="28"/>
      <c r="D1290" s="28"/>
      <c r="E1290" s="131" t="s">
        <v>3274</v>
      </c>
      <c r="F1290" s="28" t="s">
        <v>373</v>
      </c>
      <c r="G1290" s="125" t="s">
        <v>3275</v>
      </c>
      <c r="H1290" s="126" t="s">
        <v>3277</v>
      </c>
      <c r="I1290" s="28"/>
      <c r="J1290" s="222">
        <v>111280000</v>
      </c>
      <c r="K1290" s="126" t="s">
        <v>221</v>
      </c>
      <c r="L1290" s="28"/>
      <c r="M1290" s="26" t="s">
        <v>55</v>
      </c>
      <c r="N1290" s="131" t="s">
        <v>1507</v>
      </c>
      <c r="O1290" s="222">
        <v>111280000</v>
      </c>
      <c r="P1290" s="28" t="s">
        <v>3249</v>
      </c>
    </row>
    <row r="1291" spans="1:16" ht="29" x14ac:dyDescent="0.35">
      <c r="A1291" s="125">
        <v>776</v>
      </c>
      <c r="B1291" s="28"/>
      <c r="C1291" s="28"/>
      <c r="D1291" s="28"/>
      <c r="E1291" s="131" t="s">
        <v>3274</v>
      </c>
      <c r="F1291" s="28" t="s">
        <v>373</v>
      </c>
      <c r="G1291" s="125" t="s">
        <v>3275</v>
      </c>
      <c r="H1291" s="126" t="s">
        <v>3278</v>
      </c>
      <c r="I1291" s="28"/>
      <c r="J1291" s="222">
        <v>111280000</v>
      </c>
      <c r="K1291" s="126" t="s">
        <v>221</v>
      </c>
      <c r="L1291" s="28"/>
      <c r="M1291" s="26" t="s">
        <v>55</v>
      </c>
      <c r="N1291" s="131" t="s">
        <v>1507</v>
      </c>
      <c r="O1291" s="222">
        <v>111280000</v>
      </c>
      <c r="P1291" s="28" t="s">
        <v>3249</v>
      </c>
    </row>
    <row r="1292" spans="1:16" ht="29" x14ac:dyDescent="0.35">
      <c r="A1292" s="125">
        <v>777</v>
      </c>
      <c r="B1292" s="28"/>
      <c r="C1292" s="28"/>
      <c r="D1292" s="28"/>
      <c r="E1292" s="131" t="s">
        <v>3274</v>
      </c>
      <c r="F1292" s="28" t="s">
        <v>373</v>
      </c>
      <c r="G1292" s="125" t="s">
        <v>3275</v>
      </c>
      <c r="H1292" s="126" t="s">
        <v>3279</v>
      </c>
      <c r="I1292" s="28"/>
      <c r="J1292" s="222">
        <v>111280000</v>
      </c>
      <c r="K1292" s="126" t="s">
        <v>221</v>
      </c>
      <c r="L1292" s="28"/>
      <c r="M1292" s="26" t="s">
        <v>55</v>
      </c>
      <c r="N1292" s="131" t="s">
        <v>1507</v>
      </c>
      <c r="O1292" s="222">
        <v>111280000</v>
      </c>
      <c r="P1292" s="28" t="s">
        <v>3249</v>
      </c>
    </row>
    <row r="1293" spans="1:16" ht="29" x14ac:dyDescent="0.35">
      <c r="A1293" s="125">
        <v>778</v>
      </c>
      <c r="B1293" s="28"/>
      <c r="C1293" s="28"/>
      <c r="D1293" s="28"/>
      <c r="E1293" s="131" t="s">
        <v>3274</v>
      </c>
      <c r="F1293" s="28" t="s">
        <v>373</v>
      </c>
      <c r="G1293" s="125" t="s">
        <v>3275</v>
      </c>
      <c r="H1293" s="126" t="s">
        <v>3280</v>
      </c>
      <c r="I1293" s="28"/>
      <c r="J1293" s="222">
        <v>111280000</v>
      </c>
      <c r="K1293" s="126" t="s">
        <v>221</v>
      </c>
      <c r="L1293" s="28"/>
      <c r="M1293" s="26" t="s">
        <v>55</v>
      </c>
      <c r="N1293" s="131" t="s">
        <v>1507</v>
      </c>
      <c r="O1293" s="222">
        <v>111280000</v>
      </c>
      <c r="P1293" s="28" t="s">
        <v>3249</v>
      </c>
    </row>
    <row r="1294" spans="1:16" ht="29" x14ac:dyDescent="0.35">
      <c r="A1294" s="125">
        <v>779</v>
      </c>
      <c r="B1294" s="28"/>
      <c r="C1294" s="28"/>
      <c r="D1294" s="28"/>
      <c r="E1294" s="131" t="s">
        <v>3274</v>
      </c>
      <c r="F1294" s="131" t="s">
        <v>3281</v>
      </c>
      <c r="G1294" s="26" t="s">
        <v>3282</v>
      </c>
      <c r="H1294" s="26" t="s">
        <v>3283</v>
      </c>
      <c r="I1294" s="28"/>
      <c r="J1294" s="30">
        <v>102454000</v>
      </c>
      <c r="K1294" s="126" t="s">
        <v>221</v>
      </c>
      <c r="L1294" s="28"/>
      <c r="M1294" s="26" t="s">
        <v>55</v>
      </c>
      <c r="N1294" s="131" t="s">
        <v>1507</v>
      </c>
      <c r="O1294" s="30">
        <v>102454000</v>
      </c>
      <c r="P1294" s="28" t="s">
        <v>3249</v>
      </c>
    </row>
    <row r="1295" spans="1:16" ht="29" x14ac:dyDescent="0.35">
      <c r="A1295" s="125">
        <v>780</v>
      </c>
      <c r="B1295" s="28"/>
      <c r="C1295" s="28"/>
      <c r="D1295" s="28"/>
      <c r="E1295" s="131" t="s">
        <v>3274</v>
      </c>
      <c r="F1295" s="131" t="s">
        <v>3281</v>
      </c>
      <c r="G1295" s="26" t="s">
        <v>3282</v>
      </c>
      <c r="H1295" s="26" t="s">
        <v>3283</v>
      </c>
      <c r="I1295" s="28"/>
      <c r="J1295" s="30">
        <v>102454000</v>
      </c>
      <c r="K1295" s="126" t="s">
        <v>221</v>
      </c>
      <c r="L1295" s="28"/>
      <c r="M1295" s="26" t="s">
        <v>55</v>
      </c>
      <c r="N1295" s="131" t="s">
        <v>1507</v>
      </c>
      <c r="O1295" s="30">
        <v>102454000</v>
      </c>
      <c r="P1295" s="28" t="s">
        <v>3249</v>
      </c>
    </row>
    <row r="1296" spans="1:16" ht="29" x14ac:dyDescent="0.35">
      <c r="A1296" s="125">
        <v>781</v>
      </c>
      <c r="B1296" s="28"/>
      <c r="C1296" s="28"/>
      <c r="D1296" s="28"/>
      <c r="E1296" s="131" t="s">
        <v>3274</v>
      </c>
      <c r="F1296" s="28" t="s">
        <v>373</v>
      </c>
      <c r="G1296" s="126" t="s">
        <v>529</v>
      </c>
      <c r="H1296" s="126" t="s">
        <v>3284</v>
      </c>
      <c r="I1296" s="28"/>
      <c r="J1296" s="265">
        <v>100000000</v>
      </c>
      <c r="K1296" s="126" t="s">
        <v>221</v>
      </c>
      <c r="L1296" s="28"/>
      <c r="M1296" s="26" t="s">
        <v>55</v>
      </c>
      <c r="N1296" s="131" t="s">
        <v>1507</v>
      </c>
      <c r="O1296" s="222">
        <v>100000000</v>
      </c>
      <c r="P1296" s="28" t="s">
        <v>3249</v>
      </c>
    </row>
    <row r="1297" spans="1:16" ht="29" x14ac:dyDescent="0.35">
      <c r="A1297" s="125">
        <v>782</v>
      </c>
      <c r="B1297" s="27" t="s">
        <v>71</v>
      </c>
      <c r="C1297" s="27" t="s">
        <v>551</v>
      </c>
      <c r="D1297" s="27" t="s">
        <v>552</v>
      </c>
      <c r="E1297" s="27" t="s">
        <v>3285</v>
      </c>
      <c r="F1297" s="27" t="s">
        <v>3286</v>
      </c>
      <c r="G1297" s="126" t="s">
        <v>463</v>
      </c>
      <c r="H1297" s="115" t="s">
        <v>3287</v>
      </c>
      <c r="I1297" s="126" t="s">
        <v>3288</v>
      </c>
      <c r="J1297" s="265">
        <v>200000000</v>
      </c>
      <c r="K1297" s="126" t="s">
        <v>553</v>
      </c>
      <c r="L1297" s="126">
        <v>2767698</v>
      </c>
      <c r="M1297" s="126" t="s">
        <v>55</v>
      </c>
      <c r="N1297" s="126" t="s">
        <v>3288</v>
      </c>
      <c r="O1297" s="222">
        <v>200000000</v>
      </c>
      <c r="P1297" s="28" t="s">
        <v>3289</v>
      </c>
    </row>
    <row r="1298" spans="1:16" ht="29" x14ac:dyDescent="0.35">
      <c r="A1298" s="125">
        <v>783</v>
      </c>
      <c r="B1298" s="27" t="s">
        <v>71</v>
      </c>
      <c r="C1298" s="27" t="s">
        <v>551</v>
      </c>
      <c r="D1298" s="27" t="s">
        <v>552</v>
      </c>
      <c r="E1298" s="27" t="s">
        <v>1544</v>
      </c>
      <c r="F1298" s="27" t="s">
        <v>462</v>
      </c>
      <c r="G1298" s="126" t="s">
        <v>463</v>
      </c>
      <c r="H1298" s="115" t="s">
        <v>464</v>
      </c>
      <c r="I1298" s="126" t="s">
        <v>3288</v>
      </c>
      <c r="J1298" s="265">
        <v>100000000</v>
      </c>
      <c r="K1298" s="126" t="s">
        <v>553</v>
      </c>
      <c r="L1298" s="126">
        <v>2958833</v>
      </c>
      <c r="M1298" s="126" t="s">
        <v>55</v>
      </c>
      <c r="N1298" s="126" t="s">
        <v>3290</v>
      </c>
      <c r="O1298" s="222">
        <v>100000000</v>
      </c>
      <c r="P1298" s="28" t="s">
        <v>3289</v>
      </c>
    </row>
    <row r="1299" spans="1:16" ht="29" x14ac:dyDescent="0.35">
      <c r="A1299" s="125">
        <v>784</v>
      </c>
      <c r="B1299" s="27" t="s">
        <v>71</v>
      </c>
      <c r="C1299" s="27" t="s">
        <v>551</v>
      </c>
      <c r="D1299" s="27" t="s">
        <v>552</v>
      </c>
      <c r="E1299" s="27" t="s">
        <v>1544</v>
      </c>
      <c r="F1299" s="27" t="s">
        <v>641</v>
      </c>
      <c r="G1299" s="126" t="s">
        <v>463</v>
      </c>
      <c r="H1299" s="126" t="s">
        <v>642</v>
      </c>
      <c r="I1299" s="126" t="s">
        <v>3288</v>
      </c>
      <c r="J1299" s="265">
        <v>100000000</v>
      </c>
      <c r="K1299" s="126" t="s">
        <v>553</v>
      </c>
      <c r="L1299" s="126">
        <v>2958764</v>
      </c>
      <c r="M1299" s="126" t="s">
        <v>55</v>
      </c>
      <c r="N1299" s="126" t="s">
        <v>3290</v>
      </c>
      <c r="O1299" s="222">
        <v>100000000</v>
      </c>
      <c r="P1299" s="28" t="s">
        <v>3289</v>
      </c>
    </row>
    <row r="1300" spans="1:16" ht="29" x14ac:dyDescent="0.35">
      <c r="A1300" s="125">
        <v>785</v>
      </c>
      <c r="B1300" s="27" t="s">
        <v>71</v>
      </c>
      <c r="C1300" s="27" t="s">
        <v>551</v>
      </c>
      <c r="D1300" s="27" t="s">
        <v>552</v>
      </c>
      <c r="E1300" s="27" t="s">
        <v>1544</v>
      </c>
      <c r="F1300" s="27" t="s">
        <v>3291</v>
      </c>
      <c r="G1300" s="126" t="s">
        <v>463</v>
      </c>
      <c r="H1300" s="126" t="s">
        <v>3292</v>
      </c>
      <c r="I1300" s="126" t="s">
        <v>3288</v>
      </c>
      <c r="J1300" s="265">
        <v>200000000</v>
      </c>
      <c r="K1300" s="126" t="s">
        <v>553</v>
      </c>
      <c r="L1300" s="126">
        <v>2958719</v>
      </c>
      <c r="M1300" s="126" t="s">
        <v>55</v>
      </c>
      <c r="N1300" s="126" t="s">
        <v>3288</v>
      </c>
      <c r="O1300" s="222">
        <v>200000000</v>
      </c>
      <c r="P1300" s="28" t="s">
        <v>3289</v>
      </c>
    </row>
    <row r="1301" spans="1:16" ht="29" x14ac:dyDescent="0.35">
      <c r="A1301" s="125">
        <v>786</v>
      </c>
      <c r="B1301" s="27" t="s">
        <v>71</v>
      </c>
      <c r="C1301" s="27" t="s">
        <v>551</v>
      </c>
      <c r="D1301" s="27" t="s">
        <v>552</v>
      </c>
      <c r="E1301" s="27" t="s">
        <v>1544</v>
      </c>
      <c r="F1301" s="27" t="s">
        <v>3293</v>
      </c>
      <c r="G1301" s="126" t="s">
        <v>463</v>
      </c>
      <c r="H1301" s="126" t="s">
        <v>3294</v>
      </c>
      <c r="I1301" s="126" t="s">
        <v>3288</v>
      </c>
      <c r="J1301" s="265">
        <v>100000000</v>
      </c>
      <c r="K1301" s="126" t="s">
        <v>553</v>
      </c>
      <c r="L1301" s="126">
        <v>2958666</v>
      </c>
      <c r="M1301" s="126" t="s">
        <v>55</v>
      </c>
      <c r="N1301" s="126" t="s">
        <v>3288</v>
      </c>
      <c r="O1301" s="222">
        <v>200000000</v>
      </c>
      <c r="P1301" s="28" t="s">
        <v>3289</v>
      </c>
    </row>
    <row r="1302" spans="1:16" ht="29" x14ac:dyDescent="0.35">
      <c r="A1302" s="139">
        <f t="shared" ref="A1302:A1339" si="22">A1301+1</f>
        <v>787</v>
      </c>
      <c r="B1302" s="140" t="s">
        <v>576</v>
      </c>
      <c r="C1302" s="140" t="s">
        <v>3042</v>
      </c>
      <c r="D1302" s="140" t="s">
        <v>3295</v>
      </c>
      <c r="E1302" s="140" t="s">
        <v>427</v>
      </c>
      <c r="F1302" s="140" t="s">
        <v>3296</v>
      </c>
      <c r="G1302" s="140" t="s">
        <v>205</v>
      </c>
      <c r="H1302" s="140" t="s">
        <v>259</v>
      </c>
      <c r="I1302" s="140"/>
      <c r="J1302" s="324"/>
      <c r="K1302" s="139" t="s">
        <v>3297</v>
      </c>
      <c r="L1302" s="140">
        <v>2816394</v>
      </c>
      <c r="M1302" s="155" t="s">
        <v>79</v>
      </c>
      <c r="N1302" s="324" t="s">
        <v>28</v>
      </c>
      <c r="O1302" s="127">
        <v>31625000</v>
      </c>
      <c r="P1302" s="325"/>
    </row>
    <row r="1303" spans="1:16" ht="29" x14ac:dyDescent="0.35">
      <c r="A1303" s="139">
        <f t="shared" si="22"/>
        <v>788</v>
      </c>
      <c r="B1303" s="140" t="s">
        <v>576</v>
      </c>
      <c r="C1303" s="140" t="s">
        <v>3042</v>
      </c>
      <c r="D1303" s="140" t="s">
        <v>3295</v>
      </c>
      <c r="E1303" s="140" t="s">
        <v>427</v>
      </c>
      <c r="F1303" s="140" t="s">
        <v>3298</v>
      </c>
      <c r="G1303" s="140" t="s">
        <v>266</v>
      </c>
      <c r="H1303" s="140" t="s">
        <v>1617</v>
      </c>
      <c r="I1303" s="140"/>
      <c r="J1303" s="324">
        <v>28500000</v>
      </c>
      <c r="K1303" s="139" t="s">
        <v>3297</v>
      </c>
      <c r="L1303" s="140">
        <v>2908671</v>
      </c>
      <c r="M1303" s="155" t="s">
        <v>79</v>
      </c>
      <c r="N1303" s="324" t="s">
        <v>28</v>
      </c>
      <c r="O1303" s="127">
        <v>31625000</v>
      </c>
      <c r="P1303" s="325"/>
    </row>
    <row r="1304" spans="1:16" ht="29" x14ac:dyDescent="0.35">
      <c r="A1304" s="139">
        <f t="shared" si="22"/>
        <v>789</v>
      </c>
      <c r="B1304" s="140" t="s">
        <v>576</v>
      </c>
      <c r="C1304" s="140" t="s">
        <v>3042</v>
      </c>
      <c r="D1304" s="140" t="s">
        <v>3299</v>
      </c>
      <c r="E1304" s="140" t="s">
        <v>3300</v>
      </c>
      <c r="F1304" s="140" t="s">
        <v>3301</v>
      </c>
      <c r="G1304" s="140" t="s">
        <v>1063</v>
      </c>
      <c r="H1304" s="140" t="s">
        <v>3302</v>
      </c>
      <c r="I1304" s="140" t="s">
        <v>35</v>
      </c>
      <c r="J1304" s="324">
        <v>100000000</v>
      </c>
      <c r="K1304" s="139" t="s">
        <v>3297</v>
      </c>
      <c r="L1304" s="140">
        <v>2907652</v>
      </c>
      <c r="M1304" s="32" t="s">
        <v>97</v>
      </c>
      <c r="N1304" s="326" t="s">
        <v>25</v>
      </c>
      <c r="O1304" s="10">
        <v>100000000</v>
      </c>
      <c r="P1304" s="140"/>
    </row>
    <row r="1305" spans="1:16" ht="29" x14ac:dyDescent="0.35">
      <c r="A1305" s="139">
        <f t="shared" si="22"/>
        <v>790</v>
      </c>
      <c r="B1305" s="140" t="s">
        <v>576</v>
      </c>
      <c r="C1305" s="140" t="s">
        <v>3042</v>
      </c>
      <c r="D1305" s="140" t="s">
        <v>3295</v>
      </c>
      <c r="E1305" s="140" t="s">
        <v>3303</v>
      </c>
      <c r="F1305" s="140" t="s">
        <v>495</v>
      </c>
      <c r="G1305" s="144" t="s">
        <v>496</v>
      </c>
      <c r="H1305" s="144" t="s">
        <v>497</v>
      </c>
      <c r="I1305" s="144" t="s">
        <v>54</v>
      </c>
      <c r="J1305" s="324">
        <v>300000000</v>
      </c>
      <c r="K1305" s="139" t="s">
        <v>3297</v>
      </c>
      <c r="L1305" s="140">
        <v>2795875</v>
      </c>
      <c r="M1305" s="32" t="s">
        <v>97</v>
      </c>
      <c r="N1305" s="326" t="s">
        <v>3304</v>
      </c>
      <c r="O1305" s="10">
        <v>426114400</v>
      </c>
      <c r="P1305" s="140"/>
    </row>
    <row r="1306" spans="1:16" ht="29" x14ac:dyDescent="0.35">
      <c r="A1306" s="139">
        <f t="shared" si="22"/>
        <v>791</v>
      </c>
      <c r="B1306" s="140" t="s">
        <v>576</v>
      </c>
      <c r="C1306" s="140" t="s">
        <v>3042</v>
      </c>
      <c r="D1306" s="140" t="s">
        <v>3295</v>
      </c>
      <c r="E1306" s="140" t="s">
        <v>3303</v>
      </c>
      <c r="F1306" s="140" t="s">
        <v>1079</v>
      </c>
      <c r="G1306" s="144" t="s">
        <v>496</v>
      </c>
      <c r="H1306" s="144" t="s">
        <v>496</v>
      </c>
      <c r="I1306" s="144" t="s">
        <v>54</v>
      </c>
      <c r="J1306" s="324">
        <v>300000000</v>
      </c>
      <c r="K1306" s="139" t="s">
        <v>3297</v>
      </c>
      <c r="L1306" s="140">
        <v>2795875</v>
      </c>
      <c r="M1306" s="32" t="s">
        <v>97</v>
      </c>
      <c r="N1306" s="326" t="s">
        <v>3304</v>
      </c>
      <c r="O1306" s="10">
        <v>426114400</v>
      </c>
      <c r="P1306" s="140"/>
    </row>
    <row r="1307" spans="1:16" ht="29" x14ac:dyDescent="0.35">
      <c r="A1307" s="139">
        <f t="shared" si="22"/>
        <v>792</v>
      </c>
      <c r="B1307" s="140" t="s">
        <v>576</v>
      </c>
      <c r="C1307" s="140" t="s">
        <v>3042</v>
      </c>
      <c r="D1307" s="140" t="s">
        <v>3295</v>
      </c>
      <c r="E1307" s="140" t="s">
        <v>3305</v>
      </c>
      <c r="F1307" s="140" t="s">
        <v>292</v>
      </c>
      <c r="G1307" s="144" t="s">
        <v>101</v>
      </c>
      <c r="H1307" s="144" t="s">
        <v>293</v>
      </c>
      <c r="I1307" s="144" t="s">
        <v>3306</v>
      </c>
      <c r="J1307" s="324">
        <v>52000000</v>
      </c>
      <c r="K1307" s="139" t="s">
        <v>3297</v>
      </c>
      <c r="L1307" s="140">
        <v>2907591</v>
      </c>
      <c r="M1307" s="32" t="s">
        <v>97</v>
      </c>
      <c r="N1307" s="326" t="s">
        <v>25</v>
      </c>
      <c r="O1307" s="10">
        <v>100000000</v>
      </c>
      <c r="P1307" s="140"/>
    </row>
    <row r="1308" spans="1:16" ht="29" x14ac:dyDescent="0.35">
      <c r="A1308" s="139">
        <f t="shared" si="22"/>
        <v>793</v>
      </c>
      <c r="B1308" s="140" t="s">
        <v>576</v>
      </c>
      <c r="C1308" s="140" t="s">
        <v>3042</v>
      </c>
      <c r="D1308" s="140" t="s">
        <v>3295</v>
      </c>
      <c r="E1308" s="140" t="s">
        <v>3307</v>
      </c>
      <c r="F1308" s="140" t="s">
        <v>3308</v>
      </c>
      <c r="G1308" s="144" t="s">
        <v>101</v>
      </c>
      <c r="H1308" s="144" t="s">
        <v>3309</v>
      </c>
      <c r="I1308" s="144" t="s">
        <v>572</v>
      </c>
      <c r="J1308" s="324">
        <v>30000000</v>
      </c>
      <c r="K1308" s="139" t="s">
        <v>3297</v>
      </c>
      <c r="L1308" s="140">
        <v>2965786</v>
      </c>
      <c r="M1308" s="32" t="s">
        <v>97</v>
      </c>
      <c r="N1308" s="326" t="s">
        <v>28</v>
      </c>
      <c r="O1308" s="10">
        <v>31625000</v>
      </c>
      <c r="P1308" s="140"/>
    </row>
    <row r="1309" spans="1:16" ht="39" x14ac:dyDescent="0.35">
      <c r="A1309" s="145">
        <f t="shared" si="22"/>
        <v>794</v>
      </c>
      <c r="B1309" s="146" t="s">
        <v>576</v>
      </c>
      <c r="C1309" s="146" t="s">
        <v>3042</v>
      </c>
      <c r="D1309" s="140" t="s">
        <v>3295</v>
      </c>
      <c r="E1309" s="146" t="s">
        <v>3310</v>
      </c>
      <c r="F1309" s="146" t="s">
        <v>3311</v>
      </c>
      <c r="G1309" s="145" t="s">
        <v>334</v>
      </c>
      <c r="H1309" s="145" t="s">
        <v>1133</v>
      </c>
      <c r="I1309" s="145" t="s">
        <v>336</v>
      </c>
      <c r="J1309" s="327">
        <v>16000000</v>
      </c>
      <c r="K1309" s="145" t="s">
        <v>3297</v>
      </c>
      <c r="L1309" s="145">
        <v>2958808</v>
      </c>
      <c r="M1309" s="145" t="s">
        <v>109</v>
      </c>
      <c r="N1309" s="328" t="s">
        <v>28</v>
      </c>
      <c r="O1309" s="13">
        <v>31625000</v>
      </c>
      <c r="P1309" s="141"/>
    </row>
    <row r="1310" spans="1:16" ht="26" x14ac:dyDescent="0.35">
      <c r="A1310" s="145">
        <f t="shared" si="22"/>
        <v>795</v>
      </c>
      <c r="B1310" s="146" t="s">
        <v>576</v>
      </c>
      <c r="C1310" s="146" t="s">
        <v>3042</v>
      </c>
      <c r="D1310" s="140" t="s">
        <v>3295</v>
      </c>
      <c r="E1310" s="146" t="s">
        <v>3312</v>
      </c>
      <c r="F1310" s="146" t="s">
        <v>3313</v>
      </c>
      <c r="G1310" s="145" t="s">
        <v>298</v>
      </c>
      <c r="H1310" s="145" t="s">
        <v>2074</v>
      </c>
      <c r="I1310" s="145" t="s">
        <v>3314</v>
      </c>
      <c r="J1310" s="327">
        <v>30000000</v>
      </c>
      <c r="K1310" s="145" t="s">
        <v>3297</v>
      </c>
      <c r="L1310" s="145">
        <v>2942929</v>
      </c>
      <c r="M1310" s="145" t="s">
        <v>109</v>
      </c>
      <c r="N1310" s="328" t="s">
        <v>28</v>
      </c>
      <c r="O1310" s="13">
        <v>50000000</v>
      </c>
      <c r="P1310" s="141"/>
    </row>
    <row r="1311" spans="1:16" ht="52" x14ac:dyDescent="0.35">
      <c r="A1311" s="145">
        <f t="shared" si="22"/>
        <v>796</v>
      </c>
      <c r="B1311" s="146" t="s">
        <v>3315</v>
      </c>
      <c r="C1311" s="146" t="s">
        <v>3316</v>
      </c>
      <c r="D1311" s="146" t="s">
        <v>3299</v>
      </c>
      <c r="E1311" s="146" t="s">
        <v>3317</v>
      </c>
      <c r="F1311" s="146" t="s">
        <v>186</v>
      </c>
      <c r="G1311" s="145" t="s">
        <v>303</v>
      </c>
      <c r="H1311" s="145" t="s">
        <v>3318</v>
      </c>
      <c r="I1311" s="145" t="s">
        <v>3319</v>
      </c>
      <c r="J1311" s="327">
        <v>150000000</v>
      </c>
      <c r="K1311" s="145" t="s">
        <v>3297</v>
      </c>
      <c r="L1311" s="145">
        <v>2848593</v>
      </c>
      <c r="M1311" s="145" t="s">
        <v>109</v>
      </c>
      <c r="N1311" s="328" t="s">
        <v>3320</v>
      </c>
      <c r="O1311" s="13">
        <v>100000000</v>
      </c>
      <c r="P1311" s="141" t="s">
        <v>584</v>
      </c>
    </row>
    <row r="1312" spans="1:16" ht="52" x14ac:dyDescent="0.35">
      <c r="A1312" s="145">
        <f t="shared" si="22"/>
        <v>797</v>
      </c>
      <c r="B1312" s="146" t="s">
        <v>3315</v>
      </c>
      <c r="C1312" s="146" t="s">
        <v>3316</v>
      </c>
      <c r="D1312" s="146" t="s">
        <v>3299</v>
      </c>
      <c r="E1312" s="146" t="s">
        <v>3317</v>
      </c>
      <c r="F1312" s="146" t="s">
        <v>302</v>
      </c>
      <c r="G1312" s="145" t="s">
        <v>303</v>
      </c>
      <c r="H1312" s="145" t="s">
        <v>3321</v>
      </c>
      <c r="I1312" s="145" t="s">
        <v>3319</v>
      </c>
      <c r="J1312" s="327">
        <v>100000000</v>
      </c>
      <c r="K1312" s="145" t="s">
        <v>3297</v>
      </c>
      <c r="L1312" s="145">
        <v>2959623</v>
      </c>
      <c r="M1312" s="145" t="s">
        <v>109</v>
      </c>
      <c r="N1312" s="328" t="s">
        <v>3320</v>
      </c>
      <c r="O1312" s="13">
        <v>100000000</v>
      </c>
      <c r="P1312" s="141"/>
    </row>
    <row r="1313" spans="1:16" ht="52" x14ac:dyDescent="0.35">
      <c r="A1313" s="145">
        <f t="shared" si="22"/>
        <v>798</v>
      </c>
      <c r="B1313" s="146" t="s">
        <v>3315</v>
      </c>
      <c r="C1313" s="146" t="s">
        <v>3316</v>
      </c>
      <c r="D1313" s="146" t="s">
        <v>3299</v>
      </c>
      <c r="E1313" s="146" t="s">
        <v>3317</v>
      </c>
      <c r="F1313" s="146" t="s">
        <v>302</v>
      </c>
      <c r="G1313" s="145" t="s">
        <v>303</v>
      </c>
      <c r="H1313" s="145" t="s">
        <v>3322</v>
      </c>
      <c r="I1313" s="145" t="s">
        <v>3319</v>
      </c>
      <c r="J1313" s="327">
        <v>100000000</v>
      </c>
      <c r="K1313" s="145" t="s">
        <v>3297</v>
      </c>
      <c r="L1313" s="145">
        <v>2959873</v>
      </c>
      <c r="M1313" s="145" t="s">
        <v>109</v>
      </c>
      <c r="N1313" s="328" t="s">
        <v>3320</v>
      </c>
      <c r="O1313" s="13">
        <v>100000000</v>
      </c>
      <c r="P1313" s="141" t="s">
        <v>584</v>
      </c>
    </row>
    <row r="1314" spans="1:16" ht="52" x14ac:dyDescent="0.35">
      <c r="A1314" s="145">
        <f t="shared" si="22"/>
        <v>799</v>
      </c>
      <c r="B1314" s="146" t="s">
        <v>3315</v>
      </c>
      <c r="C1314" s="146" t="s">
        <v>3316</v>
      </c>
      <c r="D1314" s="146" t="s">
        <v>3299</v>
      </c>
      <c r="E1314" s="146" t="s">
        <v>3317</v>
      </c>
      <c r="F1314" s="146" t="s">
        <v>186</v>
      </c>
      <c r="G1314" s="145" t="s">
        <v>303</v>
      </c>
      <c r="H1314" s="145" t="s">
        <v>3323</v>
      </c>
      <c r="I1314" s="145" t="s">
        <v>3319</v>
      </c>
      <c r="J1314" s="327">
        <v>100000000</v>
      </c>
      <c r="K1314" s="145" t="s">
        <v>3297</v>
      </c>
      <c r="L1314" s="145">
        <v>2959823</v>
      </c>
      <c r="M1314" s="145" t="s">
        <v>109</v>
      </c>
      <c r="N1314" s="328" t="s">
        <v>3320</v>
      </c>
      <c r="O1314" s="13">
        <v>100000000</v>
      </c>
      <c r="P1314" s="141"/>
    </row>
    <row r="1315" spans="1:16" ht="52" x14ac:dyDescent="0.35">
      <c r="A1315" s="145">
        <f t="shared" si="22"/>
        <v>800</v>
      </c>
      <c r="B1315" s="146" t="s">
        <v>576</v>
      </c>
      <c r="C1315" s="146" t="s">
        <v>3042</v>
      </c>
      <c r="D1315" s="140" t="s">
        <v>3295</v>
      </c>
      <c r="E1315" s="146" t="s">
        <v>3324</v>
      </c>
      <c r="F1315" s="146" t="s">
        <v>3325</v>
      </c>
      <c r="G1315" s="145" t="s">
        <v>325</v>
      </c>
      <c r="H1315" s="145" t="s">
        <v>3326</v>
      </c>
      <c r="I1315" s="145" t="s">
        <v>895</v>
      </c>
      <c r="J1315" s="327">
        <v>30000000</v>
      </c>
      <c r="K1315" s="145" t="s">
        <v>3297</v>
      </c>
      <c r="L1315" s="145">
        <v>3010110</v>
      </c>
      <c r="M1315" s="145" t="s">
        <v>109</v>
      </c>
      <c r="N1315" s="328" t="s">
        <v>28</v>
      </c>
      <c r="O1315" s="13">
        <v>31625000</v>
      </c>
      <c r="P1315" s="141"/>
    </row>
    <row r="1316" spans="1:16" ht="39" x14ac:dyDescent="0.35">
      <c r="A1316" s="145">
        <f t="shared" si="22"/>
        <v>801</v>
      </c>
      <c r="B1316" s="146" t="s">
        <v>576</v>
      </c>
      <c r="C1316" s="146" t="s">
        <v>3042</v>
      </c>
      <c r="D1316" s="140" t="s">
        <v>3295</v>
      </c>
      <c r="E1316" s="146" t="s">
        <v>3327</v>
      </c>
      <c r="F1316" s="146" t="s">
        <v>3328</v>
      </c>
      <c r="G1316" s="145" t="s">
        <v>325</v>
      </c>
      <c r="H1316" s="145" t="s">
        <v>3329</v>
      </c>
      <c r="I1316" s="145" t="s">
        <v>3330</v>
      </c>
      <c r="J1316" s="327">
        <v>90000000</v>
      </c>
      <c r="K1316" s="145" t="s">
        <v>3297</v>
      </c>
      <c r="L1316" s="145">
        <v>3254833</v>
      </c>
      <c r="M1316" s="145" t="s">
        <v>109</v>
      </c>
      <c r="N1316" s="328" t="s">
        <v>3304</v>
      </c>
      <c r="O1316" s="13">
        <v>100000000</v>
      </c>
      <c r="P1316" s="141"/>
    </row>
    <row r="1317" spans="1:16" ht="26" x14ac:dyDescent="0.35">
      <c r="A1317" s="145">
        <f t="shared" si="22"/>
        <v>802</v>
      </c>
      <c r="B1317" s="146" t="s">
        <v>576</v>
      </c>
      <c r="C1317" s="146" t="s">
        <v>3042</v>
      </c>
      <c r="D1317" s="140" t="s">
        <v>3295</v>
      </c>
      <c r="E1317" s="146" t="s">
        <v>3331</v>
      </c>
      <c r="F1317" s="146" t="s">
        <v>297</v>
      </c>
      <c r="G1317" s="145" t="s">
        <v>116</v>
      </c>
      <c r="H1317" s="145" t="s">
        <v>117</v>
      </c>
      <c r="I1317" s="145" t="s">
        <v>431</v>
      </c>
      <c r="J1317" s="327">
        <v>22071000</v>
      </c>
      <c r="K1317" s="145" t="s">
        <v>3297</v>
      </c>
      <c r="L1317" s="145">
        <v>2922688</v>
      </c>
      <c r="M1317" s="145" t="s">
        <v>109</v>
      </c>
      <c r="N1317" s="328" t="s">
        <v>28</v>
      </c>
      <c r="O1317" s="13">
        <v>38500000</v>
      </c>
      <c r="P1317" s="141"/>
    </row>
    <row r="1318" spans="1:16" ht="26" x14ac:dyDescent="0.35">
      <c r="A1318" s="145">
        <f t="shared" si="22"/>
        <v>803</v>
      </c>
      <c r="B1318" s="146" t="s">
        <v>576</v>
      </c>
      <c r="C1318" s="146" t="s">
        <v>3042</v>
      </c>
      <c r="D1318" s="140" t="s">
        <v>3295</v>
      </c>
      <c r="E1318" s="146" t="s">
        <v>3332</v>
      </c>
      <c r="F1318" s="146" t="s">
        <v>3333</v>
      </c>
      <c r="G1318" s="145" t="s">
        <v>116</v>
      </c>
      <c r="H1318" s="145" t="s">
        <v>2174</v>
      </c>
      <c r="I1318" s="145" t="s">
        <v>431</v>
      </c>
      <c r="J1318" s="327">
        <v>20000000</v>
      </c>
      <c r="K1318" s="145" t="s">
        <v>3297</v>
      </c>
      <c r="L1318" s="145">
        <v>2922583</v>
      </c>
      <c r="M1318" s="145" t="s">
        <v>109</v>
      </c>
      <c r="N1318" s="328" t="s">
        <v>28</v>
      </c>
      <c r="O1318" s="13">
        <v>38500000</v>
      </c>
      <c r="P1318" s="141"/>
    </row>
    <row r="1319" spans="1:16" ht="29" x14ac:dyDescent="0.35">
      <c r="A1319" s="139">
        <f t="shared" si="22"/>
        <v>804</v>
      </c>
      <c r="B1319" s="140" t="s">
        <v>576</v>
      </c>
      <c r="C1319" s="140" t="s">
        <v>3042</v>
      </c>
      <c r="D1319" s="140" t="s">
        <v>3295</v>
      </c>
      <c r="E1319" s="277" t="s">
        <v>3334</v>
      </c>
      <c r="F1319" s="140" t="s">
        <v>3335</v>
      </c>
      <c r="G1319" s="329" t="s">
        <v>870</v>
      </c>
      <c r="H1319" s="329" t="s">
        <v>3336</v>
      </c>
      <c r="I1319" s="329" t="s">
        <v>3337</v>
      </c>
      <c r="J1319" s="328">
        <v>180000000</v>
      </c>
      <c r="K1319" s="139" t="s">
        <v>3297</v>
      </c>
      <c r="L1319" s="139">
        <v>2924573</v>
      </c>
      <c r="M1319" s="155" t="s">
        <v>27</v>
      </c>
      <c r="N1319" s="139" t="s">
        <v>25</v>
      </c>
      <c r="O1319" s="13">
        <v>342708000</v>
      </c>
      <c r="P1319" s="141"/>
    </row>
    <row r="1320" spans="1:16" ht="29" x14ac:dyDescent="0.35">
      <c r="A1320" s="139">
        <f t="shared" si="22"/>
        <v>805</v>
      </c>
      <c r="B1320" s="140" t="s">
        <v>576</v>
      </c>
      <c r="C1320" s="140" t="s">
        <v>3042</v>
      </c>
      <c r="D1320" s="140" t="s">
        <v>3295</v>
      </c>
      <c r="E1320" s="140" t="s">
        <v>3338</v>
      </c>
      <c r="F1320" s="140" t="s">
        <v>3339</v>
      </c>
      <c r="G1320" s="139" t="s">
        <v>870</v>
      </c>
      <c r="H1320" s="139" t="s">
        <v>3336</v>
      </c>
      <c r="I1320" s="139" t="s">
        <v>2138</v>
      </c>
      <c r="J1320" s="328">
        <v>35000000</v>
      </c>
      <c r="K1320" s="139" t="s">
        <v>3297</v>
      </c>
      <c r="L1320" s="139">
        <v>2924860</v>
      </c>
      <c r="M1320" s="155" t="s">
        <v>27</v>
      </c>
      <c r="N1320" s="139" t="s">
        <v>25</v>
      </c>
      <c r="O1320" s="13">
        <v>100000000</v>
      </c>
      <c r="P1320" s="141"/>
    </row>
    <row r="1321" spans="1:16" ht="29" x14ac:dyDescent="0.35">
      <c r="A1321" s="139">
        <f t="shared" si="22"/>
        <v>806</v>
      </c>
      <c r="B1321" s="294" t="s">
        <v>576</v>
      </c>
      <c r="C1321" s="294" t="s">
        <v>3042</v>
      </c>
      <c r="D1321" s="140" t="s">
        <v>3295</v>
      </c>
      <c r="E1321" s="330" t="s">
        <v>3340</v>
      </c>
      <c r="F1321" s="294" t="s">
        <v>3341</v>
      </c>
      <c r="G1321" s="331" t="s">
        <v>1270</v>
      </c>
      <c r="H1321" s="331" t="s">
        <v>3342</v>
      </c>
      <c r="I1321" s="331" t="s">
        <v>3343</v>
      </c>
      <c r="J1321" s="332">
        <v>100000000</v>
      </c>
      <c r="K1321" s="295" t="s">
        <v>3297</v>
      </c>
      <c r="L1321" s="295">
        <v>2937899</v>
      </c>
      <c r="M1321" s="295" t="s">
        <v>27</v>
      </c>
      <c r="N1321" s="295" t="s">
        <v>25</v>
      </c>
      <c r="O1321" s="297">
        <v>100000000</v>
      </c>
      <c r="P1321" s="140"/>
    </row>
    <row r="1322" spans="1:16" ht="29" x14ac:dyDescent="0.35">
      <c r="A1322" s="149">
        <f t="shared" si="22"/>
        <v>807</v>
      </c>
      <c r="B1322" s="140" t="s">
        <v>576</v>
      </c>
      <c r="C1322" s="140" t="s">
        <v>3042</v>
      </c>
      <c r="D1322" s="140" t="s">
        <v>3295</v>
      </c>
      <c r="E1322" s="140" t="s">
        <v>3344</v>
      </c>
      <c r="F1322" s="140" t="s">
        <v>140</v>
      </c>
      <c r="G1322" s="139" t="s">
        <v>361</v>
      </c>
      <c r="H1322" s="139" t="s">
        <v>2526</v>
      </c>
      <c r="I1322" s="139">
        <v>3</v>
      </c>
      <c r="J1322" s="328">
        <v>30000000</v>
      </c>
      <c r="K1322" s="139" t="s">
        <v>3297</v>
      </c>
      <c r="L1322" s="139">
        <v>2817855</v>
      </c>
      <c r="M1322" s="155" t="s">
        <v>144</v>
      </c>
      <c r="N1322" s="139" t="s">
        <v>366</v>
      </c>
      <c r="O1322" s="13">
        <v>15000000</v>
      </c>
      <c r="P1322" s="141"/>
    </row>
    <row r="1323" spans="1:16" ht="29" x14ac:dyDescent="0.35">
      <c r="A1323" s="139">
        <f t="shared" si="22"/>
        <v>808</v>
      </c>
      <c r="B1323" s="140" t="s">
        <v>576</v>
      </c>
      <c r="C1323" s="140" t="s">
        <v>3042</v>
      </c>
      <c r="D1323" s="140" t="s">
        <v>3295</v>
      </c>
      <c r="E1323" s="140" t="s">
        <v>3345</v>
      </c>
      <c r="F1323" s="140"/>
      <c r="G1323" s="140" t="s">
        <v>162</v>
      </c>
      <c r="H1323" s="140" t="s">
        <v>601</v>
      </c>
      <c r="I1323" s="140" t="s">
        <v>35</v>
      </c>
      <c r="J1323" s="324">
        <v>75000000</v>
      </c>
      <c r="K1323" s="139" t="s">
        <v>3297</v>
      </c>
      <c r="L1323" s="140">
        <v>2907660</v>
      </c>
      <c r="M1323" s="155" t="s">
        <v>46</v>
      </c>
      <c r="N1323" s="324" t="s">
        <v>25</v>
      </c>
      <c r="O1323" s="10">
        <v>75000000</v>
      </c>
      <c r="P1323" s="140"/>
    </row>
    <row r="1324" spans="1:16" ht="29" x14ac:dyDescent="0.35">
      <c r="A1324" s="139">
        <f t="shared" si="22"/>
        <v>809</v>
      </c>
      <c r="B1324" s="140" t="s">
        <v>576</v>
      </c>
      <c r="C1324" s="140" t="s">
        <v>3042</v>
      </c>
      <c r="D1324" s="140" t="s">
        <v>3295</v>
      </c>
      <c r="E1324" s="140" t="s">
        <v>3346</v>
      </c>
      <c r="F1324" s="140"/>
      <c r="G1324" s="140" t="s">
        <v>162</v>
      </c>
      <c r="H1324" s="140" t="s">
        <v>601</v>
      </c>
      <c r="I1324" s="140" t="s">
        <v>35</v>
      </c>
      <c r="J1324" s="324">
        <v>60000000</v>
      </c>
      <c r="K1324" s="139" t="s">
        <v>3297</v>
      </c>
      <c r="L1324" s="140">
        <v>2916544</v>
      </c>
      <c r="M1324" s="155" t="s">
        <v>46</v>
      </c>
      <c r="N1324" s="324" t="s">
        <v>25</v>
      </c>
      <c r="O1324" s="10">
        <v>60000000</v>
      </c>
      <c r="P1324" s="140"/>
    </row>
    <row r="1325" spans="1:16" ht="29" x14ac:dyDescent="0.35">
      <c r="A1325" s="139">
        <f t="shared" si="22"/>
        <v>810</v>
      </c>
      <c r="B1325" s="140" t="s">
        <v>576</v>
      </c>
      <c r="C1325" s="140" t="s">
        <v>3042</v>
      </c>
      <c r="D1325" s="140" t="s">
        <v>3295</v>
      </c>
      <c r="E1325" s="140" t="s">
        <v>3347</v>
      </c>
      <c r="F1325" s="140" t="s">
        <v>3348</v>
      </c>
      <c r="G1325" s="140" t="s">
        <v>405</v>
      </c>
      <c r="H1325" s="140" t="s">
        <v>1336</v>
      </c>
      <c r="I1325" s="140" t="s">
        <v>609</v>
      </c>
      <c r="J1325" s="324">
        <v>50000000</v>
      </c>
      <c r="K1325" s="139" t="s">
        <v>3297</v>
      </c>
      <c r="L1325" s="140">
        <v>2801231</v>
      </c>
      <c r="M1325" s="155" t="s">
        <v>46</v>
      </c>
      <c r="N1325" s="324" t="s">
        <v>25</v>
      </c>
      <c r="O1325" s="10">
        <v>342708000</v>
      </c>
      <c r="P1325" s="140"/>
    </row>
    <row r="1326" spans="1:16" ht="43.5" x14ac:dyDescent="0.35">
      <c r="A1326" s="139">
        <f t="shared" si="22"/>
        <v>811</v>
      </c>
      <c r="B1326" s="140" t="s">
        <v>576</v>
      </c>
      <c r="C1326" s="140" t="s">
        <v>3042</v>
      </c>
      <c r="D1326" s="140" t="s">
        <v>3295</v>
      </c>
      <c r="E1326" s="140" t="s">
        <v>3349</v>
      </c>
      <c r="F1326" s="140" t="s">
        <v>3350</v>
      </c>
      <c r="G1326" s="140" t="s">
        <v>171</v>
      </c>
      <c r="H1326" s="140" t="s">
        <v>3351</v>
      </c>
      <c r="I1326" s="140" t="s">
        <v>280</v>
      </c>
      <c r="J1326" s="324">
        <v>110000000</v>
      </c>
      <c r="K1326" s="139" t="s">
        <v>3297</v>
      </c>
      <c r="L1326" s="140">
        <v>2934736</v>
      </c>
      <c r="M1326" s="155" t="s">
        <v>173</v>
      </c>
      <c r="N1326" s="324" t="s">
        <v>3304</v>
      </c>
      <c r="O1326" s="238">
        <v>342708000</v>
      </c>
      <c r="P1326" s="140"/>
    </row>
    <row r="1327" spans="1:16" ht="29" x14ac:dyDescent="0.35">
      <c r="A1327" s="139">
        <f t="shared" si="22"/>
        <v>812</v>
      </c>
      <c r="B1327" s="140" t="s">
        <v>576</v>
      </c>
      <c r="C1327" s="140" t="s">
        <v>3042</v>
      </c>
      <c r="D1327" s="140" t="s">
        <v>3295</v>
      </c>
      <c r="E1327" s="140" t="s">
        <v>3352</v>
      </c>
      <c r="F1327" s="140" t="s">
        <v>3353</v>
      </c>
      <c r="G1327" s="140" t="s">
        <v>912</v>
      </c>
      <c r="H1327" s="140" t="s">
        <v>1352</v>
      </c>
      <c r="I1327" s="140" t="s">
        <v>25</v>
      </c>
      <c r="J1327" s="324">
        <v>55431000</v>
      </c>
      <c r="K1327" s="139" t="s">
        <v>3297</v>
      </c>
      <c r="L1327" s="140">
        <v>2790625</v>
      </c>
      <c r="M1327" s="155" t="s">
        <v>173</v>
      </c>
      <c r="N1327" s="324" t="s">
        <v>3304</v>
      </c>
      <c r="O1327" s="10">
        <v>50000000</v>
      </c>
      <c r="P1327" s="140"/>
    </row>
    <row r="1328" spans="1:16" ht="29" x14ac:dyDescent="0.35">
      <c r="A1328" s="139">
        <f t="shared" si="22"/>
        <v>813</v>
      </c>
      <c r="B1328" s="140" t="s">
        <v>576</v>
      </c>
      <c r="C1328" s="140" t="s">
        <v>3042</v>
      </c>
      <c r="D1328" s="140" t="s">
        <v>3295</v>
      </c>
      <c r="E1328" s="140" t="s">
        <v>3331</v>
      </c>
      <c r="F1328" s="140" t="s">
        <v>3354</v>
      </c>
      <c r="G1328" s="140" t="s">
        <v>970</v>
      </c>
      <c r="H1328" s="140" t="s">
        <v>3355</v>
      </c>
      <c r="I1328" s="140" t="s">
        <v>431</v>
      </c>
      <c r="J1328" s="324">
        <v>25000000</v>
      </c>
      <c r="K1328" s="139" t="s">
        <v>3297</v>
      </c>
      <c r="L1328" s="140">
        <v>3010464</v>
      </c>
      <c r="M1328" s="155" t="s">
        <v>173</v>
      </c>
      <c r="N1328" s="324" t="s">
        <v>28</v>
      </c>
      <c r="O1328" s="10">
        <v>38500000</v>
      </c>
      <c r="P1328" s="140"/>
    </row>
    <row r="1329" spans="1:16" ht="29" x14ac:dyDescent="0.35">
      <c r="A1329" s="139">
        <f t="shared" si="22"/>
        <v>814</v>
      </c>
      <c r="B1329" s="140" t="s">
        <v>576</v>
      </c>
      <c r="C1329" s="140" t="s">
        <v>3042</v>
      </c>
      <c r="D1329" s="140" t="s">
        <v>3295</v>
      </c>
      <c r="E1329" s="140" t="s">
        <v>3356</v>
      </c>
      <c r="F1329" s="140" t="s">
        <v>3357</v>
      </c>
      <c r="G1329" s="140" t="s">
        <v>1376</v>
      </c>
      <c r="H1329" s="140" t="s">
        <v>3358</v>
      </c>
      <c r="I1329" s="140" t="s">
        <v>35</v>
      </c>
      <c r="J1329" s="324">
        <v>5000000</v>
      </c>
      <c r="K1329" s="139" t="s">
        <v>3297</v>
      </c>
      <c r="L1329" s="140">
        <v>3176807</v>
      </c>
      <c r="M1329" s="155" t="s">
        <v>226</v>
      </c>
      <c r="N1329" s="324" t="s">
        <v>28</v>
      </c>
      <c r="O1329" s="10">
        <v>31625000</v>
      </c>
      <c r="P1329" s="140"/>
    </row>
    <row r="1330" spans="1:16" ht="29" x14ac:dyDescent="0.35">
      <c r="A1330" s="139">
        <f t="shared" si="22"/>
        <v>815</v>
      </c>
      <c r="B1330" s="140" t="s">
        <v>576</v>
      </c>
      <c r="C1330" s="140" t="s">
        <v>3042</v>
      </c>
      <c r="D1330" s="140" t="s">
        <v>3299</v>
      </c>
      <c r="E1330" s="140" t="s">
        <v>3359</v>
      </c>
      <c r="F1330" s="140" t="s">
        <v>48</v>
      </c>
      <c r="G1330" s="140" t="s">
        <v>978</v>
      </c>
      <c r="H1330" s="140" t="s">
        <v>2883</v>
      </c>
      <c r="I1330" s="140">
        <v>1</v>
      </c>
      <c r="J1330" s="324">
        <v>25000000</v>
      </c>
      <c r="K1330" s="139" t="s">
        <v>3297</v>
      </c>
      <c r="L1330" s="140">
        <v>3011366</v>
      </c>
      <c r="M1330" s="155" t="s">
        <v>226</v>
      </c>
      <c r="N1330" s="324" t="s">
        <v>25</v>
      </c>
      <c r="O1330" s="10">
        <v>100000000</v>
      </c>
      <c r="P1330" s="140"/>
    </row>
    <row r="1331" spans="1:16" ht="29" x14ac:dyDescent="0.35">
      <c r="A1331" s="139">
        <f t="shared" si="22"/>
        <v>816</v>
      </c>
      <c r="B1331" s="140" t="s">
        <v>576</v>
      </c>
      <c r="C1331" s="140" t="s">
        <v>3042</v>
      </c>
      <c r="D1331" s="140" t="s">
        <v>3295</v>
      </c>
      <c r="E1331" s="140" t="s">
        <v>3360</v>
      </c>
      <c r="F1331" s="140" t="s">
        <v>3361</v>
      </c>
      <c r="G1331" s="140" t="s">
        <v>182</v>
      </c>
      <c r="H1331" s="140" t="s">
        <v>638</v>
      </c>
      <c r="I1331" s="140" t="s">
        <v>725</v>
      </c>
      <c r="J1331" s="324">
        <v>50000000</v>
      </c>
      <c r="K1331" s="139" t="s">
        <v>3297</v>
      </c>
      <c r="L1331" s="140">
        <v>2947575</v>
      </c>
      <c r="M1331" s="155" t="s">
        <v>180</v>
      </c>
      <c r="N1331" s="324" t="s">
        <v>3304</v>
      </c>
      <c r="O1331" s="238">
        <v>342708000</v>
      </c>
      <c r="P1331" s="140" t="s">
        <v>3362</v>
      </c>
    </row>
    <row r="1332" spans="1:16" ht="29" x14ac:dyDescent="0.35">
      <c r="A1332" s="139">
        <f t="shared" si="22"/>
        <v>817</v>
      </c>
      <c r="B1332" s="140" t="s">
        <v>576</v>
      </c>
      <c r="C1332" s="140" t="s">
        <v>3042</v>
      </c>
      <c r="D1332" s="140" t="s">
        <v>3295</v>
      </c>
      <c r="E1332" s="140" t="s">
        <v>3360</v>
      </c>
      <c r="F1332" s="140" t="s">
        <v>3361</v>
      </c>
      <c r="G1332" s="140" t="s">
        <v>182</v>
      </c>
      <c r="H1332" s="140" t="s">
        <v>3363</v>
      </c>
      <c r="I1332" s="140" t="s">
        <v>725</v>
      </c>
      <c r="J1332" s="324">
        <v>50000000</v>
      </c>
      <c r="K1332" s="139" t="s">
        <v>3297</v>
      </c>
      <c r="L1332" s="140">
        <v>2947622</v>
      </c>
      <c r="M1332" s="155" t="s">
        <v>180</v>
      </c>
      <c r="N1332" s="324" t="s">
        <v>3304</v>
      </c>
      <c r="O1332" s="238">
        <v>342708000</v>
      </c>
      <c r="P1332" s="140" t="s">
        <v>3362</v>
      </c>
    </row>
    <row r="1333" spans="1:16" ht="43.5" x14ac:dyDescent="0.35">
      <c r="A1333" s="139">
        <f t="shared" si="22"/>
        <v>818</v>
      </c>
      <c r="B1333" s="140" t="s">
        <v>576</v>
      </c>
      <c r="C1333" s="140" t="s">
        <v>3042</v>
      </c>
      <c r="D1333" s="140" t="s">
        <v>3295</v>
      </c>
      <c r="E1333" s="140" t="s">
        <v>3364</v>
      </c>
      <c r="F1333" s="140" t="s">
        <v>3361</v>
      </c>
      <c r="G1333" s="140" t="s">
        <v>182</v>
      </c>
      <c r="H1333" s="140" t="s">
        <v>183</v>
      </c>
      <c r="I1333" s="140" t="s">
        <v>431</v>
      </c>
      <c r="J1333" s="324">
        <v>15000000</v>
      </c>
      <c r="K1333" s="139" t="s">
        <v>3297</v>
      </c>
      <c r="L1333" s="140">
        <v>2952352</v>
      </c>
      <c r="M1333" s="155" t="s">
        <v>180</v>
      </c>
      <c r="N1333" s="324"/>
      <c r="O1333" s="10">
        <v>42310000</v>
      </c>
      <c r="P1333" s="140" t="s">
        <v>3365</v>
      </c>
    </row>
    <row r="1334" spans="1:16" ht="29" x14ac:dyDescent="0.35">
      <c r="A1334" s="139">
        <f t="shared" si="22"/>
        <v>819</v>
      </c>
      <c r="B1334" s="140" t="s">
        <v>576</v>
      </c>
      <c r="C1334" s="140" t="s">
        <v>3042</v>
      </c>
      <c r="D1334" s="140" t="s">
        <v>3295</v>
      </c>
      <c r="E1334" s="140" t="s">
        <v>3360</v>
      </c>
      <c r="F1334" s="140" t="s">
        <v>3366</v>
      </c>
      <c r="G1334" s="140" t="s">
        <v>187</v>
      </c>
      <c r="H1334" s="140" t="s">
        <v>807</v>
      </c>
      <c r="I1334" s="140" t="s">
        <v>3367</v>
      </c>
      <c r="J1334" s="324">
        <v>25000000</v>
      </c>
      <c r="K1334" s="139" t="s">
        <v>3297</v>
      </c>
      <c r="L1334" s="140">
        <v>2975617</v>
      </c>
      <c r="M1334" s="155" t="s">
        <v>180</v>
      </c>
      <c r="N1334" s="324" t="s">
        <v>3304</v>
      </c>
      <c r="O1334" s="10">
        <v>342708000</v>
      </c>
      <c r="P1334" s="140"/>
    </row>
    <row r="1335" spans="1:16" ht="29" x14ac:dyDescent="0.35">
      <c r="A1335" s="139">
        <f t="shared" si="22"/>
        <v>820</v>
      </c>
      <c r="B1335" s="140" t="s">
        <v>576</v>
      </c>
      <c r="C1335" s="140" t="s">
        <v>3042</v>
      </c>
      <c r="D1335" s="140" t="s">
        <v>3295</v>
      </c>
      <c r="E1335" s="140" t="s">
        <v>3368</v>
      </c>
      <c r="F1335" s="140" t="s">
        <v>3369</v>
      </c>
      <c r="G1335" s="140" t="s">
        <v>989</v>
      </c>
      <c r="H1335" s="140" t="s">
        <v>3370</v>
      </c>
      <c r="I1335" s="140" t="s">
        <v>725</v>
      </c>
      <c r="J1335" s="324">
        <v>25000000</v>
      </c>
      <c r="K1335" s="139" t="s">
        <v>3297</v>
      </c>
      <c r="L1335" s="140">
        <v>2967526</v>
      </c>
      <c r="M1335" s="155" t="s">
        <v>180</v>
      </c>
      <c r="N1335" s="324" t="s">
        <v>25</v>
      </c>
      <c r="O1335" s="10">
        <v>70000000</v>
      </c>
      <c r="P1335" s="140" t="s">
        <v>3371</v>
      </c>
    </row>
    <row r="1336" spans="1:16" ht="29" x14ac:dyDescent="0.35">
      <c r="A1336" s="139">
        <f t="shared" si="22"/>
        <v>821</v>
      </c>
      <c r="B1336" s="140" t="s">
        <v>576</v>
      </c>
      <c r="C1336" s="140" t="s">
        <v>3042</v>
      </c>
      <c r="D1336" s="140" t="s">
        <v>3295</v>
      </c>
      <c r="E1336" s="140" t="s">
        <v>3368</v>
      </c>
      <c r="F1336" s="140" t="s">
        <v>3007</v>
      </c>
      <c r="G1336" s="140" t="s">
        <v>989</v>
      </c>
      <c r="H1336" s="140" t="s">
        <v>3370</v>
      </c>
      <c r="I1336" s="140" t="s">
        <v>3372</v>
      </c>
      <c r="J1336" s="324">
        <v>100000000</v>
      </c>
      <c r="K1336" s="139" t="s">
        <v>3297</v>
      </c>
      <c r="L1336" s="140"/>
      <c r="M1336" s="155" t="s">
        <v>180</v>
      </c>
      <c r="N1336" s="324"/>
      <c r="O1336" s="238">
        <v>342708000</v>
      </c>
      <c r="P1336" s="140" t="s">
        <v>3373</v>
      </c>
    </row>
    <row r="1337" spans="1:16" ht="43.5" x14ac:dyDescent="0.35">
      <c r="A1337" s="139">
        <f t="shared" si="22"/>
        <v>822</v>
      </c>
      <c r="B1337" s="140" t="s">
        <v>576</v>
      </c>
      <c r="C1337" s="140" t="s">
        <v>3042</v>
      </c>
      <c r="D1337" s="140" t="s">
        <v>3299</v>
      </c>
      <c r="E1337" s="140" t="s">
        <v>3374</v>
      </c>
      <c r="F1337" s="140" t="s">
        <v>3375</v>
      </c>
      <c r="G1337" s="139" t="s">
        <v>529</v>
      </c>
      <c r="H1337" s="139" t="s">
        <v>3376</v>
      </c>
      <c r="I1337" s="139" t="s">
        <v>35</v>
      </c>
      <c r="J1337" s="328">
        <v>100000000</v>
      </c>
      <c r="K1337" s="139" t="s">
        <v>3297</v>
      </c>
      <c r="L1337" s="139">
        <v>2941487</v>
      </c>
      <c r="M1337" s="155" t="s">
        <v>55</v>
      </c>
      <c r="N1337" s="139" t="s">
        <v>28</v>
      </c>
      <c r="O1337" s="17">
        <v>100000000</v>
      </c>
      <c r="P1337" s="141"/>
    </row>
    <row r="1338" spans="1:16" ht="29" x14ac:dyDescent="0.35">
      <c r="A1338" s="139">
        <f t="shared" si="22"/>
        <v>823</v>
      </c>
      <c r="B1338" s="140" t="s">
        <v>576</v>
      </c>
      <c r="C1338" s="140" t="s">
        <v>3042</v>
      </c>
      <c r="D1338" s="140" t="s">
        <v>3295</v>
      </c>
      <c r="E1338" s="140" t="s">
        <v>3377</v>
      </c>
      <c r="F1338" s="140" t="s">
        <v>3378</v>
      </c>
      <c r="G1338" s="139" t="s">
        <v>529</v>
      </c>
      <c r="H1338" s="139" t="s">
        <v>3379</v>
      </c>
      <c r="I1338" s="139" t="s">
        <v>35</v>
      </c>
      <c r="J1338" s="328">
        <v>100000000</v>
      </c>
      <c r="K1338" s="139" t="s">
        <v>3297</v>
      </c>
      <c r="L1338" s="139">
        <v>2933308</v>
      </c>
      <c r="M1338" s="155" t="s">
        <v>55</v>
      </c>
      <c r="N1338" s="189" t="s">
        <v>3304</v>
      </c>
      <c r="O1338" s="238">
        <v>342708000</v>
      </c>
      <c r="P1338" s="141"/>
    </row>
    <row r="1339" spans="1:16" ht="29" x14ac:dyDescent="0.35">
      <c r="A1339" s="139">
        <f t="shared" si="22"/>
        <v>824</v>
      </c>
      <c r="B1339" s="140" t="s">
        <v>576</v>
      </c>
      <c r="C1339" s="140" t="s">
        <v>3042</v>
      </c>
      <c r="D1339" s="140" t="s">
        <v>3299</v>
      </c>
      <c r="E1339" s="140" t="s">
        <v>3380</v>
      </c>
      <c r="F1339" s="140" t="s">
        <v>3381</v>
      </c>
      <c r="G1339" s="139" t="s">
        <v>529</v>
      </c>
      <c r="H1339" s="139" t="s">
        <v>3382</v>
      </c>
      <c r="I1339" s="139" t="s">
        <v>35</v>
      </c>
      <c r="J1339" s="328">
        <v>100000000</v>
      </c>
      <c r="K1339" s="139" t="s">
        <v>3297</v>
      </c>
      <c r="L1339" s="139">
        <v>2941168</v>
      </c>
      <c r="M1339" s="155" t="s">
        <v>55</v>
      </c>
      <c r="N1339" s="139" t="s">
        <v>35</v>
      </c>
      <c r="O1339" s="13">
        <v>100000000</v>
      </c>
      <c r="P1339" s="141"/>
    </row>
    <row r="1340" spans="1:16" ht="43.5" x14ac:dyDescent="0.35">
      <c r="A1340" s="319">
        <v>40</v>
      </c>
      <c r="B1340" s="27" t="s">
        <v>576</v>
      </c>
      <c r="C1340" s="27" t="s">
        <v>3042</v>
      </c>
      <c r="D1340" s="27" t="s">
        <v>3295</v>
      </c>
      <c r="E1340" s="27" t="s">
        <v>3383</v>
      </c>
      <c r="F1340" s="27" t="s">
        <v>3384</v>
      </c>
      <c r="G1340" s="27" t="s">
        <v>1376</v>
      </c>
      <c r="H1340" s="27" t="s">
        <v>430</v>
      </c>
      <c r="I1340" s="27"/>
      <c r="J1340" s="27"/>
      <c r="K1340" s="126" t="s">
        <v>3297</v>
      </c>
      <c r="L1340" s="27"/>
      <c r="M1340" s="126" t="s">
        <v>226</v>
      </c>
      <c r="N1340" s="333" t="s">
        <v>28</v>
      </c>
      <c r="O1340" s="127">
        <v>31625000</v>
      </c>
      <c r="P1340" s="27" t="s">
        <v>3385</v>
      </c>
    </row>
    <row r="1341" spans="1:16" ht="43.5" x14ac:dyDescent="0.35">
      <c r="A1341" s="139">
        <f t="shared" ref="A1341:A1353" si="23">A1340+1</f>
        <v>41</v>
      </c>
      <c r="B1341" s="140" t="s">
        <v>576</v>
      </c>
      <c r="C1341" s="140" t="s">
        <v>3386</v>
      </c>
      <c r="D1341" s="277" t="s">
        <v>3387</v>
      </c>
      <c r="E1341" s="140" t="s">
        <v>3388</v>
      </c>
      <c r="F1341" s="140" t="s">
        <v>2215</v>
      </c>
      <c r="G1341" s="143" t="s">
        <v>345</v>
      </c>
      <c r="H1341" s="139" t="s">
        <v>2220</v>
      </c>
      <c r="I1341" s="139" t="s">
        <v>695</v>
      </c>
      <c r="J1341" s="334">
        <v>2500000</v>
      </c>
      <c r="K1341" s="139" t="s">
        <v>3389</v>
      </c>
      <c r="L1341" s="139">
        <v>2906679</v>
      </c>
      <c r="M1341" s="155" t="s">
        <v>27</v>
      </c>
      <c r="N1341" s="139">
        <v>1</v>
      </c>
      <c r="O1341" s="13">
        <v>2583000</v>
      </c>
      <c r="P1341" s="141"/>
    </row>
    <row r="1342" spans="1:16" ht="43.5" x14ac:dyDescent="0.35">
      <c r="A1342" s="139">
        <f t="shared" si="23"/>
        <v>42</v>
      </c>
      <c r="B1342" s="140" t="s">
        <v>576</v>
      </c>
      <c r="C1342" s="140" t="s">
        <v>3386</v>
      </c>
      <c r="D1342" s="277" t="s">
        <v>3387</v>
      </c>
      <c r="E1342" s="140" t="s">
        <v>3388</v>
      </c>
      <c r="F1342" s="140" t="s">
        <v>2217</v>
      </c>
      <c r="G1342" s="139" t="s">
        <v>345</v>
      </c>
      <c r="H1342" s="139" t="s">
        <v>2218</v>
      </c>
      <c r="I1342" s="139" t="s">
        <v>695</v>
      </c>
      <c r="J1342" s="334">
        <v>5000000</v>
      </c>
      <c r="K1342" s="139" t="s">
        <v>3389</v>
      </c>
      <c r="L1342" s="139">
        <v>2906679</v>
      </c>
      <c r="M1342" s="155" t="s">
        <v>27</v>
      </c>
      <c r="N1342" s="139">
        <v>1</v>
      </c>
      <c r="O1342" s="13">
        <v>2583000</v>
      </c>
      <c r="P1342" s="141"/>
    </row>
    <row r="1343" spans="1:16" ht="43.5" x14ac:dyDescent="0.35">
      <c r="A1343" s="139">
        <f t="shared" si="23"/>
        <v>43</v>
      </c>
      <c r="B1343" s="140" t="s">
        <v>576</v>
      </c>
      <c r="C1343" s="140" t="s">
        <v>3386</v>
      </c>
      <c r="D1343" s="277" t="s">
        <v>3387</v>
      </c>
      <c r="E1343" s="140" t="s">
        <v>3388</v>
      </c>
      <c r="F1343" s="140" t="s">
        <v>2219</v>
      </c>
      <c r="G1343" s="139" t="s">
        <v>345</v>
      </c>
      <c r="H1343" s="139" t="s">
        <v>2220</v>
      </c>
      <c r="I1343" s="139">
        <v>10</v>
      </c>
      <c r="J1343" s="334">
        <v>5000000</v>
      </c>
      <c r="K1343" s="139" t="s">
        <v>3389</v>
      </c>
      <c r="L1343" s="139">
        <v>2906679</v>
      </c>
      <c r="M1343" s="155" t="s">
        <v>27</v>
      </c>
      <c r="N1343" s="139">
        <v>1</v>
      </c>
      <c r="O1343" s="13">
        <v>2583000</v>
      </c>
      <c r="P1343" s="141"/>
    </row>
    <row r="1344" spans="1:16" ht="43.5" x14ac:dyDescent="0.35">
      <c r="A1344" s="139">
        <f t="shared" si="23"/>
        <v>44</v>
      </c>
      <c r="B1344" s="140" t="s">
        <v>576</v>
      </c>
      <c r="C1344" s="140" t="s">
        <v>3386</v>
      </c>
      <c r="D1344" s="277" t="s">
        <v>3387</v>
      </c>
      <c r="E1344" s="140" t="s">
        <v>3388</v>
      </c>
      <c r="F1344" s="140" t="s">
        <v>1217</v>
      </c>
      <c r="G1344" s="139" t="s">
        <v>345</v>
      </c>
      <c r="H1344" s="139" t="s">
        <v>1218</v>
      </c>
      <c r="I1344" s="139" t="s">
        <v>695</v>
      </c>
      <c r="J1344" s="334">
        <v>10000000</v>
      </c>
      <c r="K1344" s="139" t="s">
        <v>3389</v>
      </c>
      <c r="L1344" s="139">
        <v>2906679</v>
      </c>
      <c r="M1344" s="155" t="s">
        <v>27</v>
      </c>
      <c r="N1344" s="139">
        <v>1</v>
      </c>
      <c r="O1344" s="13">
        <v>2583000</v>
      </c>
      <c r="P1344" s="141"/>
    </row>
    <row r="1345" spans="1:16" ht="43.5" x14ac:dyDescent="0.35">
      <c r="A1345" s="139">
        <f t="shared" si="23"/>
        <v>45</v>
      </c>
      <c r="B1345" s="140" t="s">
        <v>576</v>
      </c>
      <c r="C1345" s="140" t="s">
        <v>3386</v>
      </c>
      <c r="D1345" s="277" t="s">
        <v>3387</v>
      </c>
      <c r="E1345" s="140" t="s">
        <v>3388</v>
      </c>
      <c r="F1345" s="140" t="s">
        <v>859</v>
      </c>
      <c r="G1345" s="139" t="s">
        <v>345</v>
      </c>
      <c r="H1345" s="139" t="s">
        <v>860</v>
      </c>
      <c r="I1345" s="139">
        <v>10</v>
      </c>
      <c r="J1345" s="334">
        <v>10000000</v>
      </c>
      <c r="K1345" s="139" t="s">
        <v>3389</v>
      </c>
      <c r="L1345" s="139">
        <v>2906679</v>
      </c>
      <c r="M1345" s="155" t="s">
        <v>27</v>
      </c>
      <c r="N1345" s="139">
        <v>1</v>
      </c>
      <c r="O1345" s="13">
        <v>2583000</v>
      </c>
      <c r="P1345" s="141"/>
    </row>
    <row r="1346" spans="1:16" ht="43.5" x14ac:dyDescent="0.35">
      <c r="A1346" s="139">
        <f t="shared" si="23"/>
        <v>46</v>
      </c>
      <c r="B1346" s="140" t="s">
        <v>576</v>
      </c>
      <c r="C1346" s="140" t="s">
        <v>3386</v>
      </c>
      <c r="D1346" s="277" t="s">
        <v>3387</v>
      </c>
      <c r="E1346" s="140" t="s">
        <v>3388</v>
      </c>
      <c r="F1346" s="140" t="s">
        <v>2221</v>
      </c>
      <c r="G1346" s="139" t="s">
        <v>345</v>
      </c>
      <c r="H1346" s="139" t="s">
        <v>864</v>
      </c>
      <c r="I1346" s="139" t="s">
        <v>695</v>
      </c>
      <c r="J1346" s="334">
        <v>1000000</v>
      </c>
      <c r="K1346" s="139" t="s">
        <v>3389</v>
      </c>
      <c r="L1346" s="139">
        <v>2906679</v>
      </c>
      <c r="M1346" s="155" t="s">
        <v>27</v>
      </c>
      <c r="N1346" s="139">
        <v>1</v>
      </c>
      <c r="O1346" s="13">
        <v>2583000</v>
      </c>
      <c r="P1346" s="141"/>
    </row>
    <row r="1347" spans="1:16" ht="43.5" x14ac:dyDescent="0.35">
      <c r="A1347" s="139">
        <f t="shared" si="23"/>
        <v>47</v>
      </c>
      <c r="B1347" s="140" t="s">
        <v>576</v>
      </c>
      <c r="C1347" s="140" t="s">
        <v>3386</v>
      </c>
      <c r="D1347" s="277" t="s">
        <v>3387</v>
      </c>
      <c r="E1347" s="140" t="s">
        <v>3388</v>
      </c>
      <c r="F1347" s="140" t="s">
        <v>2223</v>
      </c>
      <c r="G1347" s="139" t="s">
        <v>345</v>
      </c>
      <c r="H1347" s="139" t="s">
        <v>866</v>
      </c>
      <c r="I1347" s="139" t="s">
        <v>695</v>
      </c>
      <c r="J1347" s="334">
        <v>5000000</v>
      </c>
      <c r="K1347" s="139" t="s">
        <v>3389</v>
      </c>
      <c r="L1347" s="139">
        <v>2906679</v>
      </c>
      <c r="M1347" s="155" t="s">
        <v>27</v>
      </c>
      <c r="N1347" s="139">
        <v>1</v>
      </c>
      <c r="O1347" s="13">
        <v>2583000</v>
      </c>
      <c r="P1347" s="141"/>
    </row>
    <row r="1348" spans="1:16" ht="43.5" x14ac:dyDescent="0.35">
      <c r="A1348" s="139">
        <f t="shared" si="23"/>
        <v>48</v>
      </c>
      <c r="B1348" s="140" t="s">
        <v>576</v>
      </c>
      <c r="C1348" s="140" t="s">
        <v>3386</v>
      </c>
      <c r="D1348" s="277" t="s">
        <v>3387</v>
      </c>
      <c r="E1348" s="140" t="s">
        <v>3388</v>
      </c>
      <c r="F1348" s="140" t="s">
        <v>2225</v>
      </c>
      <c r="G1348" s="139" t="s">
        <v>345</v>
      </c>
      <c r="H1348" s="139" t="s">
        <v>345</v>
      </c>
      <c r="I1348" s="139">
        <v>10</v>
      </c>
      <c r="J1348" s="334">
        <v>10000000</v>
      </c>
      <c r="K1348" s="139" t="s">
        <v>3389</v>
      </c>
      <c r="L1348" s="139">
        <v>2906679</v>
      </c>
      <c r="M1348" s="155" t="s">
        <v>27</v>
      </c>
      <c r="N1348" s="139">
        <v>1</v>
      </c>
      <c r="O1348" s="13">
        <v>2583000</v>
      </c>
      <c r="P1348" s="141"/>
    </row>
    <row r="1349" spans="1:16" ht="43.5" x14ac:dyDescent="0.35">
      <c r="A1349" s="139">
        <f t="shared" si="23"/>
        <v>49</v>
      </c>
      <c r="B1349" s="140" t="s">
        <v>576</v>
      </c>
      <c r="C1349" s="140" t="s">
        <v>3386</v>
      </c>
      <c r="D1349" s="277" t="s">
        <v>3387</v>
      </c>
      <c r="E1349" s="140" t="s">
        <v>3388</v>
      </c>
      <c r="F1349" s="140" t="s">
        <v>344</v>
      </c>
      <c r="G1349" s="139" t="s">
        <v>345</v>
      </c>
      <c r="H1349" s="139" t="s">
        <v>346</v>
      </c>
      <c r="I1349" s="139">
        <v>10</v>
      </c>
      <c r="J1349" s="334">
        <v>10000000</v>
      </c>
      <c r="K1349" s="139" t="s">
        <v>3389</v>
      </c>
      <c r="L1349" s="139">
        <v>2906679</v>
      </c>
      <c r="M1349" s="155" t="s">
        <v>27</v>
      </c>
      <c r="N1349" s="139">
        <v>1</v>
      </c>
      <c r="O1349" s="13">
        <v>2583000</v>
      </c>
      <c r="P1349" s="141"/>
    </row>
    <row r="1350" spans="1:16" ht="43.5" x14ac:dyDescent="0.35">
      <c r="A1350" s="139">
        <f t="shared" si="23"/>
        <v>50</v>
      </c>
      <c r="B1350" s="140" t="s">
        <v>576</v>
      </c>
      <c r="C1350" s="140" t="s">
        <v>3386</v>
      </c>
      <c r="D1350" s="277" t="s">
        <v>3387</v>
      </c>
      <c r="E1350" s="140" t="s">
        <v>3388</v>
      </c>
      <c r="F1350" s="140" t="s">
        <v>1223</v>
      </c>
      <c r="G1350" s="139" t="s">
        <v>345</v>
      </c>
      <c r="H1350" s="139" t="s">
        <v>1224</v>
      </c>
      <c r="I1350" s="139" t="s">
        <v>431</v>
      </c>
      <c r="J1350" s="334">
        <v>4000000</v>
      </c>
      <c r="K1350" s="139" t="s">
        <v>3389</v>
      </c>
      <c r="L1350" s="139">
        <v>2906679</v>
      </c>
      <c r="M1350" s="155" t="s">
        <v>27</v>
      </c>
      <c r="N1350" s="139">
        <v>1</v>
      </c>
      <c r="O1350" s="13">
        <v>2583000</v>
      </c>
      <c r="P1350" s="141"/>
    </row>
    <row r="1351" spans="1:16" ht="43.5" x14ac:dyDescent="0.35">
      <c r="A1351" s="139">
        <f t="shared" si="23"/>
        <v>51</v>
      </c>
      <c r="B1351" s="140" t="s">
        <v>576</v>
      </c>
      <c r="C1351" s="140" t="s">
        <v>3386</v>
      </c>
      <c r="D1351" s="140" t="s">
        <v>3387</v>
      </c>
      <c r="E1351" s="140" t="s">
        <v>3390</v>
      </c>
      <c r="F1351" s="140"/>
      <c r="G1351" s="140" t="s">
        <v>600</v>
      </c>
      <c r="H1351" s="140" t="s">
        <v>163</v>
      </c>
      <c r="I1351" s="140" t="s">
        <v>35</v>
      </c>
      <c r="J1351" s="140">
        <v>80000000</v>
      </c>
      <c r="K1351" s="139" t="s">
        <v>3389</v>
      </c>
      <c r="L1351" s="140">
        <v>2908084</v>
      </c>
      <c r="M1351" s="155" t="s">
        <v>46</v>
      </c>
      <c r="N1351" s="324" t="s">
        <v>3391</v>
      </c>
      <c r="O1351" s="10">
        <v>98040000</v>
      </c>
      <c r="P1351" s="140"/>
    </row>
    <row r="1352" spans="1:16" ht="43.5" x14ac:dyDescent="0.35">
      <c r="A1352" s="139">
        <f t="shared" si="23"/>
        <v>52</v>
      </c>
      <c r="B1352" s="140" t="s">
        <v>576</v>
      </c>
      <c r="C1352" s="140" t="s">
        <v>3386</v>
      </c>
      <c r="D1352" s="140" t="s">
        <v>3387</v>
      </c>
      <c r="E1352" s="140" t="s">
        <v>3390</v>
      </c>
      <c r="F1352" s="140"/>
      <c r="G1352" s="140" t="s">
        <v>410</v>
      </c>
      <c r="H1352" s="140" t="s">
        <v>411</v>
      </c>
      <c r="I1352" s="140" t="s">
        <v>280</v>
      </c>
      <c r="J1352" s="140">
        <v>350000000</v>
      </c>
      <c r="K1352" s="139" t="s">
        <v>3389</v>
      </c>
      <c r="L1352" s="140">
        <v>2920380</v>
      </c>
      <c r="M1352" s="155" t="s">
        <v>46</v>
      </c>
      <c r="N1352" s="324" t="s">
        <v>3392</v>
      </c>
      <c r="O1352" s="10">
        <v>154800000</v>
      </c>
      <c r="P1352" s="140"/>
    </row>
    <row r="1353" spans="1:16" ht="87" x14ac:dyDescent="0.35">
      <c r="A1353" s="139">
        <f t="shared" si="23"/>
        <v>53</v>
      </c>
      <c r="B1353" s="140" t="s">
        <v>576</v>
      </c>
      <c r="C1353" s="140" t="s">
        <v>3386</v>
      </c>
      <c r="D1353" s="140" t="s">
        <v>3387</v>
      </c>
      <c r="E1353" s="140" t="s">
        <v>3393</v>
      </c>
      <c r="F1353" s="140"/>
      <c r="G1353" s="140" t="s">
        <v>418</v>
      </c>
      <c r="H1353" s="140" t="s">
        <v>420</v>
      </c>
      <c r="I1353" s="140" t="s">
        <v>280</v>
      </c>
      <c r="J1353" s="140">
        <v>500000000</v>
      </c>
      <c r="K1353" s="139" t="s">
        <v>3389</v>
      </c>
      <c r="L1353" s="140">
        <v>2797170</v>
      </c>
      <c r="M1353" s="155" t="s">
        <v>46</v>
      </c>
      <c r="N1353" s="324" t="s">
        <v>25</v>
      </c>
      <c r="O1353" s="127">
        <v>980000000</v>
      </c>
      <c r="P1353" s="140" t="s">
        <v>3394</v>
      </c>
    </row>
    <row r="1354" spans="1:16" ht="29" x14ac:dyDescent="0.35">
      <c r="A1354" s="6">
        <v>1</v>
      </c>
      <c r="B1354" s="7" t="s">
        <v>3395</v>
      </c>
      <c r="C1354" s="7" t="s">
        <v>3396</v>
      </c>
      <c r="D1354" s="7" t="s">
        <v>3397</v>
      </c>
      <c r="E1354" s="7" t="s">
        <v>3398</v>
      </c>
      <c r="F1354" s="7" t="s">
        <v>3399</v>
      </c>
      <c r="G1354" s="7" t="s">
        <v>658</v>
      </c>
      <c r="H1354" s="7" t="s">
        <v>1648</v>
      </c>
      <c r="I1354" s="7" t="s">
        <v>169</v>
      </c>
      <c r="J1354" s="335">
        <v>25000000</v>
      </c>
      <c r="K1354" s="6" t="s">
        <v>3400</v>
      </c>
      <c r="L1354" s="7">
        <v>2935482</v>
      </c>
      <c r="M1354" s="6" t="s">
        <v>79</v>
      </c>
      <c r="N1354" s="77" t="s">
        <v>3401</v>
      </c>
      <c r="O1354" s="10">
        <v>17460000</v>
      </c>
      <c r="P1354" s="7" t="s">
        <v>3402</v>
      </c>
    </row>
    <row r="1355" spans="1:16" ht="130.5" x14ac:dyDescent="0.35">
      <c r="A1355" s="139">
        <f t="shared" ref="A1355:A1398" si="24">A1354+1</f>
        <v>2</v>
      </c>
      <c r="B1355" s="140" t="s">
        <v>3395</v>
      </c>
      <c r="C1355" s="140" t="s">
        <v>3396</v>
      </c>
      <c r="D1355" s="140" t="s">
        <v>3397</v>
      </c>
      <c r="E1355" s="140" t="s">
        <v>3403</v>
      </c>
      <c r="F1355" s="140"/>
      <c r="G1355" s="140" t="s">
        <v>44</v>
      </c>
      <c r="H1355" s="140" t="s">
        <v>45</v>
      </c>
      <c r="I1355" s="140" t="s">
        <v>3404</v>
      </c>
      <c r="J1355" s="279">
        <v>50000000</v>
      </c>
      <c r="K1355" s="139" t="s">
        <v>3400</v>
      </c>
      <c r="L1355" s="140">
        <v>2834232</v>
      </c>
      <c r="M1355" s="155" t="s">
        <v>46</v>
      </c>
      <c r="N1355" s="324" t="s">
        <v>3405</v>
      </c>
      <c r="O1355" s="10">
        <v>46161000</v>
      </c>
      <c r="P1355" s="140" t="s">
        <v>3406</v>
      </c>
    </row>
    <row r="1356" spans="1:16" ht="29" x14ac:dyDescent="0.35">
      <c r="A1356" s="139">
        <f t="shared" si="24"/>
        <v>3</v>
      </c>
      <c r="B1356" s="140" t="s">
        <v>3395</v>
      </c>
      <c r="C1356" s="140" t="s">
        <v>3396</v>
      </c>
      <c r="D1356" s="140" t="s">
        <v>3397</v>
      </c>
      <c r="E1356" s="140" t="s">
        <v>3407</v>
      </c>
      <c r="F1356" s="140" t="s">
        <v>48</v>
      </c>
      <c r="G1356" s="140" t="s">
        <v>49</v>
      </c>
      <c r="H1356" s="140" t="s">
        <v>2633</v>
      </c>
      <c r="I1356" s="140" t="s">
        <v>1327</v>
      </c>
      <c r="J1356" s="279">
        <v>17500000</v>
      </c>
      <c r="K1356" s="139" t="s">
        <v>3400</v>
      </c>
      <c r="L1356" s="140">
        <v>2820043</v>
      </c>
      <c r="M1356" s="155" t="s">
        <v>46</v>
      </c>
      <c r="N1356" s="324" t="s">
        <v>3404</v>
      </c>
      <c r="O1356" s="10">
        <v>17460000</v>
      </c>
      <c r="P1356" s="140" t="s">
        <v>3402</v>
      </c>
    </row>
    <row r="1357" spans="1:16" ht="29" x14ac:dyDescent="0.35">
      <c r="A1357" s="139">
        <f t="shared" si="24"/>
        <v>4</v>
      </c>
      <c r="B1357" s="140" t="s">
        <v>3395</v>
      </c>
      <c r="C1357" s="140" t="s">
        <v>3396</v>
      </c>
      <c r="D1357" s="140" t="s">
        <v>3397</v>
      </c>
      <c r="E1357" s="140" t="s">
        <v>3408</v>
      </c>
      <c r="F1357" s="140" t="s">
        <v>48</v>
      </c>
      <c r="G1357" s="140" t="s">
        <v>978</v>
      </c>
      <c r="H1357" s="140" t="s">
        <v>2883</v>
      </c>
      <c r="I1357" s="140">
        <v>1</v>
      </c>
      <c r="J1357" s="279">
        <v>300000</v>
      </c>
      <c r="K1357" s="139" t="s">
        <v>3400</v>
      </c>
      <c r="L1357" s="140">
        <v>3012368</v>
      </c>
      <c r="M1357" s="155" t="s">
        <v>226</v>
      </c>
      <c r="N1357" s="324">
        <v>1</v>
      </c>
      <c r="O1357" s="10">
        <v>421000</v>
      </c>
      <c r="P1357" s="140" t="s">
        <v>3409</v>
      </c>
    </row>
    <row r="1358" spans="1:16" ht="29" x14ac:dyDescent="0.35">
      <c r="A1358" s="139">
        <f t="shared" si="24"/>
        <v>5</v>
      </c>
      <c r="B1358" s="140" t="s">
        <v>3395</v>
      </c>
      <c r="C1358" s="140" t="s">
        <v>3396</v>
      </c>
      <c r="D1358" s="140" t="s">
        <v>3397</v>
      </c>
      <c r="E1358" s="140" t="s">
        <v>3410</v>
      </c>
      <c r="F1358" s="140" t="s">
        <v>48</v>
      </c>
      <c r="G1358" s="140" t="s">
        <v>978</v>
      </c>
      <c r="H1358" s="140" t="s">
        <v>225</v>
      </c>
      <c r="I1358" s="140">
        <v>1</v>
      </c>
      <c r="J1358" s="279">
        <v>500000</v>
      </c>
      <c r="K1358" s="139" t="s">
        <v>3400</v>
      </c>
      <c r="L1358" s="140">
        <v>3012368</v>
      </c>
      <c r="M1358" s="155" t="s">
        <v>226</v>
      </c>
      <c r="N1358" s="324">
        <v>1</v>
      </c>
      <c r="O1358" s="10">
        <v>2700000</v>
      </c>
      <c r="P1358" s="140" t="s">
        <v>3411</v>
      </c>
    </row>
    <row r="1359" spans="1:16" ht="29" x14ac:dyDescent="0.35">
      <c r="A1359" s="139">
        <f t="shared" si="24"/>
        <v>6</v>
      </c>
      <c r="B1359" s="140" t="s">
        <v>3395</v>
      </c>
      <c r="C1359" s="140" t="s">
        <v>3396</v>
      </c>
      <c r="D1359" s="140" t="s">
        <v>3397</v>
      </c>
      <c r="E1359" s="140" t="s">
        <v>3412</v>
      </c>
      <c r="F1359" s="140" t="s">
        <v>48</v>
      </c>
      <c r="G1359" s="140" t="s">
        <v>978</v>
      </c>
      <c r="H1359" s="140" t="s">
        <v>225</v>
      </c>
      <c r="I1359" s="140">
        <v>1</v>
      </c>
      <c r="J1359" s="279">
        <v>500000</v>
      </c>
      <c r="K1359" s="139" t="s">
        <v>3400</v>
      </c>
      <c r="L1359" s="140">
        <v>3012368</v>
      </c>
      <c r="M1359" s="155" t="s">
        <v>226</v>
      </c>
      <c r="N1359" s="324">
        <v>1</v>
      </c>
      <c r="O1359" s="10">
        <v>409000</v>
      </c>
      <c r="P1359" s="140" t="s">
        <v>3409</v>
      </c>
    </row>
    <row r="1360" spans="1:16" ht="29" x14ac:dyDescent="0.35">
      <c r="A1360" s="139">
        <f t="shared" si="24"/>
        <v>7</v>
      </c>
      <c r="B1360" s="140" t="s">
        <v>3395</v>
      </c>
      <c r="C1360" s="140" t="s">
        <v>3396</v>
      </c>
      <c r="D1360" s="140" t="s">
        <v>3397</v>
      </c>
      <c r="E1360" s="140" t="s">
        <v>3413</v>
      </c>
      <c r="F1360" s="140" t="s">
        <v>48</v>
      </c>
      <c r="G1360" s="140" t="s">
        <v>978</v>
      </c>
      <c r="H1360" s="140" t="s">
        <v>1404</v>
      </c>
      <c r="I1360" s="140">
        <v>1</v>
      </c>
      <c r="J1360" s="279">
        <v>1500000</v>
      </c>
      <c r="K1360" s="139" t="s">
        <v>3400</v>
      </c>
      <c r="L1360" s="140">
        <v>3012368</v>
      </c>
      <c r="M1360" s="155" t="s">
        <v>226</v>
      </c>
      <c r="N1360" s="324">
        <v>1</v>
      </c>
      <c r="O1360" s="10">
        <v>2910000</v>
      </c>
      <c r="P1360" s="140" t="s">
        <v>3402</v>
      </c>
    </row>
    <row r="1361" spans="1:16" ht="29" x14ac:dyDescent="0.35">
      <c r="A1361" s="139">
        <f t="shared" si="24"/>
        <v>8</v>
      </c>
      <c r="B1361" s="140" t="s">
        <v>3395</v>
      </c>
      <c r="C1361" s="140" t="s">
        <v>3396</v>
      </c>
      <c r="D1361" s="140" t="s">
        <v>3397</v>
      </c>
      <c r="E1361" s="140" t="s">
        <v>3410</v>
      </c>
      <c r="F1361" s="140" t="s">
        <v>48</v>
      </c>
      <c r="G1361" s="140" t="s">
        <v>978</v>
      </c>
      <c r="H1361" s="140" t="s">
        <v>1404</v>
      </c>
      <c r="I1361" s="140">
        <v>1</v>
      </c>
      <c r="J1361" s="279">
        <v>500000</v>
      </c>
      <c r="K1361" s="139" t="s">
        <v>3400</v>
      </c>
      <c r="L1361" s="140">
        <v>3012368</v>
      </c>
      <c r="M1361" s="155" t="s">
        <v>226</v>
      </c>
      <c r="N1361" s="324">
        <v>1</v>
      </c>
      <c r="O1361" s="10">
        <v>2910000</v>
      </c>
      <c r="P1361" s="140" t="s">
        <v>3402</v>
      </c>
    </row>
    <row r="1362" spans="1:16" ht="29" x14ac:dyDescent="0.35">
      <c r="A1362" s="139">
        <f t="shared" si="24"/>
        <v>9</v>
      </c>
      <c r="B1362" s="140" t="s">
        <v>3414</v>
      </c>
      <c r="C1362" s="140" t="s">
        <v>3415</v>
      </c>
      <c r="D1362" s="140" t="s">
        <v>3416</v>
      </c>
      <c r="E1362" s="140" t="s">
        <v>3417</v>
      </c>
      <c r="F1362" s="140" t="s">
        <v>3418</v>
      </c>
      <c r="G1362" s="140" t="s">
        <v>266</v>
      </c>
      <c r="H1362" s="140" t="s">
        <v>1617</v>
      </c>
      <c r="I1362" s="140"/>
      <c r="J1362" s="140">
        <v>20000000</v>
      </c>
      <c r="K1362" s="139" t="s">
        <v>3419</v>
      </c>
      <c r="L1362" s="140">
        <v>2849470</v>
      </c>
      <c r="M1362" s="155" t="s">
        <v>79</v>
      </c>
      <c r="N1362" s="324" t="s">
        <v>54</v>
      </c>
      <c r="O1362" s="10">
        <v>17466000</v>
      </c>
      <c r="P1362" s="140"/>
    </row>
    <row r="1363" spans="1:16" ht="29" x14ac:dyDescent="0.35">
      <c r="A1363" s="139">
        <f t="shared" si="24"/>
        <v>10</v>
      </c>
      <c r="B1363" s="140" t="s">
        <v>3414</v>
      </c>
      <c r="C1363" s="140" t="s">
        <v>3415</v>
      </c>
      <c r="D1363" s="140" t="s">
        <v>3416</v>
      </c>
      <c r="E1363" s="140" t="s">
        <v>3420</v>
      </c>
      <c r="F1363" s="140" t="s">
        <v>1632</v>
      </c>
      <c r="G1363" s="140" t="s">
        <v>266</v>
      </c>
      <c r="H1363" s="140" t="s">
        <v>1633</v>
      </c>
      <c r="I1363" s="140"/>
      <c r="J1363" s="140">
        <v>10000000</v>
      </c>
      <c r="K1363" s="139" t="s">
        <v>3419</v>
      </c>
      <c r="L1363" s="140">
        <v>2926486</v>
      </c>
      <c r="M1363" s="155" t="s">
        <v>79</v>
      </c>
      <c r="N1363" s="324" t="s">
        <v>54</v>
      </c>
      <c r="O1363" s="10">
        <v>17466000</v>
      </c>
      <c r="P1363" s="140"/>
    </row>
    <row r="1364" spans="1:16" ht="29" x14ac:dyDescent="0.35">
      <c r="A1364" s="139">
        <f t="shared" si="24"/>
        <v>11</v>
      </c>
      <c r="B1364" s="140" t="s">
        <v>3414</v>
      </c>
      <c r="C1364" s="140" t="s">
        <v>3415</v>
      </c>
      <c r="D1364" s="140" t="s">
        <v>3416</v>
      </c>
      <c r="E1364" s="140" t="s">
        <v>3421</v>
      </c>
      <c r="F1364" s="140" t="s">
        <v>3422</v>
      </c>
      <c r="G1364" s="140" t="s">
        <v>658</v>
      </c>
      <c r="H1364" s="140" t="s">
        <v>3423</v>
      </c>
      <c r="I1364" s="140" t="s">
        <v>35</v>
      </c>
      <c r="J1364" s="140">
        <v>10000000</v>
      </c>
      <c r="K1364" s="139" t="s">
        <v>3419</v>
      </c>
      <c r="L1364" s="140">
        <v>2958909</v>
      </c>
      <c r="M1364" s="155" t="s">
        <v>79</v>
      </c>
      <c r="N1364" s="324" t="s">
        <v>280</v>
      </c>
      <c r="O1364" s="10">
        <v>8733000</v>
      </c>
      <c r="P1364" s="140"/>
    </row>
    <row r="1365" spans="1:16" ht="29" x14ac:dyDescent="0.35">
      <c r="A1365" s="139">
        <f t="shared" si="24"/>
        <v>12</v>
      </c>
      <c r="B1365" s="140" t="s">
        <v>3414</v>
      </c>
      <c r="C1365" s="140" t="s">
        <v>3415</v>
      </c>
      <c r="D1365" s="140" t="s">
        <v>3416</v>
      </c>
      <c r="E1365" s="140" t="s">
        <v>3424</v>
      </c>
      <c r="F1365" s="140" t="s">
        <v>289</v>
      </c>
      <c r="G1365" s="140" t="s">
        <v>238</v>
      </c>
      <c r="H1365" s="144" t="s">
        <v>290</v>
      </c>
      <c r="I1365" s="140" t="s">
        <v>370</v>
      </c>
      <c r="J1365" s="336">
        <v>4200000</v>
      </c>
      <c r="K1365" s="139" t="s">
        <v>3419</v>
      </c>
      <c r="L1365" s="140">
        <v>2966368</v>
      </c>
      <c r="M1365" s="32" t="s">
        <v>97</v>
      </c>
      <c r="N1365" s="140" t="s">
        <v>401</v>
      </c>
      <c r="O1365" s="10">
        <v>22738000</v>
      </c>
      <c r="P1365" s="140"/>
    </row>
    <row r="1366" spans="1:16" ht="29" x14ac:dyDescent="0.35">
      <c r="A1366" s="139">
        <f t="shared" si="24"/>
        <v>13</v>
      </c>
      <c r="B1366" s="140" t="s">
        <v>3414</v>
      </c>
      <c r="C1366" s="140" t="s">
        <v>3415</v>
      </c>
      <c r="D1366" s="140" t="s">
        <v>3416</v>
      </c>
      <c r="E1366" s="140" t="s">
        <v>3425</v>
      </c>
      <c r="F1366" s="140" t="s">
        <v>563</v>
      </c>
      <c r="G1366" s="140" t="s">
        <v>238</v>
      </c>
      <c r="H1366" s="144" t="s">
        <v>286</v>
      </c>
      <c r="I1366" s="140" t="s">
        <v>28</v>
      </c>
      <c r="J1366" s="336">
        <v>9400000</v>
      </c>
      <c r="K1366" s="139" t="s">
        <v>3419</v>
      </c>
      <c r="L1366" s="140">
        <v>2965719</v>
      </c>
      <c r="M1366" s="32" t="s">
        <v>97</v>
      </c>
      <c r="N1366" s="140" t="s">
        <v>401</v>
      </c>
      <c r="O1366" s="10">
        <v>22738000</v>
      </c>
      <c r="P1366" s="140"/>
    </row>
    <row r="1367" spans="1:16" ht="78" x14ac:dyDescent="0.35">
      <c r="A1367" s="145">
        <f t="shared" si="24"/>
        <v>14</v>
      </c>
      <c r="B1367" s="146" t="s">
        <v>3414</v>
      </c>
      <c r="C1367" s="146" t="s">
        <v>3415</v>
      </c>
      <c r="D1367" s="140" t="s">
        <v>3416</v>
      </c>
      <c r="E1367" s="146" t="s">
        <v>3426</v>
      </c>
      <c r="F1367" s="146" t="s">
        <v>297</v>
      </c>
      <c r="G1367" s="145" t="s">
        <v>116</v>
      </c>
      <c r="H1367" s="145" t="s">
        <v>117</v>
      </c>
      <c r="I1367" s="145" t="s">
        <v>725</v>
      </c>
      <c r="J1367" s="337">
        <v>35000000</v>
      </c>
      <c r="K1367" s="145" t="s">
        <v>3419</v>
      </c>
      <c r="L1367" s="145">
        <v>2949207</v>
      </c>
      <c r="M1367" s="145" t="s">
        <v>109</v>
      </c>
      <c r="N1367" s="328" t="s">
        <v>280</v>
      </c>
      <c r="O1367" s="13">
        <v>9230250</v>
      </c>
      <c r="P1367" s="141"/>
    </row>
    <row r="1368" spans="1:16" ht="65" x14ac:dyDescent="0.35">
      <c r="A1368" s="145">
        <f t="shared" si="24"/>
        <v>15</v>
      </c>
      <c r="B1368" s="146" t="s">
        <v>3414</v>
      </c>
      <c r="C1368" s="146" t="s">
        <v>3415</v>
      </c>
      <c r="D1368" s="140" t="s">
        <v>3416</v>
      </c>
      <c r="E1368" s="146" t="s">
        <v>3427</v>
      </c>
      <c r="F1368" s="146" t="s">
        <v>297</v>
      </c>
      <c r="G1368" s="145" t="s">
        <v>116</v>
      </c>
      <c r="H1368" s="145" t="s">
        <v>2174</v>
      </c>
      <c r="I1368" s="145" t="s">
        <v>725</v>
      </c>
      <c r="J1368" s="337">
        <v>25000000</v>
      </c>
      <c r="K1368" s="145" t="s">
        <v>3419</v>
      </c>
      <c r="L1368" s="145">
        <v>2949264</v>
      </c>
      <c r="M1368" s="145" t="s">
        <v>109</v>
      </c>
      <c r="N1368" s="328" t="s">
        <v>280</v>
      </c>
      <c r="O1368" s="13">
        <v>9230250</v>
      </c>
      <c r="P1368" s="141"/>
    </row>
    <row r="1369" spans="1:16" ht="29" x14ac:dyDescent="0.35">
      <c r="A1369" s="139">
        <f t="shared" si="24"/>
        <v>16</v>
      </c>
      <c r="B1369" s="140" t="s">
        <v>3414</v>
      </c>
      <c r="C1369" s="140" t="s">
        <v>3415</v>
      </c>
      <c r="D1369" s="140" t="s">
        <v>3416</v>
      </c>
      <c r="E1369" s="140" t="s">
        <v>3428</v>
      </c>
      <c r="F1369" s="140" t="s">
        <v>3429</v>
      </c>
      <c r="G1369" s="139" t="s">
        <v>135</v>
      </c>
      <c r="H1369" s="139" t="s">
        <v>3430</v>
      </c>
      <c r="I1369" s="139" t="s">
        <v>3431</v>
      </c>
      <c r="J1369" s="338">
        <v>50000000</v>
      </c>
      <c r="K1369" s="139" t="s">
        <v>3419</v>
      </c>
      <c r="L1369" s="139">
        <v>2906060</v>
      </c>
      <c r="M1369" s="155" t="s">
        <v>27</v>
      </c>
      <c r="N1369" s="339" t="s">
        <v>3432</v>
      </c>
      <c r="O1369" s="347">
        <v>9000000</v>
      </c>
      <c r="P1369" s="140"/>
    </row>
    <row r="1370" spans="1:16" ht="29" x14ac:dyDescent="0.35">
      <c r="A1370" s="149">
        <f t="shared" si="24"/>
        <v>17</v>
      </c>
      <c r="B1370" s="140" t="s">
        <v>3414</v>
      </c>
      <c r="C1370" s="140" t="s">
        <v>3415</v>
      </c>
      <c r="D1370" s="140" t="s">
        <v>3416</v>
      </c>
      <c r="E1370" s="140" t="s">
        <v>3433</v>
      </c>
      <c r="F1370" s="140" t="s">
        <v>140</v>
      </c>
      <c r="G1370" s="139" t="s">
        <v>361</v>
      </c>
      <c r="H1370" s="139" t="s">
        <v>2526</v>
      </c>
      <c r="I1370" s="139">
        <v>3</v>
      </c>
      <c r="J1370" s="340">
        <v>25889250</v>
      </c>
      <c r="K1370" s="139" t="s">
        <v>3419</v>
      </c>
      <c r="L1370" s="139">
        <v>2817265</v>
      </c>
      <c r="M1370" s="155" t="s">
        <v>144</v>
      </c>
      <c r="N1370" s="139" t="s">
        <v>366</v>
      </c>
      <c r="O1370" s="13">
        <v>25889250</v>
      </c>
      <c r="P1370" s="141"/>
    </row>
    <row r="1371" spans="1:16" ht="43.5" x14ac:dyDescent="0.35">
      <c r="A1371" s="149">
        <f t="shared" si="24"/>
        <v>18</v>
      </c>
      <c r="B1371" s="140" t="s">
        <v>3414</v>
      </c>
      <c r="C1371" s="140" t="s">
        <v>3415</v>
      </c>
      <c r="D1371" s="140" t="s">
        <v>3416</v>
      </c>
      <c r="E1371" s="140" t="s">
        <v>3434</v>
      </c>
      <c r="F1371" s="140" t="s">
        <v>140</v>
      </c>
      <c r="G1371" s="139" t="s">
        <v>361</v>
      </c>
      <c r="H1371" s="139" t="s">
        <v>729</v>
      </c>
      <c r="I1371" s="139">
        <v>4</v>
      </c>
      <c r="J1371" s="338">
        <v>40000000</v>
      </c>
      <c r="K1371" s="139" t="s">
        <v>3419</v>
      </c>
      <c r="L1371" s="139">
        <v>2819567</v>
      </c>
      <c r="M1371" s="155" t="s">
        <v>144</v>
      </c>
      <c r="N1371" s="139" t="s">
        <v>2330</v>
      </c>
      <c r="O1371" s="13">
        <v>34519000</v>
      </c>
      <c r="P1371" s="141"/>
    </row>
    <row r="1372" spans="1:16" ht="43.5" x14ac:dyDescent="0.35">
      <c r="A1372" s="149">
        <f t="shared" si="24"/>
        <v>19</v>
      </c>
      <c r="B1372" s="140" t="s">
        <v>3414</v>
      </c>
      <c r="C1372" s="140" t="s">
        <v>3415</v>
      </c>
      <c r="D1372" s="140" t="s">
        <v>3416</v>
      </c>
      <c r="E1372" s="140" t="s">
        <v>3435</v>
      </c>
      <c r="F1372" s="140" t="s">
        <v>140</v>
      </c>
      <c r="G1372" s="139" t="s">
        <v>361</v>
      </c>
      <c r="H1372" s="139" t="s">
        <v>362</v>
      </c>
      <c r="I1372" s="139">
        <v>3</v>
      </c>
      <c r="J1372" s="338">
        <v>20000000</v>
      </c>
      <c r="K1372" s="139" t="s">
        <v>3419</v>
      </c>
      <c r="L1372" s="139">
        <v>2820037</v>
      </c>
      <c r="M1372" s="155" t="s">
        <v>144</v>
      </c>
      <c r="N1372" s="139" t="s">
        <v>366</v>
      </c>
      <c r="O1372" s="13">
        <v>25889250</v>
      </c>
      <c r="P1372" s="141"/>
    </row>
    <row r="1373" spans="1:16" ht="29" x14ac:dyDescent="0.35">
      <c r="A1373" s="139">
        <f t="shared" si="24"/>
        <v>20</v>
      </c>
      <c r="B1373" s="140" t="s">
        <v>3414</v>
      </c>
      <c r="C1373" s="140" t="s">
        <v>3415</v>
      </c>
      <c r="D1373" s="140" t="s">
        <v>3416</v>
      </c>
      <c r="E1373" s="140" t="s">
        <v>3436</v>
      </c>
      <c r="F1373" s="140" t="s">
        <v>48</v>
      </c>
      <c r="G1373" s="140" t="s">
        <v>49</v>
      </c>
      <c r="H1373" s="140" t="s">
        <v>613</v>
      </c>
      <c r="I1373" s="140" t="s">
        <v>35</v>
      </c>
      <c r="J1373" s="140">
        <v>12500000</v>
      </c>
      <c r="K1373" s="139" t="s">
        <v>3419</v>
      </c>
      <c r="L1373" s="140">
        <v>2820002</v>
      </c>
      <c r="M1373" s="155" t="s">
        <v>46</v>
      </c>
      <c r="N1373" s="324" t="s">
        <v>3437</v>
      </c>
      <c r="O1373" s="10">
        <v>12500000</v>
      </c>
      <c r="P1373" s="140"/>
    </row>
    <row r="1374" spans="1:16" ht="43.5" x14ac:dyDescent="0.35">
      <c r="A1374" s="139">
        <f t="shared" si="24"/>
        <v>21</v>
      </c>
      <c r="B1374" s="140" t="s">
        <v>3414</v>
      </c>
      <c r="C1374" s="140" t="s">
        <v>3415</v>
      </c>
      <c r="D1374" s="140" t="s">
        <v>3416</v>
      </c>
      <c r="E1374" s="140" t="s">
        <v>3438</v>
      </c>
      <c r="F1374" s="140" t="s">
        <v>3350</v>
      </c>
      <c r="G1374" s="140" t="s">
        <v>171</v>
      </c>
      <c r="H1374" s="140" t="s">
        <v>3351</v>
      </c>
      <c r="I1374" s="140" t="s">
        <v>3439</v>
      </c>
      <c r="J1374" s="140">
        <v>17570000</v>
      </c>
      <c r="K1374" s="139" t="s">
        <v>3419</v>
      </c>
      <c r="L1374" s="140">
        <v>2933917</v>
      </c>
      <c r="M1374" s="155" t="s">
        <v>173</v>
      </c>
      <c r="N1374" s="324" t="s">
        <v>54</v>
      </c>
      <c r="O1374" s="10">
        <v>17282000</v>
      </c>
      <c r="P1374" s="140"/>
    </row>
    <row r="1375" spans="1:16" ht="43.5" x14ac:dyDescent="0.35">
      <c r="A1375" s="139">
        <f t="shared" si="24"/>
        <v>22</v>
      </c>
      <c r="B1375" s="140" t="s">
        <v>3414</v>
      </c>
      <c r="C1375" s="140" t="s">
        <v>3415</v>
      </c>
      <c r="D1375" s="140" t="s">
        <v>3416</v>
      </c>
      <c r="E1375" s="140" t="s">
        <v>3438</v>
      </c>
      <c r="F1375" s="140" t="s">
        <v>2666</v>
      </c>
      <c r="G1375" s="140" t="s">
        <v>171</v>
      </c>
      <c r="H1375" s="140" t="s">
        <v>2667</v>
      </c>
      <c r="I1375" s="140" t="s">
        <v>3439</v>
      </c>
      <c r="J1375" s="140">
        <v>17570000</v>
      </c>
      <c r="K1375" s="139" t="s">
        <v>3419</v>
      </c>
      <c r="L1375" s="140">
        <v>2933917</v>
      </c>
      <c r="M1375" s="155" t="s">
        <v>173</v>
      </c>
      <c r="N1375" s="324" t="s">
        <v>54</v>
      </c>
      <c r="O1375" s="10">
        <v>17282000</v>
      </c>
      <c r="P1375" s="140"/>
    </row>
    <row r="1376" spans="1:16" ht="43.5" x14ac:dyDescent="0.35">
      <c r="A1376" s="139">
        <f t="shared" si="24"/>
        <v>23</v>
      </c>
      <c r="B1376" s="140" t="s">
        <v>3414</v>
      </c>
      <c r="C1376" s="140" t="s">
        <v>3415</v>
      </c>
      <c r="D1376" s="140" t="s">
        <v>3416</v>
      </c>
      <c r="E1376" s="140" t="s">
        <v>3438</v>
      </c>
      <c r="F1376" s="140" t="s">
        <v>3440</v>
      </c>
      <c r="G1376" s="140" t="s">
        <v>171</v>
      </c>
      <c r="H1376" s="140" t="s">
        <v>623</v>
      </c>
      <c r="I1376" s="140" t="s">
        <v>3439</v>
      </c>
      <c r="J1376" s="140">
        <v>17570000</v>
      </c>
      <c r="K1376" s="139" t="s">
        <v>3419</v>
      </c>
      <c r="L1376" s="140">
        <v>2933917</v>
      </c>
      <c r="M1376" s="155" t="s">
        <v>173</v>
      </c>
      <c r="N1376" s="324" t="s">
        <v>54</v>
      </c>
      <c r="O1376" s="10">
        <v>17282000</v>
      </c>
      <c r="P1376" s="140"/>
    </row>
    <row r="1377" spans="1:16" ht="43.5" x14ac:dyDescent="0.35">
      <c r="A1377" s="139">
        <f t="shared" si="24"/>
        <v>24</v>
      </c>
      <c r="B1377" s="140" t="s">
        <v>3414</v>
      </c>
      <c r="C1377" s="140" t="s">
        <v>3415</v>
      </c>
      <c r="D1377" s="140" t="s">
        <v>3416</v>
      </c>
      <c r="E1377" s="140" t="s">
        <v>3438</v>
      </c>
      <c r="F1377" s="140" t="s">
        <v>3441</v>
      </c>
      <c r="G1377" s="140" t="s">
        <v>171</v>
      </c>
      <c r="H1377" s="140" t="s">
        <v>172</v>
      </c>
      <c r="I1377" s="140" t="s">
        <v>712</v>
      </c>
      <c r="J1377" s="140">
        <v>8785000</v>
      </c>
      <c r="K1377" s="139" t="s">
        <v>3419</v>
      </c>
      <c r="L1377" s="140">
        <v>2933917</v>
      </c>
      <c r="M1377" s="155" t="s">
        <v>173</v>
      </c>
      <c r="N1377" s="324" t="s">
        <v>280</v>
      </c>
      <c r="O1377" s="10">
        <v>8641000</v>
      </c>
      <c r="P1377" s="140"/>
    </row>
    <row r="1378" spans="1:16" ht="43.5" x14ac:dyDescent="0.35">
      <c r="A1378" s="139">
        <f t="shared" si="24"/>
        <v>25</v>
      </c>
      <c r="B1378" s="140" t="s">
        <v>3414</v>
      </c>
      <c r="C1378" s="140" t="s">
        <v>3415</v>
      </c>
      <c r="D1378" s="140" t="s">
        <v>3416</v>
      </c>
      <c r="E1378" s="140" t="s">
        <v>3438</v>
      </c>
      <c r="F1378" s="140" t="s">
        <v>2674</v>
      </c>
      <c r="G1378" s="140" t="s">
        <v>171</v>
      </c>
      <c r="H1378" s="140" t="s">
        <v>2675</v>
      </c>
      <c r="I1378" s="140" t="s">
        <v>3439</v>
      </c>
      <c r="J1378" s="140">
        <v>8785000</v>
      </c>
      <c r="K1378" s="139" t="s">
        <v>3419</v>
      </c>
      <c r="L1378" s="140">
        <v>2933917</v>
      </c>
      <c r="M1378" s="155" t="s">
        <v>173</v>
      </c>
      <c r="N1378" s="324" t="s">
        <v>280</v>
      </c>
      <c r="O1378" s="10">
        <v>8641000</v>
      </c>
      <c r="P1378" s="140"/>
    </row>
    <row r="1379" spans="1:16" ht="43.5" x14ac:dyDescent="0.35">
      <c r="A1379" s="139">
        <f t="shared" si="24"/>
        <v>26</v>
      </c>
      <c r="B1379" s="140" t="s">
        <v>3414</v>
      </c>
      <c r="C1379" s="140" t="s">
        <v>3415</v>
      </c>
      <c r="D1379" s="140" t="s">
        <v>3416</v>
      </c>
      <c r="E1379" s="140" t="s">
        <v>3438</v>
      </c>
      <c r="F1379" s="140" t="s">
        <v>3442</v>
      </c>
      <c r="G1379" s="140" t="s">
        <v>171</v>
      </c>
      <c r="H1379" s="140" t="s">
        <v>2680</v>
      </c>
      <c r="I1379" s="140" t="s">
        <v>3439</v>
      </c>
      <c r="J1379" s="140">
        <v>8785000</v>
      </c>
      <c r="K1379" s="139" t="s">
        <v>3419</v>
      </c>
      <c r="L1379" s="140">
        <v>2933917</v>
      </c>
      <c r="M1379" s="155" t="s">
        <v>173</v>
      </c>
      <c r="N1379" s="324" t="s">
        <v>280</v>
      </c>
      <c r="O1379" s="10">
        <v>8641000</v>
      </c>
      <c r="P1379" s="140"/>
    </row>
    <row r="1380" spans="1:16" ht="43.5" x14ac:dyDescent="0.35">
      <c r="A1380" s="139">
        <f t="shared" si="24"/>
        <v>27</v>
      </c>
      <c r="B1380" s="140" t="s">
        <v>3414</v>
      </c>
      <c r="C1380" s="140" t="s">
        <v>3415</v>
      </c>
      <c r="D1380" s="140" t="s">
        <v>3416</v>
      </c>
      <c r="E1380" s="140" t="s">
        <v>3438</v>
      </c>
      <c r="F1380" s="140" t="s">
        <v>3443</v>
      </c>
      <c r="G1380" s="140" t="s">
        <v>171</v>
      </c>
      <c r="H1380" s="140" t="s">
        <v>1349</v>
      </c>
      <c r="I1380" s="140" t="s">
        <v>3439</v>
      </c>
      <c r="J1380" s="140">
        <v>8785000</v>
      </c>
      <c r="K1380" s="139" t="s">
        <v>3419</v>
      </c>
      <c r="L1380" s="140">
        <v>2933917</v>
      </c>
      <c r="M1380" s="155" t="s">
        <v>173</v>
      </c>
      <c r="N1380" s="324" t="s">
        <v>280</v>
      </c>
      <c r="O1380" s="10">
        <v>8641000</v>
      </c>
      <c r="P1380" s="140"/>
    </row>
    <row r="1381" spans="1:16" ht="29" x14ac:dyDescent="0.35">
      <c r="A1381" s="139">
        <f t="shared" si="24"/>
        <v>28</v>
      </c>
      <c r="B1381" s="140" t="s">
        <v>3414</v>
      </c>
      <c r="C1381" s="140" t="s">
        <v>3415</v>
      </c>
      <c r="D1381" s="140" t="s">
        <v>3416</v>
      </c>
      <c r="E1381" s="140" t="s">
        <v>3444</v>
      </c>
      <c r="F1381" s="140" t="s">
        <v>748</v>
      </c>
      <c r="G1381" s="140" t="s">
        <v>749</v>
      </c>
      <c r="H1381" s="140" t="s">
        <v>750</v>
      </c>
      <c r="I1381" s="140" t="s">
        <v>35</v>
      </c>
      <c r="J1381" s="140">
        <v>10000000</v>
      </c>
      <c r="K1381" s="139" t="s">
        <v>3419</v>
      </c>
      <c r="L1381" s="140">
        <v>2956278</v>
      </c>
      <c r="M1381" s="155" t="s">
        <v>173</v>
      </c>
      <c r="N1381" s="324" t="s">
        <v>280</v>
      </c>
      <c r="O1381" s="10">
        <v>8489000</v>
      </c>
      <c r="P1381" s="140"/>
    </row>
    <row r="1382" spans="1:16" ht="72.5" x14ac:dyDescent="0.35">
      <c r="A1382" s="139">
        <f t="shared" si="24"/>
        <v>29</v>
      </c>
      <c r="B1382" s="140" t="s">
        <v>3414</v>
      </c>
      <c r="C1382" s="140" t="s">
        <v>3415</v>
      </c>
      <c r="D1382" s="140" t="s">
        <v>3416</v>
      </c>
      <c r="E1382" s="140" t="s">
        <v>3445</v>
      </c>
      <c r="F1382" s="140" t="s">
        <v>2765</v>
      </c>
      <c r="G1382" s="140" t="s">
        <v>970</v>
      </c>
      <c r="H1382" s="140" t="s">
        <v>2766</v>
      </c>
      <c r="I1382" s="140" t="s">
        <v>725</v>
      </c>
      <c r="J1382" s="140">
        <v>12000000</v>
      </c>
      <c r="K1382" s="139" t="s">
        <v>3419</v>
      </c>
      <c r="L1382" s="140">
        <v>3011891</v>
      </c>
      <c r="M1382" s="155" t="s">
        <v>173</v>
      </c>
      <c r="N1382" s="324" t="s">
        <v>280</v>
      </c>
      <c r="O1382" s="10">
        <v>8658000</v>
      </c>
      <c r="P1382" s="140"/>
    </row>
    <row r="1383" spans="1:16" ht="72.5" x14ac:dyDescent="0.35">
      <c r="A1383" s="139">
        <f t="shared" si="24"/>
        <v>30</v>
      </c>
      <c r="B1383" s="140" t="s">
        <v>3414</v>
      </c>
      <c r="C1383" s="140" t="s">
        <v>3415</v>
      </c>
      <c r="D1383" s="140" t="s">
        <v>3416</v>
      </c>
      <c r="E1383" s="140" t="s">
        <v>3427</v>
      </c>
      <c r="F1383" s="140" t="s">
        <v>2769</v>
      </c>
      <c r="G1383" s="140" t="s">
        <v>970</v>
      </c>
      <c r="H1383" s="140" t="s">
        <v>2770</v>
      </c>
      <c r="I1383" s="140" t="s">
        <v>725</v>
      </c>
      <c r="J1383" s="140">
        <v>12000000</v>
      </c>
      <c r="K1383" s="139" t="s">
        <v>3419</v>
      </c>
      <c r="L1383" s="140">
        <v>3011891</v>
      </c>
      <c r="M1383" s="155" t="s">
        <v>173</v>
      </c>
      <c r="N1383" s="324" t="s">
        <v>280</v>
      </c>
      <c r="O1383" s="10">
        <v>8658000</v>
      </c>
      <c r="P1383" s="140"/>
    </row>
    <row r="1384" spans="1:16" ht="72.5" x14ac:dyDescent="0.35">
      <c r="A1384" s="139">
        <f t="shared" si="24"/>
        <v>31</v>
      </c>
      <c r="B1384" s="140" t="s">
        <v>3414</v>
      </c>
      <c r="C1384" s="140" t="s">
        <v>3415</v>
      </c>
      <c r="D1384" s="140" t="s">
        <v>3416</v>
      </c>
      <c r="E1384" s="140" t="s">
        <v>3427</v>
      </c>
      <c r="F1384" s="140" t="s">
        <v>3446</v>
      </c>
      <c r="G1384" s="140" t="s">
        <v>970</v>
      </c>
      <c r="H1384" s="140" t="s">
        <v>2773</v>
      </c>
      <c r="I1384" s="140" t="s">
        <v>725</v>
      </c>
      <c r="J1384" s="140">
        <v>12000000</v>
      </c>
      <c r="K1384" s="139" t="s">
        <v>3419</v>
      </c>
      <c r="L1384" s="140">
        <v>3011891</v>
      </c>
      <c r="M1384" s="155" t="s">
        <v>173</v>
      </c>
      <c r="N1384" s="324" t="s">
        <v>280</v>
      </c>
      <c r="O1384" s="10">
        <v>8658000</v>
      </c>
      <c r="P1384" s="140"/>
    </row>
    <row r="1385" spans="1:16" ht="72.5" x14ac:dyDescent="0.35">
      <c r="A1385" s="139">
        <f t="shared" si="24"/>
        <v>32</v>
      </c>
      <c r="B1385" s="140" t="s">
        <v>3414</v>
      </c>
      <c r="C1385" s="140" t="s">
        <v>3415</v>
      </c>
      <c r="D1385" s="140" t="s">
        <v>3416</v>
      </c>
      <c r="E1385" s="140" t="s">
        <v>3445</v>
      </c>
      <c r="F1385" s="140" t="s">
        <v>3447</v>
      </c>
      <c r="G1385" s="140" t="s">
        <v>970</v>
      </c>
      <c r="H1385" s="140" t="s">
        <v>3355</v>
      </c>
      <c r="I1385" s="140" t="s">
        <v>725</v>
      </c>
      <c r="J1385" s="140">
        <v>12000000</v>
      </c>
      <c r="K1385" s="139" t="s">
        <v>3419</v>
      </c>
      <c r="L1385" s="140">
        <v>3011891</v>
      </c>
      <c r="M1385" s="155" t="s">
        <v>173</v>
      </c>
      <c r="N1385" s="324" t="s">
        <v>280</v>
      </c>
      <c r="O1385" s="10">
        <v>8658000</v>
      </c>
      <c r="P1385" s="140"/>
    </row>
    <row r="1386" spans="1:16" ht="72.5" x14ac:dyDescent="0.35">
      <c r="A1386" s="139">
        <f t="shared" si="24"/>
        <v>33</v>
      </c>
      <c r="B1386" s="140" t="s">
        <v>3414</v>
      </c>
      <c r="C1386" s="140" t="s">
        <v>3415</v>
      </c>
      <c r="D1386" s="140" t="s">
        <v>3416</v>
      </c>
      <c r="E1386" s="140" t="s">
        <v>3445</v>
      </c>
      <c r="F1386" s="140" t="s">
        <v>3448</v>
      </c>
      <c r="G1386" s="140" t="s">
        <v>970</v>
      </c>
      <c r="H1386" s="140" t="s">
        <v>971</v>
      </c>
      <c r="I1386" s="140" t="s">
        <v>725</v>
      </c>
      <c r="J1386" s="140">
        <v>12000000</v>
      </c>
      <c r="K1386" s="139" t="s">
        <v>3419</v>
      </c>
      <c r="L1386" s="140">
        <v>3011891</v>
      </c>
      <c r="M1386" s="155" t="s">
        <v>173</v>
      </c>
      <c r="N1386" s="324" t="s">
        <v>280</v>
      </c>
      <c r="O1386" s="10">
        <v>8658000</v>
      </c>
      <c r="P1386" s="140"/>
    </row>
    <row r="1387" spans="1:16" ht="72.5" x14ac:dyDescent="0.35">
      <c r="A1387" s="139">
        <f t="shared" si="24"/>
        <v>34</v>
      </c>
      <c r="B1387" s="140" t="s">
        <v>3414</v>
      </c>
      <c r="C1387" s="140" t="s">
        <v>3415</v>
      </c>
      <c r="D1387" s="140" t="s">
        <v>3416</v>
      </c>
      <c r="E1387" s="140" t="s">
        <v>3445</v>
      </c>
      <c r="F1387" s="140" t="s">
        <v>2775</v>
      </c>
      <c r="G1387" s="140" t="s">
        <v>970</v>
      </c>
      <c r="H1387" s="140" t="s">
        <v>2776</v>
      </c>
      <c r="I1387" s="140" t="s">
        <v>725</v>
      </c>
      <c r="J1387" s="140">
        <v>12000000</v>
      </c>
      <c r="K1387" s="139" t="s">
        <v>3419</v>
      </c>
      <c r="L1387" s="140">
        <v>3011891</v>
      </c>
      <c r="M1387" s="155" t="s">
        <v>173</v>
      </c>
      <c r="N1387" s="324" t="s">
        <v>280</v>
      </c>
      <c r="O1387" s="10">
        <v>8658000</v>
      </c>
      <c r="P1387" s="140"/>
    </row>
    <row r="1388" spans="1:16" ht="72.5" x14ac:dyDescent="0.35">
      <c r="A1388" s="139">
        <f t="shared" si="24"/>
        <v>35</v>
      </c>
      <c r="B1388" s="140" t="s">
        <v>3414</v>
      </c>
      <c r="C1388" s="140" t="s">
        <v>3415</v>
      </c>
      <c r="D1388" s="140" t="s">
        <v>3416</v>
      </c>
      <c r="E1388" s="140" t="s">
        <v>3449</v>
      </c>
      <c r="F1388" s="140" t="s">
        <v>2778</v>
      </c>
      <c r="G1388" s="140" t="s">
        <v>970</v>
      </c>
      <c r="H1388" s="140" t="s">
        <v>2779</v>
      </c>
      <c r="I1388" s="140" t="s">
        <v>725</v>
      </c>
      <c r="J1388" s="140">
        <v>12000000</v>
      </c>
      <c r="K1388" s="139" t="s">
        <v>3419</v>
      </c>
      <c r="L1388" s="140">
        <v>3011891</v>
      </c>
      <c r="M1388" s="155" t="s">
        <v>173</v>
      </c>
      <c r="N1388" s="324" t="s">
        <v>280</v>
      </c>
      <c r="O1388" s="10">
        <v>8658000</v>
      </c>
      <c r="P1388" s="140"/>
    </row>
    <row r="1389" spans="1:16" ht="72.5" x14ac:dyDescent="0.35">
      <c r="A1389" s="139">
        <f t="shared" si="24"/>
        <v>36</v>
      </c>
      <c r="B1389" s="140" t="s">
        <v>3414</v>
      </c>
      <c r="C1389" s="140" t="s">
        <v>3415</v>
      </c>
      <c r="D1389" s="140" t="s">
        <v>3416</v>
      </c>
      <c r="E1389" s="140" t="s">
        <v>3449</v>
      </c>
      <c r="F1389" s="140" t="s">
        <v>3450</v>
      </c>
      <c r="G1389" s="140" t="s">
        <v>970</v>
      </c>
      <c r="H1389" s="140" t="s">
        <v>3451</v>
      </c>
      <c r="I1389" s="140" t="s">
        <v>725</v>
      </c>
      <c r="J1389" s="140">
        <v>12000000</v>
      </c>
      <c r="K1389" s="139" t="s">
        <v>3419</v>
      </c>
      <c r="L1389" s="140">
        <v>3011891</v>
      </c>
      <c r="M1389" s="155" t="s">
        <v>173</v>
      </c>
      <c r="N1389" s="324" t="s">
        <v>280</v>
      </c>
      <c r="O1389" s="10">
        <v>8658000</v>
      </c>
      <c r="P1389" s="140"/>
    </row>
    <row r="1390" spans="1:16" ht="72.5" x14ac:dyDescent="0.35">
      <c r="A1390" s="139">
        <f t="shared" si="24"/>
        <v>37</v>
      </c>
      <c r="B1390" s="140" t="s">
        <v>3414</v>
      </c>
      <c r="C1390" s="140" t="s">
        <v>3415</v>
      </c>
      <c r="D1390" s="140" t="s">
        <v>3416</v>
      </c>
      <c r="E1390" s="140" t="s">
        <v>3427</v>
      </c>
      <c r="F1390" s="140" t="s">
        <v>3452</v>
      </c>
      <c r="G1390" s="140" t="s">
        <v>970</v>
      </c>
      <c r="H1390" s="140" t="s">
        <v>2782</v>
      </c>
      <c r="I1390" s="140" t="s">
        <v>725</v>
      </c>
      <c r="J1390" s="140">
        <v>12000000</v>
      </c>
      <c r="K1390" s="139" t="s">
        <v>3419</v>
      </c>
      <c r="L1390" s="140">
        <v>3011891</v>
      </c>
      <c r="M1390" s="155" t="s">
        <v>173</v>
      </c>
      <c r="N1390" s="324" t="s">
        <v>280</v>
      </c>
      <c r="O1390" s="10">
        <v>8658000</v>
      </c>
      <c r="P1390" s="140"/>
    </row>
    <row r="1391" spans="1:16" ht="43.5" x14ac:dyDescent="0.35">
      <c r="A1391" s="139">
        <f t="shared" si="24"/>
        <v>38</v>
      </c>
      <c r="B1391" s="140" t="s">
        <v>3414</v>
      </c>
      <c r="C1391" s="140" t="s">
        <v>3415</v>
      </c>
      <c r="D1391" s="140" t="s">
        <v>3416</v>
      </c>
      <c r="E1391" s="140" t="s">
        <v>3453</v>
      </c>
      <c r="F1391" s="140" t="s">
        <v>798</v>
      </c>
      <c r="G1391" s="140" t="s">
        <v>185</v>
      </c>
      <c r="H1391" s="140" t="s">
        <v>2953</v>
      </c>
      <c r="I1391" s="140" t="s">
        <v>3454</v>
      </c>
      <c r="J1391" s="140">
        <v>6000000</v>
      </c>
      <c r="K1391" s="139" t="s">
        <v>3419</v>
      </c>
      <c r="L1391" s="140">
        <v>2928796</v>
      </c>
      <c r="M1391" s="155" t="s">
        <v>180</v>
      </c>
      <c r="N1391" s="324" t="s">
        <v>280</v>
      </c>
      <c r="O1391" s="10">
        <v>9132375</v>
      </c>
      <c r="P1391" s="140"/>
    </row>
    <row r="1392" spans="1:16" ht="29" x14ac:dyDescent="0.35">
      <c r="A1392" s="139">
        <f t="shared" si="24"/>
        <v>39</v>
      </c>
      <c r="B1392" s="140" t="s">
        <v>3414</v>
      </c>
      <c r="C1392" s="140" t="s">
        <v>3415</v>
      </c>
      <c r="D1392" s="140" t="s">
        <v>3416</v>
      </c>
      <c r="E1392" s="140" t="s">
        <v>3453</v>
      </c>
      <c r="F1392" s="140" t="s">
        <v>798</v>
      </c>
      <c r="G1392" s="140" t="s">
        <v>185</v>
      </c>
      <c r="H1392" s="140" t="s">
        <v>2956</v>
      </c>
      <c r="I1392" s="140" t="s">
        <v>3454</v>
      </c>
      <c r="J1392" s="140">
        <v>6000000</v>
      </c>
      <c r="K1392" s="139" t="s">
        <v>3419</v>
      </c>
      <c r="L1392" s="140">
        <v>2928889</v>
      </c>
      <c r="M1392" s="155" t="s">
        <v>180</v>
      </c>
      <c r="N1392" s="324" t="s">
        <v>280</v>
      </c>
      <c r="O1392" s="10">
        <v>9132375</v>
      </c>
      <c r="P1392" s="140"/>
    </row>
    <row r="1393" spans="1:16" ht="29" x14ac:dyDescent="0.35">
      <c r="A1393" s="139">
        <f t="shared" si="24"/>
        <v>40</v>
      </c>
      <c r="B1393" s="140" t="s">
        <v>3414</v>
      </c>
      <c r="C1393" s="140" t="s">
        <v>3415</v>
      </c>
      <c r="D1393" s="140" t="s">
        <v>3416</v>
      </c>
      <c r="E1393" s="140" t="s">
        <v>3455</v>
      </c>
      <c r="F1393" s="140" t="s">
        <v>636</v>
      </c>
      <c r="G1393" s="140" t="s">
        <v>182</v>
      </c>
      <c r="H1393" s="140" t="s">
        <v>185</v>
      </c>
      <c r="I1393" s="140" t="s">
        <v>143</v>
      </c>
      <c r="J1393" s="140">
        <v>30000000</v>
      </c>
      <c r="K1393" s="139" t="s">
        <v>3419</v>
      </c>
      <c r="L1393" s="140">
        <v>2952606</v>
      </c>
      <c r="M1393" s="155" t="s">
        <v>180</v>
      </c>
      <c r="N1393" s="324" t="s">
        <v>370</v>
      </c>
      <c r="O1393" s="10">
        <v>52110000</v>
      </c>
      <c r="P1393" s="140"/>
    </row>
    <row r="1394" spans="1:16" ht="58" x14ac:dyDescent="0.35">
      <c r="A1394" s="139">
        <f t="shared" si="24"/>
        <v>41</v>
      </c>
      <c r="B1394" s="140" t="s">
        <v>3414</v>
      </c>
      <c r="C1394" s="140" t="s">
        <v>3415</v>
      </c>
      <c r="D1394" s="140" t="s">
        <v>3416</v>
      </c>
      <c r="E1394" s="140" t="s">
        <v>3456</v>
      </c>
      <c r="F1394" s="140" t="s">
        <v>445</v>
      </c>
      <c r="G1394" s="140" t="s">
        <v>187</v>
      </c>
      <c r="H1394" s="140" t="s">
        <v>804</v>
      </c>
      <c r="I1394" s="140" t="s">
        <v>143</v>
      </c>
      <c r="J1394" s="140">
        <v>42000000</v>
      </c>
      <c r="K1394" s="139" t="s">
        <v>3419</v>
      </c>
      <c r="L1394" s="140">
        <v>2764827</v>
      </c>
      <c r="M1394" s="155" t="s">
        <v>180</v>
      </c>
      <c r="N1394" s="324" t="s">
        <v>2330</v>
      </c>
      <c r="O1394" s="10">
        <v>34894400</v>
      </c>
      <c r="P1394" s="140"/>
    </row>
    <row r="1395" spans="1:16" ht="58" x14ac:dyDescent="0.35">
      <c r="A1395" s="139">
        <f t="shared" si="24"/>
        <v>42</v>
      </c>
      <c r="B1395" s="140" t="s">
        <v>3414</v>
      </c>
      <c r="C1395" s="140" t="s">
        <v>3415</v>
      </c>
      <c r="D1395" s="140" t="s">
        <v>3416</v>
      </c>
      <c r="E1395" s="140" t="s">
        <v>3456</v>
      </c>
      <c r="F1395" s="140" t="s">
        <v>448</v>
      </c>
      <c r="G1395" s="140" t="s">
        <v>449</v>
      </c>
      <c r="H1395" s="140" t="s">
        <v>450</v>
      </c>
      <c r="I1395" s="140" t="s">
        <v>725</v>
      </c>
      <c r="J1395" s="140">
        <v>10000000</v>
      </c>
      <c r="K1395" s="139" t="s">
        <v>3419</v>
      </c>
      <c r="L1395" s="140">
        <v>2761432</v>
      </c>
      <c r="M1395" s="155" t="s">
        <v>180</v>
      </c>
      <c r="N1395" s="324" t="s">
        <v>280</v>
      </c>
      <c r="O1395" s="10">
        <v>8840875</v>
      </c>
      <c r="P1395" s="140"/>
    </row>
    <row r="1396" spans="1:16" ht="58" x14ac:dyDescent="0.35">
      <c r="A1396" s="139">
        <f t="shared" si="24"/>
        <v>43</v>
      </c>
      <c r="B1396" s="140" t="s">
        <v>3414</v>
      </c>
      <c r="C1396" s="140" t="s">
        <v>3415</v>
      </c>
      <c r="D1396" s="140" t="s">
        <v>3416</v>
      </c>
      <c r="E1396" s="140" t="s">
        <v>3456</v>
      </c>
      <c r="F1396" s="140" t="s">
        <v>448</v>
      </c>
      <c r="G1396" s="140" t="s">
        <v>449</v>
      </c>
      <c r="H1396" s="140" t="s">
        <v>1456</v>
      </c>
      <c r="I1396" s="140" t="s">
        <v>725</v>
      </c>
      <c r="J1396" s="140">
        <v>10000000</v>
      </c>
      <c r="K1396" s="139" t="s">
        <v>3419</v>
      </c>
      <c r="L1396" s="140">
        <v>2761432</v>
      </c>
      <c r="M1396" s="155" t="s">
        <v>180</v>
      </c>
      <c r="N1396" s="324" t="s">
        <v>280</v>
      </c>
      <c r="O1396" s="10">
        <v>8840875</v>
      </c>
      <c r="P1396" s="140"/>
    </row>
    <row r="1397" spans="1:16" ht="58" x14ac:dyDescent="0.35">
      <c r="A1397" s="139">
        <f t="shared" si="24"/>
        <v>44</v>
      </c>
      <c r="B1397" s="140" t="s">
        <v>3414</v>
      </c>
      <c r="C1397" s="140" t="s">
        <v>3415</v>
      </c>
      <c r="D1397" s="140" t="s">
        <v>3416</v>
      </c>
      <c r="E1397" s="140" t="s">
        <v>3456</v>
      </c>
      <c r="F1397" s="140" t="s">
        <v>448</v>
      </c>
      <c r="G1397" s="140" t="s">
        <v>449</v>
      </c>
      <c r="H1397" s="140" t="s">
        <v>3006</v>
      </c>
      <c r="I1397" s="140" t="s">
        <v>725</v>
      </c>
      <c r="J1397" s="140">
        <v>10000000</v>
      </c>
      <c r="K1397" s="139" t="s">
        <v>3419</v>
      </c>
      <c r="L1397" s="140">
        <v>2761432</v>
      </c>
      <c r="M1397" s="155" t="s">
        <v>180</v>
      </c>
      <c r="N1397" s="324" t="s">
        <v>280</v>
      </c>
      <c r="O1397" s="10">
        <v>8840875</v>
      </c>
      <c r="P1397" s="140"/>
    </row>
    <row r="1398" spans="1:16" ht="43.5" x14ac:dyDescent="0.35">
      <c r="A1398" s="139">
        <f t="shared" si="24"/>
        <v>45</v>
      </c>
      <c r="B1398" s="140" t="s">
        <v>3457</v>
      </c>
      <c r="C1398" s="140" t="s">
        <v>537</v>
      </c>
      <c r="D1398" s="140" t="s">
        <v>3458</v>
      </c>
      <c r="E1398" s="140" t="s">
        <v>3459</v>
      </c>
      <c r="F1398" s="140" t="s">
        <v>491</v>
      </c>
      <c r="G1398" s="140" t="s">
        <v>278</v>
      </c>
      <c r="H1398" s="140" t="s">
        <v>492</v>
      </c>
      <c r="I1398" s="140" t="s">
        <v>35</v>
      </c>
      <c r="J1398" s="336">
        <v>30000000</v>
      </c>
      <c r="K1398" s="139" t="s">
        <v>3460</v>
      </c>
      <c r="L1398" s="140">
        <v>2921611</v>
      </c>
      <c r="M1398" s="32" t="s">
        <v>97</v>
      </c>
      <c r="N1398" s="140" t="s">
        <v>3461</v>
      </c>
      <c r="O1398" s="10">
        <v>5550000</v>
      </c>
      <c r="P1398" s="140"/>
    </row>
    <row r="1399" spans="1:16" ht="43.5" x14ac:dyDescent="0.35">
      <c r="A1399" s="139">
        <f>A1398+1</f>
        <v>46</v>
      </c>
      <c r="B1399" s="140" t="s">
        <v>3457</v>
      </c>
      <c r="C1399" s="140" t="s">
        <v>537</v>
      </c>
      <c r="D1399" s="140" t="s">
        <v>3458</v>
      </c>
      <c r="E1399" s="140" t="s">
        <v>3462</v>
      </c>
      <c r="F1399" s="140" t="s">
        <v>3463</v>
      </c>
      <c r="G1399" s="140" t="s">
        <v>2866</v>
      </c>
      <c r="H1399" s="140"/>
      <c r="I1399" s="140" t="s">
        <v>35</v>
      </c>
      <c r="J1399" s="140">
        <v>50000000</v>
      </c>
      <c r="K1399" s="139" t="s">
        <v>3460</v>
      </c>
      <c r="L1399" s="140">
        <v>2858466</v>
      </c>
      <c r="M1399" s="155" t="s">
        <v>226</v>
      </c>
      <c r="N1399" s="324" t="s">
        <v>3464</v>
      </c>
      <c r="O1399" s="10">
        <v>6475000</v>
      </c>
      <c r="P1399" s="140"/>
    </row>
    <row r="1400" spans="1:16" ht="43.5" x14ac:dyDescent="0.35">
      <c r="A1400" s="139">
        <v>1</v>
      </c>
      <c r="B1400" s="140" t="s">
        <v>3414</v>
      </c>
      <c r="C1400" s="140" t="s">
        <v>3465</v>
      </c>
      <c r="D1400" s="140" t="s">
        <v>3466</v>
      </c>
      <c r="E1400" s="140" t="s">
        <v>3467</v>
      </c>
      <c r="F1400" s="140" t="s">
        <v>3468</v>
      </c>
      <c r="G1400" s="144" t="s">
        <v>271</v>
      </c>
      <c r="H1400" s="145" t="s">
        <v>493</v>
      </c>
      <c r="I1400" s="144" t="s">
        <v>312</v>
      </c>
      <c r="J1400" s="336">
        <v>100000000</v>
      </c>
      <c r="K1400" s="139" t="s">
        <v>3469</v>
      </c>
      <c r="L1400" s="140">
        <v>2833701</v>
      </c>
      <c r="M1400" s="32" t="s">
        <v>97</v>
      </c>
      <c r="N1400" s="326">
        <v>8</v>
      </c>
      <c r="O1400" s="10">
        <v>100000000</v>
      </c>
      <c r="P1400" s="140"/>
    </row>
    <row r="1401" spans="1:16" ht="43.5" x14ac:dyDescent="0.35">
      <c r="A1401" s="139">
        <f t="shared" ref="A1401:A1418" si="25">A1400+1</f>
        <v>2</v>
      </c>
      <c r="B1401" s="140" t="s">
        <v>3414</v>
      </c>
      <c r="C1401" s="140" t="s">
        <v>3465</v>
      </c>
      <c r="D1401" s="140" t="s">
        <v>3466</v>
      </c>
      <c r="E1401" s="140" t="s">
        <v>3470</v>
      </c>
      <c r="F1401" s="140" t="s">
        <v>1053</v>
      </c>
      <c r="G1401" s="140" t="s">
        <v>278</v>
      </c>
      <c r="H1401" s="140" t="s">
        <v>1054</v>
      </c>
      <c r="I1401" s="140" t="s">
        <v>35</v>
      </c>
      <c r="J1401" s="336">
        <v>30000000</v>
      </c>
      <c r="K1401" s="139" t="s">
        <v>3469</v>
      </c>
      <c r="L1401" s="140">
        <v>2969370</v>
      </c>
      <c r="M1401" s="32" t="s">
        <v>97</v>
      </c>
      <c r="N1401" s="140">
        <v>1</v>
      </c>
      <c r="O1401" s="10">
        <v>25000000</v>
      </c>
      <c r="P1401" s="140"/>
    </row>
    <row r="1402" spans="1:16" ht="43.5" x14ac:dyDescent="0.35">
      <c r="A1402" s="139">
        <f t="shared" si="25"/>
        <v>3</v>
      </c>
      <c r="B1402" s="140" t="s">
        <v>3414</v>
      </c>
      <c r="C1402" s="140" t="s">
        <v>3465</v>
      </c>
      <c r="D1402" s="140" t="s">
        <v>3466</v>
      </c>
      <c r="E1402" s="140" t="s">
        <v>3471</v>
      </c>
      <c r="F1402" s="140" t="s">
        <v>1732</v>
      </c>
      <c r="G1402" s="140" t="s">
        <v>278</v>
      </c>
      <c r="H1402" s="140" t="s">
        <v>1733</v>
      </c>
      <c r="I1402" s="140" t="s">
        <v>35</v>
      </c>
      <c r="J1402" s="336">
        <v>10000000</v>
      </c>
      <c r="K1402" s="139" t="s">
        <v>3469</v>
      </c>
      <c r="L1402" s="140">
        <v>2970133</v>
      </c>
      <c r="M1402" s="32" t="s">
        <v>97</v>
      </c>
      <c r="N1402" s="140">
        <v>1</v>
      </c>
      <c r="O1402" s="10">
        <v>10000000</v>
      </c>
      <c r="P1402" s="140"/>
    </row>
    <row r="1403" spans="1:16" ht="43.5" x14ac:dyDescent="0.35">
      <c r="A1403" s="139">
        <f t="shared" si="25"/>
        <v>4</v>
      </c>
      <c r="B1403" s="140" t="s">
        <v>3414</v>
      </c>
      <c r="C1403" s="140" t="s">
        <v>3465</v>
      </c>
      <c r="D1403" s="140" t="s">
        <v>3466</v>
      </c>
      <c r="E1403" s="140" t="s">
        <v>3472</v>
      </c>
      <c r="F1403" s="140" t="s">
        <v>1738</v>
      </c>
      <c r="G1403" s="140" t="s">
        <v>278</v>
      </c>
      <c r="H1403" s="140" t="s">
        <v>1739</v>
      </c>
      <c r="I1403" s="140" t="s">
        <v>35</v>
      </c>
      <c r="J1403" s="336">
        <v>32000000</v>
      </c>
      <c r="K1403" s="139" t="s">
        <v>3469</v>
      </c>
      <c r="L1403" s="140">
        <v>2916382</v>
      </c>
      <c r="M1403" s="32" t="s">
        <v>97</v>
      </c>
      <c r="N1403" s="140">
        <v>1</v>
      </c>
      <c r="O1403" s="10">
        <v>25000000</v>
      </c>
      <c r="P1403" s="140"/>
    </row>
    <row r="1404" spans="1:16" ht="43.5" x14ac:dyDescent="0.35">
      <c r="A1404" s="139">
        <f t="shared" si="25"/>
        <v>5</v>
      </c>
      <c r="B1404" s="140" t="s">
        <v>3414</v>
      </c>
      <c r="C1404" s="140" t="s">
        <v>3465</v>
      </c>
      <c r="D1404" s="140" t="s">
        <v>3466</v>
      </c>
      <c r="E1404" s="140" t="s">
        <v>3473</v>
      </c>
      <c r="F1404" s="140" t="s">
        <v>277</v>
      </c>
      <c r="G1404" s="140" t="s">
        <v>278</v>
      </c>
      <c r="H1404" s="140" t="s">
        <v>279</v>
      </c>
      <c r="I1404" s="140" t="s">
        <v>35</v>
      </c>
      <c r="J1404" s="336">
        <v>60000000</v>
      </c>
      <c r="K1404" s="139" t="s">
        <v>3469</v>
      </c>
      <c r="L1404" s="140">
        <v>2970699</v>
      </c>
      <c r="M1404" s="32" t="s">
        <v>97</v>
      </c>
      <c r="N1404" s="140" t="s">
        <v>28</v>
      </c>
      <c r="O1404" s="10">
        <v>25000000</v>
      </c>
      <c r="P1404" s="140"/>
    </row>
    <row r="1405" spans="1:16" ht="43.5" x14ac:dyDescent="0.35">
      <c r="A1405" s="139">
        <f t="shared" si="25"/>
        <v>6</v>
      </c>
      <c r="B1405" s="140" t="s">
        <v>3414</v>
      </c>
      <c r="C1405" s="140" t="s">
        <v>3465</v>
      </c>
      <c r="D1405" s="140" t="s">
        <v>3466</v>
      </c>
      <c r="E1405" s="140" t="s">
        <v>3474</v>
      </c>
      <c r="F1405" s="140" t="s">
        <v>3475</v>
      </c>
      <c r="G1405" s="140" t="s">
        <v>278</v>
      </c>
      <c r="H1405" s="140" t="s">
        <v>3476</v>
      </c>
      <c r="I1405" s="140" t="s">
        <v>35</v>
      </c>
      <c r="J1405" s="336">
        <v>10000000</v>
      </c>
      <c r="K1405" s="139" t="s">
        <v>3469</v>
      </c>
      <c r="L1405" s="140">
        <v>2971649</v>
      </c>
      <c r="M1405" s="32" t="s">
        <v>97</v>
      </c>
      <c r="N1405" s="140" t="s">
        <v>28</v>
      </c>
      <c r="O1405" s="10">
        <v>25000000</v>
      </c>
      <c r="P1405" s="140"/>
    </row>
    <row r="1406" spans="1:16" ht="43.5" x14ac:dyDescent="0.35">
      <c r="A1406" s="139">
        <f t="shared" si="25"/>
        <v>7</v>
      </c>
      <c r="B1406" s="140" t="s">
        <v>3414</v>
      </c>
      <c r="C1406" s="140" t="s">
        <v>3465</v>
      </c>
      <c r="D1406" s="140" t="s">
        <v>3466</v>
      </c>
      <c r="E1406" s="140" t="s">
        <v>3477</v>
      </c>
      <c r="F1406" s="140" t="s">
        <v>484</v>
      </c>
      <c r="G1406" s="140" t="s">
        <v>278</v>
      </c>
      <c r="H1406" s="140" t="s">
        <v>485</v>
      </c>
      <c r="I1406" s="140" t="s">
        <v>35</v>
      </c>
      <c r="J1406" s="336">
        <v>10000000</v>
      </c>
      <c r="K1406" s="139" t="s">
        <v>3469</v>
      </c>
      <c r="L1406" s="140">
        <v>2971857</v>
      </c>
      <c r="M1406" s="32" t="s">
        <v>97</v>
      </c>
      <c r="N1406" s="140" t="s">
        <v>28</v>
      </c>
      <c r="O1406" s="10">
        <v>25000000</v>
      </c>
      <c r="P1406" s="140"/>
    </row>
    <row r="1407" spans="1:16" ht="43.5" x14ac:dyDescent="0.35">
      <c r="A1407" s="139">
        <f t="shared" si="25"/>
        <v>8</v>
      </c>
      <c r="B1407" s="140" t="s">
        <v>3414</v>
      </c>
      <c r="C1407" s="140" t="s">
        <v>3465</v>
      </c>
      <c r="D1407" s="140" t="s">
        <v>3466</v>
      </c>
      <c r="E1407" s="140" t="s">
        <v>3478</v>
      </c>
      <c r="F1407" s="140" t="s">
        <v>1777</v>
      </c>
      <c r="G1407" s="144" t="s">
        <v>1074</v>
      </c>
      <c r="H1407" s="144" t="s">
        <v>1778</v>
      </c>
      <c r="I1407" s="144" t="s">
        <v>35</v>
      </c>
      <c r="J1407" s="336">
        <v>60000000</v>
      </c>
      <c r="K1407" s="139" t="s">
        <v>3469</v>
      </c>
      <c r="L1407" s="140">
        <v>2901758</v>
      </c>
      <c r="M1407" s="32" t="s">
        <v>97</v>
      </c>
      <c r="N1407" s="144" t="s">
        <v>28</v>
      </c>
      <c r="O1407" s="10">
        <v>40000000</v>
      </c>
      <c r="P1407" s="140" t="s">
        <v>3479</v>
      </c>
    </row>
    <row r="1408" spans="1:16" ht="43.5" x14ac:dyDescent="0.35">
      <c r="A1408" s="139">
        <f t="shared" si="25"/>
        <v>9</v>
      </c>
      <c r="B1408" s="140" t="s">
        <v>3414</v>
      </c>
      <c r="C1408" s="140" t="s">
        <v>3465</v>
      </c>
      <c r="D1408" s="140" t="s">
        <v>3466</v>
      </c>
      <c r="E1408" s="140" t="s">
        <v>3480</v>
      </c>
      <c r="F1408" s="140" t="s">
        <v>669</v>
      </c>
      <c r="G1408" s="144" t="s">
        <v>670</v>
      </c>
      <c r="H1408" s="144" t="s">
        <v>671</v>
      </c>
      <c r="I1408" s="144" t="s">
        <v>826</v>
      </c>
      <c r="J1408" s="336">
        <v>10000000</v>
      </c>
      <c r="K1408" s="139" t="s">
        <v>3469</v>
      </c>
      <c r="L1408" s="140">
        <v>2941454</v>
      </c>
      <c r="M1408" s="32" t="s">
        <v>97</v>
      </c>
      <c r="N1408" s="140">
        <v>1</v>
      </c>
      <c r="O1408" s="10">
        <v>25000000</v>
      </c>
      <c r="P1408" s="140"/>
    </row>
    <row r="1409" spans="1:16" ht="43.5" x14ac:dyDescent="0.35">
      <c r="A1409" s="139">
        <f t="shared" si="25"/>
        <v>10</v>
      </c>
      <c r="B1409" s="140" t="s">
        <v>3414</v>
      </c>
      <c r="C1409" s="140" t="s">
        <v>3465</v>
      </c>
      <c r="D1409" s="140" t="s">
        <v>3466</v>
      </c>
      <c r="E1409" s="140" t="s">
        <v>3481</v>
      </c>
      <c r="F1409" s="140" t="s">
        <v>678</v>
      </c>
      <c r="G1409" s="144" t="s">
        <v>670</v>
      </c>
      <c r="H1409" s="144" t="s">
        <v>679</v>
      </c>
      <c r="I1409" s="144" t="s">
        <v>35</v>
      </c>
      <c r="J1409" s="336">
        <v>25000000</v>
      </c>
      <c r="K1409" s="139" t="s">
        <v>3469</v>
      </c>
      <c r="L1409" s="140">
        <v>2940983</v>
      </c>
      <c r="M1409" s="32" t="s">
        <v>97</v>
      </c>
      <c r="N1409" s="140">
        <v>1</v>
      </c>
      <c r="O1409" s="10">
        <v>25000000</v>
      </c>
      <c r="P1409" s="140"/>
    </row>
    <row r="1410" spans="1:16" ht="43.5" x14ac:dyDescent="0.35">
      <c r="A1410" s="139">
        <f t="shared" si="25"/>
        <v>11</v>
      </c>
      <c r="B1410" s="140" t="s">
        <v>3414</v>
      </c>
      <c r="C1410" s="140" t="s">
        <v>3465</v>
      </c>
      <c r="D1410" s="140" t="s">
        <v>3466</v>
      </c>
      <c r="E1410" s="140" t="s">
        <v>3482</v>
      </c>
      <c r="F1410" s="140" t="s">
        <v>289</v>
      </c>
      <c r="G1410" s="140" t="s">
        <v>238</v>
      </c>
      <c r="H1410" s="144" t="s">
        <v>290</v>
      </c>
      <c r="I1410" s="140" t="s">
        <v>280</v>
      </c>
      <c r="J1410" s="336">
        <v>10000000</v>
      </c>
      <c r="K1410" s="139" t="s">
        <v>3469</v>
      </c>
      <c r="L1410" s="140">
        <v>2968343</v>
      </c>
      <c r="M1410" s="32" t="s">
        <v>97</v>
      </c>
      <c r="N1410" s="140" t="s">
        <v>25</v>
      </c>
      <c r="O1410" s="10">
        <v>10000000</v>
      </c>
      <c r="P1410" s="140"/>
    </row>
    <row r="1411" spans="1:16" ht="43.5" x14ac:dyDescent="0.35">
      <c r="A1411" s="139">
        <f t="shared" si="25"/>
        <v>12</v>
      </c>
      <c r="B1411" s="140" t="s">
        <v>3414</v>
      </c>
      <c r="C1411" s="140" t="s">
        <v>3465</v>
      </c>
      <c r="D1411" s="140" t="s">
        <v>3466</v>
      </c>
      <c r="E1411" s="140" t="s">
        <v>3483</v>
      </c>
      <c r="F1411" s="140" t="s">
        <v>100</v>
      </c>
      <c r="G1411" s="144" t="s">
        <v>101</v>
      </c>
      <c r="H1411" s="144" t="s">
        <v>102</v>
      </c>
      <c r="I1411" s="144" t="s">
        <v>572</v>
      </c>
      <c r="J1411" s="336">
        <v>50000000</v>
      </c>
      <c r="K1411" s="139" t="s">
        <v>3469</v>
      </c>
      <c r="L1411" s="140">
        <v>2821851</v>
      </c>
      <c r="M1411" s="32" t="s">
        <v>97</v>
      </c>
      <c r="N1411" s="341" t="s">
        <v>3484</v>
      </c>
      <c r="O1411" s="10">
        <v>50000000</v>
      </c>
      <c r="P1411" s="140"/>
    </row>
    <row r="1412" spans="1:16" ht="43.5" x14ac:dyDescent="0.35">
      <c r="A1412" s="139">
        <f t="shared" si="25"/>
        <v>13</v>
      </c>
      <c r="B1412" s="140" t="s">
        <v>3414</v>
      </c>
      <c r="C1412" s="140" t="s">
        <v>3465</v>
      </c>
      <c r="D1412" s="140" t="s">
        <v>3466</v>
      </c>
      <c r="E1412" s="140" t="s">
        <v>3485</v>
      </c>
      <c r="F1412" s="140" t="s">
        <v>3308</v>
      </c>
      <c r="G1412" s="144" t="s">
        <v>101</v>
      </c>
      <c r="H1412" s="144" t="s">
        <v>3309</v>
      </c>
      <c r="I1412" s="144" t="s">
        <v>572</v>
      </c>
      <c r="J1412" s="336">
        <v>50000000</v>
      </c>
      <c r="K1412" s="139" t="s">
        <v>3469</v>
      </c>
      <c r="L1412" s="140">
        <v>2821851</v>
      </c>
      <c r="M1412" s="32" t="s">
        <v>97</v>
      </c>
      <c r="N1412" s="140" t="s">
        <v>572</v>
      </c>
      <c r="O1412" s="10">
        <v>50000000</v>
      </c>
      <c r="P1412" s="140"/>
    </row>
    <row r="1413" spans="1:16" ht="43.5" x14ac:dyDescent="0.35">
      <c r="A1413" s="139">
        <f t="shared" si="25"/>
        <v>14</v>
      </c>
      <c r="B1413" s="140" t="s">
        <v>3414</v>
      </c>
      <c r="C1413" s="140" t="s">
        <v>3465</v>
      </c>
      <c r="D1413" s="140" t="s">
        <v>3466</v>
      </c>
      <c r="E1413" s="140" t="s">
        <v>3486</v>
      </c>
      <c r="F1413" s="140" t="s">
        <v>2249</v>
      </c>
      <c r="G1413" s="140" t="s">
        <v>2229</v>
      </c>
      <c r="H1413" s="140" t="s">
        <v>2250</v>
      </c>
      <c r="I1413" s="140" t="s">
        <v>28</v>
      </c>
      <c r="J1413" s="286">
        <v>13000000</v>
      </c>
      <c r="K1413" s="139" t="s">
        <v>3469</v>
      </c>
      <c r="L1413" s="140">
        <v>2923345</v>
      </c>
      <c r="M1413" s="155" t="s">
        <v>27</v>
      </c>
      <c r="N1413" s="140" t="s">
        <v>28</v>
      </c>
      <c r="O1413" s="10">
        <v>13000000</v>
      </c>
      <c r="P1413" s="140"/>
    </row>
    <row r="1414" spans="1:16" ht="43.5" x14ac:dyDescent="0.35">
      <c r="A1414" s="139">
        <f t="shared" si="25"/>
        <v>15</v>
      </c>
      <c r="B1414" s="140" t="s">
        <v>3414</v>
      </c>
      <c r="C1414" s="140" t="s">
        <v>3465</v>
      </c>
      <c r="D1414" s="140" t="s">
        <v>3466</v>
      </c>
      <c r="E1414" s="140" t="s">
        <v>3487</v>
      </c>
      <c r="F1414" s="140" t="s">
        <v>2253</v>
      </c>
      <c r="G1414" s="140" t="s">
        <v>2229</v>
      </c>
      <c r="H1414" s="140" t="s">
        <v>2254</v>
      </c>
      <c r="I1414" s="140" t="s">
        <v>280</v>
      </c>
      <c r="J1414" s="286">
        <v>42000000</v>
      </c>
      <c r="K1414" s="139" t="s">
        <v>3469</v>
      </c>
      <c r="L1414" s="140">
        <v>2922645</v>
      </c>
      <c r="M1414" s="155" t="s">
        <v>27</v>
      </c>
      <c r="N1414" s="140" t="s">
        <v>28</v>
      </c>
      <c r="O1414" s="10">
        <v>15000000</v>
      </c>
      <c r="P1414" s="140"/>
    </row>
    <row r="1415" spans="1:16" ht="43.5" x14ac:dyDescent="0.35">
      <c r="A1415" s="139">
        <f t="shared" si="25"/>
        <v>16</v>
      </c>
      <c r="B1415" s="140" t="s">
        <v>3414</v>
      </c>
      <c r="C1415" s="140" t="s">
        <v>3465</v>
      </c>
      <c r="D1415" s="140" t="s">
        <v>3466</v>
      </c>
      <c r="E1415" s="140" t="s">
        <v>3488</v>
      </c>
      <c r="F1415" s="140" t="s">
        <v>3489</v>
      </c>
      <c r="G1415" s="140" t="s">
        <v>356</v>
      </c>
      <c r="H1415" s="140" t="s">
        <v>2334</v>
      </c>
      <c r="I1415" s="140" t="s">
        <v>3490</v>
      </c>
      <c r="J1415" s="286">
        <v>10000000</v>
      </c>
      <c r="K1415" s="139" t="s">
        <v>3469</v>
      </c>
      <c r="L1415" s="140">
        <v>2930930</v>
      </c>
      <c r="M1415" s="155" t="s">
        <v>27</v>
      </c>
      <c r="N1415" s="140" t="s">
        <v>28</v>
      </c>
      <c r="O1415" s="10">
        <v>10000000</v>
      </c>
      <c r="P1415" s="140"/>
    </row>
    <row r="1416" spans="1:16" ht="43.5" x14ac:dyDescent="0.35">
      <c r="A1416" s="149">
        <f t="shared" si="25"/>
        <v>17</v>
      </c>
      <c r="B1416" s="140" t="s">
        <v>3414</v>
      </c>
      <c r="C1416" s="140" t="s">
        <v>3465</v>
      </c>
      <c r="D1416" s="140" t="s">
        <v>3466</v>
      </c>
      <c r="E1416" s="140" t="s">
        <v>3491</v>
      </c>
      <c r="F1416" s="140" t="s">
        <v>140</v>
      </c>
      <c r="G1416" s="139" t="s">
        <v>361</v>
      </c>
      <c r="H1416" s="139" t="s">
        <v>729</v>
      </c>
      <c r="I1416" s="139">
        <v>1</v>
      </c>
      <c r="J1416" s="302">
        <v>30000000</v>
      </c>
      <c r="K1416" s="139" t="s">
        <v>3469</v>
      </c>
      <c r="L1416" s="139">
        <v>2819836</v>
      </c>
      <c r="M1416" s="155" t="s">
        <v>144</v>
      </c>
      <c r="N1416" s="139" t="s">
        <v>28</v>
      </c>
      <c r="O1416" s="13">
        <v>25000000</v>
      </c>
      <c r="P1416" s="141"/>
    </row>
    <row r="1417" spans="1:16" ht="43.5" x14ac:dyDescent="0.35">
      <c r="A1417" s="149">
        <f t="shared" si="25"/>
        <v>18</v>
      </c>
      <c r="B1417" s="140" t="s">
        <v>3414</v>
      </c>
      <c r="C1417" s="140" t="s">
        <v>3465</v>
      </c>
      <c r="D1417" s="140" t="s">
        <v>3466</v>
      </c>
      <c r="E1417" s="140" t="s">
        <v>3492</v>
      </c>
      <c r="F1417" s="140" t="s">
        <v>140</v>
      </c>
      <c r="G1417" s="139" t="s">
        <v>154</v>
      </c>
      <c r="H1417" s="139" t="s">
        <v>3493</v>
      </c>
      <c r="I1417" s="139">
        <v>5</v>
      </c>
      <c r="J1417" s="304">
        <v>100000000</v>
      </c>
      <c r="K1417" s="139" t="s">
        <v>3469</v>
      </c>
      <c r="L1417" s="139">
        <v>2972746</v>
      </c>
      <c r="M1417" s="155" t="s">
        <v>144</v>
      </c>
      <c r="N1417" s="139" t="s">
        <v>28</v>
      </c>
      <c r="O1417" s="13">
        <v>100000000</v>
      </c>
      <c r="P1417" s="141"/>
    </row>
    <row r="1418" spans="1:16" ht="43.5" x14ac:dyDescent="0.35">
      <c r="A1418" s="149">
        <f t="shared" si="25"/>
        <v>19</v>
      </c>
      <c r="B1418" s="140" t="s">
        <v>3414</v>
      </c>
      <c r="C1418" s="140" t="s">
        <v>3465</v>
      </c>
      <c r="D1418" s="140" t="s">
        <v>3466</v>
      </c>
      <c r="E1418" s="140" t="s">
        <v>3494</v>
      </c>
      <c r="F1418" s="140" t="s">
        <v>140</v>
      </c>
      <c r="G1418" s="139" t="s">
        <v>157</v>
      </c>
      <c r="H1418" s="139" t="s">
        <v>88</v>
      </c>
      <c r="I1418" s="139">
        <v>55</v>
      </c>
      <c r="J1418" s="302">
        <v>55000000</v>
      </c>
      <c r="K1418" s="139" t="s">
        <v>3469</v>
      </c>
      <c r="L1418" s="139">
        <v>2920580</v>
      </c>
      <c r="M1418" s="155" t="s">
        <v>144</v>
      </c>
      <c r="N1418" s="139" t="s">
        <v>28</v>
      </c>
      <c r="O1418" s="13">
        <v>25000000</v>
      </c>
      <c r="P1418" s="141"/>
    </row>
    <row r="1419" spans="1:16" ht="43.5" x14ac:dyDescent="0.35">
      <c r="A1419" s="139">
        <v>20</v>
      </c>
      <c r="B1419" s="140" t="s">
        <v>3414</v>
      </c>
      <c r="C1419" s="140" t="s">
        <v>3465</v>
      </c>
      <c r="D1419" s="140" t="s">
        <v>3466</v>
      </c>
      <c r="E1419" s="140" t="s">
        <v>3495</v>
      </c>
      <c r="F1419" s="140" t="s">
        <v>373</v>
      </c>
      <c r="G1419" s="140" t="s">
        <v>374</v>
      </c>
      <c r="H1419" s="140" t="s">
        <v>375</v>
      </c>
      <c r="I1419" s="140" t="s">
        <v>35</v>
      </c>
      <c r="J1419" s="140">
        <v>30000000</v>
      </c>
      <c r="K1419" s="139" t="s">
        <v>3469</v>
      </c>
      <c r="L1419" s="140"/>
      <c r="M1419" s="155" t="s">
        <v>46</v>
      </c>
      <c r="N1419" s="324">
        <v>1</v>
      </c>
      <c r="O1419" s="10">
        <v>25000000</v>
      </c>
      <c r="P1419" s="140" t="s">
        <v>3496</v>
      </c>
    </row>
    <row r="1420" spans="1:16" ht="43.5" x14ac:dyDescent="0.35">
      <c r="A1420" s="139">
        <f>A1419+1</f>
        <v>21</v>
      </c>
      <c r="B1420" s="140" t="s">
        <v>3414</v>
      </c>
      <c r="C1420" s="140" t="s">
        <v>3465</v>
      </c>
      <c r="D1420" s="140" t="s">
        <v>3466</v>
      </c>
      <c r="E1420" s="140" t="s">
        <v>3495</v>
      </c>
      <c r="F1420" s="140" t="s">
        <v>373</v>
      </c>
      <c r="G1420" s="140" t="s">
        <v>374</v>
      </c>
      <c r="H1420" s="140" t="s">
        <v>378</v>
      </c>
      <c r="I1420" s="140" t="s">
        <v>35</v>
      </c>
      <c r="J1420" s="140">
        <v>30000000</v>
      </c>
      <c r="K1420" s="139" t="s">
        <v>3469</v>
      </c>
      <c r="L1420" s="140"/>
      <c r="M1420" s="155" t="s">
        <v>46</v>
      </c>
      <c r="N1420" s="324">
        <v>1</v>
      </c>
      <c r="O1420" s="10">
        <v>25000000</v>
      </c>
      <c r="P1420" s="140" t="s">
        <v>3496</v>
      </c>
    </row>
    <row r="1421" spans="1:16" ht="43.5" x14ac:dyDescent="0.35">
      <c r="A1421" s="139">
        <f t="shared" ref="A1421:A1443" si="26">A1420+1</f>
        <v>22</v>
      </c>
      <c r="B1421" s="140" t="s">
        <v>3414</v>
      </c>
      <c r="C1421" s="140" t="s">
        <v>3465</v>
      </c>
      <c r="D1421" s="140" t="s">
        <v>3466</v>
      </c>
      <c r="E1421" s="140" t="s">
        <v>3495</v>
      </c>
      <c r="F1421" s="140" t="s">
        <v>373</v>
      </c>
      <c r="G1421" s="140" t="s">
        <v>374</v>
      </c>
      <c r="H1421" s="140" t="s">
        <v>379</v>
      </c>
      <c r="I1421" s="140" t="s">
        <v>35</v>
      </c>
      <c r="J1421" s="140">
        <v>30000000</v>
      </c>
      <c r="K1421" s="139" t="s">
        <v>3469</v>
      </c>
      <c r="L1421" s="140"/>
      <c r="M1421" s="155" t="s">
        <v>46</v>
      </c>
      <c r="N1421" s="324">
        <v>1</v>
      </c>
      <c r="O1421" s="10">
        <v>25000000</v>
      </c>
      <c r="P1421" s="140" t="s">
        <v>3496</v>
      </c>
    </row>
    <row r="1422" spans="1:16" ht="43.5" x14ac:dyDescent="0.35">
      <c r="A1422" s="139">
        <f t="shared" si="26"/>
        <v>23</v>
      </c>
      <c r="B1422" s="140" t="s">
        <v>3414</v>
      </c>
      <c r="C1422" s="140" t="s">
        <v>3465</v>
      </c>
      <c r="D1422" s="140" t="s">
        <v>3466</v>
      </c>
      <c r="E1422" s="140" t="s">
        <v>3495</v>
      </c>
      <c r="F1422" s="140" t="s">
        <v>373</v>
      </c>
      <c r="G1422" s="140" t="s">
        <v>374</v>
      </c>
      <c r="H1422" s="140" t="s">
        <v>380</v>
      </c>
      <c r="I1422" s="140" t="s">
        <v>35</v>
      </c>
      <c r="J1422" s="140">
        <v>30000000</v>
      </c>
      <c r="K1422" s="139" t="s">
        <v>3469</v>
      </c>
      <c r="L1422" s="140"/>
      <c r="M1422" s="155" t="s">
        <v>46</v>
      </c>
      <c r="N1422" s="324">
        <v>1</v>
      </c>
      <c r="O1422" s="10">
        <v>25000000</v>
      </c>
      <c r="P1422" s="140" t="s">
        <v>3496</v>
      </c>
    </row>
    <row r="1423" spans="1:16" ht="43.5" x14ac:dyDescent="0.35">
      <c r="A1423" s="139">
        <f t="shared" si="26"/>
        <v>24</v>
      </c>
      <c r="B1423" s="140" t="s">
        <v>3414</v>
      </c>
      <c r="C1423" s="140" t="s">
        <v>3465</v>
      </c>
      <c r="D1423" s="140" t="s">
        <v>3466</v>
      </c>
      <c r="E1423" s="140" t="s">
        <v>3495</v>
      </c>
      <c r="F1423" s="140" t="s">
        <v>373</v>
      </c>
      <c r="G1423" s="140" t="s">
        <v>374</v>
      </c>
      <c r="H1423" s="140" t="s">
        <v>381</v>
      </c>
      <c r="I1423" s="140" t="s">
        <v>35</v>
      </c>
      <c r="J1423" s="140">
        <v>30000000</v>
      </c>
      <c r="K1423" s="139" t="s">
        <v>3469</v>
      </c>
      <c r="L1423" s="140"/>
      <c r="M1423" s="155" t="s">
        <v>46</v>
      </c>
      <c r="N1423" s="324">
        <v>1</v>
      </c>
      <c r="O1423" s="10">
        <v>25000000</v>
      </c>
      <c r="P1423" s="140" t="s">
        <v>3496</v>
      </c>
    </row>
    <row r="1424" spans="1:16" ht="43.5" x14ac:dyDescent="0.35">
      <c r="A1424" s="139">
        <f t="shared" si="26"/>
        <v>25</v>
      </c>
      <c r="B1424" s="140" t="s">
        <v>3414</v>
      </c>
      <c r="C1424" s="140" t="s">
        <v>3465</v>
      </c>
      <c r="D1424" s="140" t="s">
        <v>3466</v>
      </c>
      <c r="E1424" s="140" t="s">
        <v>3495</v>
      </c>
      <c r="F1424" s="140" t="s">
        <v>373</v>
      </c>
      <c r="G1424" s="140" t="s">
        <v>374</v>
      </c>
      <c r="H1424" s="140" t="s">
        <v>382</v>
      </c>
      <c r="I1424" s="140" t="s">
        <v>35</v>
      </c>
      <c r="J1424" s="140">
        <v>30000000</v>
      </c>
      <c r="K1424" s="139" t="s">
        <v>3469</v>
      </c>
      <c r="L1424" s="140"/>
      <c r="M1424" s="155" t="s">
        <v>46</v>
      </c>
      <c r="N1424" s="324">
        <v>1</v>
      </c>
      <c r="O1424" s="10">
        <v>25000000</v>
      </c>
      <c r="P1424" s="140" t="s">
        <v>3496</v>
      </c>
    </row>
    <row r="1425" spans="1:16" ht="43.5" x14ac:dyDescent="0.35">
      <c r="A1425" s="139">
        <f t="shared" si="26"/>
        <v>26</v>
      </c>
      <c r="B1425" s="140" t="s">
        <v>3414</v>
      </c>
      <c r="C1425" s="140" t="s">
        <v>3465</v>
      </c>
      <c r="D1425" s="140" t="s">
        <v>3466</v>
      </c>
      <c r="E1425" s="140" t="s">
        <v>3495</v>
      </c>
      <c r="F1425" s="140" t="s">
        <v>373</v>
      </c>
      <c r="G1425" s="140" t="s">
        <v>374</v>
      </c>
      <c r="H1425" s="140" t="s">
        <v>383</v>
      </c>
      <c r="I1425" s="140" t="s">
        <v>35</v>
      </c>
      <c r="J1425" s="140">
        <v>30000000</v>
      </c>
      <c r="K1425" s="139" t="s">
        <v>3469</v>
      </c>
      <c r="L1425" s="140"/>
      <c r="M1425" s="155" t="s">
        <v>46</v>
      </c>
      <c r="N1425" s="324">
        <v>1</v>
      </c>
      <c r="O1425" s="10">
        <v>25000000</v>
      </c>
      <c r="P1425" s="140" t="s">
        <v>3496</v>
      </c>
    </row>
    <row r="1426" spans="1:16" ht="43.5" x14ac:dyDescent="0.35">
      <c r="A1426" s="139">
        <f t="shared" si="26"/>
        <v>27</v>
      </c>
      <c r="B1426" s="140" t="s">
        <v>3414</v>
      </c>
      <c r="C1426" s="140" t="s">
        <v>3465</v>
      </c>
      <c r="D1426" s="140" t="s">
        <v>3466</v>
      </c>
      <c r="E1426" s="140" t="s">
        <v>3495</v>
      </c>
      <c r="F1426" s="140" t="s">
        <v>373</v>
      </c>
      <c r="G1426" s="140" t="s">
        <v>374</v>
      </c>
      <c r="H1426" s="140" t="s">
        <v>375</v>
      </c>
      <c r="I1426" s="140" t="s">
        <v>35</v>
      </c>
      <c r="J1426" s="140">
        <v>30000000</v>
      </c>
      <c r="K1426" s="139" t="s">
        <v>3469</v>
      </c>
      <c r="L1426" s="140"/>
      <c r="M1426" s="155" t="s">
        <v>46</v>
      </c>
      <c r="N1426" s="324">
        <v>1</v>
      </c>
      <c r="O1426" s="10">
        <v>25000000</v>
      </c>
      <c r="P1426" s="140" t="s">
        <v>3497</v>
      </c>
    </row>
    <row r="1427" spans="1:16" ht="43.5" x14ac:dyDescent="0.35">
      <c r="A1427" s="139">
        <f t="shared" si="26"/>
        <v>28</v>
      </c>
      <c r="B1427" s="140" t="s">
        <v>3414</v>
      </c>
      <c r="C1427" s="140" t="s">
        <v>3465</v>
      </c>
      <c r="D1427" s="140" t="s">
        <v>3466</v>
      </c>
      <c r="E1427" s="140" t="s">
        <v>3495</v>
      </c>
      <c r="F1427" s="140" t="s">
        <v>373</v>
      </c>
      <c r="G1427" s="140" t="s">
        <v>374</v>
      </c>
      <c r="H1427" s="140" t="s">
        <v>378</v>
      </c>
      <c r="I1427" s="140" t="s">
        <v>35</v>
      </c>
      <c r="J1427" s="140">
        <v>30000000</v>
      </c>
      <c r="K1427" s="139" t="s">
        <v>3469</v>
      </c>
      <c r="L1427" s="140"/>
      <c r="M1427" s="155" t="s">
        <v>46</v>
      </c>
      <c r="N1427" s="324">
        <v>1</v>
      </c>
      <c r="O1427" s="10">
        <v>25000000</v>
      </c>
      <c r="P1427" s="140" t="s">
        <v>3497</v>
      </c>
    </row>
    <row r="1428" spans="1:16" ht="43.5" x14ac:dyDescent="0.35">
      <c r="A1428" s="139">
        <f t="shared" si="26"/>
        <v>29</v>
      </c>
      <c r="B1428" s="140" t="s">
        <v>3414</v>
      </c>
      <c r="C1428" s="140" t="s">
        <v>3465</v>
      </c>
      <c r="D1428" s="140" t="s">
        <v>3466</v>
      </c>
      <c r="E1428" s="140" t="s">
        <v>3495</v>
      </c>
      <c r="F1428" s="140" t="s">
        <v>373</v>
      </c>
      <c r="G1428" s="140" t="s">
        <v>374</v>
      </c>
      <c r="H1428" s="140" t="s">
        <v>379</v>
      </c>
      <c r="I1428" s="140" t="s">
        <v>35</v>
      </c>
      <c r="J1428" s="140">
        <v>30000000</v>
      </c>
      <c r="K1428" s="139" t="s">
        <v>3469</v>
      </c>
      <c r="L1428" s="140"/>
      <c r="M1428" s="155" t="s">
        <v>46</v>
      </c>
      <c r="N1428" s="324">
        <v>1</v>
      </c>
      <c r="O1428" s="10">
        <v>25000000</v>
      </c>
      <c r="P1428" s="140" t="s">
        <v>3497</v>
      </c>
    </row>
    <row r="1429" spans="1:16" ht="43.5" x14ac:dyDescent="0.35">
      <c r="A1429" s="139">
        <f t="shared" si="26"/>
        <v>30</v>
      </c>
      <c r="B1429" s="140" t="s">
        <v>3414</v>
      </c>
      <c r="C1429" s="140" t="s">
        <v>3465</v>
      </c>
      <c r="D1429" s="140" t="s">
        <v>3466</v>
      </c>
      <c r="E1429" s="140" t="s">
        <v>3495</v>
      </c>
      <c r="F1429" s="140" t="s">
        <v>373</v>
      </c>
      <c r="G1429" s="140" t="s">
        <v>374</v>
      </c>
      <c r="H1429" s="140" t="s">
        <v>380</v>
      </c>
      <c r="I1429" s="140" t="s">
        <v>35</v>
      </c>
      <c r="J1429" s="140">
        <v>30000000</v>
      </c>
      <c r="K1429" s="139" t="s">
        <v>3469</v>
      </c>
      <c r="L1429" s="140"/>
      <c r="M1429" s="155" t="s">
        <v>46</v>
      </c>
      <c r="N1429" s="324">
        <v>1</v>
      </c>
      <c r="O1429" s="10">
        <v>25000000</v>
      </c>
      <c r="P1429" s="140" t="s">
        <v>3497</v>
      </c>
    </row>
    <row r="1430" spans="1:16" ht="43.5" x14ac:dyDescent="0.35">
      <c r="A1430" s="139">
        <f t="shared" si="26"/>
        <v>31</v>
      </c>
      <c r="B1430" s="140" t="s">
        <v>3414</v>
      </c>
      <c r="C1430" s="140" t="s">
        <v>3465</v>
      </c>
      <c r="D1430" s="140" t="s">
        <v>3466</v>
      </c>
      <c r="E1430" s="140" t="s">
        <v>3495</v>
      </c>
      <c r="F1430" s="140" t="s">
        <v>373</v>
      </c>
      <c r="G1430" s="140" t="s">
        <v>374</v>
      </c>
      <c r="H1430" s="140" t="s">
        <v>381</v>
      </c>
      <c r="I1430" s="140" t="s">
        <v>35</v>
      </c>
      <c r="J1430" s="140">
        <v>30000000</v>
      </c>
      <c r="K1430" s="139" t="s">
        <v>3469</v>
      </c>
      <c r="L1430" s="140"/>
      <c r="M1430" s="155" t="s">
        <v>46</v>
      </c>
      <c r="N1430" s="324">
        <v>1</v>
      </c>
      <c r="O1430" s="10">
        <v>25000000</v>
      </c>
      <c r="P1430" s="140" t="s">
        <v>3497</v>
      </c>
    </row>
    <row r="1431" spans="1:16" ht="43.5" x14ac:dyDescent="0.35">
      <c r="A1431" s="139">
        <f t="shared" si="26"/>
        <v>32</v>
      </c>
      <c r="B1431" s="140" t="s">
        <v>3414</v>
      </c>
      <c r="C1431" s="140" t="s">
        <v>3465</v>
      </c>
      <c r="D1431" s="140" t="s">
        <v>3466</v>
      </c>
      <c r="E1431" s="140" t="s">
        <v>3495</v>
      </c>
      <c r="F1431" s="140" t="s">
        <v>373</v>
      </c>
      <c r="G1431" s="140" t="s">
        <v>374</v>
      </c>
      <c r="H1431" s="140" t="s">
        <v>382</v>
      </c>
      <c r="I1431" s="140" t="s">
        <v>35</v>
      </c>
      <c r="J1431" s="140">
        <v>30000000</v>
      </c>
      <c r="K1431" s="139" t="s">
        <v>3469</v>
      </c>
      <c r="L1431" s="140"/>
      <c r="M1431" s="155" t="s">
        <v>46</v>
      </c>
      <c r="N1431" s="324">
        <v>1</v>
      </c>
      <c r="O1431" s="10">
        <v>25000000</v>
      </c>
      <c r="P1431" s="140" t="s">
        <v>3497</v>
      </c>
    </row>
    <row r="1432" spans="1:16" ht="43.5" x14ac:dyDescent="0.35">
      <c r="A1432" s="139">
        <f t="shared" si="26"/>
        <v>33</v>
      </c>
      <c r="B1432" s="140" t="s">
        <v>3414</v>
      </c>
      <c r="C1432" s="140" t="s">
        <v>3465</v>
      </c>
      <c r="D1432" s="140" t="s">
        <v>3466</v>
      </c>
      <c r="E1432" s="140" t="s">
        <v>3495</v>
      </c>
      <c r="F1432" s="140" t="s">
        <v>373</v>
      </c>
      <c r="G1432" s="140" t="s">
        <v>374</v>
      </c>
      <c r="H1432" s="140" t="s">
        <v>383</v>
      </c>
      <c r="I1432" s="140" t="s">
        <v>35</v>
      </c>
      <c r="J1432" s="140">
        <v>30000000</v>
      </c>
      <c r="K1432" s="139" t="s">
        <v>3469</v>
      </c>
      <c r="L1432" s="140"/>
      <c r="M1432" s="155" t="s">
        <v>46</v>
      </c>
      <c r="N1432" s="324">
        <v>1</v>
      </c>
      <c r="O1432" s="10">
        <v>25000000</v>
      </c>
      <c r="P1432" s="140" t="s">
        <v>3497</v>
      </c>
    </row>
    <row r="1433" spans="1:16" ht="43.5" x14ac:dyDescent="0.35">
      <c r="A1433" s="139">
        <f t="shared" si="26"/>
        <v>34</v>
      </c>
      <c r="B1433" s="140" t="s">
        <v>3414</v>
      </c>
      <c r="C1433" s="140" t="s">
        <v>3465</v>
      </c>
      <c r="D1433" s="140" t="s">
        <v>3466</v>
      </c>
      <c r="E1433" s="140" t="s">
        <v>3498</v>
      </c>
      <c r="F1433" s="140" t="s">
        <v>3499</v>
      </c>
      <c r="G1433" s="140" t="s">
        <v>49</v>
      </c>
      <c r="H1433" s="140" t="s">
        <v>200</v>
      </c>
      <c r="I1433" s="140" t="s">
        <v>3500</v>
      </c>
      <c r="J1433" s="140">
        <v>62400000</v>
      </c>
      <c r="K1433" s="139" t="s">
        <v>3469</v>
      </c>
      <c r="L1433" s="140">
        <v>2820125</v>
      </c>
      <c r="M1433" s="155" t="s">
        <v>46</v>
      </c>
      <c r="N1433" s="324" t="s">
        <v>3500</v>
      </c>
      <c r="O1433" s="10">
        <v>31200000</v>
      </c>
      <c r="P1433" s="140"/>
    </row>
    <row r="1434" spans="1:16" ht="58" x14ac:dyDescent="0.35">
      <c r="A1434" s="139">
        <f t="shared" si="26"/>
        <v>35</v>
      </c>
      <c r="B1434" s="140" t="s">
        <v>3414</v>
      </c>
      <c r="C1434" s="140" t="s">
        <v>3465</v>
      </c>
      <c r="D1434" s="140" t="s">
        <v>3466</v>
      </c>
      <c r="E1434" s="140" t="s">
        <v>3467</v>
      </c>
      <c r="F1434" s="140"/>
      <c r="G1434" s="140" t="s">
        <v>46</v>
      </c>
      <c r="H1434" s="140" t="s">
        <v>3501</v>
      </c>
      <c r="I1434" s="140" t="s">
        <v>28</v>
      </c>
      <c r="J1434" s="140">
        <v>25000000</v>
      </c>
      <c r="K1434" s="139" t="s">
        <v>3469</v>
      </c>
      <c r="L1434" s="140">
        <v>3310327</v>
      </c>
      <c r="M1434" s="155" t="s">
        <v>46</v>
      </c>
      <c r="N1434" s="324" t="s">
        <v>28</v>
      </c>
      <c r="O1434" s="10">
        <v>25000000</v>
      </c>
      <c r="P1434" s="140" t="s">
        <v>3502</v>
      </c>
    </row>
    <row r="1435" spans="1:16" ht="43.5" x14ac:dyDescent="0.35">
      <c r="A1435" s="139">
        <f t="shared" si="26"/>
        <v>36</v>
      </c>
      <c r="B1435" s="140" t="s">
        <v>3414</v>
      </c>
      <c r="C1435" s="140" t="s">
        <v>3465</v>
      </c>
      <c r="D1435" s="140" t="s">
        <v>3466</v>
      </c>
      <c r="E1435" s="140" t="s">
        <v>3503</v>
      </c>
      <c r="F1435" s="140" t="s">
        <v>3504</v>
      </c>
      <c r="G1435" s="140" t="s">
        <v>970</v>
      </c>
      <c r="H1435" s="140" t="s">
        <v>2766</v>
      </c>
      <c r="I1435" s="140" t="s">
        <v>3505</v>
      </c>
      <c r="J1435" s="140">
        <v>8400000</v>
      </c>
      <c r="K1435" s="139" t="s">
        <v>3469</v>
      </c>
      <c r="L1435" s="140">
        <v>3255191</v>
      </c>
      <c r="M1435" s="155" t="s">
        <v>173</v>
      </c>
      <c r="N1435" s="324" t="s">
        <v>3505</v>
      </c>
      <c r="O1435" s="10">
        <v>8400000</v>
      </c>
      <c r="P1435" s="140"/>
    </row>
    <row r="1436" spans="1:16" ht="43.5" x14ac:dyDescent="0.35">
      <c r="A1436" s="139">
        <f t="shared" si="26"/>
        <v>37</v>
      </c>
      <c r="B1436" s="140" t="s">
        <v>3414</v>
      </c>
      <c r="C1436" s="140" t="s">
        <v>3465</v>
      </c>
      <c r="D1436" s="140" t="s">
        <v>3466</v>
      </c>
      <c r="E1436" s="140" t="s">
        <v>3503</v>
      </c>
      <c r="F1436" s="140" t="s">
        <v>3506</v>
      </c>
      <c r="G1436" s="140" t="s">
        <v>970</v>
      </c>
      <c r="H1436" s="140" t="s">
        <v>2770</v>
      </c>
      <c r="I1436" s="140" t="s">
        <v>3505</v>
      </c>
      <c r="J1436" s="140">
        <v>8400000</v>
      </c>
      <c r="K1436" s="139" t="s">
        <v>3469</v>
      </c>
      <c r="L1436" s="140">
        <v>3255191</v>
      </c>
      <c r="M1436" s="155" t="s">
        <v>173</v>
      </c>
      <c r="N1436" s="324" t="s">
        <v>3505</v>
      </c>
      <c r="O1436" s="10">
        <v>8400000</v>
      </c>
      <c r="P1436" s="140"/>
    </row>
    <row r="1437" spans="1:16" ht="43.5" x14ac:dyDescent="0.35">
      <c r="A1437" s="139">
        <f t="shared" si="26"/>
        <v>38</v>
      </c>
      <c r="B1437" s="140" t="s">
        <v>3414</v>
      </c>
      <c r="C1437" s="140" t="s">
        <v>3465</v>
      </c>
      <c r="D1437" s="140" t="s">
        <v>3466</v>
      </c>
      <c r="E1437" s="140" t="s">
        <v>3503</v>
      </c>
      <c r="F1437" s="140" t="s">
        <v>3507</v>
      </c>
      <c r="G1437" s="140" t="s">
        <v>970</v>
      </c>
      <c r="H1437" s="140" t="s">
        <v>2773</v>
      </c>
      <c r="I1437" s="140" t="s">
        <v>3505</v>
      </c>
      <c r="J1437" s="140">
        <v>8400000</v>
      </c>
      <c r="K1437" s="139" t="s">
        <v>3469</v>
      </c>
      <c r="L1437" s="140">
        <v>3255191</v>
      </c>
      <c r="M1437" s="155" t="s">
        <v>173</v>
      </c>
      <c r="N1437" s="324" t="s">
        <v>3505</v>
      </c>
      <c r="O1437" s="10">
        <v>8400000</v>
      </c>
      <c r="P1437" s="140"/>
    </row>
    <row r="1438" spans="1:16" ht="43.5" x14ac:dyDescent="0.35">
      <c r="A1438" s="139">
        <f t="shared" si="26"/>
        <v>39</v>
      </c>
      <c r="B1438" s="140" t="s">
        <v>3414</v>
      </c>
      <c r="C1438" s="140" t="s">
        <v>3465</v>
      </c>
      <c r="D1438" s="140" t="s">
        <v>3466</v>
      </c>
      <c r="E1438" s="140" t="s">
        <v>3503</v>
      </c>
      <c r="F1438" s="140" t="s">
        <v>3508</v>
      </c>
      <c r="G1438" s="140" t="s">
        <v>970</v>
      </c>
      <c r="H1438" s="140" t="s">
        <v>3355</v>
      </c>
      <c r="I1438" s="140" t="s">
        <v>3505</v>
      </c>
      <c r="J1438" s="140">
        <v>8400000</v>
      </c>
      <c r="K1438" s="139" t="s">
        <v>3469</v>
      </c>
      <c r="L1438" s="140">
        <v>3255191</v>
      </c>
      <c r="M1438" s="155" t="s">
        <v>173</v>
      </c>
      <c r="N1438" s="324" t="s">
        <v>3505</v>
      </c>
      <c r="O1438" s="10">
        <v>8400000</v>
      </c>
      <c r="P1438" s="140"/>
    </row>
    <row r="1439" spans="1:16" ht="43.5" x14ac:dyDescent="0.35">
      <c r="A1439" s="139">
        <f t="shared" si="26"/>
        <v>40</v>
      </c>
      <c r="B1439" s="140" t="s">
        <v>3414</v>
      </c>
      <c r="C1439" s="140" t="s">
        <v>3465</v>
      </c>
      <c r="D1439" s="140" t="s">
        <v>3466</v>
      </c>
      <c r="E1439" s="140" t="s">
        <v>3503</v>
      </c>
      <c r="F1439" s="140" t="s">
        <v>3509</v>
      </c>
      <c r="G1439" s="140" t="s">
        <v>970</v>
      </c>
      <c r="H1439" s="140" t="s">
        <v>971</v>
      </c>
      <c r="I1439" s="140" t="s">
        <v>3505</v>
      </c>
      <c r="J1439" s="140">
        <v>8400000</v>
      </c>
      <c r="K1439" s="139" t="s">
        <v>3469</v>
      </c>
      <c r="L1439" s="140">
        <v>3255191</v>
      </c>
      <c r="M1439" s="155" t="s">
        <v>173</v>
      </c>
      <c r="N1439" s="324" t="s">
        <v>3505</v>
      </c>
      <c r="O1439" s="10">
        <v>8400000</v>
      </c>
      <c r="P1439" s="140"/>
    </row>
    <row r="1440" spans="1:16" ht="43.5" x14ac:dyDescent="0.35">
      <c r="A1440" s="139">
        <f t="shared" si="26"/>
        <v>41</v>
      </c>
      <c r="B1440" s="140" t="s">
        <v>3414</v>
      </c>
      <c r="C1440" s="140" t="s">
        <v>3465</v>
      </c>
      <c r="D1440" s="140" t="s">
        <v>3466</v>
      </c>
      <c r="E1440" s="140" t="s">
        <v>3503</v>
      </c>
      <c r="F1440" s="140" t="s">
        <v>3510</v>
      </c>
      <c r="G1440" s="140" t="s">
        <v>970</v>
      </c>
      <c r="H1440" s="140" t="s">
        <v>2776</v>
      </c>
      <c r="I1440" s="140" t="s">
        <v>3505</v>
      </c>
      <c r="J1440" s="140">
        <v>8400000</v>
      </c>
      <c r="K1440" s="139" t="s">
        <v>3469</v>
      </c>
      <c r="L1440" s="140">
        <v>3255191</v>
      </c>
      <c r="M1440" s="155" t="s">
        <v>173</v>
      </c>
      <c r="N1440" s="324" t="s">
        <v>3505</v>
      </c>
      <c r="O1440" s="10">
        <v>8400000</v>
      </c>
      <c r="P1440" s="140"/>
    </row>
    <row r="1441" spans="1:16" ht="43.5" x14ac:dyDescent="0.35">
      <c r="A1441" s="139">
        <f t="shared" si="26"/>
        <v>42</v>
      </c>
      <c r="B1441" s="140" t="s">
        <v>3414</v>
      </c>
      <c r="C1441" s="140" t="s">
        <v>3465</v>
      </c>
      <c r="D1441" s="140" t="s">
        <v>3466</v>
      </c>
      <c r="E1441" s="140" t="s">
        <v>3503</v>
      </c>
      <c r="F1441" s="140" t="s">
        <v>3511</v>
      </c>
      <c r="G1441" s="140" t="s">
        <v>970</v>
      </c>
      <c r="H1441" s="140" t="s">
        <v>2779</v>
      </c>
      <c r="I1441" s="140" t="s">
        <v>3505</v>
      </c>
      <c r="J1441" s="140">
        <v>8400000</v>
      </c>
      <c r="K1441" s="139" t="s">
        <v>3469</v>
      </c>
      <c r="L1441" s="140">
        <v>3255191</v>
      </c>
      <c r="M1441" s="155" t="s">
        <v>173</v>
      </c>
      <c r="N1441" s="324" t="s">
        <v>3505</v>
      </c>
      <c r="O1441" s="10">
        <v>8400000</v>
      </c>
      <c r="P1441" s="140"/>
    </row>
    <row r="1442" spans="1:16" ht="43.5" x14ac:dyDescent="0.35">
      <c r="A1442" s="139">
        <f t="shared" si="26"/>
        <v>43</v>
      </c>
      <c r="B1442" s="140" t="s">
        <v>3414</v>
      </c>
      <c r="C1442" s="140" t="s">
        <v>3465</v>
      </c>
      <c r="D1442" s="140" t="s">
        <v>3466</v>
      </c>
      <c r="E1442" s="140" t="s">
        <v>3503</v>
      </c>
      <c r="F1442" s="140" t="s">
        <v>3512</v>
      </c>
      <c r="G1442" s="140" t="s">
        <v>970</v>
      </c>
      <c r="H1442" s="140" t="s">
        <v>3451</v>
      </c>
      <c r="I1442" s="140" t="s">
        <v>3505</v>
      </c>
      <c r="J1442" s="140">
        <v>8400000</v>
      </c>
      <c r="K1442" s="139" t="s">
        <v>3469</v>
      </c>
      <c r="L1442" s="140">
        <v>3255191</v>
      </c>
      <c r="M1442" s="155" t="s">
        <v>173</v>
      </c>
      <c r="N1442" s="324" t="s">
        <v>3505</v>
      </c>
      <c r="O1442" s="10">
        <v>8400000</v>
      </c>
      <c r="P1442" s="140"/>
    </row>
    <row r="1443" spans="1:16" ht="43.5" x14ac:dyDescent="0.35">
      <c r="A1443" s="139">
        <f t="shared" si="26"/>
        <v>44</v>
      </c>
      <c r="B1443" s="140" t="s">
        <v>3414</v>
      </c>
      <c r="C1443" s="140" t="s">
        <v>3465</v>
      </c>
      <c r="D1443" s="140" t="s">
        <v>3466</v>
      </c>
      <c r="E1443" s="140" t="s">
        <v>3503</v>
      </c>
      <c r="F1443" s="140" t="s">
        <v>3513</v>
      </c>
      <c r="G1443" s="140" t="s">
        <v>970</v>
      </c>
      <c r="H1443" s="140" t="s">
        <v>2782</v>
      </c>
      <c r="I1443" s="140" t="s">
        <v>3505</v>
      </c>
      <c r="J1443" s="140">
        <v>8400000</v>
      </c>
      <c r="K1443" s="139" t="s">
        <v>3469</v>
      </c>
      <c r="L1443" s="140">
        <v>3255191</v>
      </c>
      <c r="M1443" s="155" t="s">
        <v>173</v>
      </c>
      <c r="N1443" s="324" t="s">
        <v>3505</v>
      </c>
      <c r="O1443" s="10">
        <v>8400000</v>
      </c>
      <c r="P1443" s="140"/>
    </row>
    <row r="1444" spans="1:16" ht="43.5" x14ac:dyDescent="0.35">
      <c r="A1444" s="139">
        <v>45</v>
      </c>
      <c r="B1444" s="140" t="s">
        <v>3414</v>
      </c>
      <c r="C1444" s="140" t="s">
        <v>3465</v>
      </c>
      <c r="D1444" s="140" t="s">
        <v>3466</v>
      </c>
      <c r="E1444" s="140" t="s">
        <v>3514</v>
      </c>
      <c r="F1444" s="140" t="s">
        <v>3515</v>
      </c>
      <c r="G1444" s="140" t="s">
        <v>756</v>
      </c>
      <c r="H1444" s="140" t="s">
        <v>2930</v>
      </c>
      <c r="I1444" s="140" t="s">
        <v>25</v>
      </c>
      <c r="J1444" s="140">
        <v>100000000</v>
      </c>
      <c r="K1444" s="139" t="s">
        <v>3469</v>
      </c>
      <c r="L1444" s="140">
        <v>3149874</v>
      </c>
      <c r="M1444" s="155" t="s">
        <v>226</v>
      </c>
      <c r="N1444" s="324" t="s">
        <v>25</v>
      </c>
      <c r="O1444" s="10">
        <v>15000000</v>
      </c>
      <c r="P1444" s="140"/>
    </row>
    <row r="1445" spans="1:16" ht="58" x14ac:dyDescent="0.35">
      <c r="A1445" s="139">
        <f>A1444+1</f>
        <v>46</v>
      </c>
      <c r="B1445" s="140" t="s">
        <v>3414</v>
      </c>
      <c r="C1445" s="140" t="s">
        <v>3465</v>
      </c>
      <c r="D1445" s="140" t="s">
        <v>3466</v>
      </c>
      <c r="E1445" s="140" t="s">
        <v>3516</v>
      </c>
      <c r="F1445" s="140" t="s">
        <v>3517</v>
      </c>
      <c r="G1445" s="140" t="s">
        <v>177</v>
      </c>
      <c r="H1445" s="140" t="s">
        <v>1411</v>
      </c>
      <c r="I1445" s="140" t="s">
        <v>695</v>
      </c>
      <c r="J1445" s="140">
        <v>25000000</v>
      </c>
      <c r="K1445" s="139" t="s">
        <v>3469</v>
      </c>
      <c r="L1445" s="140">
        <v>2946754</v>
      </c>
      <c r="M1445" s="155" t="s">
        <v>180</v>
      </c>
      <c r="N1445" s="324" t="s">
        <v>695</v>
      </c>
      <c r="O1445" s="10">
        <v>25000000</v>
      </c>
      <c r="P1445" s="140" t="s">
        <v>3518</v>
      </c>
    </row>
    <row r="1446" spans="1:16" ht="58" x14ac:dyDescent="0.35">
      <c r="A1446" s="139">
        <f t="shared" ref="A1446:A1447" si="27">A1445+1</f>
        <v>47</v>
      </c>
      <c r="B1446" s="140" t="s">
        <v>3414</v>
      </c>
      <c r="C1446" s="140" t="s">
        <v>3465</v>
      </c>
      <c r="D1446" s="140" t="s">
        <v>3466</v>
      </c>
      <c r="E1446" s="140" t="s">
        <v>3519</v>
      </c>
      <c r="F1446" s="140" t="s">
        <v>3361</v>
      </c>
      <c r="G1446" s="140" t="s">
        <v>185</v>
      </c>
      <c r="H1446" s="140" t="s">
        <v>2953</v>
      </c>
      <c r="I1446" s="140" t="s">
        <v>3454</v>
      </c>
      <c r="J1446" s="140">
        <v>15000000</v>
      </c>
      <c r="K1446" s="139" t="s">
        <v>3469</v>
      </c>
      <c r="L1446" s="140">
        <v>2928821</v>
      </c>
      <c r="M1446" s="155" t="s">
        <v>180</v>
      </c>
      <c r="N1446" s="324" t="s">
        <v>3454</v>
      </c>
      <c r="O1446" s="10">
        <v>15000000</v>
      </c>
      <c r="P1446" s="140" t="s">
        <v>3518</v>
      </c>
    </row>
    <row r="1447" spans="1:16" ht="58" x14ac:dyDescent="0.35">
      <c r="A1447" s="139">
        <f t="shared" si="27"/>
        <v>48</v>
      </c>
      <c r="B1447" s="140" t="s">
        <v>3414</v>
      </c>
      <c r="C1447" s="140" t="s">
        <v>3465</v>
      </c>
      <c r="D1447" s="140" t="s">
        <v>3466</v>
      </c>
      <c r="E1447" s="140" t="s">
        <v>3519</v>
      </c>
      <c r="F1447" s="140" t="s">
        <v>3361</v>
      </c>
      <c r="G1447" s="140" t="s">
        <v>185</v>
      </c>
      <c r="H1447" s="140" t="s">
        <v>2956</v>
      </c>
      <c r="I1447" s="140" t="s">
        <v>3454</v>
      </c>
      <c r="J1447" s="140">
        <v>15000000</v>
      </c>
      <c r="K1447" s="139" t="s">
        <v>3469</v>
      </c>
      <c r="L1447" s="140">
        <v>2928898</v>
      </c>
      <c r="M1447" s="155" t="s">
        <v>180</v>
      </c>
      <c r="N1447" s="324" t="s">
        <v>3454</v>
      </c>
      <c r="O1447" s="10">
        <v>15000000</v>
      </c>
      <c r="P1447" s="140" t="s">
        <v>3518</v>
      </c>
    </row>
    <row r="1448" spans="1:16" ht="29" x14ac:dyDescent="0.35">
      <c r="A1448" s="26">
        <v>47</v>
      </c>
      <c r="B1448" s="28"/>
      <c r="C1448" s="28"/>
      <c r="D1448" s="28"/>
      <c r="E1448" s="27" t="s">
        <v>3520</v>
      </c>
      <c r="F1448" s="131" t="s">
        <v>3521</v>
      </c>
      <c r="G1448" s="26" t="s">
        <v>3522</v>
      </c>
      <c r="H1448" s="131" t="s">
        <v>3523</v>
      </c>
      <c r="I1448" s="28"/>
      <c r="J1448" s="28"/>
      <c r="K1448" s="139" t="s">
        <v>3469</v>
      </c>
      <c r="L1448" s="28"/>
      <c r="M1448" s="126" t="s">
        <v>226</v>
      </c>
      <c r="N1448" s="131" t="s">
        <v>28</v>
      </c>
      <c r="O1448" s="342">
        <v>24213878</v>
      </c>
      <c r="P1448" s="27" t="s">
        <v>547</v>
      </c>
    </row>
    <row r="1449" spans="1:16" x14ac:dyDescent="0.35">
      <c r="A1449" s="26">
        <v>48</v>
      </c>
      <c r="B1449" s="28"/>
      <c r="C1449" s="28"/>
      <c r="D1449" s="28"/>
      <c r="E1449" s="131" t="s">
        <v>3524</v>
      </c>
      <c r="F1449" s="27" t="s">
        <v>388</v>
      </c>
      <c r="G1449" s="27" t="s">
        <v>389</v>
      </c>
      <c r="H1449" s="27" t="s">
        <v>397</v>
      </c>
      <c r="I1449" s="28"/>
      <c r="J1449" s="28"/>
      <c r="K1449" s="139" t="s">
        <v>3469</v>
      </c>
      <c r="L1449" s="28"/>
      <c r="M1449" s="126" t="s">
        <v>46</v>
      </c>
      <c r="N1449" s="27" t="s">
        <v>609</v>
      </c>
      <c r="O1449" s="127">
        <v>25000000</v>
      </c>
      <c r="P1449" s="27" t="s">
        <v>547</v>
      </c>
    </row>
    <row r="1450" spans="1:16" x14ac:dyDescent="0.35">
      <c r="A1450" s="26">
        <v>49</v>
      </c>
      <c r="B1450" s="28"/>
      <c r="C1450" s="28"/>
      <c r="D1450" s="28"/>
      <c r="E1450" s="131" t="s">
        <v>3524</v>
      </c>
      <c r="F1450" s="26" t="s">
        <v>3525</v>
      </c>
      <c r="G1450" s="126" t="s">
        <v>2293</v>
      </c>
      <c r="H1450" s="126" t="s">
        <v>3526</v>
      </c>
      <c r="I1450" s="28"/>
      <c r="J1450" s="28"/>
      <c r="K1450" s="139" t="s">
        <v>3469</v>
      </c>
      <c r="L1450" s="28"/>
      <c r="M1450" s="126" t="s">
        <v>27</v>
      </c>
      <c r="N1450" s="31" t="s">
        <v>56</v>
      </c>
      <c r="O1450" s="222">
        <v>11500000</v>
      </c>
      <c r="P1450" s="27" t="s">
        <v>547</v>
      </c>
    </row>
    <row r="1451" spans="1:16" ht="87" x14ac:dyDescent="0.35">
      <c r="A1451" s="139">
        <f t="shared" ref="A1451:A1452" si="28">A1450+1</f>
        <v>50</v>
      </c>
      <c r="B1451" s="140" t="s">
        <v>3414</v>
      </c>
      <c r="C1451" s="140" t="s">
        <v>3316</v>
      </c>
      <c r="D1451" s="140" t="s">
        <v>3527</v>
      </c>
      <c r="E1451" s="140" t="s">
        <v>3528</v>
      </c>
      <c r="F1451" s="140"/>
      <c r="G1451" s="140" t="s">
        <v>44</v>
      </c>
      <c r="H1451" s="140" t="s">
        <v>45</v>
      </c>
      <c r="I1451" s="140" t="s">
        <v>28</v>
      </c>
      <c r="J1451" s="140">
        <v>5000000</v>
      </c>
      <c r="K1451" s="139" t="s">
        <v>3529</v>
      </c>
      <c r="L1451" s="140">
        <v>2833904</v>
      </c>
      <c r="M1451" s="155" t="s">
        <v>46</v>
      </c>
      <c r="N1451" s="324" t="s">
        <v>596</v>
      </c>
      <c r="O1451" s="10">
        <v>4625000</v>
      </c>
      <c r="P1451" s="140"/>
    </row>
    <row r="1452" spans="1:16" ht="87" x14ac:dyDescent="0.35">
      <c r="A1452" s="139">
        <f t="shared" si="28"/>
        <v>51</v>
      </c>
      <c r="B1452" s="140" t="s">
        <v>3414</v>
      </c>
      <c r="C1452" s="140" t="s">
        <v>3316</v>
      </c>
      <c r="D1452" s="140" t="s">
        <v>3527</v>
      </c>
      <c r="E1452" s="140" t="s">
        <v>3530</v>
      </c>
      <c r="F1452" s="140"/>
      <c r="G1452" s="140" t="s">
        <v>167</v>
      </c>
      <c r="H1452" s="139" t="s">
        <v>168</v>
      </c>
      <c r="I1452" s="140" t="s">
        <v>28</v>
      </c>
      <c r="J1452" s="140">
        <v>15000000</v>
      </c>
      <c r="K1452" s="139" t="s">
        <v>3529</v>
      </c>
      <c r="L1452" s="140">
        <v>2907167</v>
      </c>
      <c r="M1452" s="155" t="s">
        <v>46</v>
      </c>
      <c r="N1452" s="324" t="s">
        <v>3531</v>
      </c>
      <c r="O1452" s="10">
        <v>14800000</v>
      </c>
      <c r="P1452" s="140"/>
    </row>
    <row r="1454" spans="1:16" x14ac:dyDescent="0.35">
      <c r="O1454" s="348">
        <f>SUM(O6:O1452)</f>
        <v>137505836789.65399</v>
      </c>
    </row>
    <row r="1456" spans="1:16" x14ac:dyDescent="0.35">
      <c r="O1456" s="348">
        <v>137505836789.65399</v>
      </c>
    </row>
  </sheetData>
  <autoFilter ref="A5:P1452" xr:uid="{00000000-0001-0000-0000-000000000000}"/>
  <mergeCells count="17">
    <mergeCell ref="M3:M4"/>
    <mergeCell ref="A3:A4"/>
    <mergeCell ref="B3:B4"/>
    <mergeCell ref="C3:C4"/>
    <mergeCell ref="D3:D4"/>
    <mergeCell ref="E3:E4"/>
    <mergeCell ref="F3:F4"/>
    <mergeCell ref="G3:H3"/>
    <mergeCell ref="I3:I4"/>
    <mergeCell ref="J3:J4"/>
    <mergeCell ref="K3:K4"/>
    <mergeCell ref="L3:L4"/>
    <mergeCell ref="N3:O3"/>
    <mergeCell ref="P3:P4"/>
    <mergeCell ref="N230:N231"/>
    <mergeCell ref="O230:O231"/>
    <mergeCell ref="P879:P88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BF58-9D22-46AE-B057-35B159D983B9}">
  <sheetPr>
    <tabColor rgb="FFFFFF00"/>
  </sheetPr>
  <dimension ref="A1:Q25"/>
  <sheetViews>
    <sheetView view="pageBreakPreview" zoomScale="70" zoomScaleNormal="70" zoomScaleSheetLayoutView="70" workbookViewId="0">
      <pane xSplit="1" ySplit="3" topLeftCell="B5" activePane="bottomRight" state="frozen"/>
      <selection pane="topRight" activeCell="B1" sqref="B1"/>
      <selection pane="bottomLeft" activeCell="A4" sqref="A4"/>
      <selection pane="bottomRight" activeCell="B12" sqref="B12"/>
    </sheetView>
  </sheetViews>
  <sheetFormatPr defaultRowHeight="14.5" x14ac:dyDescent="0.35"/>
  <cols>
    <col min="1" max="1" width="6.6328125" customWidth="1"/>
    <col min="2" max="2" width="64.54296875" customWidth="1"/>
    <col min="3" max="11" width="16.6328125" customWidth="1"/>
    <col min="12" max="12" width="18.36328125" customWidth="1"/>
    <col min="13" max="13" width="19.36328125" customWidth="1"/>
    <col min="14" max="14" width="21.54296875" customWidth="1"/>
    <col min="15" max="15" width="20.90625" customWidth="1"/>
    <col min="16" max="16" width="19.6328125" customWidth="1"/>
    <col min="17" max="17" width="25.54296875" customWidth="1"/>
  </cols>
  <sheetData>
    <row r="1" spans="1:17" ht="26" x14ac:dyDescent="0.6">
      <c r="A1" s="418" t="s">
        <v>3532</v>
      </c>
      <c r="B1" s="418"/>
      <c r="C1" s="418"/>
      <c r="D1" s="418"/>
      <c r="E1" s="418"/>
      <c r="F1" s="418"/>
      <c r="G1" s="418"/>
      <c r="H1" s="418"/>
      <c r="I1" s="418"/>
      <c r="J1" s="418"/>
      <c r="K1" s="418"/>
      <c r="L1" s="418"/>
      <c r="M1" s="418"/>
    </row>
    <row r="2" spans="1:17" ht="26" x14ac:dyDescent="0.6">
      <c r="A2" s="419" t="s">
        <v>3576</v>
      </c>
      <c r="B2" s="420"/>
      <c r="C2" s="420"/>
      <c r="D2" s="420"/>
      <c r="E2" s="420"/>
      <c r="F2" s="420"/>
      <c r="G2" s="420"/>
      <c r="H2" s="420"/>
      <c r="I2" s="420"/>
      <c r="J2" s="420"/>
      <c r="K2" s="420"/>
      <c r="L2" s="420"/>
      <c r="M2" s="420"/>
    </row>
    <row r="3" spans="1:17" s="65" customFormat="1" ht="40.25" customHeight="1" x14ac:dyDescent="0.35">
      <c r="A3" s="350" t="s">
        <v>0</v>
      </c>
      <c r="B3" s="350" t="s">
        <v>3533</v>
      </c>
      <c r="C3" s="350" t="s">
        <v>79</v>
      </c>
      <c r="D3" s="350" t="s">
        <v>226</v>
      </c>
      <c r="E3" s="350" t="s">
        <v>664</v>
      </c>
      <c r="F3" s="350" t="s">
        <v>144</v>
      </c>
      <c r="G3" s="350" t="s">
        <v>173</v>
      </c>
      <c r="H3" s="350" t="s">
        <v>46</v>
      </c>
      <c r="I3" s="350" t="s">
        <v>180</v>
      </c>
      <c r="J3" s="350" t="s">
        <v>109</v>
      </c>
      <c r="K3" s="350" t="s">
        <v>27</v>
      </c>
      <c r="L3" s="350" t="s">
        <v>55</v>
      </c>
      <c r="M3" s="350" t="s">
        <v>3534</v>
      </c>
      <c r="N3" s="351" t="s">
        <v>3535</v>
      </c>
      <c r="O3" s="351" t="s">
        <v>3536</v>
      </c>
      <c r="P3" s="351" t="s">
        <v>3537</v>
      </c>
      <c r="Q3" s="352" t="s">
        <v>3538</v>
      </c>
    </row>
    <row r="4" spans="1:17" s="358" customFormat="1" ht="37.25" customHeight="1" x14ac:dyDescent="0.35">
      <c r="A4" s="16">
        <v>1</v>
      </c>
      <c r="B4" s="353" t="s">
        <v>3529</v>
      </c>
      <c r="C4" s="354"/>
      <c r="D4" s="354"/>
      <c r="E4" s="354"/>
      <c r="F4" s="354"/>
      <c r="G4" s="354"/>
      <c r="H4" s="354"/>
      <c r="I4" s="354"/>
      <c r="J4" s="354"/>
      <c r="K4" s="354"/>
      <c r="L4" s="354"/>
      <c r="M4" s="355">
        <f>SUM(C4:L4)</f>
        <v>0</v>
      </c>
      <c r="N4" s="356">
        <v>8867508178</v>
      </c>
      <c r="O4" s="356">
        <v>4442008178</v>
      </c>
      <c r="P4" s="357">
        <f>N4-O4</f>
        <v>4425500000</v>
      </c>
      <c r="Q4" s="357">
        <f>P4-M4</f>
        <v>4425500000</v>
      </c>
    </row>
    <row r="5" spans="1:17" s="358" customFormat="1" ht="37.25" customHeight="1" x14ac:dyDescent="0.35">
      <c r="A5" s="16">
        <f>A4+1</f>
        <v>2</v>
      </c>
      <c r="B5" s="353" t="s">
        <v>3539</v>
      </c>
      <c r="C5" s="354">
        <f>SUMIFS('[1]REKAP MUSRENKAB 17 MARET'!$Q$6:$Q$1488,'[1]REKAP MUSRENKAB 17 MARET'!$K$6:$K$1488,B5,'[1]REKAP MUSRENKAB 17 MARET'!$O$6:$O$1488,$C$3)</f>
        <v>0</v>
      </c>
      <c r="D5" s="354">
        <f>SUMIFS('[1]REKAP MUSRENKAB 17 MARET'!$Q$6:$Q$1488,'[1]REKAP MUSRENKAB 17 MARET'!$K$6:$K$1488,B5,'[1]REKAP MUSRENKAB 17 MARET'!$O$6:$O$1488,$D$3)</f>
        <v>0</v>
      </c>
      <c r="E5" s="354">
        <f>SUMIFS('[1]REKAP MUSRENKAB 17 MARET'!$Q$6:$Q$1488,'[1]REKAP MUSRENKAB 17 MARET'!$K$6:$K$1488,B5,'[1]REKAP MUSRENKAB 17 MARET'!$O$6:$O$1488,$E$3)</f>
        <v>0</v>
      </c>
      <c r="F5" s="354">
        <f>SUMIFS('[1]REKAP MUSRENKAB 17 MARET'!$Q$6:$Q$1488,'[1]REKAP MUSRENKAB 17 MARET'!$K$6:$K$1488,B5,'[1]REKAP MUSRENKAB 17 MARET'!$O$6:$O$1488,$F$3)</f>
        <v>0</v>
      </c>
      <c r="G5" s="354">
        <f>SUMIFS('[1]REKAP MUSRENKAB 17 MARET'!$Q$6:$Q$1488,'[1]REKAP MUSRENKAB 17 MARET'!$K$6:$K$1488,B5,'[1]REKAP MUSRENKAB 17 MARET'!$O$6:$O$1488,$G$3)</f>
        <v>0</v>
      </c>
      <c r="H5" s="354">
        <f>SUMIFS('[1]REKAP MUSRENKAB 17 MARET'!$Q$6:$Q$1488,'[1]REKAP MUSRENKAB 17 MARET'!$K$6:$K$1488,B5,'[1]REKAP MUSRENKAB 17 MARET'!$O$6:$O$1488,$H$3)</f>
        <v>0</v>
      </c>
      <c r="I5" s="354">
        <f>SUMIFS('[1]REKAP MUSRENKAB 17 MARET'!$Q$6:$Q$1488,'[1]REKAP MUSRENKAB 17 MARET'!$K$6:$K$1488,B5,'[1]REKAP MUSRENKAB 17 MARET'!$O$6:$O$1488,$I$3)</f>
        <v>0</v>
      </c>
      <c r="J5" s="354">
        <f>SUMIFS('[1]REKAP MUSRENKAB 17 MARET'!$Q$6:$Q$1488,'[1]REKAP MUSRENKAB 17 MARET'!$K$6:$K$1488,B5,'[1]REKAP MUSRENKAB 17 MARET'!$O$6:$O$1488,$J$3)</f>
        <v>0</v>
      </c>
      <c r="K5" s="354">
        <f>SUMIFS('[1]REKAP MUSRENKAB 17 MARET'!$Q$6:$Q$1488,'[1]REKAP MUSRENKAB 17 MARET'!$K$6:$K$1488,B5,'[1]REKAP MUSRENKAB 17 MARET'!$O$6:$O$1488,$K$3)</f>
        <v>0</v>
      </c>
      <c r="L5" s="354">
        <f>SUMIFS('[1]REKAP MUSRENKAB 17 MARET'!$Q$6:$Q$1488,'[1]REKAP MUSRENKAB 17 MARET'!$K$6:$K$1488,B5,'[1]REKAP MUSRENKAB 17 MARET'!$O$6:$O$1488,$L$3)</f>
        <v>0</v>
      </c>
      <c r="M5" s="355">
        <f t="shared" ref="M5:M20" si="0">SUM(C5:L5)</f>
        <v>0</v>
      </c>
      <c r="N5" s="356"/>
      <c r="O5" s="356"/>
      <c r="P5" s="357">
        <f t="shared" ref="P5:P20" si="1">N5-O5</f>
        <v>0</v>
      </c>
      <c r="Q5" s="357">
        <f t="shared" ref="Q5:Q20" si="2">P5-M5</f>
        <v>0</v>
      </c>
    </row>
    <row r="6" spans="1:17" s="358" customFormat="1" ht="37.25" customHeight="1" x14ac:dyDescent="0.35">
      <c r="A6" s="16">
        <f t="shared" ref="A6:A20" si="3">A5+1</f>
        <v>3</v>
      </c>
      <c r="B6" s="353" t="s">
        <v>3389</v>
      </c>
      <c r="C6" s="354">
        <f>SUMIFS('[1]REKAP MUSRENKAB 17 MARET'!$Q$6:$Q$1488,'[1]REKAP MUSRENKAB 17 MARET'!$K$6:$K$1488,B6,'[1]REKAP MUSRENKAB 17 MARET'!$O$6:$O$1488,$C$3)</f>
        <v>0</v>
      </c>
      <c r="D6" s="354">
        <f>SUMIFS('[1]REKAP MUSRENKAB 17 MARET'!$Q$6:$Q$1488,'[1]REKAP MUSRENKAB 17 MARET'!$K$6:$K$1488,B6,'[1]REKAP MUSRENKAB 17 MARET'!$O$6:$O$1488,$D$3)</f>
        <v>0</v>
      </c>
      <c r="E6" s="354">
        <f>SUMIFS('[1]REKAP MUSRENKAB 17 MARET'!$Q$6:$Q$1488,'[1]REKAP MUSRENKAB 17 MARET'!$K$6:$K$1488,B6,'[1]REKAP MUSRENKAB 17 MARET'!$O$6:$O$1488,$E$3)</f>
        <v>0</v>
      </c>
      <c r="F6" s="354">
        <f>SUMIFS('[1]REKAP MUSRENKAB 17 MARET'!$Q$6:$Q$1488,'[1]REKAP MUSRENKAB 17 MARET'!$K$6:$K$1488,B6,'[1]REKAP MUSRENKAB 17 MARET'!$O$6:$O$1488,$F$3)</f>
        <v>0</v>
      </c>
      <c r="G6" s="354">
        <f>SUMIFS('[1]REKAP MUSRENKAB 17 MARET'!$Q$6:$Q$1488,'[1]REKAP MUSRENKAB 17 MARET'!$K$6:$K$1488,B6,'[1]REKAP MUSRENKAB 17 MARET'!$O$6:$O$1488,$G$3)</f>
        <v>0</v>
      </c>
      <c r="H6" s="354">
        <f>SUMIFS('[1]REKAP MUSRENKAB 17 MARET'!$Q$6:$Q$1488,'[1]REKAP MUSRENKAB 17 MARET'!$K$6:$K$1488,B6,'[1]REKAP MUSRENKAB 17 MARET'!$O$6:$O$1488,$H$3)</f>
        <v>752840000</v>
      </c>
      <c r="I6" s="354">
        <f>SUMIFS('[1]REKAP MUSRENKAB 17 MARET'!$Q$6:$Q$1488,'[1]REKAP MUSRENKAB 17 MARET'!$K$6:$K$1488,B6,'[1]REKAP MUSRENKAB 17 MARET'!$O$6:$O$1488,$I$3)</f>
        <v>0</v>
      </c>
      <c r="J6" s="354">
        <f>SUMIFS('[1]REKAP MUSRENKAB 17 MARET'!$Q$6:$Q$1488,'[1]REKAP MUSRENKAB 17 MARET'!$K$6:$K$1488,B6,'[1]REKAP MUSRENKAB 17 MARET'!$O$6:$O$1488,$J$3)</f>
        <v>0</v>
      </c>
      <c r="K6" s="354">
        <f>SUMIFS('[1]REKAP MUSRENKAB 17 MARET'!$Q$6:$Q$1488,'[1]REKAP MUSRENKAB 17 MARET'!$K$6:$K$1488,B6,'[1]REKAP MUSRENKAB 17 MARET'!$O$6:$O$1488,$K$3)</f>
        <v>25830000</v>
      </c>
      <c r="L6" s="354">
        <f>SUMIFS('[1]REKAP MUSRENKAB 17 MARET'!$Q$6:$Q$1488,'[1]REKAP MUSRENKAB 17 MARET'!$K$6:$K$1488,B6,'[1]REKAP MUSRENKAB 17 MARET'!$O$6:$O$1488,$L$3)</f>
        <v>0</v>
      </c>
      <c r="M6" s="355">
        <f t="shared" si="0"/>
        <v>778670000</v>
      </c>
      <c r="N6" s="356">
        <v>699757253403</v>
      </c>
      <c r="O6" s="356">
        <v>324873540000</v>
      </c>
      <c r="P6" s="357">
        <f t="shared" si="1"/>
        <v>374883713403</v>
      </c>
      <c r="Q6" s="357">
        <f t="shared" si="2"/>
        <v>374105043403</v>
      </c>
    </row>
    <row r="7" spans="1:17" s="358" customFormat="1" ht="37.25" customHeight="1" x14ac:dyDescent="0.35">
      <c r="A7" s="16">
        <f t="shared" si="3"/>
        <v>4</v>
      </c>
      <c r="B7" s="353" t="s">
        <v>487</v>
      </c>
      <c r="C7" s="354">
        <f>SUMIFS('[1]REKAP MUSRENKAB 17 MARET'!$Q$6:$Q$1488,'[1]REKAP MUSRENKAB 17 MARET'!$K$6:$K$1488,B7,'[1]REKAP MUSRENKAB 17 MARET'!$O$6:$O$1488,$C$3)</f>
        <v>140000000</v>
      </c>
      <c r="D7" s="354">
        <f>SUMIFS('[1]REKAP MUSRENKAB 17 MARET'!$Q$6:$Q$1488,'[1]REKAP MUSRENKAB 17 MARET'!$K$6:$K$1488,B7,'[1]REKAP MUSRENKAB 17 MARET'!$O$6:$O$1488,$D$3)</f>
        <v>0</v>
      </c>
      <c r="E7" s="354">
        <f>SUMIFS('[1]REKAP MUSRENKAB 17 MARET'!$Q$6:$Q$1488,'[1]REKAP MUSRENKAB 17 MARET'!$K$6:$K$1488,B7,'[1]REKAP MUSRENKAB 17 MARET'!$O$6:$O$1488,$E$3)</f>
        <v>178000000</v>
      </c>
      <c r="F7" s="354">
        <f>SUMIFS('[1]REKAP MUSRENKAB 17 MARET'!$Q$6:$Q$1488,'[1]REKAP MUSRENKAB 17 MARET'!$K$6:$K$1488,B7,'[1]REKAP MUSRENKAB 17 MARET'!$O$6:$O$1488,$F$3)</f>
        <v>0</v>
      </c>
      <c r="G7" s="354">
        <f>SUMIFS('[1]REKAP MUSRENKAB 17 MARET'!$Q$6:$Q$1488,'[1]REKAP MUSRENKAB 17 MARET'!$K$6:$K$1488,B7,'[1]REKAP MUSRENKAB 17 MARET'!$O$6:$O$1488,$G$3)</f>
        <v>0</v>
      </c>
      <c r="H7" s="354">
        <f>SUMIFS('[1]REKAP MUSRENKAB 17 MARET'!$Q$6:$Q$1488,'[1]REKAP MUSRENKAB 17 MARET'!$K$6:$K$1488,B7,'[1]REKAP MUSRENKAB 17 MARET'!$O$6:$O$1488,$H$3)</f>
        <v>60000000</v>
      </c>
      <c r="I7" s="354">
        <f>SUMIFS('[1]REKAP MUSRENKAB 17 MARET'!$Q$6:$Q$1488,'[1]REKAP MUSRENKAB 17 MARET'!$K$6:$K$1488,B7,'[1]REKAP MUSRENKAB 17 MARET'!$O$6:$O$1488,$I$3)</f>
        <v>25000000</v>
      </c>
      <c r="J7" s="354">
        <f>SUMIFS('[1]REKAP MUSRENKAB 17 MARET'!$Q$6:$Q$1488,'[1]REKAP MUSRENKAB 17 MARET'!$K$6:$K$1488,B7,'[1]REKAP MUSRENKAB 17 MARET'!$O$6:$O$1488,$J$3)</f>
        <v>0</v>
      </c>
      <c r="K7" s="354">
        <f>SUMIFS('[1]REKAP MUSRENKAB 17 MARET'!$Q$6:$Q$1488,'[1]REKAP MUSRENKAB 17 MARET'!$K$6:$K$1488,B7,'[1]REKAP MUSRENKAB 17 MARET'!$O$6:$O$1488,$K$3)</f>
        <v>0</v>
      </c>
      <c r="L7" s="354">
        <f>SUMIFS('[1]REKAP MUSRENKAB 17 MARET'!$Q$6:$Q$1488,'[1]REKAP MUSRENKAB 17 MARET'!$K$6:$K$1488,B7,'[1]REKAP MUSRENKAB 17 MARET'!$O$6:$O$1488,$L$3)</f>
        <v>140000000</v>
      </c>
      <c r="M7" s="355">
        <f t="shared" si="0"/>
        <v>543000000</v>
      </c>
      <c r="N7" s="356">
        <v>21091507877</v>
      </c>
      <c r="O7" s="356">
        <v>9331186759</v>
      </c>
      <c r="P7" s="357">
        <f t="shared" si="1"/>
        <v>11760321118</v>
      </c>
      <c r="Q7" s="357">
        <f t="shared" si="2"/>
        <v>11217321118</v>
      </c>
    </row>
    <row r="8" spans="1:17" s="358" customFormat="1" ht="37.25" customHeight="1" x14ac:dyDescent="0.35">
      <c r="A8" s="16">
        <f t="shared" si="3"/>
        <v>5</v>
      </c>
      <c r="B8" s="353" t="s">
        <v>197</v>
      </c>
      <c r="C8" s="354">
        <f>SUMIFS('[1]REKAP MUSRENKAB 17 MARET'!$Q$6:$Q$1488,'[1]REKAP MUSRENKAB 17 MARET'!$K$6:$K$1488,B8,'[1]REKAP MUSRENKAB 17 MARET'!$O$6:$O$1488,$C$3)</f>
        <v>181000000</v>
      </c>
      <c r="D8" s="354">
        <f>SUMIFS('[1]REKAP MUSRENKAB 17 MARET'!$Q$6:$Q$1488,'[1]REKAP MUSRENKAB 17 MARET'!$K$6:$K$1488,B8,'[1]REKAP MUSRENKAB 17 MARET'!$O$6:$O$1488,$D$3)</f>
        <v>155000000</v>
      </c>
      <c r="E8" s="354">
        <f>SUMIFS('[1]REKAP MUSRENKAB 17 MARET'!$Q$6:$Q$1488,'[1]REKAP MUSRENKAB 17 MARET'!$K$6:$K$1488,B8,'[1]REKAP MUSRENKAB 17 MARET'!$O$6:$O$1488,$E$3)</f>
        <v>416400000</v>
      </c>
      <c r="F8" s="354">
        <f>SUMIFS('[1]REKAP MUSRENKAB 17 MARET'!$Q$6:$Q$1488,'[1]REKAP MUSRENKAB 17 MARET'!$K$6:$K$1488,B8,'[1]REKAP MUSRENKAB 17 MARET'!$O$6:$O$1488,$F$3)</f>
        <v>135000000</v>
      </c>
      <c r="G8" s="354">
        <f>SUMIFS('[1]REKAP MUSRENKAB 17 MARET'!$Q$6:$Q$1488,'[1]REKAP MUSRENKAB 17 MARET'!$K$6:$K$1488,B8,'[1]REKAP MUSRENKAB 17 MARET'!$O$6:$O$1488,$G$3)</f>
        <v>646511000</v>
      </c>
      <c r="H8" s="354">
        <f>SUMIFS('[1]REKAP MUSRENKAB 17 MARET'!$Q$6:$Q$1488,'[1]REKAP MUSRENKAB 17 MARET'!$K$6:$K$1488,B8,'[1]REKAP MUSRENKAB 17 MARET'!$O$6:$O$1488,$H$3)</f>
        <v>382450000</v>
      </c>
      <c r="I8" s="354">
        <f>SUMIFS('[1]REKAP MUSRENKAB 17 MARET'!$Q$6:$Q$1488,'[1]REKAP MUSRENKAB 17 MARET'!$K$6:$K$1488,B8,'[1]REKAP MUSRENKAB 17 MARET'!$O$6:$O$1488,$I$3)</f>
        <v>151500000</v>
      </c>
      <c r="J8" s="354">
        <f>SUMIFS('[1]REKAP MUSRENKAB 17 MARET'!$Q$6:$Q$1488,'[1]REKAP MUSRENKAB 17 MARET'!$K$6:$K$1488,B8,'[1]REKAP MUSRENKAB 17 MARET'!$O$6:$O$1488,$J$3)</f>
        <v>36000000</v>
      </c>
      <c r="K8" s="354">
        <f>SUMIFS('[1]REKAP MUSRENKAB 17 MARET'!$Q$6:$Q$1488,'[1]REKAP MUSRENKAB 17 MARET'!$K$6:$K$1488,B8,'[1]REKAP MUSRENKAB 17 MARET'!$O$6:$O$1488,$K$3)</f>
        <v>304500000</v>
      </c>
      <c r="L8" s="354">
        <f>SUMIFS('[1]REKAP MUSRENKAB 17 MARET'!$Q$6:$Q$1488,'[1]REKAP MUSRENKAB 17 MARET'!$K$6:$K$1488,B8,'[1]REKAP MUSRENKAB 17 MARET'!$O$6:$O$1488,$L$3)</f>
        <v>160000000</v>
      </c>
      <c r="M8" s="355">
        <f t="shared" si="0"/>
        <v>2568361000</v>
      </c>
      <c r="N8" s="356">
        <v>25392059315</v>
      </c>
      <c r="O8" s="356">
        <v>10542461515</v>
      </c>
      <c r="P8" s="357">
        <f t="shared" si="1"/>
        <v>14849597800</v>
      </c>
      <c r="Q8" s="357">
        <f t="shared" si="2"/>
        <v>12281236800</v>
      </c>
    </row>
    <row r="9" spans="1:17" s="358" customFormat="1" ht="37.25" customHeight="1" x14ac:dyDescent="0.35">
      <c r="A9" s="16">
        <f t="shared" si="3"/>
        <v>6</v>
      </c>
      <c r="B9" s="353" t="s">
        <v>553</v>
      </c>
      <c r="C9" s="354">
        <f>SUMIFS('[1]REKAP MUSRENKAB 17 MARET'!$Q$6:$Q$1488,'[1]REKAP MUSRENKAB 17 MARET'!$K$6:$K$1488,B9,'[1]REKAP MUSRENKAB 17 MARET'!$O$6:$O$1488,$C$3)</f>
        <v>0</v>
      </c>
      <c r="D9" s="354">
        <f>SUMIFS('[1]REKAP MUSRENKAB 17 MARET'!$Q$6:$Q$1488,'[1]REKAP MUSRENKAB 17 MARET'!$K$6:$K$1488,B9,'[1]REKAP MUSRENKAB 17 MARET'!$O$6:$O$1488,$D$3)</f>
        <v>0</v>
      </c>
      <c r="E9" s="354">
        <f>SUMIFS('[1]REKAP MUSRENKAB 17 MARET'!$Q$6:$Q$1488,'[1]REKAP MUSRENKAB 17 MARET'!$K$6:$K$1488,B9,'[1]REKAP MUSRENKAB 17 MARET'!$O$6:$O$1488,$E$3)</f>
        <v>428258332</v>
      </c>
      <c r="F9" s="354">
        <f>SUMIFS('[1]REKAP MUSRENKAB 17 MARET'!$Q$6:$Q$1488,'[1]REKAP MUSRENKAB 17 MARET'!$K$6:$K$1488,B9,'[1]REKAP MUSRENKAB 17 MARET'!$O$6:$O$1488,$F$3)</f>
        <v>0</v>
      </c>
      <c r="G9" s="354">
        <f>SUMIFS('[1]REKAP MUSRENKAB 17 MARET'!$Q$6:$Q$1488,'[1]REKAP MUSRENKAB 17 MARET'!$K$6:$K$1488,B9,'[1]REKAP MUSRENKAB 17 MARET'!$O$6:$O$1488,$G$3)</f>
        <v>295850000</v>
      </c>
      <c r="H9" s="354">
        <f>SUMIFS('[1]REKAP MUSRENKAB 17 MARET'!$Q$6:$Q$1488,'[1]REKAP MUSRENKAB 17 MARET'!$K$6:$K$1488,B9,'[1]REKAP MUSRENKAB 17 MARET'!$O$6:$O$1488,$H$3)</f>
        <v>802500000</v>
      </c>
      <c r="I9" s="354">
        <f>SUMIFS('[1]REKAP MUSRENKAB 17 MARET'!$Q$6:$Q$1488,'[1]REKAP MUSRENKAB 17 MARET'!$K$6:$K$1488,B9,'[1]REKAP MUSRENKAB 17 MARET'!$O$6:$O$1488,$I$3)</f>
        <v>48000000</v>
      </c>
      <c r="J9" s="354">
        <f>SUMIFS('[1]REKAP MUSRENKAB 17 MARET'!$Q$6:$Q$1488,'[1]REKAP MUSRENKAB 17 MARET'!$K$6:$K$1488,B9,'[1]REKAP MUSRENKAB 17 MARET'!$O$6:$O$1488,$J$3)</f>
        <v>1173930000</v>
      </c>
      <c r="K9" s="354">
        <f>SUMIFS('[1]REKAP MUSRENKAB 17 MARET'!$Q$6:$Q$1488,'[1]REKAP MUSRENKAB 17 MARET'!$K$6:$K$1488,B9,'[1]REKAP MUSRENKAB 17 MARET'!$O$6:$O$1488,$K$3)</f>
        <v>125000000</v>
      </c>
      <c r="L9" s="354">
        <f>SUMIFS('[1]REKAP MUSRENKAB 17 MARET'!$Q$6:$Q$1488,'[1]REKAP MUSRENKAB 17 MARET'!$K$6:$K$1488,B9,'[1]REKAP MUSRENKAB 17 MARET'!$O$6:$O$1488,$L$3)</f>
        <v>1000000000</v>
      </c>
      <c r="M9" s="355">
        <f t="shared" si="0"/>
        <v>3873538332</v>
      </c>
      <c r="N9" s="356">
        <v>26242470069</v>
      </c>
      <c r="O9" s="356">
        <v>9478029605</v>
      </c>
      <c r="P9" s="357">
        <f t="shared" si="1"/>
        <v>16764440464</v>
      </c>
      <c r="Q9" s="357">
        <f t="shared" si="2"/>
        <v>12890902132</v>
      </c>
    </row>
    <row r="10" spans="1:17" s="358" customFormat="1" ht="37.25" customHeight="1" x14ac:dyDescent="0.35">
      <c r="A10" s="16">
        <f t="shared" si="3"/>
        <v>7</v>
      </c>
      <c r="B10" s="353" t="s">
        <v>78</v>
      </c>
      <c r="C10" s="354">
        <f>SUMIFS('[1]REKAP MUSRENKAB 17 MARET'!$Q$6:$Q$1488,'[1]REKAP MUSRENKAB 17 MARET'!$K$6:$K$1488,B10,'[1]REKAP MUSRENKAB 17 MARET'!$O$6:$O$1488,$C$3)</f>
        <v>373800000</v>
      </c>
      <c r="D10" s="354">
        <f>SUMIFS('[1]REKAP MUSRENKAB 17 MARET'!$Q$6:$Q$1488,'[1]REKAP MUSRENKAB 17 MARET'!$K$6:$K$1488,B10,'[1]REKAP MUSRENKAB 17 MARET'!$O$6:$O$1488,$D$3)</f>
        <v>164000000</v>
      </c>
      <c r="E10" s="354">
        <f>SUMIFS('[1]REKAP MUSRENKAB 17 MARET'!$Q$6:$Q$1488,'[1]REKAP MUSRENKAB 17 MARET'!$K$6:$K$1488,B10,'[1]REKAP MUSRENKAB 17 MARET'!$O$6:$O$1488,$E$3)</f>
        <v>65760000</v>
      </c>
      <c r="F10" s="354">
        <f>SUMIFS('[1]REKAP MUSRENKAB 17 MARET'!$Q$6:$Q$1488,'[1]REKAP MUSRENKAB 17 MARET'!$K$6:$K$1488,B10,'[1]REKAP MUSRENKAB 17 MARET'!$O$6:$O$1488,$F$3)</f>
        <v>207035000</v>
      </c>
      <c r="G10" s="354">
        <f>SUMIFS('[1]REKAP MUSRENKAB 17 MARET'!$Q$6:$Q$1488,'[1]REKAP MUSRENKAB 17 MARET'!$K$6:$K$1488,B10,'[1]REKAP MUSRENKAB 17 MARET'!$O$6:$O$1488,$G$3)</f>
        <v>63450000</v>
      </c>
      <c r="H10" s="354">
        <f>SUMIFS('[1]REKAP MUSRENKAB 17 MARET'!$Q$6:$Q$1488,'[1]REKAP MUSRENKAB 17 MARET'!$K$6:$K$1488,B10,'[1]REKAP MUSRENKAB 17 MARET'!$O$6:$O$1488,$H$3)</f>
        <v>586420000</v>
      </c>
      <c r="I10" s="354">
        <f>SUMIFS('[1]REKAP MUSRENKAB 17 MARET'!$Q$6:$Q$1488,'[1]REKAP MUSRENKAB 17 MARET'!$K$6:$K$1488,B10,'[1]REKAP MUSRENKAB 17 MARET'!$O$6:$O$1488,$I$3)</f>
        <v>140760000</v>
      </c>
      <c r="J10" s="354">
        <f>SUMIFS('[1]REKAP MUSRENKAB 17 MARET'!$Q$6:$Q$1488,'[1]REKAP MUSRENKAB 17 MARET'!$K$6:$K$1488,B10,'[1]REKAP MUSRENKAB 17 MARET'!$O$6:$O$1488,$J$3)</f>
        <v>444380000</v>
      </c>
      <c r="K10" s="354">
        <f>SUMIFS('[1]REKAP MUSRENKAB 17 MARET'!$Q$6:$Q$1488,'[1]REKAP MUSRENKAB 17 MARET'!$K$6:$K$1488,B10,'[1]REKAP MUSRENKAB 17 MARET'!$O$6:$O$1488,$K$3)</f>
        <v>613945000</v>
      </c>
      <c r="L10" s="354">
        <f>SUMIFS('[1]REKAP MUSRENKAB 17 MARET'!$Q$6:$Q$1488,'[1]REKAP MUSRENKAB 17 MARET'!$K$6:$K$1488,B10,'[1]REKAP MUSRENKAB 17 MARET'!$O$6:$O$1488,$L$3)</f>
        <v>0</v>
      </c>
      <c r="M10" s="355">
        <f t="shared" si="0"/>
        <v>2659550000</v>
      </c>
      <c r="N10" s="356">
        <v>11446775735</v>
      </c>
      <c r="O10" s="356">
        <v>6637775735</v>
      </c>
      <c r="P10" s="357">
        <f t="shared" si="1"/>
        <v>4809000000</v>
      </c>
      <c r="Q10" s="357">
        <f t="shared" si="2"/>
        <v>2149450000</v>
      </c>
    </row>
    <row r="11" spans="1:17" s="358" customFormat="1" ht="37.25" customHeight="1" x14ac:dyDescent="0.35">
      <c r="A11" s="16">
        <f t="shared" si="3"/>
        <v>8</v>
      </c>
      <c r="B11" s="353" t="s">
        <v>1025</v>
      </c>
      <c r="C11" s="354">
        <f>SUMIFS('[1]REKAP MUSRENKAB 17 MARET'!$Q$6:$Q$1488,'[1]REKAP MUSRENKAB 17 MARET'!$K$6:$K$1488,B11,'[1]REKAP MUSRENKAB 17 MARET'!$O$6:$O$1488,$C$3)</f>
        <v>517503740</v>
      </c>
      <c r="D11" s="354">
        <f>SUMIFS('[1]REKAP MUSRENKAB 17 MARET'!$Q$6:$Q$1488,'[1]REKAP MUSRENKAB 17 MARET'!$K$6:$K$1488,B11,'[1]REKAP MUSRENKAB 17 MARET'!$O$6:$O$1488,$D$3)</f>
        <v>1851823000</v>
      </c>
      <c r="E11" s="354">
        <f>SUMIFS('[1]REKAP MUSRENKAB 17 MARET'!$Q$6:$Q$1488,'[1]REKAP MUSRENKAB 17 MARET'!$K$6:$K$1488,B11,'[1]REKAP MUSRENKAB 17 MARET'!$O$6:$O$1488,$E$3)</f>
        <v>1805127000</v>
      </c>
      <c r="F11" s="354">
        <f>SUMIFS('[1]REKAP MUSRENKAB 17 MARET'!$Q$6:$Q$1488,'[1]REKAP MUSRENKAB 17 MARET'!$K$6:$K$1488,B11,'[1]REKAP MUSRENKAB 17 MARET'!$O$6:$O$1488,$F$3)</f>
        <v>872301000</v>
      </c>
      <c r="G11" s="354">
        <f>SUMIFS('[1]REKAP MUSRENKAB 17 MARET'!$Q$6:$Q$1488,'[1]REKAP MUSRENKAB 17 MARET'!$K$6:$K$1488,B11,'[1]REKAP MUSRENKAB 17 MARET'!$O$6:$O$1488,$G$3)</f>
        <v>405000000</v>
      </c>
      <c r="H11" s="354">
        <f>SUMIFS('[1]REKAP MUSRENKAB 17 MARET'!$Q$6:$Q$1488,'[1]REKAP MUSRENKAB 17 MARET'!$K$6:$K$1488,B11,'[1]REKAP MUSRENKAB 17 MARET'!$O$6:$O$1488,$H$3)</f>
        <v>2401000000</v>
      </c>
      <c r="I11" s="354">
        <f>SUMIFS('[1]REKAP MUSRENKAB 17 MARET'!$Q$6:$Q$1488,'[1]REKAP MUSRENKAB 17 MARET'!$K$6:$K$1488,B11,'[1]REKAP MUSRENKAB 17 MARET'!$O$6:$O$1488,$I$3)</f>
        <v>1347945000</v>
      </c>
      <c r="J11" s="354">
        <f>SUMIFS('[1]REKAP MUSRENKAB 17 MARET'!$Q$6:$Q$1488,'[1]REKAP MUSRENKAB 17 MARET'!$K$6:$K$1488,B11,'[1]REKAP MUSRENKAB 17 MARET'!$O$6:$O$1488,$J$3)</f>
        <v>2051075000</v>
      </c>
      <c r="K11" s="354">
        <f>SUMIFS('[1]REKAP MUSRENKAB 17 MARET'!$Q$6:$Q$1488,'[1]REKAP MUSRENKAB 17 MARET'!$K$6:$K$1488,B11,'[1]REKAP MUSRENKAB 17 MARET'!$O$6:$O$1488,$K$3)</f>
        <v>2925952589</v>
      </c>
      <c r="L11" s="354">
        <f>SUMIFS('[1]REKAP MUSRENKAB 17 MARET'!$Q$6:$Q$1488,'[1]REKAP MUSRENKAB 17 MARET'!$K$6:$K$1488,B11,'[1]REKAP MUSRENKAB 17 MARET'!$O$6:$O$1488,$L$3)</f>
        <v>200000000</v>
      </c>
      <c r="M11" s="355">
        <f t="shared" si="0"/>
        <v>14377727329</v>
      </c>
      <c r="N11" s="356">
        <v>45588869460</v>
      </c>
      <c r="O11" s="356">
        <v>27365459360</v>
      </c>
      <c r="P11" s="357">
        <f t="shared" si="1"/>
        <v>18223410100</v>
      </c>
      <c r="Q11" s="357">
        <f t="shared" si="2"/>
        <v>3845682771</v>
      </c>
    </row>
    <row r="12" spans="1:17" s="358" customFormat="1" ht="37.25" customHeight="1" x14ac:dyDescent="0.35">
      <c r="A12" s="16">
        <f t="shared" si="3"/>
        <v>9</v>
      </c>
      <c r="B12" s="353" t="s">
        <v>3460</v>
      </c>
      <c r="C12" s="354">
        <f>SUMIFS('[1]REKAP MUSRENKAB 17 MARET'!$Q$6:$Q$1488,'[1]REKAP MUSRENKAB 17 MARET'!$K$6:$K$1488,B12,'[1]REKAP MUSRENKAB 17 MARET'!$O$6:$O$1488,$C$3)</f>
        <v>0</v>
      </c>
      <c r="D12" s="354">
        <f>SUMIFS('[1]REKAP MUSRENKAB 17 MARET'!$Q$6:$Q$1488,'[1]REKAP MUSRENKAB 17 MARET'!$K$6:$K$1488,B12,'[1]REKAP MUSRENKAB 17 MARET'!$O$6:$O$1488,$D$3)</f>
        <v>6475000</v>
      </c>
      <c r="E12" s="354">
        <f>SUMIFS('[1]REKAP MUSRENKAB 17 MARET'!$Q$6:$Q$1488,'[1]REKAP MUSRENKAB 17 MARET'!$K$6:$K$1488,B12,'[1]REKAP MUSRENKAB 17 MARET'!$O$6:$O$1488,$E$3)</f>
        <v>5550000</v>
      </c>
      <c r="F12" s="354">
        <f>SUMIFS('[1]REKAP MUSRENKAB 17 MARET'!$Q$6:$Q$1488,'[1]REKAP MUSRENKAB 17 MARET'!$K$6:$K$1488,B12,'[1]REKAP MUSRENKAB 17 MARET'!$O$6:$O$1488,$F$3)</f>
        <v>0</v>
      </c>
      <c r="G12" s="354">
        <f>SUMIFS('[1]REKAP MUSRENKAB 17 MARET'!$Q$6:$Q$1488,'[1]REKAP MUSRENKAB 17 MARET'!$K$6:$K$1488,B12,'[1]REKAP MUSRENKAB 17 MARET'!$O$6:$O$1488,$G$3)</f>
        <v>0</v>
      </c>
      <c r="H12" s="354">
        <f>SUMIFS('[1]REKAP MUSRENKAB 17 MARET'!$Q$6:$Q$1488,'[1]REKAP MUSRENKAB 17 MARET'!$K$6:$K$1488,B12,'[1]REKAP MUSRENKAB 17 MARET'!$O$6:$O$1488,$H$3)</f>
        <v>0</v>
      </c>
      <c r="I12" s="354">
        <f>SUMIFS('[1]REKAP MUSRENKAB 17 MARET'!$Q$6:$Q$1488,'[1]REKAP MUSRENKAB 17 MARET'!$K$6:$K$1488,B12,'[1]REKAP MUSRENKAB 17 MARET'!$O$6:$O$1488,$I$3)</f>
        <v>0</v>
      </c>
      <c r="J12" s="354">
        <f>SUMIFS('[1]REKAP MUSRENKAB 17 MARET'!$Q$6:$Q$1488,'[1]REKAP MUSRENKAB 17 MARET'!$K$6:$K$1488,B12,'[1]REKAP MUSRENKAB 17 MARET'!$O$6:$O$1488,$J$3)</f>
        <v>0</v>
      </c>
      <c r="K12" s="354">
        <f>SUMIFS('[1]REKAP MUSRENKAB 17 MARET'!$Q$6:$Q$1488,'[1]REKAP MUSRENKAB 17 MARET'!$K$6:$K$1488,B12,'[1]REKAP MUSRENKAB 17 MARET'!$O$6:$O$1488,$K$3)</f>
        <v>0</v>
      </c>
      <c r="L12" s="354">
        <f>SUMIFS('[1]REKAP MUSRENKAB 17 MARET'!$Q$6:$Q$1488,'[1]REKAP MUSRENKAB 17 MARET'!$K$6:$K$1488,B12,'[1]REKAP MUSRENKAB 17 MARET'!$O$6:$O$1488,$L$3)</f>
        <v>0</v>
      </c>
      <c r="M12" s="355">
        <f t="shared" si="0"/>
        <v>12025000</v>
      </c>
      <c r="N12" s="356">
        <v>45588869460</v>
      </c>
      <c r="O12" s="356">
        <v>4811596500</v>
      </c>
      <c r="P12" s="357">
        <f t="shared" si="1"/>
        <v>40777272960</v>
      </c>
      <c r="Q12" s="357">
        <f t="shared" si="2"/>
        <v>40765247960</v>
      </c>
    </row>
    <row r="13" spans="1:17" s="358" customFormat="1" ht="37.25" customHeight="1" x14ac:dyDescent="0.35">
      <c r="A13" s="16">
        <f t="shared" si="3"/>
        <v>10</v>
      </c>
      <c r="B13" s="353" t="s">
        <v>3297</v>
      </c>
      <c r="C13" s="354">
        <f>SUMIFS('[1]REKAP MUSRENKAB 17 MARET'!$Q$6:$Q$1488,'[1]REKAP MUSRENKAB 17 MARET'!$K$6:$K$1488,B13,'[1]REKAP MUSRENKAB 17 MARET'!$O$6:$O$1488,$C$3)</f>
        <v>69117500</v>
      </c>
      <c r="D13" s="354">
        <f>SUMIFS('[1]REKAP MUSRENKAB 17 MARET'!$Q$6:$Q$1488,'[1]REKAP MUSRENKAB 17 MARET'!$K$6:$K$1488,B13,'[1]REKAP MUSRENKAB 17 MARET'!$O$6:$O$1488,$D$3)</f>
        <v>159125000</v>
      </c>
      <c r="E13" s="354">
        <f>SUMIFS('[1]REKAP MUSRENKAB 17 MARET'!$Q$6:$Q$1488,'[1]REKAP MUSRENKAB 17 MARET'!$K$6:$K$1488,B13,'[1]REKAP MUSRENKAB 17 MARET'!$O$6:$O$1488,$E$3)</f>
        <v>1083853800</v>
      </c>
      <c r="F13" s="354">
        <f>SUMIFS('[1]REKAP MUSRENKAB 17 MARET'!$Q$6:$Q$1488,'[1]REKAP MUSRENKAB 17 MARET'!$K$6:$K$1488,B13,'[1]REKAP MUSRENKAB 17 MARET'!$O$6:$O$1488,$F$3)</f>
        <v>15000000</v>
      </c>
      <c r="G13" s="354">
        <f>SUMIFS('[1]REKAP MUSRENKAB 17 MARET'!$Q$6:$Q$1488,'[1]REKAP MUSRENKAB 17 MARET'!$K$6:$K$1488,B13,'[1]REKAP MUSRENKAB 17 MARET'!$O$6:$O$1488,$G$3)</f>
        <v>310790000</v>
      </c>
      <c r="H13" s="354">
        <f>SUMIFS('[1]REKAP MUSRENKAB 17 MARET'!$Q$6:$Q$1488,'[1]REKAP MUSRENKAB 17 MARET'!$K$6:$K$1488,B13,'[1]REKAP MUSRENKAB 17 MARET'!$O$6:$O$1488,$H$3)</f>
        <v>477708000</v>
      </c>
      <c r="I13" s="354">
        <f>SUMIFS('[1]REKAP MUSRENKAB 17 MARET'!$Q$6:$Q$1488,'[1]REKAP MUSRENKAB 17 MARET'!$K$6:$K$1488,B13,'[1]REKAP MUSRENKAB 17 MARET'!$O$6:$O$1488,$I$3)</f>
        <v>755018000</v>
      </c>
      <c r="J13" s="354">
        <f>SUMIFS('[1]REKAP MUSRENKAB 17 MARET'!$Q$6:$Q$1488,'[1]REKAP MUSRENKAB 17 MARET'!$K$6:$K$1488,B13,'[1]REKAP MUSRENKAB 17 MARET'!$O$6:$O$1488,$J$3)</f>
        <v>690250000</v>
      </c>
      <c r="K13" s="354">
        <f>SUMIFS('[1]REKAP MUSRENKAB 17 MARET'!$Q$6:$Q$1488,'[1]REKAP MUSRENKAB 17 MARET'!$K$6:$K$1488,B13,'[1]REKAP MUSRENKAB 17 MARET'!$O$6:$O$1488,$K$3)</f>
        <v>542708000</v>
      </c>
      <c r="L13" s="354">
        <f>SUMIFS('[1]REKAP MUSRENKAB 17 MARET'!$Q$6:$Q$1488,'[1]REKAP MUSRENKAB 17 MARET'!$K$6:$K$1488,B13,'[1]REKAP MUSRENKAB 17 MARET'!$O$6:$O$1488,$L$3)</f>
        <v>300000000</v>
      </c>
      <c r="M13" s="355">
        <f t="shared" si="0"/>
        <v>4403570300</v>
      </c>
      <c r="N13" s="356">
        <v>734935497354</v>
      </c>
      <c r="O13" s="356">
        <v>541576647354</v>
      </c>
      <c r="P13" s="357">
        <f t="shared" si="1"/>
        <v>193358850000</v>
      </c>
      <c r="Q13" s="357">
        <f t="shared" si="2"/>
        <v>188955279700</v>
      </c>
    </row>
    <row r="14" spans="1:17" s="358" customFormat="1" ht="37.25" customHeight="1" x14ac:dyDescent="0.35">
      <c r="A14" s="16">
        <f t="shared" si="3"/>
        <v>11</v>
      </c>
      <c r="B14" s="353" t="s">
        <v>3419</v>
      </c>
      <c r="C14" s="354">
        <f>SUMIFS('[1]REKAP MUSRENKAB 17 MARET'!$Q$6:$Q$1488,'[1]REKAP MUSRENKAB 17 MARET'!$K$6:$K$1488,B14,'[1]REKAP MUSRENKAB 17 MARET'!$O$6:$O$1488,$C$3)</f>
        <v>43665000</v>
      </c>
      <c r="D14" s="354">
        <f>SUMIFS('[1]REKAP MUSRENKAB 17 MARET'!$Q$6:$Q$1488,'[1]REKAP MUSRENKAB 17 MARET'!$K$6:$K$1488,B14,'[1]REKAP MUSRENKAB 17 MARET'!$O$6:$O$1488,$D$3)</f>
        <v>0</v>
      </c>
      <c r="E14" s="354">
        <f>SUMIFS('[1]REKAP MUSRENKAB 17 MARET'!$Q$6:$Q$1488,'[1]REKAP MUSRENKAB 17 MARET'!$K$6:$K$1488,B14,'[1]REKAP MUSRENKAB 17 MARET'!$O$6:$O$1488,$E$3)</f>
        <v>45476000</v>
      </c>
      <c r="F14" s="354">
        <f>SUMIFS('[1]REKAP MUSRENKAB 17 MARET'!$Q$6:$Q$1488,'[1]REKAP MUSRENKAB 17 MARET'!$K$6:$K$1488,B14,'[1]REKAP MUSRENKAB 17 MARET'!$O$6:$O$1488,$F$3)</f>
        <v>86297500</v>
      </c>
      <c r="G14" s="354">
        <f>SUMIFS('[1]REKAP MUSRENKAB 17 MARET'!$Q$6:$Q$1488,'[1]REKAP MUSRENKAB 17 MARET'!$K$6:$K$1488,B14,'[1]REKAP MUSRENKAB 17 MARET'!$O$6:$O$1488,$G$3)</f>
        <v>172821000</v>
      </c>
      <c r="H14" s="354">
        <f>SUMIFS('[1]REKAP MUSRENKAB 17 MARET'!$Q$6:$Q$1488,'[1]REKAP MUSRENKAB 17 MARET'!$K$6:$K$1488,B14,'[1]REKAP MUSRENKAB 17 MARET'!$O$6:$O$1488,$H$3)</f>
        <v>12500000</v>
      </c>
      <c r="I14" s="354">
        <f>SUMIFS('[1]REKAP MUSRENKAB 17 MARET'!$Q$6:$Q$1488,'[1]REKAP MUSRENKAB 17 MARET'!$K$6:$K$1488,B14,'[1]REKAP MUSRENKAB 17 MARET'!$O$6:$O$1488,$I$3)</f>
        <v>131791775</v>
      </c>
      <c r="J14" s="354">
        <f>SUMIFS('[1]REKAP MUSRENKAB 17 MARET'!$Q$6:$Q$1488,'[1]REKAP MUSRENKAB 17 MARET'!$K$6:$K$1488,B14,'[1]REKAP MUSRENKAB 17 MARET'!$O$6:$O$1488,$J$3)</f>
        <v>18460500</v>
      </c>
      <c r="K14" s="354">
        <f>SUMIFS('[1]REKAP MUSRENKAB 17 MARET'!$Q$6:$Q$1488,'[1]REKAP MUSRENKAB 17 MARET'!$K$6:$K$1488,B14,'[1]REKAP MUSRENKAB 17 MARET'!$O$6:$O$1488,$K$3)</f>
        <v>9000000</v>
      </c>
      <c r="L14" s="354">
        <f>SUMIFS('[1]REKAP MUSRENKAB 17 MARET'!$Q$6:$Q$1488,'[1]REKAP MUSRENKAB 17 MARET'!$K$6:$K$1488,B14,'[1]REKAP MUSRENKAB 17 MARET'!$O$6:$O$1488,$L$3)</f>
        <v>0</v>
      </c>
      <c r="M14" s="355">
        <f t="shared" si="0"/>
        <v>520011775</v>
      </c>
      <c r="N14" s="356">
        <v>14470754100</v>
      </c>
      <c r="O14" s="356">
        <v>11984754100</v>
      </c>
      <c r="P14" s="357">
        <f t="shared" si="1"/>
        <v>2486000000</v>
      </c>
      <c r="Q14" s="357">
        <f t="shared" si="2"/>
        <v>1965988225</v>
      </c>
    </row>
    <row r="15" spans="1:17" s="358" customFormat="1" ht="37.25" customHeight="1" x14ac:dyDescent="0.35">
      <c r="A15" s="16">
        <f t="shared" si="3"/>
        <v>12</v>
      </c>
      <c r="B15" s="353" t="s">
        <v>3400</v>
      </c>
      <c r="C15" s="354">
        <f>SUMIFS('[1]REKAP MUSRENKAB 17 MARET'!$Q$6:$Q$1488,'[1]REKAP MUSRENKAB 17 MARET'!$K$6:$K$1488,B15,'[1]REKAP MUSRENKAB 17 MARET'!$O$6:$O$1488,$C$3)</f>
        <v>17460000</v>
      </c>
      <c r="D15" s="354">
        <f>SUMIFS('[1]REKAP MUSRENKAB 17 MARET'!$Q$6:$Q$1488,'[1]REKAP MUSRENKAB 17 MARET'!$K$6:$K$1488,B15,'[1]REKAP MUSRENKAB 17 MARET'!$O$6:$O$1488,$D$3)</f>
        <v>119350000</v>
      </c>
      <c r="E15" s="354">
        <f>SUMIFS('[1]REKAP MUSRENKAB 17 MARET'!$Q$6:$Q$1488,'[1]REKAP MUSRENKAB 17 MARET'!$K$6:$K$1488,B15,'[1]REKAP MUSRENKAB 17 MARET'!$O$6:$O$1488,$E$3)</f>
        <v>0</v>
      </c>
      <c r="F15" s="354">
        <f>SUMIFS('[1]REKAP MUSRENKAB 17 MARET'!$Q$6:$Q$1488,'[1]REKAP MUSRENKAB 17 MARET'!$K$6:$K$1488,B15,'[1]REKAP MUSRENKAB 17 MARET'!$O$6:$O$1488,$F$3)</f>
        <v>0</v>
      </c>
      <c r="G15" s="354">
        <f>SUMIFS('[1]REKAP MUSRENKAB 17 MARET'!$Q$6:$Q$1488,'[1]REKAP MUSRENKAB 17 MARET'!$K$6:$K$1488,B15,'[1]REKAP MUSRENKAB 17 MARET'!$O$6:$O$1488,$G$3)</f>
        <v>0</v>
      </c>
      <c r="H15" s="354">
        <f>SUMIFS('[1]REKAP MUSRENKAB 17 MARET'!$Q$6:$Q$1488,'[1]REKAP MUSRENKAB 17 MARET'!$K$6:$K$1488,B15,'[1]REKAP MUSRENKAB 17 MARET'!$O$6:$O$1488,$H$3)</f>
        <v>63621000</v>
      </c>
      <c r="I15" s="354">
        <f>SUMIFS('[1]REKAP MUSRENKAB 17 MARET'!$Q$6:$Q$1488,'[1]REKAP MUSRENKAB 17 MARET'!$K$6:$K$1488,B15,'[1]REKAP MUSRENKAB 17 MARET'!$O$6:$O$1488,$I$3)</f>
        <v>0</v>
      </c>
      <c r="J15" s="354">
        <f>SUMIFS('[1]REKAP MUSRENKAB 17 MARET'!$Q$6:$Q$1488,'[1]REKAP MUSRENKAB 17 MARET'!$K$6:$K$1488,B15,'[1]REKAP MUSRENKAB 17 MARET'!$O$6:$O$1488,$J$3)</f>
        <v>0</v>
      </c>
      <c r="K15" s="354">
        <f>SUMIFS('[1]REKAP MUSRENKAB 17 MARET'!$Q$6:$Q$1488,'[1]REKAP MUSRENKAB 17 MARET'!$K$6:$K$1488,B15,'[1]REKAP MUSRENKAB 17 MARET'!$O$6:$O$1488,$K$3)</f>
        <v>0</v>
      </c>
      <c r="L15" s="354">
        <f>SUMIFS('[1]REKAP MUSRENKAB 17 MARET'!$Q$6:$Q$1488,'[1]REKAP MUSRENKAB 17 MARET'!$K$6:$K$1488,B15,'[1]REKAP MUSRENKAB 17 MARET'!$O$6:$O$1488,$L$3)</f>
        <v>0</v>
      </c>
      <c r="M15" s="355">
        <f t="shared" si="0"/>
        <v>200431000</v>
      </c>
      <c r="N15" s="356">
        <v>27934068326</v>
      </c>
      <c r="O15" s="356">
        <v>6849369130</v>
      </c>
      <c r="P15" s="357">
        <f t="shared" si="1"/>
        <v>21084699196</v>
      </c>
      <c r="Q15" s="357">
        <f t="shared" si="2"/>
        <v>20884268196</v>
      </c>
    </row>
    <row r="16" spans="1:17" s="358" customFormat="1" ht="37.25" customHeight="1" x14ac:dyDescent="0.35">
      <c r="A16" s="16">
        <f t="shared" si="3"/>
        <v>13</v>
      </c>
      <c r="B16" s="353" t="s">
        <v>3469</v>
      </c>
      <c r="C16" s="354">
        <f>SUMIFS('[1]REKAP MUSRENKAB 17 MARET'!$Q$6:$Q$1488,'[1]REKAP MUSRENKAB 17 MARET'!$K$6:$K$1488,B16,'[1]REKAP MUSRENKAB 17 MARET'!$O$6:$O$1488,$C$3)</f>
        <v>0</v>
      </c>
      <c r="D16" s="354">
        <f>SUMIFS('[1]REKAP MUSRENKAB 17 MARET'!$Q$6:$Q$1488,'[1]REKAP MUSRENKAB 17 MARET'!$K$6:$K$1488,B16,'[1]REKAP MUSRENKAB 17 MARET'!$O$6:$O$1488,$D$3)</f>
        <v>25000000</v>
      </c>
      <c r="E16" s="354">
        <f>SUMIFS('[1]REKAP MUSRENKAB 17 MARET'!$Q$6:$Q$1488,'[1]REKAP MUSRENKAB 17 MARET'!$K$6:$K$1488,B16,'[1]REKAP MUSRENKAB 17 MARET'!$O$6:$O$1488,$E$3)</f>
        <v>435000000</v>
      </c>
      <c r="F16" s="354">
        <f>SUMIFS('[1]REKAP MUSRENKAB 17 MARET'!$Q$6:$Q$1488,'[1]REKAP MUSRENKAB 17 MARET'!$K$6:$K$1488,B16,'[1]REKAP MUSRENKAB 17 MARET'!$O$6:$O$1488,$F$3)</f>
        <v>150000000</v>
      </c>
      <c r="G16" s="354">
        <f>SUMIFS('[1]REKAP MUSRENKAB 17 MARET'!$Q$6:$Q$1488,'[1]REKAP MUSRENKAB 17 MARET'!$K$6:$K$1488,B16,'[1]REKAP MUSRENKAB 17 MARET'!$O$6:$O$1488,$G$3)</f>
        <v>75600000</v>
      </c>
      <c r="H16" s="354">
        <f>SUMIFS('[1]REKAP MUSRENKAB 17 MARET'!$Q$6:$Q$1488,'[1]REKAP MUSRENKAB 17 MARET'!$K$6:$K$1488,B16,'[1]REKAP MUSRENKAB 17 MARET'!$O$6:$O$1488,$H$3)</f>
        <v>375000000</v>
      </c>
      <c r="I16" s="354">
        <f>SUMIFS('[1]REKAP MUSRENKAB 17 MARET'!$Q$6:$Q$1488,'[1]REKAP MUSRENKAB 17 MARET'!$K$6:$K$1488,B16,'[1]REKAP MUSRENKAB 17 MARET'!$O$6:$O$1488,$I$3)</f>
        <v>55000000</v>
      </c>
      <c r="J16" s="354">
        <f>SUMIFS('[1]REKAP MUSRENKAB 17 MARET'!$Q$6:$Q$1488,'[1]REKAP MUSRENKAB 17 MARET'!$K$6:$K$1488,B16,'[1]REKAP MUSRENKAB 17 MARET'!$O$6:$O$1488,$J$3)</f>
        <v>0</v>
      </c>
      <c r="K16" s="354">
        <f>SUMIFS('[1]REKAP MUSRENKAB 17 MARET'!$Q$6:$Q$1488,'[1]REKAP MUSRENKAB 17 MARET'!$K$6:$K$1488,B16,'[1]REKAP MUSRENKAB 17 MARET'!$O$6:$O$1488,$K$3)</f>
        <v>38000000</v>
      </c>
      <c r="L16" s="354">
        <f>SUMIFS('[1]REKAP MUSRENKAB 17 MARET'!$Q$6:$Q$1488,'[1]REKAP MUSRENKAB 17 MARET'!$K$6:$K$1488,B16,'[1]REKAP MUSRENKAB 17 MARET'!$O$6:$O$1488,$L$3)</f>
        <v>0</v>
      </c>
      <c r="M16" s="355">
        <f t="shared" si="0"/>
        <v>1153600000</v>
      </c>
      <c r="N16" s="356">
        <v>37722344000</v>
      </c>
      <c r="O16" s="356">
        <v>28439731000</v>
      </c>
      <c r="P16" s="357">
        <f t="shared" si="1"/>
        <v>9282613000</v>
      </c>
      <c r="Q16" s="357">
        <f t="shared" si="2"/>
        <v>8129013000</v>
      </c>
    </row>
    <row r="17" spans="1:17" s="358" customFormat="1" ht="37.25" customHeight="1" x14ac:dyDescent="0.35">
      <c r="A17" s="16">
        <f t="shared" si="3"/>
        <v>14</v>
      </c>
      <c r="B17" s="353" t="s">
        <v>26</v>
      </c>
      <c r="C17" s="354">
        <f>SUMIFS('[1]REKAP MUSRENKAB 17 MARET'!$Q$6:$Q$1488,'[1]REKAP MUSRENKAB 17 MARET'!$K$6:$K$1488,B17,'[1]REKAP MUSRENKAB 17 MARET'!$O$6:$O$1488,$C$3)</f>
        <v>0</v>
      </c>
      <c r="D17" s="354">
        <f>SUMIFS('[1]REKAP MUSRENKAB 17 MARET'!$Q$6:$Q$1488,'[1]REKAP MUSRENKAB 17 MARET'!$K$6:$K$1488,B17,'[1]REKAP MUSRENKAB 17 MARET'!$O$6:$O$1488,$D$3)</f>
        <v>0</v>
      </c>
      <c r="E17" s="354">
        <f>SUMIFS('[1]REKAP MUSRENKAB 17 MARET'!$Q$6:$Q$1488,'[1]REKAP MUSRENKAB 17 MARET'!$K$6:$K$1488,B17,'[1]REKAP MUSRENKAB 17 MARET'!$O$6:$O$1488,$E$3)</f>
        <v>0</v>
      </c>
      <c r="F17" s="354">
        <f>SUMIFS('[1]REKAP MUSRENKAB 17 MARET'!$Q$6:$Q$1488,'[1]REKAP MUSRENKAB 17 MARET'!$K$6:$K$1488,B17,'[1]REKAP MUSRENKAB 17 MARET'!$O$6:$O$1488,$F$3)</f>
        <v>0</v>
      </c>
      <c r="G17" s="354">
        <f>SUMIFS('[1]REKAP MUSRENKAB 17 MARET'!$Q$6:$Q$1488,'[1]REKAP MUSRENKAB 17 MARET'!$K$6:$K$1488,B17,'[1]REKAP MUSRENKAB 17 MARET'!$O$6:$O$1488,$G$3)</f>
        <v>125000000</v>
      </c>
      <c r="H17" s="354">
        <f>SUMIFS('[1]REKAP MUSRENKAB 17 MARET'!$Q$6:$Q$1488,'[1]REKAP MUSRENKAB 17 MARET'!$K$6:$K$1488,B17,'[1]REKAP MUSRENKAB 17 MARET'!$O$6:$O$1488,$H$3)</f>
        <v>60000000</v>
      </c>
      <c r="I17" s="354">
        <f>SUMIFS('[1]REKAP MUSRENKAB 17 MARET'!$Q$6:$Q$1488,'[1]REKAP MUSRENKAB 17 MARET'!$K$6:$K$1488,B17,'[1]REKAP MUSRENKAB 17 MARET'!$O$6:$O$1488,$I$3)</f>
        <v>101333000</v>
      </c>
      <c r="J17" s="354">
        <f>SUMIFS('[1]REKAP MUSRENKAB 17 MARET'!$Q$6:$Q$1488,'[1]REKAP MUSRENKAB 17 MARET'!$K$6:$K$1488,B17,'[1]REKAP MUSRENKAB 17 MARET'!$O$6:$O$1488,$J$3)</f>
        <v>0</v>
      </c>
      <c r="K17" s="354">
        <f>SUMIFS('[1]REKAP MUSRENKAB 17 MARET'!$Q$6:$Q$1488,'[1]REKAP MUSRENKAB 17 MARET'!$K$6:$K$1488,B17,'[1]REKAP MUSRENKAB 17 MARET'!$O$6:$O$1488,$K$3)</f>
        <v>665000000</v>
      </c>
      <c r="L17" s="354">
        <f>SUMIFS('[1]REKAP MUSRENKAB 17 MARET'!$Q$6:$Q$1488,'[1]REKAP MUSRENKAB 17 MARET'!$K$6:$K$1488,B17,'[1]REKAP MUSRENKAB 17 MARET'!$O$6:$O$1488,$L$3)</f>
        <v>840000000</v>
      </c>
      <c r="M17" s="355">
        <f t="shared" si="0"/>
        <v>1791333000</v>
      </c>
      <c r="N17" s="356">
        <v>6639465427</v>
      </c>
      <c r="O17" s="356">
        <v>3882965427</v>
      </c>
      <c r="P17" s="357">
        <f t="shared" si="1"/>
        <v>2756500000</v>
      </c>
      <c r="Q17" s="357">
        <f t="shared" si="2"/>
        <v>965167000</v>
      </c>
    </row>
    <row r="18" spans="1:17" s="358" customFormat="1" ht="37.25" customHeight="1" x14ac:dyDescent="0.35">
      <c r="A18" s="16">
        <f t="shared" si="3"/>
        <v>15</v>
      </c>
      <c r="B18" s="353" t="s">
        <v>261</v>
      </c>
      <c r="C18" s="354">
        <f>SUMIFS('[1]REKAP MUSRENKAB 17 MARET'!$Q$6:$Q$1488,'[1]REKAP MUSRENKAB 17 MARET'!$K$6:$K$1488,B18,'[1]REKAP MUSRENKAB 17 MARET'!$O$6:$O$1488,$C$3)</f>
        <v>83750000</v>
      </c>
      <c r="D18" s="354">
        <f>SUMIFS('[1]REKAP MUSRENKAB 17 MARET'!$Q$6:$Q$1488,'[1]REKAP MUSRENKAB 17 MARET'!$K$6:$K$1488,B18,'[1]REKAP MUSRENKAB 17 MARET'!$O$6:$O$1488,$D$3)</f>
        <v>87495000</v>
      </c>
      <c r="E18" s="354">
        <f>SUMIFS('[1]REKAP MUSRENKAB 17 MARET'!$Q$6:$Q$1488,'[1]REKAP MUSRENKAB 17 MARET'!$K$6:$K$1488,B18,'[1]REKAP MUSRENKAB 17 MARET'!$O$6:$O$1488,$E$3)</f>
        <v>381250000</v>
      </c>
      <c r="F18" s="354">
        <f>SUMIFS('[1]REKAP MUSRENKAB 17 MARET'!$Q$6:$Q$1488,'[1]REKAP MUSRENKAB 17 MARET'!$K$6:$K$1488,B18,'[1]REKAP MUSRENKAB 17 MARET'!$O$6:$O$1488,$F$3)</f>
        <v>283500000</v>
      </c>
      <c r="G18" s="354">
        <f>SUMIFS('[1]REKAP MUSRENKAB 17 MARET'!$Q$6:$Q$1488,'[1]REKAP MUSRENKAB 17 MARET'!$K$6:$K$1488,B18,'[1]REKAP MUSRENKAB 17 MARET'!$O$6:$O$1488,$G$3)</f>
        <v>0</v>
      </c>
      <c r="H18" s="354">
        <f>SUMIFS('[1]REKAP MUSRENKAB 17 MARET'!$Q$6:$Q$1488,'[1]REKAP MUSRENKAB 17 MARET'!$K$6:$K$1488,B18,'[1]REKAP MUSRENKAB 17 MARET'!$O$6:$O$1488,$H$3)</f>
        <v>820750000</v>
      </c>
      <c r="I18" s="354">
        <f>SUMIFS('[1]REKAP MUSRENKAB 17 MARET'!$Q$6:$Q$1488,'[1]REKAP MUSRENKAB 17 MARET'!$K$6:$K$1488,B18,'[1]REKAP MUSRENKAB 17 MARET'!$O$6:$O$1488,$I$3)</f>
        <v>225000000</v>
      </c>
      <c r="J18" s="354">
        <f>SUMIFS('[1]REKAP MUSRENKAB 17 MARET'!$Q$6:$Q$1488,'[1]REKAP MUSRENKAB 17 MARET'!$K$6:$K$1488,B18,'[1]REKAP MUSRENKAB 17 MARET'!$O$6:$O$1488,$J$3)</f>
        <v>612500000</v>
      </c>
      <c r="K18" s="354">
        <f>SUMIFS('[1]REKAP MUSRENKAB 17 MARET'!$Q$6:$Q$1488,'[1]REKAP MUSRENKAB 17 MARET'!$K$6:$K$1488,B18,'[1]REKAP MUSRENKAB 17 MARET'!$O$6:$O$1488,$K$3)</f>
        <v>312500000</v>
      </c>
      <c r="L18" s="354">
        <f>SUMIFS('[1]REKAP MUSRENKAB 17 MARET'!$Q$6:$Q$1488,'[1]REKAP MUSRENKAB 17 MARET'!$K$6:$K$1488,B18,'[1]REKAP MUSRENKAB 17 MARET'!$O$6:$O$1488,$L$3)</f>
        <v>623700000</v>
      </c>
      <c r="M18" s="355">
        <f t="shared" si="0"/>
        <v>3430445000</v>
      </c>
      <c r="N18" s="356">
        <v>26312418598</v>
      </c>
      <c r="O18" s="356">
        <v>13286168598</v>
      </c>
      <c r="P18" s="357">
        <f t="shared" si="1"/>
        <v>13026250000</v>
      </c>
      <c r="Q18" s="357">
        <f t="shared" si="2"/>
        <v>9595805000</v>
      </c>
    </row>
    <row r="19" spans="1:17" s="358" customFormat="1" ht="37.25" customHeight="1" x14ac:dyDescent="0.35">
      <c r="A19" s="16">
        <f t="shared" si="3"/>
        <v>16</v>
      </c>
      <c r="B19" s="353" t="s">
        <v>651</v>
      </c>
      <c r="C19" s="354">
        <f>SUMIFS('[1]REKAP MUSRENKAB 17 MARET'!$Q$6:$Q$1488,'[1]REKAP MUSRENKAB 17 MARET'!$K$6:$K$1488,B19,'[1]REKAP MUSRENKAB 17 MARET'!$O$6:$O$1488,$C$3)</f>
        <v>133600000</v>
      </c>
      <c r="D19" s="354">
        <f>SUMIFS('[1]REKAP MUSRENKAB 17 MARET'!$Q$6:$Q$1488,'[1]REKAP MUSRENKAB 17 MARET'!$K$6:$K$1488,B19,'[1]REKAP MUSRENKAB 17 MARET'!$O$6:$O$1488,$D$3)</f>
        <v>1630000000</v>
      </c>
      <c r="E19" s="354">
        <f>SUMIFS('[1]REKAP MUSRENKAB 17 MARET'!$Q$6:$Q$1488,'[1]REKAP MUSRENKAB 17 MARET'!$K$6:$K$1488,B19,'[1]REKAP MUSRENKAB 17 MARET'!$O$6:$O$1488,$E$3)</f>
        <v>650000000</v>
      </c>
      <c r="F19" s="354">
        <f>SUMIFS('[1]REKAP MUSRENKAB 17 MARET'!$Q$6:$Q$1488,'[1]REKAP MUSRENKAB 17 MARET'!$K$6:$K$1488,B19,'[1]REKAP MUSRENKAB 17 MARET'!$O$6:$O$1488,$F$3)</f>
        <v>607500000</v>
      </c>
      <c r="G19" s="354">
        <f>SUMIFS('[1]REKAP MUSRENKAB 17 MARET'!$Q$6:$Q$1488,'[1]REKAP MUSRENKAB 17 MARET'!$K$6:$K$1488,B19,'[1]REKAP MUSRENKAB 17 MARET'!$O$6:$O$1488,$G$3)</f>
        <v>50000000</v>
      </c>
      <c r="H19" s="354">
        <f>SUMIFS('[1]REKAP MUSRENKAB 17 MARET'!$Q$6:$Q$1488,'[1]REKAP MUSRENKAB 17 MARET'!$K$6:$K$1488,B19,'[1]REKAP MUSRENKAB 17 MARET'!$O$6:$O$1488,$H$3)</f>
        <v>462000000</v>
      </c>
      <c r="I19" s="354">
        <f>SUMIFS('[1]REKAP MUSRENKAB 17 MARET'!$Q$6:$Q$1488,'[1]REKAP MUSRENKAB 17 MARET'!$K$6:$K$1488,B19,'[1]REKAP MUSRENKAB 17 MARET'!$O$6:$O$1488,$I$3)</f>
        <v>576797600</v>
      </c>
      <c r="J19" s="354">
        <f>SUMIFS('[1]REKAP MUSRENKAB 17 MARET'!$Q$6:$Q$1488,'[1]REKAP MUSRENKAB 17 MARET'!$K$6:$K$1488,B19,'[1]REKAP MUSRENKAB 17 MARET'!$O$6:$O$1488,$J$3)</f>
        <v>350000000</v>
      </c>
      <c r="K19" s="354">
        <f>SUMIFS('[1]REKAP MUSRENKAB 17 MARET'!$Q$6:$Q$1488,'[1]REKAP MUSRENKAB 17 MARET'!$K$6:$K$1488,B19,'[1]REKAP MUSRENKAB 17 MARET'!$O$6:$O$1488,$K$3)</f>
        <v>125000000</v>
      </c>
      <c r="L19" s="354">
        <f>SUMIFS('[1]REKAP MUSRENKAB 17 MARET'!$Q$6:$Q$1488,'[1]REKAP MUSRENKAB 17 MARET'!$K$6:$K$1488,B19,'[1]REKAP MUSRENKAB 17 MARET'!$O$6:$O$1488,$L$3)</f>
        <v>0</v>
      </c>
      <c r="M19" s="355">
        <f t="shared" si="0"/>
        <v>4584897600</v>
      </c>
      <c r="N19" s="356">
        <v>29029792519.830002</v>
      </c>
      <c r="O19" s="356">
        <v>10563655089.83</v>
      </c>
      <c r="P19" s="357">
        <f t="shared" si="1"/>
        <v>18466137430</v>
      </c>
      <c r="Q19" s="357">
        <f t="shared" si="2"/>
        <v>13881239830</v>
      </c>
    </row>
    <row r="20" spans="1:17" s="358" customFormat="1" ht="37.25" customHeight="1" x14ac:dyDescent="0.35">
      <c r="A20" s="16">
        <f t="shared" si="3"/>
        <v>17</v>
      </c>
      <c r="B20" s="353" t="s">
        <v>221</v>
      </c>
      <c r="C20" s="354">
        <f>SUMIFS('[1]REKAP MUSRENKAB 17 MARET'!$Q$6:$Q$1488,'[1]REKAP MUSRENKAB 17 MARET'!$K$6:$K$1488,B20,'[1]REKAP MUSRENKAB 17 MARET'!$O$6:$O$1488,$C$3)</f>
        <v>8484744000</v>
      </c>
      <c r="D20" s="354">
        <f>SUMIFS('[1]REKAP MUSRENKAB 17 MARET'!$Q$6:$Q$1488,'[1]REKAP MUSRENKAB 17 MARET'!$K$6:$K$1488,B20,'[1]REKAP MUSRENKAB 17 MARET'!$O$6:$O$1488,$D$3)</f>
        <v>10424598760</v>
      </c>
      <c r="E20" s="354">
        <f>SUMIFS('[1]REKAP MUSRENKAB 17 MARET'!$Q$6:$Q$1488,'[1]REKAP MUSRENKAB 17 MARET'!$K$6:$K$1488,B20,'[1]REKAP MUSRENKAB 17 MARET'!$O$6:$O$1488,$E$3)</f>
        <v>11369749436.799999</v>
      </c>
      <c r="F20" s="354">
        <f>SUMIFS('[1]REKAP MUSRENKAB 17 MARET'!$Q$6:$Q$1488,'[1]REKAP MUSRENKAB 17 MARET'!$K$6:$K$1488,B20,'[1]REKAP MUSRENKAB 17 MARET'!$O$6:$O$1488,$F$3)</f>
        <v>7832204016</v>
      </c>
      <c r="G20" s="354">
        <f>SUMIFS('[1]REKAP MUSRENKAB 17 MARET'!$Q$6:$Q$1488,'[1]REKAP MUSRENKAB 17 MARET'!$K$6:$K$1488,B20,'[1]REKAP MUSRENKAB 17 MARET'!$O$6:$O$1488,$G$3)</f>
        <v>4154978000</v>
      </c>
      <c r="H20" s="354">
        <f>SUMIFS('[1]REKAP MUSRENKAB 17 MARET'!$Q$6:$Q$1488,'[1]REKAP MUSRENKAB 17 MARET'!$K$6:$K$1488,B20,'[1]REKAP MUSRENKAB 17 MARET'!$O$6:$O$1488,$H$3)</f>
        <v>6299569760</v>
      </c>
      <c r="I20" s="354">
        <f>SUMIFS('[1]REKAP MUSRENKAB 17 MARET'!$Q$6:$Q$1488,'[1]REKAP MUSRENKAB 17 MARET'!$K$6:$K$1488,B20,'[1]REKAP MUSRENKAB 17 MARET'!$O$6:$O$1488,$I$3)</f>
        <v>7317127249.3000002</v>
      </c>
      <c r="J20" s="354">
        <f>SUMIFS('[1]REKAP MUSRENKAB 17 MARET'!$Q$6:$Q$1488,'[1]REKAP MUSRENKAB 17 MARET'!$K$6:$K$1488,B20,'[1]REKAP MUSRENKAB 17 MARET'!$O$6:$O$1488,$J$3)</f>
        <v>10892535195</v>
      </c>
      <c r="K20" s="354">
        <f>SUMIFS('[1]REKAP MUSRENKAB 17 MARET'!$Q$6:$Q$1488,'[1]REKAP MUSRENKAB 17 MARET'!$K$6:$K$1488,B20,'[1]REKAP MUSRENKAB 17 MARET'!$O$6:$O$1488,$K$3)</f>
        <v>15614670776.553999</v>
      </c>
      <c r="L20" s="354">
        <f>SUMIFS('[1]REKAP MUSRENKAB 17 MARET'!$Q$6:$Q$1488,'[1]REKAP MUSRENKAB 17 MARET'!$K$6:$K$1488,B20,'[1]REKAP MUSRENKAB 17 MARET'!$O$6:$O$1488,$L$3)</f>
        <v>13519076000</v>
      </c>
      <c r="M20" s="355">
        <f t="shared" si="0"/>
        <v>95909253193.654007</v>
      </c>
      <c r="N20" s="356">
        <v>178105229000</v>
      </c>
      <c r="O20" s="356">
        <v>24205526000</v>
      </c>
      <c r="P20" s="357">
        <f t="shared" si="1"/>
        <v>153899703000</v>
      </c>
      <c r="Q20" s="357">
        <f t="shared" si="2"/>
        <v>57990449806.345993</v>
      </c>
    </row>
    <row r="21" spans="1:17" s="358" customFormat="1" ht="37.25" customHeight="1" x14ac:dyDescent="0.35">
      <c r="A21" s="353"/>
      <c r="B21" s="353" t="s">
        <v>3534</v>
      </c>
      <c r="C21" s="355">
        <f>SUM(C4:C20)</f>
        <v>10044640240</v>
      </c>
      <c r="D21" s="355">
        <f t="shared" ref="D21:L21" si="4">SUM(D4:D20)</f>
        <v>14622866760</v>
      </c>
      <c r="E21" s="355">
        <f t="shared" si="4"/>
        <v>16864424568.799999</v>
      </c>
      <c r="F21" s="355">
        <f t="shared" si="4"/>
        <v>10188837516</v>
      </c>
      <c r="G21" s="355">
        <f t="shared" si="4"/>
        <v>6300000000</v>
      </c>
      <c r="H21" s="355">
        <f t="shared" si="4"/>
        <v>13556358760</v>
      </c>
      <c r="I21" s="355">
        <f t="shared" si="4"/>
        <v>10875272624.299999</v>
      </c>
      <c r="J21" s="355">
        <f t="shared" si="4"/>
        <v>16269130695</v>
      </c>
      <c r="K21" s="355">
        <f t="shared" si="4"/>
        <v>21302106365.554001</v>
      </c>
      <c r="L21" s="355">
        <f t="shared" si="4"/>
        <v>16782776000</v>
      </c>
      <c r="M21" s="355">
        <f>SUM(C21:L21)</f>
        <v>136806413529.65401</v>
      </c>
    </row>
    <row r="22" spans="1:17" s="348" customFormat="1" x14ac:dyDescent="0.35"/>
    <row r="23" spans="1:17" x14ac:dyDescent="0.35">
      <c r="C23" s="343"/>
      <c r="D23" s="343"/>
      <c r="E23" s="343"/>
      <c r="F23" s="343"/>
      <c r="G23" s="343"/>
      <c r="H23" s="343"/>
      <c r="I23" s="343"/>
      <c r="J23" s="343"/>
      <c r="K23" s="343"/>
      <c r="L23" s="343"/>
      <c r="M23" s="343">
        <v>136825838529.65401</v>
      </c>
    </row>
    <row r="24" spans="1:17" x14ac:dyDescent="0.35">
      <c r="C24" s="348"/>
      <c r="L24" s="343"/>
      <c r="M24" s="348">
        <f>M23-M21</f>
        <v>19425000</v>
      </c>
    </row>
    <row r="25" spans="1:17" x14ac:dyDescent="0.35">
      <c r="C25" s="343"/>
    </row>
  </sheetData>
  <autoFilter ref="A3:D21" xr:uid="{26FA0A16-77BE-4333-A848-9965BFB02FD8}"/>
  <mergeCells count="2">
    <mergeCell ref="A1:M1"/>
    <mergeCell ref="A2:M2"/>
  </mergeCells>
  <pageMargins left="0.7" right="0.7" top="0.75" bottom="0.75" header="0.3" footer="0.3"/>
  <pageSetup paperSize="5" scale="63" orientation="landscape" r:id="rId1"/>
  <rowBreaks count="1" manualBreakCount="1">
    <brk id="2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AC63-84F9-4FE8-9704-747A1569B1BF}">
  <sheetPr>
    <tabColor rgb="FFFFFF00"/>
  </sheetPr>
  <dimension ref="A1:D16"/>
  <sheetViews>
    <sheetView zoomScale="115" zoomScaleNormal="115" zoomScaleSheetLayoutView="115" workbookViewId="0">
      <selection activeCell="D19" sqref="D19"/>
    </sheetView>
  </sheetViews>
  <sheetFormatPr defaultRowHeight="14.5" x14ac:dyDescent="0.35"/>
  <cols>
    <col min="1" max="1" width="9.54296875" style="369" customWidth="1"/>
    <col min="2" max="2" width="55" style="369" customWidth="1"/>
    <col min="3" max="3" width="27.08984375" customWidth="1"/>
    <col min="4" max="4" width="12.6328125" customWidth="1"/>
  </cols>
  <sheetData>
    <row r="1" spans="1:4" x14ac:dyDescent="0.35">
      <c r="A1" s="421" t="s">
        <v>3540</v>
      </c>
      <c r="B1" s="421"/>
      <c r="C1" s="421"/>
      <c r="D1" s="421"/>
    </row>
    <row r="3" spans="1:4" ht="24" customHeight="1" x14ac:dyDescent="0.35">
      <c r="A3" s="359" t="s">
        <v>0</v>
      </c>
      <c r="B3" s="359" t="s">
        <v>3541</v>
      </c>
      <c r="C3" s="360" t="s">
        <v>3542</v>
      </c>
      <c r="D3" s="360" t="s">
        <v>3543</v>
      </c>
    </row>
    <row r="4" spans="1:4" s="358" customFormat="1" ht="24" customHeight="1" x14ac:dyDescent="0.35">
      <c r="A4" s="361" t="s">
        <v>3544</v>
      </c>
      <c r="B4" s="362" t="s">
        <v>3457</v>
      </c>
      <c r="C4" s="354">
        <f>SUMIF('[1]REKAP MUSRENKAB 17 MARET'!$B$6:$B$1488,B4,'[1]REKAP MUSRENKAB 17 MARET'!$Q$6:$Q$1488)</f>
        <v>12025000</v>
      </c>
      <c r="D4" s="363">
        <f>C4/$C$13*100</f>
        <v>8.7885447143770615E-3</v>
      </c>
    </row>
    <row r="5" spans="1:4" s="358" customFormat="1" ht="24" customHeight="1" x14ac:dyDescent="0.35">
      <c r="A5" s="361" t="s">
        <v>3545</v>
      </c>
      <c r="B5" s="362" t="s">
        <v>576</v>
      </c>
      <c r="C5" s="354">
        <f>SUMIF('[1]REKAP MUSRENKAB 17 MARET'!$B$6:$B$1488,B5,'[1]REKAP MUSRENKAB 17 MARET'!$Q$6:$Q$1488)</f>
        <v>5370470300</v>
      </c>
      <c r="D5" s="363">
        <f t="shared" ref="D5:D13" si="0">C5/$C$13*100</f>
        <v>3.9250410285891055</v>
      </c>
    </row>
    <row r="6" spans="1:4" s="358" customFormat="1" ht="24" customHeight="1" x14ac:dyDescent="0.35">
      <c r="A6" s="361" t="s">
        <v>3546</v>
      </c>
      <c r="B6" s="362" t="s">
        <v>836</v>
      </c>
      <c r="C6" s="354">
        <f>SUMIF('[1]REKAP MUSRENKAB 17 MARET'!$B$6:$B$1488,B6,'[1]REKAP MUSRENKAB 17 MARET'!$Q$6:$Q$1488)</f>
        <v>280000000</v>
      </c>
      <c r="D6" s="363">
        <f t="shared" si="0"/>
        <v>0.20463971060503761</v>
      </c>
    </row>
    <row r="7" spans="1:4" s="358" customFormat="1" ht="24" customHeight="1" x14ac:dyDescent="0.35">
      <c r="A7" s="361" t="s">
        <v>3547</v>
      </c>
      <c r="B7" s="362" t="s">
        <v>71</v>
      </c>
      <c r="C7" s="354">
        <f>SUMIF('[1]REKAP MUSRENKAB 17 MARET'!$B$6:$B$1488,B7,'[1]REKAP MUSRENKAB 17 MARET'!$Q$6:$Q$1488)</f>
        <v>8891119332</v>
      </c>
      <c r="D7" s="363">
        <f t="shared" si="0"/>
        <v>6.4981288823404828</v>
      </c>
    </row>
    <row r="8" spans="1:4" s="358" customFormat="1" ht="24" customHeight="1" x14ac:dyDescent="0.35">
      <c r="A8" s="361" t="s">
        <v>3548</v>
      </c>
      <c r="B8" s="364" t="s">
        <v>3395</v>
      </c>
      <c r="C8" s="354">
        <f>SUMIF('[1]REKAP MUSRENKAB 17 MARET'!$B$6:$B$1488,B8,'[1]REKAP MUSRENKAB 17 MARET'!$Q$6:$Q$1488)</f>
        <v>210431000</v>
      </c>
      <c r="D8" s="363">
        <f t="shared" si="0"/>
        <v>0.15379478193688809</v>
      </c>
    </row>
    <row r="9" spans="1:4" s="358" customFormat="1" ht="24" customHeight="1" x14ac:dyDescent="0.35">
      <c r="A9" s="361" t="s">
        <v>3549</v>
      </c>
      <c r="B9" s="362" t="s">
        <v>480</v>
      </c>
      <c r="C9" s="354">
        <f>SUMIF('[1]REKAP MUSRENKAB 17 MARET'!$B$6:$B$1488,B9,'[1]REKAP MUSRENKAB 17 MARET'!$Q$6:$Q$1488)</f>
        <v>14880727329</v>
      </c>
      <c r="D9" s="363">
        <f t="shared" si="0"/>
        <v>10.875670479282265</v>
      </c>
    </row>
    <row r="10" spans="1:4" s="358" customFormat="1" ht="24" customHeight="1" x14ac:dyDescent="0.35">
      <c r="A10" s="361" t="s">
        <v>3550</v>
      </c>
      <c r="B10" s="362" t="s">
        <v>18</v>
      </c>
      <c r="C10" s="354">
        <f>SUMIF('[1]REKAP MUSRENKAB 17 MARET'!$B$6:$B$1488,B10,'[1]REKAP MUSRENKAB 17 MARET'!$Q$6:$Q$1488)</f>
        <v>105098028793.65401</v>
      </c>
      <c r="D10" s="363">
        <f t="shared" si="0"/>
        <v>76.811536419618804</v>
      </c>
    </row>
    <row r="11" spans="1:4" s="358" customFormat="1" ht="24" customHeight="1" x14ac:dyDescent="0.35">
      <c r="A11" s="361" t="s">
        <v>3551</v>
      </c>
      <c r="B11" s="362" t="s">
        <v>3414</v>
      </c>
      <c r="C11" s="354">
        <f>SUMIF('[1]REKAP MUSRENKAB 17 MARET'!$B$6:$B$1488,B11,'[1]REKAP MUSRENKAB 17 MARET'!$Q$6:$Q$1488)</f>
        <v>1683036775</v>
      </c>
      <c r="D11" s="363">
        <f t="shared" si="0"/>
        <v>1.2300577091915563</v>
      </c>
    </row>
    <row r="12" spans="1:4" s="358" customFormat="1" ht="24" customHeight="1" x14ac:dyDescent="0.35">
      <c r="A12" s="361" t="s">
        <v>3552</v>
      </c>
      <c r="B12" s="364" t="s">
        <v>3315</v>
      </c>
      <c r="C12" s="354">
        <f>SUMIF('[1]REKAP MUSRENKAB 17 MARET'!$B$6:$B$1488,B12,'[1]REKAP MUSRENKAB 17 MARET'!$Q$6:$Q$1488)</f>
        <v>400000000</v>
      </c>
      <c r="D12" s="363">
        <f t="shared" si="0"/>
        <v>0.29234244372148227</v>
      </c>
    </row>
    <row r="13" spans="1:4" ht="24" customHeight="1" x14ac:dyDescent="0.35">
      <c r="A13" s="365"/>
      <c r="B13" s="7" t="s">
        <v>3534</v>
      </c>
      <c r="C13" s="355">
        <f>SUM(C4:C12)</f>
        <v>136825838529.65401</v>
      </c>
      <c r="D13" s="366">
        <f t="shared" si="0"/>
        <v>100</v>
      </c>
    </row>
    <row r="14" spans="1:4" x14ac:dyDescent="0.35">
      <c r="A14" s="367"/>
      <c r="B14" s="367"/>
      <c r="C14" s="368"/>
    </row>
    <row r="15" spans="1:4" x14ac:dyDescent="0.35">
      <c r="B15" s="369" t="s">
        <v>3553</v>
      </c>
      <c r="C15" s="348">
        <v>136825838529.65401</v>
      </c>
    </row>
    <row r="16" spans="1:4" x14ac:dyDescent="0.35">
      <c r="C16" s="343">
        <f>C15-C13</f>
        <v>0</v>
      </c>
    </row>
  </sheetData>
  <mergeCells count="1">
    <mergeCell ref="A1:D1"/>
  </mergeCells>
  <pageMargins left="0.7" right="0.7" top="0.75" bottom="0.75" header="0.3" footer="0.3"/>
  <pageSetup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8573-5C24-4B4B-98A9-A9B2FD336243}">
  <sheetPr>
    <tabColor rgb="FFFFFF00"/>
  </sheetPr>
  <dimension ref="A1:G46"/>
  <sheetViews>
    <sheetView zoomScale="85" zoomScaleNormal="85" workbookViewId="0">
      <pane xSplit="1" ySplit="3" topLeftCell="B31" activePane="bottomRight" state="frozen"/>
      <selection pane="topRight" activeCell="B1" sqref="B1"/>
      <selection pane="bottomLeft" activeCell="A4" sqref="A4"/>
      <selection pane="bottomRight" activeCell="F45" sqref="F45"/>
    </sheetView>
  </sheetViews>
  <sheetFormatPr defaultRowHeight="14.5" x14ac:dyDescent="0.35"/>
  <cols>
    <col min="1" max="1" width="6.6328125" customWidth="1"/>
    <col min="2" max="3" width="57.81640625" customWidth="1"/>
    <col min="4" max="6" width="21.36328125" customWidth="1"/>
    <col min="7" max="7" width="55.54296875" customWidth="1"/>
    <col min="9" max="9" width="31.81640625" customWidth="1"/>
  </cols>
  <sheetData>
    <row r="1" spans="1:7" ht="26" x14ac:dyDescent="0.6">
      <c r="A1" s="418" t="s">
        <v>3554</v>
      </c>
      <c r="B1" s="418"/>
      <c r="C1" s="418"/>
      <c r="D1" s="418"/>
      <c r="E1" s="418"/>
      <c r="F1" s="418"/>
      <c r="G1" s="418"/>
    </row>
    <row r="3" spans="1:7" s="367" customFormat="1" ht="27.65" customHeight="1" x14ac:dyDescent="0.35">
      <c r="A3" s="359" t="s">
        <v>0</v>
      </c>
      <c r="B3" s="359" t="s">
        <v>3555</v>
      </c>
      <c r="C3" s="359" t="s">
        <v>3</v>
      </c>
      <c r="D3" s="359" t="s">
        <v>3556</v>
      </c>
      <c r="E3" s="359" t="s">
        <v>3557</v>
      </c>
      <c r="F3" s="359" t="s">
        <v>3558</v>
      </c>
      <c r="G3" s="359" t="s">
        <v>13</v>
      </c>
    </row>
    <row r="4" spans="1:7" s="367" customFormat="1" ht="29" x14ac:dyDescent="0.35">
      <c r="A4" s="6">
        <v>1</v>
      </c>
      <c r="B4" s="7" t="s">
        <v>3529</v>
      </c>
      <c r="C4" s="7" t="s">
        <v>3527</v>
      </c>
      <c r="D4" s="195">
        <f>SUMIFS('[1]REKAP MUSRENKAB 17 MARET'!$Q$6:$Q$1488,'[1]REKAP MUSRENKAB 17 MARET'!$K$6:$K$1488,B4,'[1]REKAP MUSRENKAB 17 MARET'!$D$6:$D$1488,C4)</f>
        <v>19425000</v>
      </c>
      <c r="E4" s="195">
        <v>237000000</v>
      </c>
      <c r="F4" s="370">
        <f>E4-D4</f>
        <v>217575000</v>
      </c>
      <c r="G4" s="370" t="s">
        <v>3559</v>
      </c>
    </row>
    <row r="5" spans="1:7" s="367" customFormat="1" ht="29" x14ac:dyDescent="0.35">
      <c r="A5" s="6">
        <f>A4+1</f>
        <v>2</v>
      </c>
      <c r="B5" s="7" t="s">
        <v>26</v>
      </c>
      <c r="C5" s="7" t="s">
        <v>20</v>
      </c>
      <c r="D5" s="195">
        <f>SUMIFS('[1]REKAP MUSRENKAB 17 MARET'!$Q$6:$Q$1488,'[1]REKAP MUSRENKAB 17 MARET'!$K$6:$K$1488,B5,'[1]REKAP MUSRENKAB 17 MARET'!$D$6:$D$1488,C5)</f>
        <v>1791333000</v>
      </c>
      <c r="E5" s="195">
        <v>2756500000</v>
      </c>
      <c r="F5" s="370">
        <f t="shared" ref="F5:F38" si="0">E5-D5</f>
        <v>965167000</v>
      </c>
      <c r="G5" s="370" t="s">
        <v>3559</v>
      </c>
    </row>
    <row r="6" spans="1:7" s="367" customFormat="1" ht="29" x14ac:dyDescent="0.35">
      <c r="A6" s="6">
        <f t="shared" ref="A6:A37" si="1">A5+1</f>
        <v>3</v>
      </c>
      <c r="B6" s="7" t="s">
        <v>487</v>
      </c>
      <c r="C6" s="7" t="s">
        <v>3560</v>
      </c>
      <c r="D6" s="195">
        <f>SUMIFS('[1]REKAP MUSRENKAB 17 MARET'!$Q$6:$Q$1488,'[1]REKAP MUSRENKAB 17 MARET'!$K$6:$K$1488,B6,'[1]REKAP MUSRENKAB 17 MARET'!$D$6:$D$1488,C6)</f>
        <v>180000000</v>
      </c>
      <c r="E6" s="195">
        <v>2720000000</v>
      </c>
      <c r="F6" s="370">
        <f t="shared" si="0"/>
        <v>2540000000</v>
      </c>
      <c r="G6" s="370" t="s">
        <v>3561</v>
      </c>
    </row>
    <row r="7" spans="1:7" s="367" customFormat="1" ht="29" x14ac:dyDescent="0.35">
      <c r="A7" s="6">
        <f t="shared" si="1"/>
        <v>4</v>
      </c>
      <c r="B7" s="7" t="s">
        <v>487</v>
      </c>
      <c r="C7" s="7" t="s">
        <v>482</v>
      </c>
      <c r="D7" s="195">
        <f>SUMIFS('[1]REKAP MUSRENKAB 17 MARET'!$Q$6:$Q$1488,'[1]REKAP MUSRENKAB 17 MARET'!$K$6:$K$1488,B7,'[1]REKAP MUSRENKAB 17 MARET'!$D$6:$D$1488,C7)</f>
        <v>238000000</v>
      </c>
      <c r="E7" s="195">
        <v>1042632802</v>
      </c>
      <c r="F7" s="370">
        <f t="shared" si="0"/>
        <v>804632802</v>
      </c>
      <c r="G7" s="370" t="s">
        <v>3561</v>
      </c>
    </row>
    <row r="8" spans="1:7" s="367" customFormat="1" ht="29" x14ac:dyDescent="0.35">
      <c r="A8" s="6">
        <f t="shared" si="1"/>
        <v>5</v>
      </c>
      <c r="B8" s="7" t="s">
        <v>487</v>
      </c>
      <c r="C8" s="7" t="s">
        <v>3562</v>
      </c>
      <c r="D8" s="195">
        <f>SUMIFS('[1]REKAP MUSRENKAB 17 MARET'!$Q$6:$Q$1488,'[1]REKAP MUSRENKAB 17 MARET'!$K$6:$K$1488,B8,'[1]REKAP MUSRENKAB 17 MARET'!$D$6:$D$1488,C8)</f>
        <v>0</v>
      </c>
      <c r="E8" s="195">
        <v>4383000000</v>
      </c>
      <c r="F8" s="370">
        <f t="shared" si="0"/>
        <v>4383000000</v>
      </c>
      <c r="G8" s="370" t="s">
        <v>3561</v>
      </c>
    </row>
    <row r="9" spans="1:7" s="367" customFormat="1" ht="29" x14ac:dyDescent="0.35">
      <c r="A9" s="6">
        <f t="shared" si="1"/>
        <v>6</v>
      </c>
      <c r="B9" s="7" t="s">
        <v>487</v>
      </c>
      <c r="C9" s="7" t="s">
        <v>3563</v>
      </c>
      <c r="D9" s="195">
        <f>SUMIFS('[1]REKAP MUSRENKAB 17 MARET'!$Q$6:$Q$1488,'[1]REKAP MUSRENKAB 17 MARET'!$K$6:$K$1488,B9,'[1]REKAP MUSRENKAB 17 MARET'!$D$6:$D$1488,C9)</f>
        <v>125000000</v>
      </c>
      <c r="E9" s="195">
        <v>2171400000</v>
      </c>
      <c r="F9" s="370">
        <f t="shared" si="0"/>
        <v>2046400000</v>
      </c>
      <c r="G9" s="370" t="s">
        <v>3561</v>
      </c>
    </row>
    <row r="10" spans="1:7" s="367" customFormat="1" ht="29" x14ac:dyDescent="0.35">
      <c r="A10" s="6">
        <f t="shared" si="1"/>
        <v>7</v>
      </c>
      <c r="B10" s="7" t="s">
        <v>3389</v>
      </c>
      <c r="C10" s="7" t="s">
        <v>3387</v>
      </c>
      <c r="D10" s="195">
        <f>SUMIFS('[1]REKAP MUSRENKAB 17 MARET'!$Q$6:$Q$1488,'[1]REKAP MUSRENKAB 17 MARET'!$K$6:$K$1488,B10,'[1]REKAP MUSRENKAB 17 MARET'!$D$6:$D$1488,C10)</f>
        <v>778670000</v>
      </c>
      <c r="E10" s="195">
        <v>211172684496</v>
      </c>
      <c r="F10" s="370">
        <f t="shared" si="0"/>
        <v>210394014496</v>
      </c>
      <c r="G10" s="370" t="s">
        <v>3564</v>
      </c>
    </row>
    <row r="11" spans="1:7" s="367" customFormat="1" ht="29" x14ac:dyDescent="0.35">
      <c r="A11" s="6">
        <f t="shared" si="1"/>
        <v>8</v>
      </c>
      <c r="B11" s="7" t="s">
        <v>651</v>
      </c>
      <c r="C11" s="7" t="s">
        <v>704</v>
      </c>
      <c r="D11" s="195">
        <f>SUMIFS('[1]REKAP MUSRENKAB 17 MARET'!$Q$6:$Q$1488,'[1]REKAP MUSRENKAB 17 MARET'!$K$6:$K$1488,B11,'[1]REKAP MUSRENKAB 17 MARET'!$D$6:$D$1488,C11)</f>
        <v>125000000</v>
      </c>
      <c r="E11" s="195">
        <v>474000000</v>
      </c>
      <c r="F11" s="370">
        <f t="shared" si="0"/>
        <v>349000000</v>
      </c>
      <c r="G11" s="370" t="s">
        <v>3559</v>
      </c>
    </row>
    <row r="12" spans="1:7" s="367" customFormat="1" ht="29" x14ac:dyDescent="0.35">
      <c r="A12" s="6">
        <f t="shared" si="1"/>
        <v>9</v>
      </c>
      <c r="B12" s="7" t="s">
        <v>651</v>
      </c>
      <c r="C12" s="7" t="s">
        <v>646</v>
      </c>
      <c r="D12" s="195">
        <f>SUMIFS('[1]REKAP MUSRENKAB 17 MARET'!$Q$6:$Q$1488,'[1]REKAP MUSRENKAB 17 MARET'!$K$6:$K$1488,B12,'[1]REKAP MUSRENKAB 17 MARET'!$D$6:$D$1488,C12)</f>
        <v>4459897600</v>
      </c>
      <c r="E12" s="195">
        <v>16349637430</v>
      </c>
      <c r="F12" s="370">
        <f t="shared" si="0"/>
        <v>11889739830</v>
      </c>
      <c r="G12" s="370" t="s">
        <v>3559</v>
      </c>
    </row>
    <row r="13" spans="1:7" s="367" customFormat="1" ht="29" x14ac:dyDescent="0.35">
      <c r="A13" s="6">
        <f t="shared" si="1"/>
        <v>10</v>
      </c>
      <c r="B13" s="7" t="s">
        <v>553</v>
      </c>
      <c r="C13" s="7" t="s">
        <v>3565</v>
      </c>
      <c r="D13" s="195">
        <f>SUMIFS('[1]REKAP MUSRENKAB 17 MARET'!$Q$6:$Q$1488,'[1]REKAP MUSRENKAB 17 MARET'!$K$6:$K$1488,B13,'[1]REKAP MUSRENKAB 17 MARET'!$D$6:$D$1488,C13)</f>
        <v>0</v>
      </c>
      <c r="E13" s="195">
        <v>5211314464</v>
      </c>
      <c r="F13" s="370">
        <f t="shared" si="0"/>
        <v>5211314464</v>
      </c>
      <c r="G13" s="370" t="s">
        <v>3561</v>
      </c>
    </row>
    <row r="14" spans="1:7" s="367" customFormat="1" ht="29" x14ac:dyDescent="0.35">
      <c r="A14" s="6">
        <f t="shared" si="1"/>
        <v>11</v>
      </c>
      <c r="B14" s="7" t="s">
        <v>553</v>
      </c>
      <c r="C14" s="7" t="s">
        <v>589</v>
      </c>
      <c r="D14" s="195">
        <f>SUMIFS('[1]REKAP MUSRENKAB 17 MARET'!$Q$6:$Q$1488,'[1]REKAP MUSRENKAB 17 MARET'!$K$6:$K$1488,B14,'[1]REKAP MUSRENKAB 17 MARET'!$D$6:$D$1488,C14)</f>
        <v>50000000</v>
      </c>
      <c r="E14" s="195">
        <v>1120140000</v>
      </c>
      <c r="F14" s="370">
        <f t="shared" si="0"/>
        <v>1070140000</v>
      </c>
      <c r="G14" s="370" t="s">
        <v>3561</v>
      </c>
    </row>
    <row r="15" spans="1:7" s="367" customFormat="1" ht="29" x14ac:dyDescent="0.35">
      <c r="A15" s="6">
        <f t="shared" si="1"/>
        <v>12</v>
      </c>
      <c r="B15" s="7" t="s">
        <v>553</v>
      </c>
      <c r="C15" s="7" t="s">
        <v>557</v>
      </c>
      <c r="D15" s="195">
        <f>SUMIFS('[1]REKAP MUSRENKAB 17 MARET'!$Q$6:$Q$1488,'[1]REKAP MUSRENKAB 17 MARET'!$K$6:$K$1488,B15,'[1]REKAP MUSRENKAB 17 MARET'!$D$6:$D$1488,C15)</f>
        <v>965280000</v>
      </c>
      <c r="E15" s="195">
        <v>5277082500</v>
      </c>
      <c r="F15" s="370">
        <f t="shared" si="0"/>
        <v>4311802500</v>
      </c>
      <c r="G15" s="370" t="s">
        <v>3561</v>
      </c>
    </row>
    <row r="16" spans="1:7" s="367" customFormat="1" ht="29" x14ac:dyDescent="0.35">
      <c r="A16" s="6">
        <f t="shared" si="1"/>
        <v>13</v>
      </c>
      <c r="B16" s="7" t="s">
        <v>553</v>
      </c>
      <c r="C16" s="7" t="s">
        <v>552</v>
      </c>
      <c r="D16" s="195">
        <f>SUMIFS('[1]REKAP MUSRENKAB 17 MARET'!$Q$6:$Q$1488,'[1]REKAP MUSRENKAB 17 MARET'!$K$6:$K$1488,B16,'[1]REKAP MUSRENKAB 17 MARET'!$D$6:$D$1488,C16)</f>
        <v>2858258332</v>
      </c>
      <c r="E16" s="195">
        <v>1066000000</v>
      </c>
      <c r="F16" s="371">
        <f t="shared" si="0"/>
        <v>-1792258332</v>
      </c>
      <c r="G16" s="370" t="s">
        <v>3561</v>
      </c>
    </row>
    <row r="17" spans="1:7" s="367" customFormat="1" ht="29" x14ac:dyDescent="0.35">
      <c r="A17" s="6">
        <f t="shared" si="1"/>
        <v>14</v>
      </c>
      <c r="B17" s="7" t="s">
        <v>3460</v>
      </c>
      <c r="C17" s="7" t="s">
        <v>3458</v>
      </c>
      <c r="D17" s="195">
        <f>SUMIFS('[1]REKAP MUSRENKAB 17 MARET'!$Q$6:$Q$1488,'[1]REKAP MUSRENKAB 17 MARET'!$K$6:$K$1488,B17,'[1]REKAP MUSRENKAB 17 MARET'!$D$6:$D$1488,C17)</f>
        <v>12025000</v>
      </c>
      <c r="E17" s="195">
        <v>1493959000</v>
      </c>
      <c r="F17" s="370">
        <f t="shared" si="0"/>
        <v>1481934000</v>
      </c>
      <c r="G17" s="370" t="s">
        <v>3559</v>
      </c>
    </row>
    <row r="18" spans="1:7" s="367" customFormat="1" ht="29" x14ac:dyDescent="0.35">
      <c r="A18" s="6">
        <f t="shared" si="1"/>
        <v>15</v>
      </c>
      <c r="B18" s="7" t="s">
        <v>3297</v>
      </c>
      <c r="C18" s="7" t="s">
        <v>3295</v>
      </c>
      <c r="D18" s="195">
        <f>SUMIFS('[1]REKAP MUSRENKAB 17 MARET'!$Q$6:$Q$1488,'[1]REKAP MUSRENKAB 17 MARET'!$K$6:$K$1488,B18,'[1]REKAP MUSRENKAB 17 MARET'!$D$6:$D$1488,C18)</f>
        <v>3603570300</v>
      </c>
      <c r="E18" s="195">
        <v>189523850000</v>
      </c>
      <c r="F18" s="370">
        <f t="shared" si="0"/>
        <v>185920279700</v>
      </c>
      <c r="G18" s="370" t="s">
        <v>3564</v>
      </c>
    </row>
    <row r="19" spans="1:7" s="367" customFormat="1" ht="29" x14ac:dyDescent="0.35">
      <c r="A19" s="6">
        <f t="shared" si="1"/>
        <v>16</v>
      </c>
      <c r="B19" s="7" t="s">
        <v>3297</v>
      </c>
      <c r="C19" s="7" t="s">
        <v>3299</v>
      </c>
      <c r="D19" s="195">
        <f>SUMIFS('[1]REKAP MUSRENKAB 17 MARET'!$Q$6:$Q$1488,'[1]REKAP MUSRENKAB 17 MARET'!$K$6:$K$1488,B19,'[1]REKAP MUSRENKAB 17 MARET'!$D$6:$D$1488,C19)</f>
        <v>800000000</v>
      </c>
      <c r="E19" s="195">
        <v>1255000000</v>
      </c>
      <c r="F19" s="370">
        <f t="shared" si="0"/>
        <v>455000000</v>
      </c>
      <c r="G19" s="370" t="s">
        <v>3564</v>
      </c>
    </row>
    <row r="20" spans="1:7" s="367" customFormat="1" ht="29" x14ac:dyDescent="0.35">
      <c r="A20" s="6">
        <f t="shared" si="1"/>
        <v>17</v>
      </c>
      <c r="B20" s="7" t="s">
        <v>78</v>
      </c>
      <c r="C20" s="7" t="s">
        <v>73</v>
      </c>
      <c r="D20" s="195">
        <f>SUMIFS('[1]REKAP MUSRENKAB 17 MARET'!$Q$6:$Q$1488,'[1]REKAP MUSRENKAB 17 MARET'!$K$6:$K$1488,B20,'[1]REKAP MUSRENKAB 17 MARET'!$D$6:$D$1488,C20)</f>
        <v>2659550000</v>
      </c>
      <c r="E20" s="195">
        <v>4055000000</v>
      </c>
      <c r="F20" s="370">
        <f t="shared" si="0"/>
        <v>1395450000</v>
      </c>
      <c r="G20" s="370" t="s">
        <v>3561</v>
      </c>
    </row>
    <row r="21" spans="1:7" s="367" customFormat="1" ht="29" x14ac:dyDescent="0.35">
      <c r="A21" s="6">
        <f t="shared" si="1"/>
        <v>18</v>
      </c>
      <c r="B21" s="7" t="s">
        <v>261</v>
      </c>
      <c r="C21" s="7" t="s">
        <v>256</v>
      </c>
      <c r="D21" s="195">
        <f>SUMIFS('[1]REKAP MUSRENKAB 17 MARET'!$Q$6:$Q$1488,'[1]REKAP MUSRENKAB 17 MARET'!$K$6:$K$1488,B21,'[1]REKAP MUSRENKAB 17 MARET'!$D$6:$D$1488,C21)</f>
        <v>3430445000</v>
      </c>
      <c r="E21" s="195">
        <v>12443250000</v>
      </c>
      <c r="F21" s="370">
        <f t="shared" si="0"/>
        <v>9012805000</v>
      </c>
      <c r="G21" s="370" t="s">
        <v>3566</v>
      </c>
    </row>
    <row r="22" spans="1:7" s="367" customFormat="1" ht="29" x14ac:dyDescent="0.35">
      <c r="A22" s="6">
        <f t="shared" si="1"/>
        <v>19</v>
      </c>
      <c r="B22" s="7" t="s">
        <v>197</v>
      </c>
      <c r="C22" s="7" t="s">
        <v>538</v>
      </c>
      <c r="D22" s="195">
        <f>SUMIFS('[1]REKAP MUSRENKAB 17 MARET'!$Q$6:$Q$1488,'[1]REKAP MUSRENKAB 17 MARET'!$K$6:$K$1488,B22,'[1]REKAP MUSRENKAB 17 MARET'!$D$6:$D$1488,C22)</f>
        <v>166000000</v>
      </c>
      <c r="E22" s="195">
        <v>2525000000</v>
      </c>
      <c r="F22" s="370">
        <f t="shared" si="0"/>
        <v>2359000000</v>
      </c>
      <c r="G22" s="370" t="s">
        <v>3561</v>
      </c>
    </row>
    <row r="23" spans="1:7" s="367" customFormat="1" ht="29" x14ac:dyDescent="0.35">
      <c r="A23" s="6">
        <f t="shared" si="1"/>
        <v>20</v>
      </c>
      <c r="B23" s="7" t="s">
        <v>197</v>
      </c>
      <c r="C23" s="7" t="s">
        <v>834</v>
      </c>
      <c r="D23" s="195">
        <f>SUMIFS('[1]REKAP MUSRENKAB 17 MARET'!$Q$6:$Q$1488,'[1]REKAP MUSRENKAB 17 MARET'!$K$6:$K$1488,B23,'[1]REKAP MUSRENKAB 17 MARET'!$D$6:$D$1488,C23)</f>
        <v>1657361000</v>
      </c>
      <c r="E23" s="195">
        <v>7865000000</v>
      </c>
      <c r="F23" s="370">
        <f t="shared" si="0"/>
        <v>6207639000</v>
      </c>
      <c r="G23" s="370" t="s">
        <v>3561</v>
      </c>
    </row>
    <row r="24" spans="1:7" s="367" customFormat="1" ht="29" x14ac:dyDescent="0.35">
      <c r="A24" s="6">
        <f t="shared" si="1"/>
        <v>21</v>
      </c>
      <c r="B24" s="7" t="s">
        <v>197</v>
      </c>
      <c r="C24" s="7" t="s">
        <v>847</v>
      </c>
      <c r="D24" s="195">
        <f>SUMIFS('[1]REKAP MUSRENKAB 17 MARET'!$Q$6:$Q$1488,'[1]REKAP MUSRENKAB 17 MARET'!$K$6:$K$1488,B24,'[1]REKAP MUSRENKAB 17 MARET'!$D$6:$D$1488,C24)</f>
        <v>745000000</v>
      </c>
      <c r="E24" s="195">
        <v>467000000</v>
      </c>
      <c r="F24" s="371">
        <f t="shared" si="0"/>
        <v>-278000000</v>
      </c>
      <c r="G24" s="370" t="s">
        <v>3564</v>
      </c>
    </row>
    <row r="25" spans="1:7" s="367" customFormat="1" ht="29" x14ac:dyDescent="0.35">
      <c r="A25" s="6">
        <f t="shared" si="1"/>
        <v>22</v>
      </c>
      <c r="B25" s="7" t="s">
        <v>1025</v>
      </c>
      <c r="C25" s="7" t="s">
        <v>1021</v>
      </c>
      <c r="D25" s="195">
        <f>SUMIFS('[1]REKAP MUSRENKAB 17 MARET'!$Q$6:$Q$1488,'[1]REKAP MUSRENKAB 17 MARET'!$K$6:$K$1488,B25,'[1]REKAP MUSRENKAB 17 MARET'!$D$6:$D$1488,C25)</f>
        <v>14317727329</v>
      </c>
      <c r="E25" s="195">
        <v>9115660100</v>
      </c>
      <c r="F25" s="371">
        <f t="shared" si="0"/>
        <v>-5202067229</v>
      </c>
      <c r="G25" s="370" t="s">
        <v>3561</v>
      </c>
    </row>
    <row r="26" spans="1:7" s="367" customFormat="1" ht="29" x14ac:dyDescent="0.35">
      <c r="A26" s="6">
        <f t="shared" si="1"/>
        <v>23</v>
      </c>
      <c r="B26" s="7" t="s">
        <v>1025</v>
      </c>
      <c r="C26" s="7" t="s">
        <v>1325</v>
      </c>
      <c r="D26" s="195">
        <f>SUMIFS('[1]REKAP MUSRENKAB 17 MARET'!$Q$6:$Q$1488,'[1]REKAP MUSRENKAB 17 MARET'!$K$6:$K$1488,B26,'[1]REKAP MUSRENKAB 17 MARET'!$D$6:$D$1488,C26)</f>
        <v>60000000</v>
      </c>
      <c r="E26" s="195">
        <v>1265300000</v>
      </c>
      <c r="F26" s="370">
        <f t="shared" si="0"/>
        <v>1205300000</v>
      </c>
      <c r="G26" s="370" t="s">
        <v>3561</v>
      </c>
    </row>
    <row r="27" spans="1:7" s="367" customFormat="1" ht="29" x14ac:dyDescent="0.35">
      <c r="A27" s="6">
        <f t="shared" si="1"/>
        <v>24</v>
      </c>
      <c r="B27" s="7" t="s">
        <v>3400</v>
      </c>
      <c r="C27" s="7" t="s">
        <v>3397</v>
      </c>
      <c r="D27" s="195">
        <f>SUMIFS('[1]REKAP MUSRENKAB 17 MARET'!$Q$6:$Q$1488,'[1]REKAP MUSRENKAB 17 MARET'!$K$6:$K$1488,B27,'[1]REKAP MUSRENKAB 17 MARET'!$D$6:$D$1488,C27)</f>
        <v>90431000</v>
      </c>
      <c r="E27" s="195">
        <v>3630500000</v>
      </c>
      <c r="F27" s="370">
        <f t="shared" si="0"/>
        <v>3540069000</v>
      </c>
      <c r="G27" s="370" t="s">
        <v>3559</v>
      </c>
    </row>
    <row r="28" spans="1:7" s="367" customFormat="1" ht="29" x14ac:dyDescent="0.35">
      <c r="A28" s="6">
        <f t="shared" si="1"/>
        <v>25</v>
      </c>
      <c r="B28" s="7" t="s">
        <v>3400</v>
      </c>
      <c r="C28" s="7" t="s">
        <v>3567</v>
      </c>
      <c r="D28" s="195">
        <f>SUMIFS('[1]REKAP MUSRENKAB 17 MARET'!$Q$6:$Q$1488,'[1]REKAP MUSRENKAB 17 MARET'!$K$6:$K$1488,B28,'[1]REKAP MUSRENKAB 17 MARET'!$D$6:$D$1488,C28)</f>
        <v>110000000</v>
      </c>
      <c r="E28" s="195">
        <v>12415000000</v>
      </c>
      <c r="F28" s="370">
        <f t="shared" si="0"/>
        <v>12305000000</v>
      </c>
      <c r="G28" s="370" t="s">
        <v>3559</v>
      </c>
    </row>
    <row r="29" spans="1:7" s="367" customFormat="1" ht="29" x14ac:dyDescent="0.35">
      <c r="A29" s="6">
        <f t="shared" si="1"/>
        <v>26</v>
      </c>
      <c r="B29" s="7" t="s">
        <v>3419</v>
      </c>
      <c r="C29" s="7" t="s">
        <v>3416</v>
      </c>
      <c r="D29" s="195">
        <f>SUMIFS('[1]REKAP MUSRENKAB 17 MARET'!$Q$6:$Q$1488,'[1]REKAP MUSRENKAB 17 MARET'!$K$6:$K$1488,B29,'[1]REKAP MUSRENKAB 17 MARET'!$D$6:$D$1488,C29)</f>
        <v>520011775</v>
      </c>
      <c r="E29" s="195">
        <v>2486000000</v>
      </c>
      <c r="F29" s="370">
        <f t="shared" si="0"/>
        <v>1965988225</v>
      </c>
      <c r="G29" s="370" t="s">
        <v>3559</v>
      </c>
    </row>
    <row r="30" spans="1:7" s="367" customFormat="1" ht="29" x14ac:dyDescent="0.35">
      <c r="A30" s="6">
        <f t="shared" si="1"/>
        <v>27</v>
      </c>
      <c r="B30" s="7" t="s">
        <v>3469</v>
      </c>
      <c r="C30" s="7" t="s">
        <v>3466</v>
      </c>
      <c r="D30" s="195">
        <f>SUMIFS('[1]REKAP MUSRENKAB 17 MARET'!$Q$6:$Q$1488,'[1]REKAP MUSRENKAB 17 MARET'!$K$6:$K$1488,B30,'[1]REKAP MUSRENKAB 17 MARET'!$D$6:$D$1488,C30)</f>
        <v>1153600000</v>
      </c>
      <c r="E30" s="195">
        <v>8556613000</v>
      </c>
      <c r="F30" s="370">
        <f t="shared" si="0"/>
        <v>7403013000</v>
      </c>
      <c r="G30" s="370" t="s">
        <v>3559</v>
      </c>
    </row>
    <row r="31" spans="1:7" s="367" customFormat="1" ht="29" x14ac:dyDescent="0.35">
      <c r="A31" s="6">
        <f t="shared" si="1"/>
        <v>28</v>
      </c>
      <c r="B31" s="7" t="s">
        <v>221</v>
      </c>
      <c r="C31" s="7" t="s">
        <v>1515</v>
      </c>
      <c r="D31" s="195">
        <f>SUMIFS('[1]REKAP MUSRENKAB 17 MARET'!$Q$6:$Q$1488,'[1]REKAP MUSRENKAB 17 MARET'!$K$6:$K$1488,B31,'[1]REKAP MUSRENKAB 17 MARET'!$D$6:$D$1488,C31)</f>
        <v>60044018893.654007</v>
      </c>
      <c r="E31" s="195">
        <v>20020000000</v>
      </c>
      <c r="F31" s="371">
        <f t="shared" si="0"/>
        <v>-40024018893.654007</v>
      </c>
      <c r="G31" s="370" t="s">
        <v>3566</v>
      </c>
    </row>
    <row r="32" spans="1:7" s="367" customFormat="1" ht="29" x14ac:dyDescent="0.35">
      <c r="A32" s="6">
        <f t="shared" si="1"/>
        <v>29</v>
      </c>
      <c r="B32" s="7" t="s">
        <v>221</v>
      </c>
      <c r="C32" s="7" t="s">
        <v>1634</v>
      </c>
      <c r="D32" s="195">
        <f>SUMIFS('[1]REKAP MUSRENKAB 17 MARET'!$Q$6:$Q$1488,'[1]REKAP MUSRENKAB 17 MARET'!$K$6:$K$1488,B32,'[1]REKAP MUSRENKAB 17 MARET'!$D$6:$D$1488,C32)</f>
        <v>5856560000</v>
      </c>
      <c r="E32" s="195">
        <v>12175000000</v>
      </c>
      <c r="F32" s="370">
        <f t="shared" si="0"/>
        <v>6318440000</v>
      </c>
      <c r="G32" s="370" t="s">
        <v>3566</v>
      </c>
    </row>
    <row r="33" spans="1:7" s="367" customFormat="1" ht="29" x14ac:dyDescent="0.35">
      <c r="A33" s="6">
        <f t="shared" si="1"/>
        <v>30</v>
      </c>
      <c r="B33" s="7" t="s">
        <v>221</v>
      </c>
      <c r="C33" s="7" t="s">
        <v>1570</v>
      </c>
      <c r="D33" s="195">
        <f>SUMIFS('[1]REKAP MUSRENKAB 17 MARET'!$Q$6:$Q$1488,'[1]REKAP MUSRENKAB 17 MARET'!$K$6:$K$1488,B33,'[1]REKAP MUSRENKAB 17 MARET'!$D$6:$D$1488,C33)</f>
        <v>8216062096</v>
      </c>
      <c r="E33" s="195">
        <v>416160000</v>
      </c>
      <c r="F33" s="371">
        <f t="shared" si="0"/>
        <v>-7799902096</v>
      </c>
      <c r="G33" s="370" t="s">
        <v>3566</v>
      </c>
    </row>
    <row r="34" spans="1:7" s="367" customFormat="1" ht="29" x14ac:dyDescent="0.35">
      <c r="A34" s="6">
        <f t="shared" si="1"/>
        <v>31</v>
      </c>
      <c r="B34" s="7" t="s">
        <v>221</v>
      </c>
      <c r="C34" s="7" t="s">
        <v>476</v>
      </c>
      <c r="D34" s="195">
        <f>SUMIFS('[1]REKAP MUSRENKAB 17 MARET'!$Q$6:$Q$1488,'[1]REKAP MUSRENKAB 17 MARET'!$K$6:$K$1488,B34,'[1]REKAP MUSRENKAB 17 MARET'!$D$6:$D$1488,C34)</f>
        <v>11961011721</v>
      </c>
      <c r="E34" s="195">
        <v>36676705000</v>
      </c>
      <c r="F34" s="370">
        <f t="shared" si="0"/>
        <v>24715693279</v>
      </c>
      <c r="G34" s="370" t="s">
        <v>3566</v>
      </c>
    </row>
    <row r="35" spans="1:7" s="367" customFormat="1" ht="29" x14ac:dyDescent="0.35">
      <c r="A35" s="6">
        <f t="shared" si="1"/>
        <v>32</v>
      </c>
      <c r="B35" s="7" t="s">
        <v>221</v>
      </c>
      <c r="C35" s="7" t="s">
        <v>1521</v>
      </c>
      <c r="D35" s="195">
        <f>SUMIFS('[1]REKAP MUSRENKAB 17 MARET'!$Q$6:$Q$1488,'[1]REKAP MUSRENKAB 17 MARET'!$K$6:$K$1488,B35,'[1]REKAP MUSRENKAB 17 MARET'!$D$6:$D$1488,C35)</f>
        <v>8281600483</v>
      </c>
      <c r="E35" s="195">
        <v>11803725000</v>
      </c>
      <c r="F35" s="370">
        <f t="shared" si="0"/>
        <v>3522124517</v>
      </c>
      <c r="G35" s="370" t="s">
        <v>3566</v>
      </c>
    </row>
    <row r="36" spans="1:7" s="367" customFormat="1" ht="29" x14ac:dyDescent="0.35">
      <c r="A36" s="6">
        <f t="shared" si="1"/>
        <v>33</v>
      </c>
      <c r="B36" s="7" t="s">
        <v>221</v>
      </c>
      <c r="C36" s="217" t="s">
        <v>1803</v>
      </c>
      <c r="D36" s="195">
        <f>SUMIFS('[1]REKAP MUSRENKAB 17 MARET'!$Q$6:$Q$1488,'[1]REKAP MUSRENKAB 17 MARET'!$K$6:$K$1488,B36,'[1]REKAP MUSRENKAB 17 MARET'!$D$6:$D$1488,C36)</f>
        <v>1550000000</v>
      </c>
      <c r="E36" s="195">
        <v>21891385000</v>
      </c>
      <c r="F36" s="370">
        <f t="shared" si="0"/>
        <v>20341385000</v>
      </c>
      <c r="G36" s="370" t="s">
        <v>3566</v>
      </c>
    </row>
    <row r="37" spans="1:7" s="367" customFormat="1" ht="29" x14ac:dyDescent="0.35">
      <c r="A37" s="6">
        <f t="shared" si="1"/>
        <v>34</v>
      </c>
      <c r="B37" s="7" t="s">
        <v>221</v>
      </c>
      <c r="C37" s="7" t="s">
        <v>3568</v>
      </c>
      <c r="D37" s="195">
        <f>SUMIFS('[1]REKAP MUSRENKAB 17 MARET'!$Q$6:$Q$1488,'[1]REKAP MUSRENKAB 17 MARET'!$K$6:$K$1488,B37,'[1]REKAP MUSRENKAB 17 MARET'!$D$6:$D$1488,C37)</f>
        <v>0</v>
      </c>
      <c r="E37" s="195">
        <v>1000000000</v>
      </c>
      <c r="F37" s="370">
        <f t="shared" si="0"/>
        <v>1000000000</v>
      </c>
      <c r="G37" s="370" t="s">
        <v>3566</v>
      </c>
    </row>
    <row r="38" spans="1:7" x14ac:dyDescent="0.35">
      <c r="A38" s="372"/>
      <c r="B38" s="372"/>
      <c r="C38" s="372"/>
      <c r="D38" s="373">
        <f>SUM(D4:D37)</f>
        <v>136825838529.65401</v>
      </c>
      <c r="E38" s="373">
        <f>SUM(E4:E37)</f>
        <v>615061498792</v>
      </c>
      <c r="F38" s="373">
        <f t="shared" si="0"/>
        <v>478235660262.34601</v>
      </c>
      <c r="G38" s="373"/>
    </row>
    <row r="40" spans="1:7" x14ac:dyDescent="0.35">
      <c r="C40" s="374" t="s">
        <v>3553</v>
      </c>
      <c r="D40" s="348">
        <v>136825838529.65401</v>
      </c>
    </row>
    <row r="41" spans="1:7" x14ac:dyDescent="0.35">
      <c r="C41" s="374" t="s">
        <v>3558</v>
      </c>
      <c r="D41" s="343">
        <f>D40-D38</f>
        <v>0</v>
      </c>
    </row>
    <row r="43" spans="1:7" x14ac:dyDescent="0.35">
      <c r="C43" s="375" t="s">
        <v>3569</v>
      </c>
      <c r="D43" s="376">
        <f>SUBTOTAL(9,D4:D37)</f>
        <v>136825838529.65401</v>
      </c>
    </row>
    <row r="45" spans="1:7" x14ac:dyDescent="0.35">
      <c r="D45" s="348"/>
    </row>
    <row r="46" spans="1:7" x14ac:dyDescent="0.35">
      <c r="D46" s="343"/>
    </row>
  </sheetData>
  <autoFilter ref="A3:G41" xr:uid="{00FD1EC0-BCA6-4137-9BF5-E8DEF5185D82}"/>
  <mergeCells count="1">
    <mergeCell ref="A1:G1"/>
  </mergeCells>
  <pageMargins left="0.70866141732283472" right="0.31496062992125984" top="0.74803149606299213" bottom="0.74803149606299213" header="0.31496062992125984" footer="0.31496062992125984"/>
  <pageSetup scale="5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844C-6B4E-435E-8ED8-0E160C565D3C}">
  <dimension ref="A1:H45"/>
  <sheetViews>
    <sheetView view="pageBreakPreview" zoomScaleNormal="70" zoomScaleSheetLayoutView="100" workbookViewId="0">
      <pane xSplit="1" ySplit="3" topLeftCell="B18" activePane="bottomRight" state="frozen"/>
      <selection pane="topRight" activeCell="B1" sqref="B1"/>
      <selection pane="bottomLeft" activeCell="A4" sqref="A4"/>
      <selection pane="bottomRight" activeCell="B25" sqref="B25"/>
    </sheetView>
  </sheetViews>
  <sheetFormatPr defaultRowHeight="14.5" x14ac:dyDescent="0.35"/>
  <cols>
    <col min="1" max="1" width="6.6328125" customWidth="1"/>
    <col min="2" max="2" width="87.90625" customWidth="1"/>
    <col min="3" max="4" width="40" customWidth="1"/>
    <col min="5" max="5" width="21.54296875" customWidth="1"/>
    <col min="6" max="6" width="20.90625" customWidth="1"/>
    <col min="7" max="7" width="19.6328125" customWidth="1"/>
    <col min="8" max="8" width="25.54296875" customWidth="1"/>
  </cols>
  <sheetData>
    <row r="1" spans="1:8" ht="26" x14ac:dyDescent="0.6">
      <c r="A1" s="418" t="s">
        <v>3532</v>
      </c>
      <c r="B1" s="418"/>
      <c r="C1" s="418"/>
      <c r="D1" s="380"/>
    </row>
    <row r="2" spans="1:8" ht="26" x14ac:dyDescent="0.6">
      <c r="A2" s="419" t="s">
        <v>3576</v>
      </c>
      <c r="B2" s="420"/>
      <c r="C2" s="420"/>
      <c r="D2" s="381"/>
    </row>
    <row r="3" spans="1:8" s="65" customFormat="1" ht="40.25" customHeight="1" x14ac:dyDescent="0.35">
      <c r="A3" s="350" t="s">
        <v>0</v>
      </c>
      <c r="B3" s="350" t="s">
        <v>3533</v>
      </c>
      <c r="C3" s="350" t="s">
        <v>3534</v>
      </c>
      <c r="D3" s="382" t="s">
        <v>3577</v>
      </c>
      <c r="E3" s="351" t="s">
        <v>3535</v>
      </c>
      <c r="F3" s="351" t="s">
        <v>3536</v>
      </c>
      <c r="G3" s="351" t="s">
        <v>3537</v>
      </c>
      <c r="H3" s="352" t="s">
        <v>3538</v>
      </c>
    </row>
    <row r="4" spans="1:8" s="358" customFormat="1" ht="37.25" customHeight="1" x14ac:dyDescent="0.35">
      <c r="A4" s="16">
        <v>1</v>
      </c>
      <c r="B4" s="353" t="s">
        <v>3529</v>
      </c>
      <c r="C4" s="355">
        <f>SUMIF('REKAP 3 APRIL (edit)'!$K$6:$K$1452,B4,'REKAP 3 APRIL (edit)'!$O$6:$O$1452)</f>
        <v>19425000</v>
      </c>
      <c r="D4" s="383" t="s">
        <v>3559</v>
      </c>
      <c r="E4" s="356">
        <v>8867508178</v>
      </c>
      <c r="F4" s="356">
        <v>4442008178</v>
      </c>
      <c r="G4" s="357">
        <f>E4-F4</f>
        <v>4425500000</v>
      </c>
      <c r="H4" s="357">
        <f>G4-C4</f>
        <v>4406075000</v>
      </c>
    </row>
    <row r="5" spans="1:8" s="358" customFormat="1" ht="37.25" customHeight="1" x14ac:dyDescent="0.35">
      <c r="A5" s="16">
        <f>A4+1</f>
        <v>2</v>
      </c>
      <c r="B5" s="353" t="s">
        <v>3539</v>
      </c>
      <c r="C5" s="355">
        <f>SUMIF('REKAP 3 APRIL (edit)'!$K$6:$K$1452,B5,'REKAP 3 APRIL (edit)'!$O$6:$O$1452)</f>
        <v>0</v>
      </c>
      <c r="D5" s="7" t="s">
        <v>3564</v>
      </c>
      <c r="E5" s="356"/>
      <c r="F5" s="356"/>
      <c r="G5" s="357">
        <f t="shared" ref="G5:G20" si="0">E5-F5</f>
        <v>0</v>
      </c>
      <c r="H5" s="357">
        <f t="shared" ref="H5:H20" si="1">G5-C5</f>
        <v>0</v>
      </c>
    </row>
    <row r="6" spans="1:8" s="358" customFormat="1" ht="37.25" customHeight="1" x14ac:dyDescent="0.35">
      <c r="A6" s="16">
        <f t="shared" ref="A6:A20" si="2">A5+1</f>
        <v>3</v>
      </c>
      <c r="B6" s="353" t="s">
        <v>3389</v>
      </c>
      <c r="C6" s="355">
        <f>SUMIF('REKAP 3 APRIL (edit)'!$K$6:$K$1452,B6,'REKAP 3 APRIL (edit)'!$O$6:$O$1452)</f>
        <v>1258670000</v>
      </c>
      <c r="D6" s="7" t="s">
        <v>3564</v>
      </c>
      <c r="E6" s="356">
        <v>699757253403</v>
      </c>
      <c r="F6" s="356">
        <v>324873540000</v>
      </c>
      <c r="G6" s="357">
        <f t="shared" si="0"/>
        <v>374883713403</v>
      </c>
      <c r="H6" s="357">
        <f t="shared" si="1"/>
        <v>373625043403</v>
      </c>
    </row>
    <row r="7" spans="1:8" s="358" customFormat="1" ht="37.25" customHeight="1" x14ac:dyDescent="0.35">
      <c r="A7" s="16">
        <f t="shared" si="2"/>
        <v>4</v>
      </c>
      <c r="B7" s="353" t="s">
        <v>487</v>
      </c>
      <c r="C7" s="355">
        <f>SUMIF('REKAP 3 APRIL (edit)'!$K$6:$K$1452,B7,'REKAP 3 APRIL (edit)'!$O$6:$O$1452)</f>
        <v>562540000</v>
      </c>
      <c r="D7" s="7" t="s">
        <v>3561</v>
      </c>
      <c r="E7" s="356">
        <v>21091507877</v>
      </c>
      <c r="F7" s="356">
        <v>9331186759</v>
      </c>
      <c r="G7" s="357">
        <f t="shared" si="0"/>
        <v>11760321118</v>
      </c>
      <c r="H7" s="357">
        <f t="shared" si="1"/>
        <v>11197781118</v>
      </c>
    </row>
    <row r="8" spans="1:8" s="358" customFormat="1" ht="37.25" customHeight="1" x14ac:dyDescent="0.35">
      <c r="A8" s="16">
        <f t="shared" si="2"/>
        <v>5</v>
      </c>
      <c r="B8" s="353" t="s">
        <v>197</v>
      </c>
      <c r="C8" s="355">
        <f>SUMIF('REKAP 3 APRIL (edit)'!$K$6:$K$1452,B8,'REKAP 3 APRIL (edit)'!$O$6:$O$1452)</f>
        <v>3410761000</v>
      </c>
      <c r="D8" s="7" t="s">
        <v>3561</v>
      </c>
      <c r="E8" s="356">
        <v>25392059315</v>
      </c>
      <c r="F8" s="356">
        <v>10542461515</v>
      </c>
      <c r="G8" s="357">
        <f t="shared" si="0"/>
        <v>14849597800</v>
      </c>
      <c r="H8" s="357">
        <f t="shared" si="1"/>
        <v>11438836800</v>
      </c>
    </row>
    <row r="9" spans="1:8" s="358" customFormat="1" ht="37.25" customHeight="1" x14ac:dyDescent="0.35">
      <c r="A9" s="16">
        <f t="shared" si="2"/>
        <v>6</v>
      </c>
      <c r="B9" s="353" t="s">
        <v>553</v>
      </c>
      <c r="C9" s="355">
        <f>SUMIF('REKAP 3 APRIL (edit)'!$K$6:$K$1452,B9,'REKAP 3 APRIL (edit)'!$O$6:$O$1452)</f>
        <v>3873538332</v>
      </c>
      <c r="D9" s="7" t="s">
        <v>3561</v>
      </c>
      <c r="E9" s="356">
        <v>26242470069</v>
      </c>
      <c r="F9" s="356">
        <v>9478029605</v>
      </c>
      <c r="G9" s="357">
        <f t="shared" si="0"/>
        <v>16764440464</v>
      </c>
      <c r="H9" s="357">
        <f t="shared" si="1"/>
        <v>12890902132</v>
      </c>
    </row>
    <row r="10" spans="1:8" s="358" customFormat="1" ht="37.25" customHeight="1" x14ac:dyDescent="0.35">
      <c r="A10" s="16">
        <f t="shared" si="2"/>
        <v>7</v>
      </c>
      <c r="B10" s="353" t="s">
        <v>78</v>
      </c>
      <c r="C10" s="355">
        <f>SUMIF('REKAP 3 APRIL (edit)'!$K$6:$K$1452,B10,'REKAP 3 APRIL (edit)'!$O$6:$O$1452)</f>
        <v>2773523783</v>
      </c>
      <c r="D10" s="7" t="s">
        <v>3561</v>
      </c>
      <c r="E10" s="356">
        <v>11446775735</v>
      </c>
      <c r="F10" s="356">
        <v>6637775735</v>
      </c>
      <c r="G10" s="357">
        <f t="shared" si="0"/>
        <v>4809000000</v>
      </c>
      <c r="H10" s="357">
        <f t="shared" si="1"/>
        <v>2035476217</v>
      </c>
    </row>
    <row r="11" spans="1:8" s="358" customFormat="1" ht="37.25" customHeight="1" x14ac:dyDescent="0.35">
      <c r="A11" s="16">
        <f t="shared" si="2"/>
        <v>8</v>
      </c>
      <c r="B11" s="353" t="s">
        <v>1025</v>
      </c>
      <c r="C11" s="355">
        <f>SUMIF('REKAP 3 APRIL (edit)'!$K$6:$K$1452,B11,'REKAP 3 APRIL (edit)'!$O$6:$O$1452)</f>
        <v>14128210199</v>
      </c>
      <c r="D11" s="7" t="s">
        <v>3561</v>
      </c>
      <c r="E11" s="356">
        <v>45588869460</v>
      </c>
      <c r="F11" s="356">
        <v>27365459360</v>
      </c>
      <c r="G11" s="357">
        <f t="shared" si="0"/>
        <v>18223410100</v>
      </c>
      <c r="H11" s="357">
        <f t="shared" si="1"/>
        <v>4095199901</v>
      </c>
    </row>
    <row r="12" spans="1:8" s="358" customFormat="1" ht="37.25" customHeight="1" x14ac:dyDescent="0.35">
      <c r="A12" s="16">
        <f t="shared" si="2"/>
        <v>9</v>
      </c>
      <c r="B12" s="353" t="s">
        <v>3460</v>
      </c>
      <c r="C12" s="355">
        <f>SUMIF('REKAP 3 APRIL (edit)'!$K$6:$K$1452,B12,'REKAP 3 APRIL (edit)'!$O$6:$O$1452)</f>
        <v>12025000</v>
      </c>
      <c r="D12" s="7" t="s">
        <v>3559</v>
      </c>
      <c r="E12" s="356">
        <v>45588869460</v>
      </c>
      <c r="F12" s="356">
        <v>4811596500</v>
      </c>
      <c r="G12" s="357">
        <f t="shared" si="0"/>
        <v>40777272960</v>
      </c>
      <c r="H12" s="357">
        <f t="shared" si="1"/>
        <v>40765247960</v>
      </c>
    </row>
    <row r="13" spans="1:8" s="358" customFormat="1" ht="37.25" customHeight="1" x14ac:dyDescent="0.35">
      <c r="A13" s="16">
        <f t="shared" si="2"/>
        <v>10</v>
      </c>
      <c r="B13" s="353" t="s">
        <v>3297</v>
      </c>
      <c r="C13" s="355">
        <f>SUMIF('REKAP 3 APRIL (edit)'!$K$6:$K$1452,B13,'REKAP 3 APRIL (edit)'!$O$6:$O$1452)</f>
        <v>5493077800</v>
      </c>
      <c r="D13" s="7" t="s">
        <v>3564</v>
      </c>
      <c r="E13" s="356">
        <v>734935497354</v>
      </c>
      <c r="F13" s="356">
        <v>541576647354</v>
      </c>
      <c r="G13" s="357">
        <f t="shared" si="0"/>
        <v>193358850000</v>
      </c>
      <c r="H13" s="357">
        <f t="shared" si="1"/>
        <v>187865772200</v>
      </c>
    </row>
    <row r="14" spans="1:8" s="358" customFormat="1" ht="37.25" customHeight="1" x14ac:dyDescent="0.35">
      <c r="A14" s="16">
        <f t="shared" si="2"/>
        <v>11</v>
      </c>
      <c r="B14" s="353" t="s">
        <v>3419</v>
      </c>
      <c r="C14" s="355">
        <f>SUMIF('REKAP 3 APRIL (edit)'!$K$6:$K$1452,B14,'REKAP 3 APRIL (edit)'!$O$6:$O$1452)</f>
        <v>520011775</v>
      </c>
      <c r="D14" s="7" t="s">
        <v>3559</v>
      </c>
      <c r="E14" s="356">
        <v>14470754100</v>
      </c>
      <c r="F14" s="356">
        <v>11984754100</v>
      </c>
      <c r="G14" s="357">
        <f t="shared" si="0"/>
        <v>2486000000</v>
      </c>
      <c r="H14" s="357">
        <f t="shared" si="1"/>
        <v>1965988225</v>
      </c>
    </row>
    <row r="15" spans="1:8" s="358" customFormat="1" ht="37.25" customHeight="1" x14ac:dyDescent="0.35">
      <c r="A15" s="16">
        <f t="shared" si="2"/>
        <v>12</v>
      </c>
      <c r="B15" s="353" t="s">
        <v>3400</v>
      </c>
      <c r="C15" s="355">
        <f>SUMIF('REKAP 3 APRIL (edit)'!$K$6:$K$1452,B15,'REKAP 3 APRIL (edit)'!$O$6:$O$1452)</f>
        <v>90431000</v>
      </c>
      <c r="D15" s="383" t="s">
        <v>3559</v>
      </c>
      <c r="E15" s="356">
        <v>27934068326</v>
      </c>
      <c r="F15" s="356">
        <v>6849369130</v>
      </c>
      <c r="G15" s="357">
        <f t="shared" si="0"/>
        <v>21084699196</v>
      </c>
      <c r="H15" s="357">
        <f t="shared" si="1"/>
        <v>20994268196</v>
      </c>
    </row>
    <row r="16" spans="1:8" s="358" customFormat="1" ht="37.25" customHeight="1" x14ac:dyDescent="0.35">
      <c r="A16" s="16">
        <f t="shared" si="2"/>
        <v>13</v>
      </c>
      <c r="B16" s="353" t="s">
        <v>3469</v>
      </c>
      <c r="C16" s="355">
        <f>SUMIF('REKAP 3 APRIL (edit)'!$K$6:$K$1452,B16,'REKAP 3 APRIL (edit)'!$O$6:$O$1452)</f>
        <v>1235513878</v>
      </c>
      <c r="D16" s="383" t="s">
        <v>3559</v>
      </c>
      <c r="E16" s="356">
        <v>37722344000</v>
      </c>
      <c r="F16" s="356">
        <v>28439731000</v>
      </c>
      <c r="G16" s="357">
        <f t="shared" si="0"/>
        <v>9282613000</v>
      </c>
      <c r="H16" s="357">
        <f t="shared" si="1"/>
        <v>8047099122</v>
      </c>
    </row>
    <row r="17" spans="1:8" s="358" customFormat="1" ht="37.25" customHeight="1" x14ac:dyDescent="0.35">
      <c r="A17" s="16">
        <f t="shared" si="2"/>
        <v>14</v>
      </c>
      <c r="B17" s="353" t="s">
        <v>26</v>
      </c>
      <c r="C17" s="355">
        <f>SUMIF('REKAP 3 APRIL (edit)'!$K$6:$K$1452,B17,'REKAP 3 APRIL (edit)'!$O$6:$O$1452)</f>
        <v>1775000000</v>
      </c>
      <c r="D17" s="7" t="s">
        <v>3559</v>
      </c>
      <c r="E17" s="356">
        <v>6639465427</v>
      </c>
      <c r="F17" s="356">
        <v>3882965427</v>
      </c>
      <c r="G17" s="357">
        <f t="shared" si="0"/>
        <v>2756500000</v>
      </c>
      <c r="H17" s="357">
        <f t="shared" si="1"/>
        <v>981500000</v>
      </c>
    </row>
    <row r="18" spans="1:8" s="358" customFormat="1" ht="37.25" customHeight="1" x14ac:dyDescent="0.35">
      <c r="A18" s="16">
        <f t="shared" si="2"/>
        <v>15</v>
      </c>
      <c r="B18" s="353" t="s">
        <v>261</v>
      </c>
      <c r="C18" s="355">
        <f>SUMIF('REKAP 3 APRIL (edit)'!$K$6:$K$1452,B18,'REKAP 3 APRIL (edit)'!$O$6:$O$1452)</f>
        <v>3910045000</v>
      </c>
      <c r="D18" s="7" t="s">
        <v>3586</v>
      </c>
      <c r="E18" s="356">
        <v>26312418598</v>
      </c>
      <c r="F18" s="356">
        <v>13286168598</v>
      </c>
      <c r="G18" s="357">
        <f t="shared" si="0"/>
        <v>13026250000</v>
      </c>
      <c r="H18" s="357">
        <f t="shared" si="1"/>
        <v>9116205000</v>
      </c>
    </row>
    <row r="19" spans="1:8" s="358" customFormat="1" ht="37.25" customHeight="1" x14ac:dyDescent="0.35">
      <c r="A19" s="16">
        <f t="shared" si="2"/>
        <v>16</v>
      </c>
      <c r="B19" s="353" t="s">
        <v>651</v>
      </c>
      <c r="C19" s="355">
        <f>SUMIF('REKAP 3 APRIL (edit)'!$K$6:$K$1452,B19,'REKAP 3 APRIL (edit)'!$O$6:$O$1452)</f>
        <v>4611797600</v>
      </c>
      <c r="D19" s="7" t="s">
        <v>3559</v>
      </c>
      <c r="E19" s="356">
        <v>29029792519.830002</v>
      </c>
      <c r="F19" s="356">
        <v>10563655089.83</v>
      </c>
      <c r="G19" s="357">
        <f t="shared" si="0"/>
        <v>18466137430</v>
      </c>
      <c r="H19" s="357">
        <f t="shared" si="1"/>
        <v>13854339830</v>
      </c>
    </row>
    <row r="20" spans="1:8" s="358" customFormat="1" ht="37.25" customHeight="1" x14ac:dyDescent="0.35">
      <c r="A20" s="16">
        <f t="shared" si="2"/>
        <v>17</v>
      </c>
      <c r="B20" s="353" t="s">
        <v>221</v>
      </c>
      <c r="C20" s="355">
        <f>SUMIF('REKAP 3 APRIL (edit)'!$K$6:$K$1452,B20,'REKAP 3 APRIL (edit)'!$O$6:$O$1452)</f>
        <v>93831266422.654007</v>
      </c>
      <c r="D20" s="7" t="s">
        <v>3586</v>
      </c>
      <c r="E20" s="356">
        <v>178105229000</v>
      </c>
      <c r="F20" s="356">
        <v>24205526000</v>
      </c>
      <c r="G20" s="357">
        <f t="shared" si="0"/>
        <v>153899703000</v>
      </c>
      <c r="H20" s="357">
        <f t="shared" si="1"/>
        <v>60068436577.345993</v>
      </c>
    </row>
    <row r="21" spans="1:8" s="358" customFormat="1" ht="37.25" customHeight="1" x14ac:dyDescent="0.35">
      <c r="A21" s="353"/>
      <c r="B21" s="353" t="s">
        <v>3534</v>
      </c>
      <c r="C21" s="355">
        <f>SUM(C4:C20)</f>
        <v>137505836789.65399</v>
      </c>
      <c r="D21" s="383"/>
    </row>
    <row r="22" spans="1:8" s="348" customFormat="1" x14ac:dyDescent="0.35"/>
    <row r="23" spans="1:8" x14ac:dyDescent="0.35">
      <c r="C23" s="343">
        <v>137505836789.65399</v>
      </c>
      <c r="D23" s="343"/>
    </row>
    <row r="24" spans="1:8" x14ac:dyDescent="0.35">
      <c r="C24" s="348">
        <f>C23-C21</f>
        <v>0</v>
      </c>
      <c r="D24" s="348"/>
    </row>
    <row r="26" spans="1:8" x14ac:dyDescent="0.35">
      <c r="B26" t="s">
        <v>3583</v>
      </c>
    </row>
    <row r="27" spans="1:8" x14ac:dyDescent="0.35">
      <c r="B27" s="386" t="s">
        <v>3584</v>
      </c>
    </row>
    <row r="28" spans="1:8" x14ac:dyDescent="0.35">
      <c r="B28" t="s">
        <v>1804</v>
      </c>
      <c r="C28" s="348">
        <v>150000000</v>
      </c>
    </row>
    <row r="29" spans="1:8" x14ac:dyDescent="0.35">
      <c r="B29" t="s">
        <v>2141</v>
      </c>
      <c r="C29" s="348">
        <v>100000000</v>
      </c>
    </row>
    <row r="30" spans="1:8" x14ac:dyDescent="0.35">
      <c r="B30" t="s">
        <v>2258</v>
      </c>
      <c r="C30">
        <v>210000000</v>
      </c>
    </row>
    <row r="31" spans="1:8" x14ac:dyDescent="0.35">
      <c r="B31" t="s">
        <v>3585</v>
      </c>
      <c r="C31">
        <v>150000000</v>
      </c>
    </row>
    <row r="45" spans="3:3" x14ac:dyDescent="0.35">
      <c r="C45" s="348"/>
    </row>
  </sheetData>
  <autoFilter ref="A3:D21" xr:uid="{872C844C-6B4E-435E-8ED8-0E160C565D3C}"/>
  <mergeCells count="2">
    <mergeCell ref="A1:C1"/>
    <mergeCell ref="A2:C2"/>
  </mergeCells>
  <pageMargins left="0.7" right="0.7" top="0.75" bottom="0.75" header="0.3" footer="0.3"/>
  <pageSetup paperSize="5" scale="63" orientation="landscape" r:id="rId1"/>
  <rowBreaks count="1" manualBreakCount="1">
    <brk id="21"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03C5-FB3C-4C2E-BA4E-32AA2EF7590F}">
  <sheetPr filterMode="1"/>
  <dimension ref="A3:Q1456"/>
  <sheetViews>
    <sheetView tabSelected="1" zoomScale="85" zoomScaleNormal="85" workbookViewId="0">
      <pane xSplit="1" ySplit="5" topLeftCell="B260" activePane="bottomRight" state="frozen"/>
      <selection pane="topRight" activeCell="B1" sqref="B1"/>
      <selection pane="bottomLeft" activeCell="A6" sqref="A6"/>
      <selection pane="bottomRight" activeCell="E19" sqref="E19"/>
    </sheetView>
  </sheetViews>
  <sheetFormatPr defaultRowHeight="14.5" x14ac:dyDescent="0.35"/>
  <cols>
    <col min="1" max="1" width="9" customWidth="1"/>
    <col min="2" max="3" width="30.1796875" customWidth="1"/>
    <col min="4" max="4" width="38.6328125" customWidth="1"/>
    <col min="5" max="6" width="30.1796875" customWidth="1"/>
    <col min="7" max="7" width="20.1796875" customWidth="1"/>
    <col min="8" max="8" width="16.453125" customWidth="1"/>
    <col min="9" max="9" width="11.36328125" customWidth="1"/>
    <col min="10" max="10" width="14.453125" customWidth="1"/>
    <col min="11" max="11" width="41" style="65" customWidth="1"/>
    <col min="12" max="12" width="10.1796875" customWidth="1"/>
    <col min="13" max="13" width="14.81640625" style="65" customWidth="1"/>
    <col min="14" max="14" width="12" customWidth="1"/>
    <col min="15" max="15" width="25.453125" style="348" customWidth="1"/>
    <col min="16" max="16" width="33.1796875" customWidth="1"/>
    <col min="17" max="17" width="34.6328125" customWidth="1"/>
    <col min="18" max="18" width="18.54296875" customWidth="1"/>
  </cols>
  <sheetData>
    <row r="3" spans="1:17" x14ac:dyDescent="0.35">
      <c r="A3" s="410" t="s">
        <v>0</v>
      </c>
      <c r="B3" s="410" t="s">
        <v>1</v>
      </c>
      <c r="C3" s="410" t="s">
        <v>2</v>
      </c>
      <c r="D3" s="410" t="s">
        <v>3</v>
      </c>
      <c r="E3" s="409" t="s">
        <v>4</v>
      </c>
      <c r="F3" s="410" t="s">
        <v>5</v>
      </c>
      <c r="G3" s="410" t="s">
        <v>6</v>
      </c>
      <c r="H3" s="410"/>
      <c r="I3" s="414" t="s">
        <v>7</v>
      </c>
      <c r="J3" s="416" t="s">
        <v>8</v>
      </c>
      <c r="K3" s="410" t="s">
        <v>9</v>
      </c>
      <c r="L3" s="410" t="s">
        <v>10</v>
      </c>
      <c r="M3" s="410" t="s">
        <v>11</v>
      </c>
      <c r="N3" s="409" t="s">
        <v>12</v>
      </c>
      <c r="O3" s="409"/>
      <c r="P3" s="410" t="s">
        <v>13</v>
      </c>
      <c r="Q3" s="410" t="s">
        <v>3587</v>
      </c>
    </row>
    <row r="4" spans="1:17" x14ac:dyDescent="0.35">
      <c r="A4" s="410"/>
      <c r="B4" s="410"/>
      <c r="C4" s="410"/>
      <c r="D4" s="410"/>
      <c r="E4" s="409"/>
      <c r="F4" s="410"/>
      <c r="G4" s="1" t="s">
        <v>14</v>
      </c>
      <c r="H4" s="1" t="s">
        <v>15</v>
      </c>
      <c r="I4" s="415"/>
      <c r="J4" s="417"/>
      <c r="K4" s="410"/>
      <c r="L4" s="410"/>
      <c r="M4" s="410"/>
      <c r="N4" s="2" t="s">
        <v>16</v>
      </c>
      <c r="O4" s="3" t="s">
        <v>17</v>
      </c>
      <c r="P4" s="410"/>
      <c r="Q4" s="410"/>
    </row>
    <row r="5" spans="1:17" x14ac:dyDescent="0.35">
      <c r="A5" s="4">
        <v>1</v>
      </c>
      <c r="B5" s="4">
        <v>2</v>
      </c>
      <c r="C5" s="4">
        <v>3</v>
      </c>
      <c r="D5" s="4">
        <v>4</v>
      </c>
      <c r="E5" s="4">
        <v>5</v>
      </c>
      <c r="F5" s="4">
        <v>6</v>
      </c>
      <c r="G5" s="4">
        <v>7</v>
      </c>
      <c r="H5" s="4">
        <v>8</v>
      </c>
      <c r="I5" s="4">
        <v>9</v>
      </c>
      <c r="J5" s="4">
        <v>10</v>
      </c>
      <c r="K5" s="4">
        <v>11</v>
      </c>
      <c r="L5" s="4">
        <v>12</v>
      </c>
      <c r="M5" s="4">
        <v>13</v>
      </c>
      <c r="N5" s="4">
        <v>14</v>
      </c>
      <c r="O5" s="5">
        <v>15</v>
      </c>
      <c r="P5" s="4">
        <v>16</v>
      </c>
    </row>
    <row r="6" spans="1:17" ht="29" hidden="1" x14ac:dyDescent="0.35">
      <c r="A6" s="6">
        <f t="shared" ref="A6:A15" si="0">A5+1</f>
        <v>2</v>
      </c>
      <c r="B6" s="7" t="s">
        <v>18</v>
      </c>
      <c r="C6" s="7" t="s">
        <v>19</v>
      </c>
      <c r="D6" s="7" t="s">
        <v>20</v>
      </c>
      <c r="E6" s="7" t="s">
        <v>21</v>
      </c>
      <c r="F6" s="7" t="s">
        <v>22</v>
      </c>
      <c r="G6" s="7" t="s">
        <v>23</v>
      </c>
      <c r="H6" s="7" t="s">
        <v>24</v>
      </c>
      <c r="I6" s="7" t="s">
        <v>25</v>
      </c>
      <c r="J6" s="8">
        <v>100000000</v>
      </c>
      <c r="K6" s="6" t="s">
        <v>26</v>
      </c>
      <c r="L6" s="7">
        <v>2799328</v>
      </c>
      <c r="M6" s="6" t="s">
        <v>27</v>
      </c>
      <c r="N6" s="7" t="s">
        <v>28</v>
      </c>
      <c r="O6" s="10">
        <v>210000000</v>
      </c>
      <c r="P6" s="7" t="s">
        <v>29</v>
      </c>
      <c r="Q6" t="s">
        <v>3559</v>
      </c>
    </row>
    <row r="7" spans="1:17" ht="29" hidden="1" x14ac:dyDescent="0.35">
      <c r="A7" s="6">
        <f t="shared" si="0"/>
        <v>3</v>
      </c>
      <c r="B7" s="7" t="s">
        <v>18</v>
      </c>
      <c r="C7" s="7" t="s">
        <v>19</v>
      </c>
      <c r="D7" s="7" t="s">
        <v>20</v>
      </c>
      <c r="E7" s="7" t="s">
        <v>21</v>
      </c>
      <c r="F7" s="7" t="s">
        <v>30</v>
      </c>
      <c r="G7" s="7" t="s">
        <v>23</v>
      </c>
      <c r="H7" s="7" t="s">
        <v>31</v>
      </c>
      <c r="I7" s="7" t="s">
        <v>25</v>
      </c>
      <c r="J7" s="8">
        <v>100000000</v>
      </c>
      <c r="K7" s="6" t="s">
        <v>26</v>
      </c>
      <c r="L7" s="7">
        <v>2799328</v>
      </c>
      <c r="M7" s="6" t="s">
        <v>27</v>
      </c>
      <c r="N7" s="7" t="s">
        <v>28</v>
      </c>
      <c r="O7" s="10">
        <v>210000000</v>
      </c>
      <c r="P7" s="7" t="s">
        <v>29</v>
      </c>
      <c r="Q7" t="s">
        <v>3559</v>
      </c>
    </row>
    <row r="8" spans="1:17" ht="29" hidden="1" x14ac:dyDescent="0.35">
      <c r="A8" s="6">
        <f t="shared" si="0"/>
        <v>4</v>
      </c>
      <c r="B8" s="7" t="s">
        <v>18</v>
      </c>
      <c r="C8" s="7" t="s">
        <v>19</v>
      </c>
      <c r="D8" s="7" t="s">
        <v>20</v>
      </c>
      <c r="E8" s="7" t="s">
        <v>32</v>
      </c>
      <c r="F8" s="7" t="s">
        <v>33</v>
      </c>
      <c r="G8" s="7" t="s">
        <v>34</v>
      </c>
      <c r="H8" s="7">
        <f>H3</f>
        <v>0</v>
      </c>
      <c r="I8" s="7" t="s">
        <v>35</v>
      </c>
      <c r="J8" s="11">
        <v>7500000</v>
      </c>
      <c r="K8" s="6" t="s">
        <v>26</v>
      </c>
      <c r="L8" s="7"/>
      <c r="M8" s="6" t="s">
        <v>27</v>
      </c>
      <c r="N8" s="7" t="s">
        <v>28</v>
      </c>
      <c r="O8" s="10">
        <v>35000000</v>
      </c>
      <c r="P8" s="7" t="s">
        <v>36</v>
      </c>
      <c r="Q8" t="s">
        <v>3559</v>
      </c>
    </row>
    <row r="9" spans="1:17" ht="43.5" hidden="1" x14ac:dyDescent="0.35">
      <c r="A9" s="6">
        <f t="shared" si="0"/>
        <v>5</v>
      </c>
      <c r="B9" s="7" t="s">
        <v>18</v>
      </c>
      <c r="C9" s="7" t="s">
        <v>37</v>
      </c>
      <c r="D9" s="7" t="s">
        <v>20</v>
      </c>
      <c r="E9" s="7" t="s">
        <v>38</v>
      </c>
      <c r="F9" s="7" t="s">
        <v>39</v>
      </c>
      <c r="G9" s="6" t="s">
        <v>40</v>
      </c>
      <c r="H9" s="6" t="s">
        <v>41</v>
      </c>
      <c r="I9" s="6">
        <v>1</v>
      </c>
      <c r="J9" s="12">
        <v>200000000</v>
      </c>
      <c r="K9" s="6" t="s">
        <v>26</v>
      </c>
      <c r="L9" s="6">
        <v>2934710</v>
      </c>
      <c r="M9" s="6" t="s">
        <v>27</v>
      </c>
      <c r="N9" s="6">
        <v>1</v>
      </c>
      <c r="O9" s="13">
        <v>210000000</v>
      </c>
      <c r="P9" s="9" t="s">
        <v>42</v>
      </c>
      <c r="Q9" t="s">
        <v>3559</v>
      </c>
    </row>
    <row r="10" spans="1:17" ht="43.5" hidden="1" x14ac:dyDescent="0.35">
      <c r="A10" s="6">
        <f t="shared" si="0"/>
        <v>6</v>
      </c>
      <c r="B10" s="7" t="s">
        <v>18</v>
      </c>
      <c r="C10" s="7" t="s">
        <v>19</v>
      </c>
      <c r="D10" s="7" t="s">
        <v>20</v>
      </c>
      <c r="E10" s="7" t="s">
        <v>43</v>
      </c>
      <c r="F10" s="7"/>
      <c r="G10" s="7" t="s">
        <v>44</v>
      </c>
      <c r="H10" s="7" t="s">
        <v>45</v>
      </c>
      <c r="I10" s="7" t="s">
        <v>35</v>
      </c>
      <c r="J10" s="7">
        <v>5000000</v>
      </c>
      <c r="K10" s="6" t="s">
        <v>26</v>
      </c>
      <c r="L10" s="7">
        <v>2932750</v>
      </c>
      <c r="M10" s="6" t="s">
        <v>46</v>
      </c>
      <c r="N10" s="14" t="s">
        <v>28</v>
      </c>
      <c r="O10" s="10">
        <v>25000000</v>
      </c>
      <c r="P10" s="7"/>
      <c r="Q10" t="s">
        <v>3559</v>
      </c>
    </row>
    <row r="11" spans="1:17" ht="29" hidden="1" x14ac:dyDescent="0.35">
      <c r="A11" s="6">
        <f t="shared" si="0"/>
        <v>7</v>
      </c>
      <c r="B11" s="7" t="s">
        <v>18</v>
      </c>
      <c r="C11" s="7" t="s">
        <v>19</v>
      </c>
      <c r="D11" s="7" t="s">
        <v>20</v>
      </c>
      <c r="E11" s="7" t="s">
        <v>47</v>
      </c>
      <c r="F11" s="7" t="s">
        <v>48</v>
      </c>
      <c r="G11" s="7" t="s">
        <v>49</v>
      </c>
      <c r="H11" s="7" t="s">
        <v>49</v>
      </c>
      <c r="I11" s="7" t="s">
        <v>35</v>
      </c>
      <c r="J11" s="7">
        <v>7500000</v>
      </c>
      <c r="K11" s="6" t="s">
        <v>26</v>
      </c>
      <c r="L11" s="7">
        <v>2819724</v>
      </c>
      <c r="M11" s="6" t="s">
        <v>46</v>
      </c>
      <c r="N11" s="14" t="s">
        <v>28</v>
      </c>
      <c r="O11" s="10">
        <v>35000000</v>
      </c>
      <c r="P11" s="7"/>
      <c r="Q11" t="s">
        <v>3559</v>
      </c>
    </row>
    <row r="12" spans="1:17" ht="43.5" hidden="1" x14ac:dyDescent="0.35">
      <c r="A12" s="6" t="e">
        <f>#REF!+1</f>
        <v>#REF!</v>
      </c>
      <c r="B12" s="7" t="s">
        <v>18</v>
      </c>
      <c r="C12" s="7" t="s">
        <v>19</v>
      </c>
      <c r="D12" s="7" t="s">
        <v>20</v>
      </c>
      <c r="E12" s="7" t="s">
        <v>50</v>
      </c>
      <c r="F12" s="7" t="s">
        <v>51</v>
      </c>
      <c r="G12" s="6" t="s">
        <v>52</v>
      </c>
      <c r="H12" s="6" t="s">
        <v>53</v>
      </c>
      <c r="I12" s="6" t="s">
        <v>54</v>
      </c>
      <c r="J12" s="15">
        <v>100000000</v>
      </c>
      <c r="K12" s="6" t="s">
        <v>26</v>
      </c>
      <c r="L12" s="6">
        <v>2966626</v>
      </c>
      <c r="M12" s="6" t="s">
        <v>55</v>
      </c>
      <c r="N12" s="16" t="s">
        <v>56</v>
      </c>
      <c r="O12" s="17">
        <v>210000000</v>
      </c>
      <c r="P12" s="9" t="s">
        <v>57</v>
      </c>
      <c r="Q12" t="s">
        <v>3559</v>
      </c>
    </row>
    <row r="13" spans="1:17" ht="43.5" hidden="1" x14ac:dyDescent="0.35">
      <c r="A13" s="6" t="e">
        <f t="shared" si="0"/>
        <v>#REF!</v>
      </c>
      <c r="B13" s="7" t="s">
        <v>18</v>
      </c>
      <c r="C13" s="7" t="s">
        <v>19</v>
      </c>
      <c r="D13" s="7" t="s">
        <v>20</v>
      </c>
      <c r="E13" s="7" t="s">
        <v>50</v>
      </c>
      <c r="F13" s="7" t="s">
        <v>58</v>
      </c>
      <c r="G13" s="16" t="s">
        <v>59</v>
      </c>
      <c r="H13" s="16" t="s">
        <v>60</v>
      </c>
      <c r="I13" s="16" t="s">
        <v>61</v>
      </c>
      <c r="J13" s="18">
        <v>100000000</v>
      </c>
      <c r="K13" s="6" t="s">
        <v>26</v>
      </c>
      <c r="L13" s="16" t="s">
        <v>62</v>
      </c>
      <c r="M13" s="6" t="s">
        <v>55</v>
      </c>
      <c r="N13" s="16" t="s">
        <v>56</v>
      </c>
      <c r="O13" s="17">
        <v>210000000</v>
      </c>
      <c r="P13" s="19" t="s">
        <v>63</v>
      </c>
      <c r="Q13" t="s">
        <v>3559</v>
      </c>
    </row>
    <row r="14" spans="1:17" ht="43.5" hidden="1" x14ac:dyDescent="0.35">
      <c r="A14" s="6" t="e">
        <f t="shared" si="0"/>
        <v>#REF!</v>
      </c>
      <c r="B14" s="7" t="s">
        <v>18</v>
      </c>
      <c r="C14" s="7" t="s">
        <v>19</v>
      </c>
      <c r="D14" s="7" t="s">
        <v>20</v>
      </c>
      <c r="E14" s="7" t="s">
        <v>50</v>
      </c>
      <c r="F14" s="7" t="s">
        <v>64</v>
      </c>
      <c r="G14" s="16" t="s">
        <v>59</v>
      </c>
      <c r="H14" s="16" t="s">
        <v>65</v>
      </c>
      <c r="I14" s="16" t="s">
        <v>61</v>
      </c>
      <c r="J14" s="18">
        <v>100000000</v>
      </c>
      <c r="K14" s="6" t="s">
        <v>26</v>
      </c>
      <c r="L14" s="16" t="s">
        <v>62</v>
      </c>
      <c r="M14" s="6" t="s">
        <v>55</v>
      </c>
      <c r="N14" s="16" t="s">
        <v>56</v>
      </c>
      <c r="O14" s="17">
        <v>210000000</v>
      </c>
      <c r="P14" s="19" t="s">
        <v>63</v>
      </c>
      <c r="Q14" t="s">
        <v>3559</v>
      </c>
    </row>
    <row r="15" spans="1:17" ht="43.5" hidden="1" x14ac:dyDescent="0.35">
      <c r="A15" s="20" t="e">
        <f t="shared" si="0"/>
        <v>#REF!</v>
      </c>
      <c r="B15" s="21" t="s">
        <v>18</v>
      </c>
      <c r="C15" s="21" t="s">
        <v>19</v>
      </c>
      <c r="D15" s="21" t="s">
        <v>20</v>
      </c>
      <c r="E15" s="21" t="s">
        <v>50</v>
      </c>
      <c r="F15" s="21" t="s">
        <v>66</v>
      </c>
      <c r="G15" s="22" t="s">
        <v>59</v>
      </c>
      <c r="H15" s="22" t="s">
        <v>67</v>
      </c>
      <c r="I15" s="22" t="s">
        <v>61</v>
      </c>
      <c r="J15" s="23">
        <v>100000000</v>
      </c>
      <c r="K15" s="20" t="s">
        <v>26</v>
      </c>
      <c r="L15" s="22" t="s">
        <v>62</v>
      </c>
      <c r="M15" s="20" t="s">
        <v>55</v>
      </c>
      <c r="N15" s="22" t="s">
        <v>56</v>
      </c>
      <c r="O15" s="24">
        <v>210000000</v>
      </c>
      <c r="P15" s="25" t="s">
        <v>63</v>
      </c>
      <c r="Q15" t="s">
        <v>3559</v>
      </c>
    </row>
    <row r="16" spans="1:17" ht="43.5" hidden="1" x14ac:dyDescent="0.35">
      <c r="A16" s="26">
        <v>15</v>
      </c>
      <c r="B16" s="27" t="s">
        <v>18</v>
      </c>
      <c r="C16" s="27" t="s">
        <v>19</v>
      </c>
      <c r="D16" s="27" t="s">
        <v>20</v>
      </c>
      <c r="E16" s="27" t="s">
        <v>50</v>
      </c>
      <c r="F16" s="28"/>
      <c r="G16" s="26" t="s">
        <v>68</v>
      </c>
      <c r="H16" s="26" t="s">
        <v>69</v>
      </c>
      <c r="I16" s="28"/>
      <c r="J16" s="28"/>
      <c r="K16" s="126" t="s">
        <v>26</v>
      </c>
      <c r="L16" s="28"/>
      <c r="M16" s="126" t="s">
        <v>27</v>
      </c>
      <c r="N16" s="26" t="s">
        <v>56</v>
      </c>
      <c r="O16" s="30">
        <v>210000000</v>
      </c>
      <c r="P16" s="31" t="s">
        <v>70</v>
      </c>
      <c r="Q16" t="s">
        <v>3559</v>
      </c>
    </row>
    <row r="17" spans="1:17" ht="24" x14ac:dyDescent="0.35">
      <c r="A17" s="32">
        <v>1</v>
      </c>
      <c r="B17" s="32" t="s">
        <v>71</v>
      </c>
      <c r="C17" s="32" t="s">
        <v>72</v>
      </c>
      <c r="D17" s="32" t="s">
        <v>73</v>
      </c>
      <c r="E17" s="32" t="s">
        <v>74</v>
      </c>
      <c r="F17" s="32" t="s">
        <v>75</v>
      </c>
      <c r="G17" s="32" t="s">
        <v>76</v>
      </c>
      <c r="H17" s="32" t="s">
        <v>76</v>
      </c>
      <c r="I17" s="32" t="s">
        <v>77</v>
      </c>
      <c r="J17" s="33">
        <v>50000000</v>
      </c>
      <c r="K17" s="32" t="s">
        <v>78</v>
      </c>
      <c r="L17" s="32">
        <v>2818477</v>
      </c>
      <c r="M17" s="32" t="s">
        <v>79</v>
      </c>
      <c r="N17" s="34">
        <v>8</v>
      </c>
      <c r="O17" s="33">
        <v>50760000</v>
      </c>
      <c r="P17" s="32"/>
      <c r="Q17" t="s">
        <v>3561</v>
      </c>
    </row>
    <row r="18" spans="1:17" ht="24" x14ac:dyDescent="0.35">
      <c r="A18" s="32">
        <v>2</v>
      </c>
      <c r="B18" s="32" t="s">
        <v>71</v>
      </c>
      <c r="C18" s="32" t="s">
        <v>72</v>
      </c>
      <c r="D18" s="32" t="s">
        <v>73</v>
      </c>
      <c r="E18" s="32" t="s">
        <v>80</v>
      </c>
      <c r="F18" s="32" t="s">
        <v>81</v>
      </c>
      <c r="G18" s="32" t="s">
        <v>82</v>
      </c>
      <c r="H18" s="32" t="s">
        <v>83</v>
      </c>
      <c r="I18" s="32" t="s">
        <v>84</v>
      </c>
      <c r="J18" s="33">
        <v>200000000</v>
      </c>
      <c r="K18" s="32" t="s">
        <v>78</v>
      </c>
      <c r="L18" s="32">
        <v>2817507</v>
      </c>
      <c r="M18" s="32" t="s">
        <v>79</v>
      </c>
      <c r="N18" s="34">
        <v>32</v>
      </c>
      <c r="O18" s="33">
        <v>203040000</v>
      </c>
      <c r="P18" s="32"/>
      <c r="Q18" t="s">
        <v>3561</v>
      </c>
    </row>
    <row r="19" spans="1:17" ht="24" x14ac:dyDescent="0.35">
      <c r="A19" s="32">
        <v>3</v>
      </c>
      <c r="B19" s="32" t="s">
        <v>71</v>
      </c>
      <c r="C19" s="32" t="s">
        <v>72</v>
      </c>
      <c r="D19" s="32" t="s">
        <v>73</v>
      </c>
      <c r="E19" s="32" t="s">
        <v>85</v>
      </c>
      <c r="F19" s="32" t="s">
        <v>86</v>
      </c>
      <c r="G19" s="32" t="s">
        <v>87</v>
      </c>
      <c r="H19" s="35" t="s">
        <v>88</v>
      </c>
      <c r="I19" s="32" t="s">
        <v>89</v>
      </c>
      <c r="J19" s="33">
        <v>20000000</v>
      </c>
      <c r="K19" s="32" t="s">
        <v>78</v>
      </c>
      <c r="L19" s="32">
        <v>3299586</v>
      </c>
      <c r="M19" s="32" t="s">
        <v>79</v>
      </c>
      <c r="N19" s="34">
        <v>3</v>
      </c>
      <c r="O19" s="33">
        <v>20000000</v>
      </c>
      <c r="P19" s="32" t="s">
        <v>90</v>
      </c>
      <c r="Q19" t="s">
        <v>3561</v>
      </c>
    </row>
    <row r="20" spans="1:17" ht="24" hidden="1" x14ac:dyDescent="0.35">
      <c r="A20" s="32">
        <v>4</v>
      </c>
      <c r="B20" s="32" t="s">
        <v>71</v>
      </c>
      <c r="C20" s="32" t="s">
        <v>72</v>
      </c>
      <c r="D20" s="32" t="s">
        <v>73</v>
      </c>
      <c r="E20" s="32" t="s">
        <v>99</v>
      </c>
      <c r="F20" s="32" t="s">
        <v>92</v>
      </c>
      <c r="G20" s="32" t="s">
        <v>93</v>
      </c>
      <c r="H20" s="32" t="s">
        <v>94</v>
      </c>
      <c r="I20" s="32" t="s">
        <v>95</v>
      </c>
      <c r="J20" s="33">
        <v>18000000</v>
      </c>
      <c r="K20" s="32" t="s">
        <v>78</v>
      </c>
      <c r="L20" s="32">
        <v>3299071</v>
      </c>
      <c r="M20" s="32" t="s">
        <v>97</v>
      </c>
      <c r="N20" s="32">
        <v>3</v>
      </c>
      <c r="O20" s="33">
        <f>N20*6345000</f>
        <v>19035000</v>
      </c>
      <c r="P20" s="32" t="s">
        <v>98</v>
      </c>
      <c r="Q20" t="s">
        <v>3561</v>
      </c>
    </row>
    <row r="21" spans="1:17" ht="24" hidden="1" x14ac:dyDescent="0.35">
      <c r="A21" s="32">
        <v>5</v>
      </c>
      <c r="B21" s="32" t="s">
        <v>71</v>
      </c>
      <c r="C21" s="32" t="s">
        <v>72</v>
      </c>
      <c r="D21" s="32" t="s">
        <v>73</v>
      </c>
      <c r="E21" s="32" t="s">
        <v>99</v>
      </c>
      <c r="F21" s="32" t="s">
        <v>100</v>
      </c>
      <c r="G21" s="36" t="s">
        <v>101</v>
      </c>
      <c r="H21" s="36" t="s">
        <v>102</v>
      </c>
      <c r="I21" s="36" t="s">
        <v>103</v>
      </c>
      <c r="J21" s="33">
        <v>50000000</v>
      </c>
      <c r="K21" s="32" t="s">
        <v>78</v>
      </c>
      <c r="L21" s="32">
        <v>3299835</v>
      </c>
      <c r="M21" s="32" t="s">
        <v>97</v>
      </c>
      <c r="N21" s="32">
        <v>8</v>
      </c>
      <c r="O21" s="33">
        <v>50760000</v>
      </c>
      <c r="P21" s="32" t="s">
        <v>104</v>
      </c>
      <c r="Q21" t="s">
        <v>3561</v>
      </c>
    </row>
    <row r="22" spans="1:17" ht="24" hidden="1" x14ac:dyDescent="0.35">
      <c r="A22" s="32">
        <v>6</v>
      </c>
      <c r="B22" s="37" t="s">
        <v>71</v>
      </c>
      <c r="C22" s="37" t="s">
        <v>72</v>
      </c>
      <c r="D22" s="37" t="s">
        <v>73</v>
      </c>
      <c r="E22" s="37" t="s">
        <v>105</v>
      </c>
      <c r="F22" s="37" t="s">
        <v>106</v>
      </c>
      <c r="G22" s="37" t="s">
        <v>107</v>
      </c>
      <c r="H22" s="37" t="s">
        <v>108</v>
      </c>
      <c r="I22" s="37" t="s">
        <v>35</v>
      </c>
      <c r="J22" s="38">
        <v>100000000</v>
      </c>
      <c r="K22" s="37" t="s">
        <v>78</v>
      </c>
      <c r="L22" s="37">
        <v>2792437</v>
      </c>
      <c r="M22" s="37" t="s">
        <v>109</v>
      </c>
      <c r="N22" s="39">
        <v>7</v>
      </c>
      <c r="O22" s="40">
        <v>100000000</v>
      </c>
      <c r="P22" s="41" t="s">
        <v>110</v>
      </c>
      <c r="Q22" t="s">
        <v>3561</v>
      </c>
    </row>
    <row r="23" spans="1:17" ht="24" hidden="1" x14ac:dyDescent="0.35">
      <c r="A23" s="32">
        <v>7</v>
      </c>
      <c r="B23" s="37" t="s">
        <v>71</v>
      </c>
      <c r="C23" s="37" t="s">
        <v>72</v>
      </c>
      <c r="D23" s="37" t="s">
        <v>73</v>
      </c>
      <c r="E23" s="37" t="s">
        <v>85</v>
      </c>
      <c r="F23" s="37" t="s">
        <v>111</v>
      </c>
      <c r="G23" s="37" t="s">
        <v>112</v>
      </c>
      <c r="H23" s="37" t="s">
        <v>113</v>
      </c>
      <c r="I23" s="37" t="s">
        <v>114</v>
      </c>
      <c r="J23" s="38">
        <v>300000000</v>
      </c>
      <c r="K23" s="37" t="s">
        <v>78</v>
      </c>
      <c r="L23" s="37">
        <v>2952867</v>
      </c>
      <c r="M23" s="37" t="s">
        <v>109</v>
      </c>
      <c r="N23" s="39">
        <v>21</v>
      </c>
      <c r="O23" s="40">
        <v>315000000</v>
      </c>
      <c r="P23" s="41" t="s">
        <v>110</v>
      </c>
      <c r="Q23" t="s">
        <v>3561</v>
      </c>
    </row>
    <row r="24" spans="1:17" ht="24" hidden="1" x14ac:dyDescent="0.35">
      <c r="A24" s="32">
        <v>8</v>
      </c>
      <c r="B24" s="35" t="s">
        <v>71</v>
      </c>
      <c r="C24" s="35" t="s">
        <v>72</v>
      </c>
      <c r="D24" s="35" t="s">
        <v>73</v>
      </c>
      <c r="E24" s="35" t="s">
        <v>85</v>
      </c>
      <c r="F24" s="35" t="s">
        <v>115</v>
      </c>
      <c r="G24" s="35" t="s">
        <v>116</v>
      </c>
      <c r="H24" s="35" t="s">
        <v>117</v>
      </c>
      <c r="I24" s="35" t="s">
        <v>118</v>
      </c>
      <c r="J24" s="42">
        <v>15000000</v>
      </c>
      <c r="K24" s="35" t="s">
        <v>78</v>
      </c>
      <c r="L24" s="35">
        <v>2921906</v>
      </c>
      <c r="M24" s="35" t="s">
        <v>109</v>
      </c>
      <c r="N24" s="34">
        <v>2</v>
      </c>
      <c r="O24" s="33">
        <v>14690000</v>
      </c>
      <c r="P24" s="32" t="s">
        <v>119</v>
      </c>
      <c r="Q24" t="s">
        <v>3561</v>
      </c>
    </row>
    <row r="25" spans="1:17" ht="24" hidden="1" x14ac:dyDescent="0.35">
      <c r="A25" s="32">
        <v>9</v>
      </c>
      <c r="B25" s="35" t="s">
        <v>71</v>
      </c>
      <c r="C25" s="35" t="s">
        <v>72</v>
      </c>
      <c r="D25" s="35" t="s">
        <v>73</v>
      </c>
      <c r="E25" s="35" t="s">
        <v>85</v>
      </c>
      <c r="F25" s="35" t="s">
        <v>115</v>
      </c>
      <c r="G25" s="35" t="s">
        <v>116</v>
      </c>
      <c r="H25" s="35" t="s">
        <v>120</v>
      </c>
      <c r="I25" s="35" t="s">
        <v>118</v>
      </c>
      <c r="J25" s="42">
        <v>15000000</v>
      </c>
      <c r="K25" s="35" t="s">
        <v>78</v>
      </c>
      <c r="L25" s="35">
        <v>2921825</v>
      </c>
      <c r="M25" s="35" t="s">
        <v>109</v>
      </c>
      <c r="N25" s="34">
        <v>2</v>
      </c>
      <c r="O25" s="33">
        <v>14690000</v>
      </c>
      <c r="P25" s="32" t="s">
        <v>119</v>
      </c>
      <c r="Q25" t="s">
        <v>3561</v>
      </c>
    </row>
    <row r="26" spans="1:17" ht="24" hidden="1" x14ac:dyDescent="0.35">
      <c r="A26" s="32">
        <v>10</v>
      </c>
      <c r="B26" s="41" t="s">
        <v>71</v>
      </c>
      <c r="C26" s="41" t="s">
        <v>72</v>
      </c>
      <c r="D26" s="41" t="s">
        <v>73</v>
      </c>
      <c r="E26" s="41" t="s">
        <v>121</v>
      </c>
      <c r="F26" s="41" t="s">
        <v>22</v>
      </c>
      <c r="G26" s="41" t="s">
        <v>23</v>
      </c>
      <c r="H26" s="41" t="s">
        <v>24</v>
      </c>
      <c r="I26" s="43" t="s">
        <v>122</v>
      </c>
      <c r="J26" s="40">
        <v>10000000</v>
      </c>
      <c r="K26" s="41" t="s">
        <v>78</v>
      </c>
      <c r="L26" s="41">
        <v>3307589</v>
      </c>
      <c r="M26" s="41" t="s">
        <v>27</v>
      </c>
      <c r="N26" s="41">
        <v>12</v>
      </c>
      <c r="O26" s="40">
        <v>76140000</v>
      </c>
      <c r="P26" s="41" t="s">
        <v>123</v>
      </c>
      <c r="Q26" t="s">
        <v>3561</v>
      </c>
    </row>
    <row r="27" spans="1:17" ht="24" hidden="1" x14ac:dyDescent="0.35">
      <c r="A27" s="32">
        <v>11</v>
      </c>
      <c r="B27" s="41" t="s">
        <v>71</v>
      </c>
      <c r="C27" s="41" t="s">
        <v>72</v>
      </c>
      <c r="D27" s="41" t="s">
        <v>73</v>
      </c>
      <c r="E27" s="41" t="s">
        <v>121</v>
      </c>
      <c r="F27" s="41" t="s">
        <v>124</v>
      </c>
      <c r="G27" s="41" t="s">
        <v>23</v>
      </c>
      <c r="H27" s="41" t="s">
        <v>125</v>
      </c>
      <c r="I27" s="43" t="s">
        <v>126</v>
      </c>
      <c r="J27" s="40">
        <v>10000000</v>
      </c>
      <c r="K27" s="41" t="s">
        <v>78</v>
      </c>
      <c r="L27" s="41">
        <v>3307611</v>
      </c>
      <c r="M27" s="41" t="s">
        <v>27</v>
      </c>
      <c r="N27" s="41">
        <v>15</v>
      </c>
      <c r="O27" s="40">
        <f>15*6345000</f>
        <v>95175000</v>
      </c>
      <c r="P27" s="41" t="s">
        <v>123</v>
      </c>
      <c r="Q27" t="s">
        <v>3561</v>
      </c>
    </row>
    <row r="28" spans="1:17" ht="24" hidden="1" x14ac:dyDescent="0.35">
      <c r="A28" s="32">
        <v>12</v>
      </c>
      <c r="B28" s="32" t="s">
        <v>71</v>
      </c>
      <c r="C28" s="32" t="s">
        <v>72</v>
      </c>
      <c r="D28" s="32" t="s">
        <v>73</v>
      </c>
      <c r="E28" s="32" t="s">
        <v>121</v>
      </c>
      <c r="F28" s="32" t="s">
        <v>30</v>
      </c>
      <c r="G28" s="32" t="s">
        <v>23</v>
      </c>
      <c r="H28" s="32" t="s">
        <v>31</v>
      </c>
      <c r="I28" s="44" t="s">
        <v>122</v>
      </c>
      <c r="J28" s="45">
        <v>10000000</v>
      </c>
      <c r="K28" s="32" t="s">
        <v>78</v>
      </c>
      <c r="L28" s="32">
        <v>3245837</v>
      </c>
      <c r="M28" s="32" t="s">
        <v>27</v>
      </c>
      <c r="N28" s="32">
        <v>2</v>
      </c>
      <c r="O28" s="33">
        <f>2*6345000</f>
        <v>12690000</v>
      </c>
      <c r="P28" s="32" t="s">
        <v>123</v>
      </c>
      <c r="Q28" t="s">
        <v>3561</v>
      </c>
    </row>
    <row r="29" spans="1:17" ht="24" hidden="1" x14ac:dyDescent="0.35">
      <c r="A29" s="32">
        <v>13</v>
      </c>
      <c r="B29" s="41" t="s">
        <v>71</v>
      </c>
      <c r="C29" s="41" t="s">
        <v>72</v>
      </c>
      <c r="D29" s="41" t="s">
        <v>73</v>
      </c>
      <c r="E29" s="41" t="s">
        <v>121</v>
      </c>
      <c r="F29" s="41" t="s">
        <v>127</v>
      </c>
      <c r="G29" s="41" t="s">
        <v>23</v>
      </c>
      <c r="H29" s="41" t="s">
        <v>128</v>
      </c>
      <c r="I29" s="41" t="s">
        <v>129</v>
      </c>
      <c r="J29" s="40">
        <v>10000000</v>
      </c>
      <c r="K29" s="41" t="s">
        <v>78</v>
      </c>
      <c r="L29" s="41">
        <v>3307634</v>
      </c>
      <c r="M29" s="41" t="s">
        <v>27</v>
      </c>
      <c r="N29" s="41">
        <v>12</v>
      </c>
      <c r="O29" s="40">
        <v>76140000</v>
      </c>
      <c r="P29" s="41" t="s">
        <v>123</v>
      </c>
      <c r="Q29" t="s">
        <v>3561</v>
      </c>
    </row>
    <row r="30" spans="1:17" ht="24" hidden="1" x14ac:dyDescent="0.35">
      <c r="A30" s="32">
        <v>14</v>
      </c>
      <c r="B30" s="32" t="s">
        <v>71</v>
      </c>
      <c r="C30" s="32" t="s">
        <v>72</v>
      </c>
      <c r="D30" s="32" t="s">
        <v>73</v>
      </c>
      <c r="E30" s="32" t="s">
        <v>121</v>
      </c>
      <c r="F30" s="32"/>
      <c r="G30" s="32" t="s">
        <v>130</v>
      </c>
      <c r="H30" s="32" t="s">
        <v>131</v>
      </c>
      <c r="I30" s="32" t="s">
        <v>129</v>
      </c>
      <c r="J30" s="45">
        <v>25000000</v>
      </c>
      <c r="K30" s="32" t="s">
        <v>78</v>
      </c>
      <c r="L30" s="32">
        <v>3307657</v>
      </c>
      <c r="M30" s="32" t="s">
        <v>27</v>
      </c>
      <c r="N30" s="32">
        <v>4</v>
      </c>
      <c r="O30" s="33">
        <v>25380000</v>
      </c>
      <c r="P30" s="32" t="s">
        <v>123</v>
      </c>
      <c r="Q30" t="s">
        <v>3561</v>
      </c>
    </row>
    <row r="31" spans="1:17" ht="24" hidden="1" x14ac:dyDescent="0.35">
      <c r="A31" s="32">
        <v>15</v>
      </c>
      <c r="B31" s="32" t="s">
        <v>71</v>
      </c>
      <c r="C31" s="32" t="s">
        <v>72</v>
      </c>
      <c r="D31" s="32" t="s">
        <v>73</v>
      </c>
      <c r="E31" s="32" t="s">
        <v>121</v>
      </c>
      <c r="F31" s="32"/>
      <c r="G31" s="32" t="s">
        <v>130</v>
      </c>
      <c r="H31" s="32" t="s">
        <v>132</v>
      </c>
      <c r="I31" s="32" t="s">
        <v>133</v>
      </c>
      <c r="J31" s="45">
        <v>25000000</v>
      </c>
      <c r="K31" s="32" t="s">
        <v>78</v>
      </c>
      <c r="L31" s="32">
        <v>3307667</v>
      </c>
      <c r="M31" s="32" t="s">
        <v>27</v>
      </c>
      <c r="N31" s="32">
        <v>4</v>
      </c>
      <c r="O31" s="33">
        <v>25380000</v>
      </c>
      <c r="P31" s="32" t="s">
        <v>123</v>
      </c>
      <c r="Q31" t="s">
        <v>3561</v>
      </c>
    </row>
    <row r="32" spans="1:17" ht="24" hidden="1" x14ac:dyDescent="0.35">
      <c r="A32" s="32">
        <v>16</v>
      </c>
      <c r="B32" s="32" t="s">
        <v>71</v>
      </c>
      <c r="C32" s="32" t="s">
        <v>72</v>
      </c>
      <c r="D32" s="32" t="s">
        <v>73</v>
      </c>
      <c r="E32" s="32" t="s">
        <v>85</v>
      </c>
      <c r="F32" s="32" t="s">
        <v>134</v>
      </c>
      <c r="G32" s="32" t="s">
        <v>135</v>
      </c>
      <c r="H32" s="32" t="s">
        <v>136</v>
      </c>
      <c r="I32" s="46" t="s">
        <v>122</v>
      </c>
      <c r="J32" s="33">
        <v>100000000</v>
      </c>
      <c r="K32" s="32" t="s">
        <v>78</v>
      </c>
      <c r="L32" s="32">
        <v>2906025</v>
      </c>
      <c r="M32" s="32" t="s">
        <v>27</v>
      </c>
      <c r="N32" s="32">
        <v>16</v>
      </c>
      <c r="O32" s="33">
        <v>101520000</v>
      </c>
      <c r="P32" s="32"/>
      <c r="Q32" t="s">
        <v>3561</v>
      </c>
    </row>
    <row r="33" spans="1:17" ht="24" hidden="1" x14ac:dyDescent="0.35">
      <c r="A33" s="32">
        <v>17</v>
      </c>
      <c r="B33" s="32" t="s">
        <v>71</v>
      </c>
      <c r="C33" s="32" t="s">
        <v>72</v>
      </c>
      <c r="D33" s="32" t="s">
        <v>73</v>
      </c>
      <c r="E33" s="32" t="s">
        <v>121</v>
      </c>
      <c r="F33" s="32" t="s">
        <v>137</v>
      </c>
      <c r="G33" s="32" t="s">
        <v>135</v>
      </c>
      <c r="H33" s="32" t="s">
        <v>138</v>
      </c>
      <c r="I33" s="32" t="s">
        <v>133</v>
      </c>
      <c r="J33" s="33">
        <v>100000000</v>
      </c>
      <c r="K33" s="32" t="s">
        <v>78</v>
      </c>
      <c r="L33" s="32">
        <v>3307681</v>
      </c>
      <c r="M33" s="32" t="s">
        <v>27</v>
      </c>
      <c r="N33" s="32">
        <v>16</v>
      </c>
      <c r="O33" s="33">
        <v>101520000</v>
      </c>
      <c r="P33" s="32"/>
      <c r="Q33" t="s">
        <v>3561</v>
      </c>
    </row>
    <row r="34" spans="1:17" ht="48" hidden="1" x14ac:dyDescent="0.35">
      <c r="A34" s="32">
        <v>18</v>
      </c>
      <c r="B34" s="41" t="s">
        <v>71</v>
      </c>
      <c r="C34" s="41" t="s">
        <v>72</v>
      </c>
      <c r="D34" s="41" t="s">
        <v>73</v>
      </c>
      <c r="E34" s="41" t="s">
        <v>139</v>
      </c>
      <c r="F34" s="41" t="s">
        <v>140</v>
      </c>
      <c r="G34" s="41" t="s">
        <v>141</v>
      </c>
      <c r="H34" s="41" t="s">
        <v>142</v>
      </c>
      <c r="I34" s="41" t="s">
        <v>143</v>
      </c>
      <c r="J34" s="40">
        <v>30000000</v>
      </c>
      <c r="K34" s="41" t="s">
        <v>78</v>
      </c>
      <c r="L34" s="41">
        <v>3304126</v>
      </c>
      <c r="M34" s="41" t="s">
        <v>144</v>
      </c>
      <c r="N34" s="41" t="s">
        <v>145</v>
      </c>
      <c r="O34" s="40">
        <v>50000000</v>
      </c>
      <c r="P34" s="41" t="s">
        <v>146</v>
      </c>
      <c r="Q34" t="s">
        <v>3561</v>
      </c>
    </row>
    <row r="35" spans="1:17" ht="24" hidden="1" x14ac:dyDescent="0.35">
      <c r="A35" s="32">
        <v>19</v>
      </c>
      <c r="B35" s="41" t="s">
        <v>71</v>
      </c>
      <c r="C35" s="41" t="s">
        <v>72</v>
      </c>
      <c r="D35" s="41" t="s">
        <v>73</v>
      </c>
      <c r="E35" s="41" t="s">
        <v>147</v>
      </c>
      <c r="F35" s="41" t="s">
        <v>148</v>
      </c>
      <c r="G35" s="41" t="s">
        <v>149</v>
      </c>
      <c r="H35" s="41" t="s">
        <v>150</v>
      </c>
      <c r="I35" s="41" t="s">
        <v>151</v>
      </c>
      <c r="J35" s="40">
        <v>100000000</v>
      </c>
      <c r="K35" s="41" t="s">
        <v>78</v>
      </c>
      <c r="L35" s="41">
        <v>3304037</v>
      </c>
      <c r="M35" s="41" t="s">
        <v>144</v>
      </c>
      <c r="N35" s="41">
        <v>10</v>
      </c>
      <c r="O35" s="40">
        <v>100000000</v>
      </c>
      <c r="P35" s="41" t="s">
        <v>152</v>
      </c>
      <c r="Q35" t="s">
        <v>3561</v>
      </c>
    </row>
    <row r="36" spans="1:17" ht="36" hidden="1" x14ac:dyDescent="0.35">
      <c r="A36" s="32">
        <v>20</v>
      </c>
      <c r="B36" s="41" t="s">
        <v>71</v>
      </c>
      <c r="C36" s="41" t="s">
        <v>72</v>
      </c>
      <c r="D36" s="41" t="s">
        <v>73</v>
      </c>
      <c r="E36" s="41" t="s">
        <v>153</v>
      </c>
      <c r="F36" s="41" t="s">
        <v>140</v>
      </c>
      <c r="G36" s="41" t="s">
        <v>154</v>
      </c>
      <c r="H36" s="41" t="s">
        <v>155</v>
      </c>
      <c r="I36" s="41" t="s">
        <v>95</v>
      </c>
      <c r="J36" s="40">
        <v>20000000</v>
      </c>
      <c r="K36" s="41" t="s">
        <v>78</v>
      </c>
      <c r="L36" s="41">
        <v>3304169</v>
      </c>
      <c r="M36" s="41" t="s">
        <v>144</v>
      </c>
      <c r="N36" s="41">
        <v>3</v>
      </c>
      <c r="O36" s="40">
        <v>19035000</v>
      </c>
      <c r="P36" s="41"/>
      <c r="Q36" t="s">
        <v>3561</v>
      </c>
    </row>
    <row r="37" spans="1:17" ht="36" hidden="1" x14ac:dyDescent="0.35">
      <c r="A37" s="32">
        <v>21</v>
      </c>
      <c r="B37" s="41" t="s">
        <v>71</v>
      </c>
      <c r="C37" s="41" t="s">
        <v>72</v>
      </c>
      <c r="D37" s="41" t="s">
        <v>73</v>
      </c>
      <c r="E37" s="41" t="s">
        <v>156</v>
      </c>
      <c r="F37" s="41" t="s">
        <v>140</v>
      </c>
      <c r="G37" s="41" t="s">
        <v>157</v>
      </c>
      <c r="H37" s="41" t="s">
        <v>158</v>
      </c>
      <c r="I37" s="41" t="s">
        <v>159</v>
      </c>
      <c r="J37" s="40">
        <v>40000000</v>
      </c>
      <c r="K37" s="41" t="s">
        <v>78</v>
      </c>
      <c r="L37" s="41">
        <v>2871327</v>
      </c>
      <c r="M37" s="41" t="s">
        <v>144</v>
      </c>
      <c r="N37" s="41">
        <v>6</v>
      </c>
      <c r="O37" s="40">
        <v>38000000</v>
      </c>
      <c r="P37" s="41"/>
      <c r="Q37" t="s">
        <v>3561</v>
      </c>
    </row>
    <row r="38" spans="1:17" ht="24" hidden="1" x14ac:dyDescent="0.35">
      <c r="A38" s="32">
        <v>22</v>
      </c>
      <c r="B38" s="47" t="s">
        <v>71</v>
      </c>
      <c r="C38" s="47" t="s">
        <v>72</v>
      </c>
      <c r="D38" s="47" t="s">
        <v>73</v>
      </c>
      <c r="E38" s="47" t="s">
        <v>160</v>
      </c>
      <c r="F38" s="47"/>
      <c r="G38" s="47" t="s">
        <v>44</v>
      </c>
      <c r="H38" s="47" t="s">
        <v>161</v>
      </c>
      <c r="I38" s="47" t="s">
        <v>28</v>
      </c>
      <c r="J38" s="48">
        <v>8000000</v>
      </c>
      <c r="K38" s="47" t="s">
        <v>78</v>
      </c>
      <c r="L38" s="47">
        <v>2933174</v>
      </c>
      <c r="M38" s="47" t="s">
        <v>46</v>
      </c>
      <c r="N38" s="49">
        <v>1</v>
      </c>
      <c r="O38" s="48">
        <v>8000000</v>
      </c>
      <c r="P38" s="47"/>
      <c r="Q38" t="s">
        <v>3561</v>
      </c>
    </row>
    <row r="39" spans="1:17" ht="24" hidden="1" x14ac:dyDescent="0.35">
      <c r="A39" s="32">
        <v>23</v>
      </c>
      <c r="B39" s="41" t="s">
        <v>71</v>
      </c>
      <c r="C39" s="41" t="s">
        <v>72</v>
      </c>
      <c r="D39" s="41" t="s">
        <v>73</v>
      </c>
      <c r="E39" s="41" t="s">
        <v>85</v>
      </c>
      <c r="F39" s="41"/>
      <c r="G39" s="41" t="s">
        <v>162</v>
      </c>
      <c r="H39" s="41" t="s">
        <v>163</v>
      </c>
      <c r="I39" s="41" t="s">
        <v>164</v>
      </c>
      <c r="J39" s="40">
        <v>25000000</v>
      </c>
      <c r="K39" s="41" t="s">
        <v>78</v>
      </c>
      <c r="L39" s="41">
        <v>2914087</v>
      </c>
      <c r="M39" s="41" t="s">
        <v>46</v>
      </c>
      <c r="N39" s="39">
        <v>28</v>
      </c>
      <c r="O39" s="40">
        <v>177660000</v>
      </c>
      <c r="P39" s="41" t="s">
        <v>165</v>
      </c>
      <c r="Q39" t="s">
        <v>3561</v>
      </c>
    </row>
    <row r="40" spans="1:17" ht="24" hidden="1" x14ac:dyDescent="0.35">
      <c r="A40" s="32">
        <v>24</v>
      </c>
      <c r="B40" s="32" t="s">
        <v>71</v>
      </c>
      <c r="C40" s="32" t="s">
        <v>72</v>
      </c>
      <c r="D40" s="32" t="s">
        <v>73</v>
      </c>
      <c r="E40" s="32" t="s">
        <v>85</v>
      </c>
      <c r="F40" s="32" t="s">
        <v>166</v>
      </c>
      <c r="G40" s="32" t="s">
        <v>167</v>
      </c>
      <c r="H40" s="32" t="s">
        <v>168</v>
      </c>
      <c r="I40" s="32" t="s">
        <v>169</v>
      </c>
      <c r="J40" s="45">
        <v>50000000</v>
      </c>
      <c r="K40" s="32" t="s">
        <v>78</v>
      </c>
      <c r="L40" s="32">
        <v>2872813</v>
      </c>
      <c r="M40" s="32" t="s">
        <v>46</v>
      </c>
      <c r="N40" s="34">
        <v>8</v>
      </c>
      <c r="O40" s="33">
        <v>50760000</v>
      </c>
      <c r="P40" s="32"/>
      <c r="Q40" t="s">
        <v>3561</v>
      </c>
    </row>
    <row r="41" spans="1:17" ht="24" hidden="1" x14ac:dyDescent="0.35">
      <c r="A41" s="32">
        <v>25</v>
      </c>
      <c r="B41" s="32" t="s">
        <v>71</v>
      </c>
      <c r="C41" s="32" t="s">
        <v>72</v>
      </c>
      <c r="D41" s="32" t="s">
        <v>73</v>
      </c>
      <c r="E41" s="32" t="s">
        <v>170</v>
      </c>
      <c r="F41" s="32" t="s">
        <v>140</v>
      </c>
      <c r="G41" s="32" t="s">
        <v>171</v>
      </c>
      <c r="H41" s="32" t="s">
        <v>172</v>
      </c>
      <c r="I41" s="32" t="s">
        <v>35</v>
      </c>
      <c r="J41" s="45">
        <v>50000000</v>
      </c>
      <c r="K41" s="32" t="s">
        <v>78</v>
      </c>
      <c r="L41" s="32">
        <v>3310300</v>
      </c>
      <c r="M41" s="32" t="s">
        <v>173</v>
      </c>
      <c r="N41" s="34">
        <v>10</v>
      </c>
      <c r="O41" s="33">
        <v>63450000</v>
      </c>
      <c r="P41" s="32" t="s">
        <v>174</v>
      </c>
      <c r="Q41" t="s">
        <v>3561</v>
      </c>
    </row>
    <row r="42" spans="1:17" ht="24" hidden="1" x14ac:dyDescent="0.35">
      <c r="A42" s="32">
        <v>26</v>
      </c>
      <c r="B42" s="41" t="s">
        <v>71</v>
      </c>
      <c r="C42" s="41" t="s">
        <v>72</v>
      </c>
      <c r="D42" s="41" t="s">
        <v>73</v>
      </c>
      <c r="E42" s="41" t="s">
        <v>175</v>
      </c>
      <c r="F42" s="41" t="s">
        <v>176</v>
      </c>
      <c r="G42" s="41" t="s">
        <v>177</v>
      </c>
      <c r="H42" s="41" t="s">
        <v>178</v>
      </c>
      <c r="I42" s="41" t="s">
        <v>179</v>
      </c>
      <c r="J42" s="40">
        <v>25000000</v>
      </c>
      <c r="K42" s="41" t="s">
        <v>78</v>
      </c>
      <c r="L42" s="41">
        <v>3307568</v>
      </c>
      <c r="M42" s="41" t="s">
        <v>180</v>
      </c>
      <c r="N42" s="41">
        <v>4</v>
      </c>
      <c r="O42" s="40">
        <v>25380000</v>
      </c>
      <c r="P42" s="41" t="s">
        <v>123</v>
      </c>
      <c r="Q42" t="s">
        <v>3561</v>
      </c>
    </row>
    <row r="43" spans="1:17" ht="24" hidden="1" x14ac:dyDescent="0.35">
      <c r="A43" s="32">
        <v>27</v>
      </c>
      <c r="B43" s="32" t="s">
        <v>71</v>
      </c>
      <c r="C43" s="32" t="s">
        <v>72</v>
      </c>
      <c r="D43" s="32" t="s">
        <v>73</v>
      </c>
      <c r="E43" s="32" t="s">
        <v>85</v>
      </c>
      <c r="F43" s="32" t="s">
        <v>181</v>
      </c>
      <c r="G43" s="32" t="s">
        <v>182</v>
      </c>
      <c r="H43" s="32" t="s">
        <v>183</v>
      </c>
      <c r="I43" s="32" t="s">
        <v>184</v>
      </c>
      <c r="J43" s="45">
        <v>15000000</v>
      </c>
      <c r="K43" s="32" t="s">
        <v>78</v>
      </c>
      <c r="L43" s="32">
        <v>2959853</v>
      </c>
      <c r="M43" s="32" t="s">
        <v>180</v>
      </c>
      <c r="N43" s="34">
        <v>2</v>
      </c>
      <c r="O43" s="33">
        <v>12690000</v>
      </c>
      <c r="P43" s="32"/>
      <c r="Q43" t="s">
        <v>3561</v>
      </c>
    </row>
    <row r="44" spans="1:17" ht="24" hidden="1" x14ac:dyDescent="0.35">
      <c r="A44" s="32">
        <v>28</v>
      </c>
      <c r="B44" s="32" t="s">
        <v>71</v>
      </c>
      <c r="C44" s="32" t="s">
        <v>72</v>
      </c>
      <c r="D44" s="32" t="s">
        <v>73</v>
      </c>
      <c r="E44" s="32" t="s">
        <v>85</v>
      </c>
      <c r="F44" s="32" t="s">
        <v>181</v>
      </c>
      <c r="G44" s="32" t="s">
        <v>182</v>
      </c>
      <c r="H44" s="32" t="s">
        <v>185</v>
      </c>
      <c r="I44" s="32" t="s">
        <v>184</v>
      </c>
      <c r="J44" s="45">
        <v>15000000</v>
      </c>
      <c r="K44" s="32" t="s">
        <v>78</v>
      </c>
      <c r="L44" s="32">
        <v>2959876</v>
      </c>
      <c r="M44" s="32" t="s">
        <v>180</v>
      </c>
      <c r="N44" s="34">
        <v>2</v>
      </c>
      <c r="O44" s="33">
        <v>12690000</v>
      </c>
      <c r="P44" s="32"/>
      <c r="Q44" t="s">
        <v>3561</v>
      </c>
    </row>
    <row r="45" spans="1:17" ht="24" hidden="1" x14ac:dyDescent="0.35">
      <c r="A45" s="32">
        <v>29</v>
      </c>
      <c r="B45" s="41" t="s">
        <v>71</v>
      </c>
      <c r="C45" s="41" t="s">
        <v>72</v>
      </c>
      <c r="D45" s="41" t="s">
        <v>73</v>
      </c>
      <c r="E45" s="41" t="s">
        <v>85</v>
      </c>
      <c r="F45" s="41" t="s">
        <v>186</v>
      </c>
      <c r="G45" s="41" t="s">
        <v>187</v>
      </c>
      <c r="H45" s="41" t="s">
        <v>188</v>
      </c>
      <c r="I45" s="41" t="s">
        <v>184</v>
      </c>
      <c r="J45" s="40">
        <v>25000000</v>
      </c>
      <c r="K45" s="41" t="s">
        <v>78</v>
      </c>
      <c r="L45" s="41">
        <v>2975266</v>
      </c>
      <c r="M45" s="41" t="s">
        <v>180</v>
      </c>
      <c r="N45" s="39">
        <v>3</v>
      </c>
      <c r="O45" s="40">
        <v>20000000</v>
      </c>
      <c r="P45" s="41" t="s">
        <v>189</v>
      </c>
      <c r="Q45" t="s">
        <v>3561</v>
      </c>
    </row>
    <row r="46" spans="1:17" ht="24" hidden="1" x14ac:dyDescent="0.35">
      <c r="A46" s="32">
        <v>30</v>
      </c>
      <c r="B46" s="41" t="s">
        <v>71</v>
      </c>
      <c r="C46" s="41" t="s">
        <v>72</v>
      </c>
      <c r="D46" s="41" t="s">
        <v>73</v>
      </c>
      <c r="E46" s="41" t="s">
        <v>190</v>
      </c>
      <c r="F46" s="41" t="s">
        <v>176</v>
      </c>
      <c r="G46" s="41" t="s">
        <v>187</v>
      </c>
      <c r="H46" s="41" t="s">
        <v>191</v>
      </c>
      <c r="I46" s="41" t="s">
        <v>192</v>
      </c>
      <c r="J46" s="40">
        <v>67500000</v>
      </c>
      <c r="K46" s="41" t="s">
        <v>78</v>
      </c>
      <c r="L46" s="41">
        <v>3307538</v>
      </c>
      <c r="M46" s="41" t="s">
        <v>180</v>
      </c>
      <c r="N46" s="39">
        <v>7</v>
      </c>
      <c r="O46" s="40">
        <v>70000000</v>
      </c>
      <c r="P46" s="41" t="s">
        <v>193</v>
      </c>
      <c r="Q46" t="s">
        <v>3561</v>
      </c>
    </row>
    <row r="47" spans="1:17" ht="24" x14ac:dyDescent="0.35">
      <c r="A47" s="32">
        <v>32</v>
      </c>
      <c r="B47" s="50" t="s">
        <v>71</v>
      </c>
      <c r="C47" s="50" t="s">
        <v>72</v>
      </c>
      <c r="D47" s="50" t="s">
        <v>73</v>
      </c>
      <c r="E47" s="50"/>
      <c r="F47" s="50"/>
      <c r="G47" s="50" t="s">
        <v>76</v>
      </c>
      <c r="H47" s="50" t="s">
        <v>194</v>
      </c>
      <c r="I47" s="50" t="s">
        <v>77</v>
      </c>
      <c r="J47" s="51">
        <v>50000000</v>
      </c>
      <c r="K47" s="50" t="s">
        <v>78</v>
      </c>
      <c r="L47" s="50"/>
      <c r="M47" s="52" t="s">
        <v>79</v>
      </c>
      <c r="N47" s="52">
        <v>9</v>
      </c>
      <c r="O47" s="53">
        <f>6345000*N47</f>
        <v>57105000</v>
      </c>
      <c r="P47" s="50" t="s">
        <v>195</v>
      </c>
      <c r="Q47" t="s">
        <v>3561</v>
      </c>
    </row>
    <row r="48" spans="1:17" ht="24" hidden="1" x14ac:dyDescent="0.35">
      <c r="A48" s="32">
        <v>33</v>
      </c>
      <c r="B48" s="54" t="s">
        <v>71</v>
      </c>
      <c r="C48" s="54" t="s">
        <v>72</v>
      </c>
      <c r="D48" s="54" t="s">
        <v>73</v>
      </c>
      <c r="E48" s="55" t="s">
        <v>196</v>
      </c>
      <c r="F48" s="55" t="s">
        <v>124</v>
      </c>
      <c r="G48" s="54" t="s">
        <v>23</v>
      </c>
      <c r="H48" s="54" t="s">
        <v>125</v>
      </c>
      <c r="I48" s="54" t="s">
        <v>151</v>
      </c>
      <c r="J48" s="56">
        <v>10000000</v>
      </c>
      <c r="K48" s="54" t="s">
        <v>197</v>
      </c>
      <c r="L48" s="54">
        <v>2798523</v>
      </c>
      <c r="M48" s="54" t="s">
        <v>27</v>
      </c>
      <c r="N48" s="54">
        <v>15</v>
      </c>
      <c r="O48" s="56">
        <v>100000000</v>
      </c>
      <c r="P48" s="54" t="s">
        <v>198</v>
      </c>
      <c r="Q48" t="s">
        <v>3561</v>
      </c>
    </row>
    <row r="49" spans="1:17" ht="24" hidden="1" x14ac:dyDescent="0.35">
      <c r="A49" s="32">
        <v>34</v>
      </c>
      <c r="B49" s="54" t="s">
        <v>71</v>
      </c>
      <c r="C49" s="54" t="s">
        <v>72</v>
      </c>
      <c r="D49" s="54" t="s">
        <v>73</v>
      </c>
      <c r="E49" s="55" t="s">
        <v>199</v>
      </c>
      <c r="F49" s="55"/>
      <c r="G49" s="54" t="s">
        <v>49</v>
      </c>
      <c r="H49" s="54" t="s">
        <v>200</v>
      </c>
      <c r="I49" s="54" t="s">
        <v>201</v>
      </c>
      <c r="J49" s="56">
        <v>30000000</v>
      </c>
      <c r="K49" s="54" t="s">
        <v>197</v>
      </c>
      <c r="L49" s="54">
        <v>2818868</v>
      </c>
      <c r="M49" s="54" t="s">
        <v>46</v>
      </c>
      <c r="N49" s="57">
        <v>5</v>
      </c>
      <c r="O49" s="56">
        <v>31725000</v>
      </c>
      <c r="P49" s="54" t="s">
        <v>202</v>
      </c>
      <c r="Q49" t="s">
        <v>3561</v>
      </c>
    </row>
    <row r="50" spans="1:17" ht="24" x14ac:dyDescent="0.35">
      <c r="A50" s="32">
        <v>35</v>
      </c>
      <c r="B50" s="58" t="s">
        <v>71</v>
      </c>
      <c r="C50" s="58" t="s">
        <v>72</v>
      </c>
      <c r="D50" s="58" t="s">
        <v>73</v>
      </c>
      <c r="E50" s="59" t="s">
        <v>203</v>
      </c>
      <c r="F50" s="59" t="s">
        <v>204</v>
      </c>
      <c r="G50" s="58" t="s">
        <v>205</v>
      </c>
      <c r="H50" s="58" t="s">
        <v>206</v>
      </c>
      <c r="I50" s="58"/>
      <c r="J50" s="60"/>
      <c r="K50" s="54" t="s">
        <v>197</v>
      </c>
      <c r="L50" s="58">
        <v>2938366</v>
      </c>
      <c r="M50" s="58" t="s">
        <v>79</v>
      </c>
      <c r="N50" s="60">
        <v>15</v>
      </c>
      <c r="O50" s="60">
        <v>100000000</v>
      </c>
      <c r="P50" s="61" t="s">
        <v>207</v>
      </c>
      <c r="Q50" t="s">
        <v>3561</v>
      </c>
    </row>
    <row r="51" spans="1:17" ht="24" hidden="1" x14ac:dyDescent="0.35">
      <c r="A51" s="32">
        <v>36</v>
      </c>
      <c r="B51" s="54" t="s">
        <v>71</v>
      </c>
      <c r="C51" s="54" t="s">
        <v>72</v>
      </c>
      <c r="D51" s="54" t="s">
        <v>73</v>
      </c>
      <c r="E51" s="55" t="s">
        <v>91</v>
      </c>
      <c r="F51" s="55" t="s">
        <v>92</v>
      </c>
      <c r="G51" s="54" t="s">
        <v>208</v>
      </c>
      <c r="H51" s="54" t="s">
        <v>94</v>
      </c>
      <c r="I51" s="54" t="s">
        <v>95</v>
      </c>
      <c r="J51" s="56">
        <v>18000000</v>
      </c>
      <c r="K51" s="54" t="s">
        <v>197</v>
      </c>
      <c r="L51" s="54">
        <v>2960802</v>
      </c>
      <c r="M51" s="32" t="s">
        <v>97</v>
      </c>
      <c r="N51" s="54">
        <v>2</v>
      </c>
      <c r="O51" s="56">
        <v>15000000</v>
      </c>
      <c r="P51" s="54" t="s">
        <v>207</v>
      </c>
      <c r="Q51" t="s">
        <v>3561</v>
      </c>
    </row>
    <row r="52" spans="1:17" ht="24" hidden="1" x14ac:dyDescent="0.35">
      <c r="A52" s="32">
        <v>37</v>
      </c>
      <c r="B52" s="62" t="s">
        <v>71</v>
      </c>
      <c r="C52" s="62" t="s">
        <v>72</v>
      </c>
      <c r="D52" s="62" t="s">
        <v>73</v>
      </c>
      <c r="E52" s="62"/>
      <c r="F52" s="63"/>
      <c r="G52" s="62" t="s">
        <v>209</v>
      </c>
      <c r="H52" s="62" t="s">
        <v>210</v>
      </c>
      <c r="I52" s="63"/>
      <c r="J52" s="64"/>
      <c r="K52" s="63" t="s">
        <v>78</v>
      </c>
      <c r="L52" s="63"/>
      <c r="M52" s="63" t="s">
        <v>46</v>
      </c>
      <c r="N52" s="63">
        <v>8</v>
      </c>
      <c r="O52" s="64">
        <v>50000000</v>
      </c>
      <c r="P52" s="62" t="s">
        <v>211</v>
      </c>
      <c r="Q52" t="s">
        <v>3561</v>
      </c>
    </row>
    <row r="53" spans="1:17" ht="24" hidden="1" x14ac:dyDescent="0.35">
      <c r="A53" s="32">
        <v>38</v>
      </c>
      <c r="B53" s="62" t="s">
        <v>71</v>
      </c>
      <c r="C53" s="62" t="s">
        <v>72</v>
      </c>
      <c r="D53" s="62" t="s">
        <v>73</v>
      </c>
      <c r="E53" s="62"/>
      <c r="F53" s="63"/>
      <c r="G53" s="62" t="s">
        <v>209</v>
      </c>
      <c r="H53" s="62" t="s">
        <v>212</v>
      </c>
      <c r="I53" s="63"/>
      <c r="J53" s="64"/>
      <c r="K53" s="63" t="s">
        <v>78</v>
      </c>
      <c r="L53" s="63"/>
      <c r="M53" s="63" t="s">
        <v>46</v>
      </c>
      <c r="N53" s="63">
        <v>8</v>
      </c>
      <c r="O53" s="64">
        <v>50000000</v>
      </c>
      <c r="P53" s="62" t="s">
        <v>211</v>
      </c>
      <c r="Q53" t="s">
        <v>3561</v>
      </c>
    </row>
    <row r="54" spans="1:17" ht="24" hidden="1" x14ac:dyDescent="0.35">
      <c r="A54" s="32">
        <v>39</v>
      </c>
      <c r="B54" s="62" t="s">
        <v>71</v>
      </c>
      <c r="C54" s="62" t="s">
        <v>72</v>
      </c>
      <c r="D54" s="62" t="s">
        <v>73</v>
      </c>
      <c r="E54" s="62"/>
      <c r="F54" s="63"/>
      <c r="G54" s="62" t="s">
        <v>209</v>
      </c>
      <c r="H54" s="62" t="s">
        <v>213</v>
      </c>
      <c r="I54" s="63"/>
      <c r="J54" s="64"/>
      <c r="K54" s="63" t="s">
        <v>78</v>
      </c>
      <c r="L54" s="63"/>
      <c r="M54" s="63" t="s">
        <v>46</v>
      </c>
      <c r="N54" s="63">
        <v>8</v>
      </c>
      <c r="O54" s="64">
        <v>50000000</v>
      </c>
      <c r="P54" s="62" t="s">
        <v>211</v>
      </c>
      <c r="Q54" t="s">
        <v>3561</v>
      </c>
    </row>
    <row r="55" spans="1:17" ht="24" hidden="1" x14ac:dyDescent="0.35">
      <c r="A55" s="32">
        <v>40</v>
      </c>
      <c r="B55" s="62" t="s">
        <v>71</v>
      </c>
      <c r="C55" s="62" t="s">
        <v>72</v>
      </c>
      <c r="D55" s="62" t="s">
        <v>73</v>
      </c>
      <c r="E55" s="62"/>
      <c r="F55" s="63"/>
      <c r="G55" s="62" t="s">
        <v>209</v>
      </c>
      <c r="H55" s="62" t="s">
        <v>214</v>
      </c>
      <c r="I55" s="63"/>
      <c r="J55" s="64"/>
      <c r="K55" s="63" t="s">
        <v>78</v>
      </c>
      <c r="L55" s="63"/>
      <c r="M55" s="63" t="s">
        <v>46</v>
      </c>
      <c r="N55" s="63">
        <v>8</v>
      </c>
      <c r="O55" s="64">
        <v>50000000</v>
      </c>
      <c r="P55" s="62" t="s">
        <v>211</v>
      </c>
      <c r="Q55" t="s">
        <v>3561</v>
      </c>
    </row>
    <row r="56" spans="1:17" ht="24" hidden="1" x14ac:dyDescent="0.35">
      <c r="A56" s="32">
        <v>41</v>
      </c>
      <c r="B56" s="62" t="s">
        <v>71</v>
      </c>
      <c r="C56" s="62" t="s">
        <v>72</v>
      </c>
      <c r="D56" s="62" t="s">
        <v>73</v>
      </c>
      <c r="E56" s="62"/>
      <c r="F56" s="63"/>
      <c r="G56" s="62" t="s">
        <v>209</v>
      </c>
      <c r="H56" s="62" t="s">
        <v>215</v>
      </c>
      <c r="I56" s="63"/>
      <c r="J56" s="64"/>
      <c r="K56" s="63" t="s">
        <v>78</v>
      </c>
      <c r="L56" s="63"/>
      <c r="M56" s="63" t="s">
        <v>46</v>
      </c>
      <c r="N56" s="63">
        <v>8</v>
      </c>
      <c r="O56" s="64">
        <v>50000000</v>
      </c>
      <c r="P56" s="62" t="s">
        <v>211</v>
      </c>
      <c r="Q56" t="s">
        <v>3561</v>
      </c>
    </row>
    <row r="57" spans="1:17" ht="24" hidden="1" x14ac:dyDescent="0.35">
      <c r="A57" s="32">
        <v>42</v>
      </c>
      <c r="B57" s="62" t="s">
        <v>71</v>
      </c>
      <c r="C57" s="62" t="s">
        <v>72</v>
      </c>
      <c r="D57" s="62" t="s">
        <v>73</v>
      </c>
      <c r="E57" s="62"/>
      <c r="F57" s="63"/>
      <c r="G57" s="62" t="s">
        <v>209</v>
      </c>
      <c r="H57" s="62" t="s">
        <v>216</v>
      </c>
      <c r="I57" s="63"/>
      <c r="J57" s="64"/>
      <c r="K57" s="63" t="s">
        <v>78</v>
      </c>
      <c r="L57" s="63"/>
      <c r="M57" s="63" t="s">
        <v>46</v>
      </c>
      <c r="N57" s="63">
        <v>8</v>
      </c>
      <c r="O57" s="64">
        <v>50000000</v>
      </c>
      <c r="P57" s="62" t="s">
        <v>211</v>
      </c>
      <c r="Q57" t="s">
        <v>3561</v>
      </c>
    </row>
    <row r="58" spans="1:17" ht="24" hidden="1" x14ac:dyDescent="0.35">
      <c r="A58" s="32">
        <v>43</v>
      </c>
      <c r="B58" s="62" t="s">
        <v>71</v>
      </c>
      <c r="C58" s="62" t="s">
        <v>72</v>
      </c>
      <c r="D58" s="62" t="s">
        <v>73</v>
      </c>
      <c r="E58" s="62"/>
      <c r="F58" s="63"/>
      <c r="G58" s="62" t="s">
        <v>209</v>
      </c>
      <c r="H58" s="62" t="s">
        <v>217</v>
      </c>
      <c r="I58" s="63"/>
      <c r="J58" s="64"/>
      <c r="K58" s="63" t="s">
        <v>78</v>
      </c>
      <c r="L58" s="63"/>
      <c r="M58" s="63" t="s">
        <v>46</v>
      </c>
      <c r="N58" s="63">
        <v>8</v>
      </c>
      <c r="O58" s="64">
        <v>50000000</v>
      </c>
      <c r="P58" s="62" t="s">
        <v>211</v>
      </c>
      <c r="Q58" t="s">
        <v>3561</v>
      </c>
    </row>
    <row r="59" spans="1:17" ht="24" hidden="1" x14ac:dyDescent="0.35">
      <c r="A59" s="65">
        <v>44</v>
      </c>
      <c r="B59" s="66" t="s">
        <v>71</v>
      </c>
      <c r="C59" s="66" t="s">
        <v>72</v>
      </c>
      <c r="D59" s="66" t="s">
        <v>73</v>
      </c>
      <c r="E59" s="66" t="s">
        <v>85</v>
      </c>
      <c r="F59" s="66" t="s">
        <v>218</v>
      </c>
      <c r="G59" s="67" t="s">
        <v>219</v>
      </c>
      <c r="H59" s="67" t="s">
        <v>220</v>
      </c>
      <c r="I59" s="67"/>
      <c r="J59" s="68"/>
      <c r="K59" s="66" t="s">
        <v>78</v>
      </c>
      <c r="L59" s="67"/>
      <c r="M59" s="67" t="s">
        <v>55</v>
      </c>
      <c r="N59" s="67">
        <v>13</v>
      </c>
      <c r="O59" s="68">
        <v>111280000</v>
      </c>
      <c r="P59" s="66" t="s">
        <v>222</v>
      </c>
      <c r="Q59" t="s">
        <v>3561</v>
      </c>
    </row>
    <row r="60" spans="1:17" ht="24" hidden="1" x14ac:dyDescent="0.35">
      <c r="A60" s="65">
        <v>45</v>
      </c>
      <c r="B60" s="66" t="s">
        <v>71</v>
      </c>
      <c r="C60" s="66" t="s">
        <v>72</v>
      </c>
      <c r="D60" s="66" t="s">
        <v>73</v>
      </c>
      <c r="E60" s="69" t="s">
        <v>223</v>
      </c>
      <c r="F60" s="67"/>
      <c r="G60" s="67" t="s">
        <v>224</v>
      </c>
      <c r="H60" s="67" t="s">
        <v>225</v>
      </c>
      <c r="I60" s="70"/>
      <c r="J60" s="71"/>
      <c r="K60" s="66" t="s">
        <v>78</v>
      </c>
      <c r="L60" s="67"/>
      <c r="M60" s="67" t="s">
        <v>226</v>
      </c>
      <c r="N60" s="67">
        <v>3</v>
      </c>
      <c r="O60" s="68">
        <v>21250000</v>
      </c>
      <c r="P60" s="66" t="s">
        <v>227</v>
      </c>
      <c r="Q60" t="s">
        <v>3561</v>
      </c>
    </row>
    <row r="61" spans="1:17" ht="24" hidden="1" x14ac:dyDescent="0.35">
      <c r="A61" s="65">
        <v>46</v>
      </c>
      <c r="B61" s="66" t="s">
        <v>71</v>
      </c>
      <c r="C61" s="66" t="s">
        <v>72</v>
      </c>
      <c r="D61" s="66" t="s">
        <v>73</v>
      </c>
      <c r="E61" s="72" t="s">
        <v>228</v>
      </c>
      <c r="F61" s="73" t="s">
        <v>229</v>
      </c>
      <c r="G61" s="67" t="s">
        <v>230</v>
      </c>
      <c r="H61" s="67" t="s">
        <v>231</v>
      </c>
      <c r="I61" s="67"/>
      <c r="J61" s="68"/>
      <c r="K61" s="66" t="s">
        <v>78</v>
      </c>
      <c r="L61" s="67"/>
      <c r="M61" s="67" t="s">
        <v>180</v>
      </c>
      <c r="N61" s="67">
        <v>6</v>
      </c>
      <c r="O61" s="68">
        <v>37170483</v>
      </c>
      <c r="P61" s="66" t="s">
        <v>227</v>
      </c>
      <c r="Q61" t="s">
        <v>3561</v>
      </c>
    </row>
    <row r="62" spans="1:17" ht="24" hidden="1" x14ac:dyDescent="0.35">
      <c r="A62" s="65">
        <v>47</v>
      </c>
      <c r="B62" s="66" t="s">
        <v>71</v>
      </c>
      <c r="C62" s="66" t="s">
        <v>72</v>
      </c>
      <c r="D62" s="66" t="s">
        <v>73</v>
      </c>
      <c r="E62" s="74" t="s">
        <v>232</v>
      </c>
      <c r="F62" s="73" t="s">
        <v>229</v>
      </c>
      <c r="G62" s="67" t="s">
        <v>233</v>
      </c>
      <c r="H62" s="67" t="s">
        <v>234</v>
      </c>
      <c r="I62" s="67"/>
      <c r="J62" s="68"/>
      <c r="K62" s="66" t="s">
        <v>78</v>
      </c>
      <c r="L62" s="67"/>
      <c r="M62" s="67" t="s">
        <v>180</v>
      </c>
      <c r="N62" s="67">
        <v>6</v>
      </c>
      <c r="O62" s="68">
        <v>38133300</v>
      </c>
      <c r="P62" s="66" t="s">
        <v>227</v>
      </c>
      <c r="Q62" t="s">
        <v>3561</v>
      </c>
    </row>
    <row r="63" spans="1:17" ht="24" hidden="1" x14ac:dyDescent="0.35">
      <c r="A63" s="65">
        <v>48</v>
      </c>
      <c r="B63" s="66" t="s">
        <v>71</v>
      </c>
      <c r="C63" s="66" t="s">
        <v>72</v>
      </c>
      <c r="D63" s="66" t="s">
        <v>73</v>
      </c>
      <c r="E63" s="74" t="s">
        <v>232</v>
      </c>
      <c r="F63" s="73" t="s">
        <v>229</v>
      </c>
      <c r="G63" s="66" t="s">
        <v>235</v>
      </c>
      <c r="H63" s="67" t="s">
        <v>234</v>
      </c>
      <c r="I63" s="67"/>
      <c r="J63" s="68"/>
      <c r="K63" s="66" t="s">
        <v>78</v>
      </c>
      <c r="L63" s="67"/>
      <c r="M63" s="67" t="s">
        <v>180</v>
      </c>
      <c r="N63" s="67">
        <v>3</v>
      </c>
      <c r="O63" s="68">
        <v>25000000</v>
      </c>
      <c r="P63" s="66" t="s">
        <v>227</v>
      </c>
      <c r="Q63" t="s">
        <v>3561</v>
      </c>
    </row>
    <row r="64" spans="1:17" ht="24" hidden="1" x14ac:dyDescent="0.35">
      <c r="A64" s="65">
        <v>49</v>
      </c>
      <c r="B64" s="66" t="s">
        <v>71</v>
      </c>
      <c r="C64" s="66" t="s">
        <v>72</v>
      </c>
      <c r="D64" s="66" t="s">
        <v>73</v>
      </c>
      <c r="E64" s="66" t="s">
        <v>175</v>
      </c>
      <c r="F64" s="67" t="s">
        <v>236</v>
      </c>
      <c r="G64" s="67" t="s">
        <v>237</v>
      </c>
      <c r="H64" s="67" t="s">
        <v>238</v>
      </c>
      <c r="I64" s="67"/>
      <c r="J64" s="68"/>
      <c r="K64" s="66" t="s">
        <v>78</v>
      </c>
      <c r="L64" s="67"/>
      <c r="M64" s="32" t="s">
        <v>97</v>
      </c>
      <c r="N64" s="75">
        <v>3</v>
      </c>
      <c r="O64" s="68">
        <v>20000000</v>
      </c>
      <c r="P64" s="66" t="s">
        <v>227</v>
      </c>
      <c r="Q64" t="s">
        <v>3561</v>
      </c>
    </row>
    <row r="65" spans="1:17" ht="29" hidden="1" x14ac:dyDescent="0.35">
      <c r="A65" s="16">
        <v>50</v>
      </c>
      <c r="B65" s="7" t="s">
        <v>71</v>
      </c>
      <c r="C65" s="7" t="s">
        <v>72</v>
      </c>
      <c r="D65" s="7" t="s">
        <v>73</v>
      </c>
      <c r="E65" s="7" t="s">
        <v>239</v>
      </c>
      <c r="F65" s="16"/>
      <c r="G65" s="7" t="s">
        <v>240</v>
      </c>
      <c r="H65" s="7" t="s">
        <v>241</v>
      </c>
      <c r="I65" s="16"/>
      <c r="J65" s="76"/>
      <c r="K65" s="16" t="s">
        <v>78</v>
      </c>
      <c r="L65" s="16"/>
      <c r="M65" s="16" t="s">
        <v>226</v>
      </c>
      <c r="N65" s="77">
        <v>2</v>
      </c>
      <c r="O65" s="14">
        <v>14000000</v>
      </c>
      <c r="P65" s="16" t="s">
        <v>242</v>
      </c>
      <c r="Q65" t="s">
        <v>3561</v>
      </c>
    </row>
    <row r="66" spans="1:17" ht="29" hidden="1" x14ac:dyDescent="0.35">
      <c r="A66" s="16">
        <v>51</v>
      </c>
      <c r="B66" s="7" t="s">
        <v>71</v>
      </c>
      <c r="C66" s="7" t="s">
        <v>72</v>
      </c>
      <c r="D66" s="7" t="s">
        <v>73</v>
      </c>
      <c r="E66" s="7" t="s">
        <v>239</v>
      </c>
      <c r="F66" s="16"/>
      <c r="G66" s="7" t="s">
        <v>240</v>
      </c>
      <c r="H66" s="7" t="s">
        <v>243</v>
      </c>
      <c r="I66" s="16"/>
      <c r="J66" s="76"/>
      <c r="K66" s="16" t="s">
        <v>78</v>
      </c>
      <c r="L66" s="16"/>
      <c r="M66" s="16" t="s">
        <v>226</v>
      </c>
      <c r="N66" s="77">
        <v>2</v>
      </c>
      <c r="O66" s="14">
        <v>14000000</v>
      </c>
      <c r="P66" s="16" t="s">
        <v>242</v>
      </c>
      <c r="Q66" t="s">
        <v>3561</v>
      </c>
    </row>
    <row r="67" spans="1:17" ht="29" hidden="1" x14ac:dyDescent="0.35">
      <c r="A67" s="16">
        <v>52</v>
      </c>
      <c r="B67" s="7" t="s">
        <v>71</v>
      </c>
      <c r="C67" s="7" t="s">
        <v>72</v>
      </c>
      <c r="D67" s="7" t="s">
        <v>73</v>
      </c>
      <c r="E67" s="7" t="s">
        <v>239</v>
      </c>
      <c r="F67" s="16"/>
      <c r="G67" s="7" t="s">
        <v>240</v>
      </c>
      <c r="H67" s="7" t="s">
        <v>244</v>
      </c>
      <c r="I67" s="16"/>
      <c r="J67" s="76"/>
      <c r="K67" s="16" t="s">
        <v>78</v>
      </c>
      <c r="L67" s="16"/>
      <c r="M67" s="16" t="s">
        <v>226</v>
      </c>
      <c r="N67" s="77">
        <v>2</v>
      </c>
      <c r="O67" s="14">
        <v>14000000</v>
      </c>
      <c r="P67" s="16" t="s">
        <v>242</v>
      </c>
      <c r="Q67" t="s">
        <v>3561</v>
      </c>
    </row>
    <row r="68" spans="1:17" ht="29" hidden="1" x14ac:dyDescent="0.35">
      <c r="A68" s="16">
        <v>53</v>
      </c>
      <c r="B68" s="7" t="s">
        <v>71</v>
      </c>
      <c r="C68" s="7" t="s">
        <v>72</v>
      </c>
      <c r="D68" s="7" t="s">
        <v>73</v>
      </c>
      <c r="E68" s="7" t="s">
        <v>239</v>
      </c>
      <c r="F68" s="16"/>
      <c r="G68" s="7" t="s">
        <v>240</v>
      </c>
      <c r="H68" s="7" t="s">
        <v>245</v>
      </c>
      <c r="I68" s="16"/>
      <c r="J68" s="76"/>
      <c r="K68" s="16" t="s">
        <v>78</v>
      </c>
      <c r="L68" s="16"/>
      <c r="M68" s="16" t="s">
        <v>226</v>
      </c>
      <c r="N68" s="77">
        <v>2</v>
      </c>
      <c r="O68" s="14">
        <v>14000000</v>
      </c>
      <c r="P68" s="16" t="s">
        <v>242</v>
      </c>
      <c r="Q68" t="s">
        <v>3561</v>
      </c>
    </row>
    <row r="69" spans="1:17" ht="29" hidden="1" x14ac:dyDescent="0.35">
      <c r="A69" s="16">
        <v>54</v>
      </c>
      <c r="B69" s="7" t="s">
        <v>71</v>
      </c>
      <c r="C69" s="7" t="s">
        <v>72</v>
      </c>
      <c r="D69" s="7" t="s">
        <v>73</v>
      </c>
      <c r="E69" s="7" t="s">
        <v>239</v>
      </c>
      <c r="F69" s="16"/>
      <c r="G69" s="7" t="s">
        <v>240</v>
      </c>
      <c r="H69" s="7" t="s">
        <v>246</v>
      </c>
      <c r="I69" s="16"/>
      <c r="J69" s="76"/>
      <c r="K69" s="16" t="s">
        <v>78</v>
      </c>
      <c r="L69" s="16"/>
      <c r="M69" s="16" t="s">
        <v>226</v>
      </c>
      <c r="N69" s="77">
        <v>2</v>
      </c>
      <c r="O69" s="14">
        <v>14000000</v>
      </c>
      <c r="P69" s="16" t="s">
        <v>242</v>
      </c>
      <c r="Q69" t="s">
        <v>3561</v>
      </c>
    </row>
    <row r="70" spans="1:17" ht="29" hidden="1" x14ac:dyDescent="0.35">
      <c r="A70" s="16">
        <v>55</v>
      </c>
      <c r="B70" s="7" t="s">
        <v>71</v>
      </c>
      <c r="C70" s="7" t="s">
        <v>72</v>
      </c>
      <c r="D70" s="7" t="s">
        <v>73</v>
      </c>
      <c r="E70" s="7" t="s">
        <v>239</v>
      </c>
      <c r="F70" s="16"/>
      <c r="G70" s="7" t="s">
        <v>240</v>
      </c>
      <c r="H70" s="7" t="s">
        <v>247</v>
      </c>
      <c r="I70" s="16"/>
      <c r="J70" s="76"/>
      <c r="K70" s="16" t="s">
        <v>78</v>
      </c>
      <c r="L70" s="16"/>
      <c r="M70" s="16" t="s">
        <v>226</v>
      </c>
      <c r="N70" s="77">
        <v>6</v>
      </c>
      <c r="O70" s="14">
        <v>42000000</v>
      </c>
      <c r="P70" s="16" t="s">
        <v>242</v>
      </c>
      <c r="Q70" t="s">
        <v>3561</v>
      </c>
    </row>
    <row r="71" spans="1:17" ht="29" hidden="1" x14ac:dyDescent="0.35">
      <c r="A71" s="16">
        <v>56</v>
      </c>
      <c r="B71" s="7" t="s">
        <v>71</v>
      </c>
      <c r="C71" s="7" t="s">
        <v>72</v>
      </c>
      <c r="D71" s="7" t="s">
        <v>73</v>
      </c>
      <c r="E71" s="7" t="s">
        <v>239</v>
      </c>
      <c r="F71" s="16"/>
      <c r="G71" s="7" t="s">
        <v>240</v>
      </c>
      <c r="H71" s="7" t="s">
        <v>248</v>
      </c>
      <c r="I71" s="16"/>
      <c r="J71" s="76"/>
      <c r="K71" s="16" t="s">
        <v>78</v>
      </c>
      <c r="L71" s="16"/>
      <c r="M71" s="16" t="s">
        <v>226</v>
      </c>
      <c r="N71" s="77">
        <v>2</v>
      </c>
      <c r="O71" s="14">
        <v>14000000</v>
      </c>
      <c r="P71" s="16" t="s">
        <v>242</v>
      </c>
      <c r="Q71" t="s">
        <v>3561</v>
      </c>
    </row>
    <row r="72" spans="1:17" ht="29" hidden="1" x14ac:dyDescent="0.35">
      <c r="A72" s="16">
        <v>57</v>
      </c>
      <c r="B72" s="7" t="s">
        <v>71</v>
      </c>
      <c r="C72" s="7" t="s">
        <v>72</v>
      </c>
      <c r="D72" s="7" t="s">
        <v>73</v>
      </c>
      <c r="E72" s="7" t="s">
        <v>239</v>
      </c>
      <c r="F72" s="16"/>
      <c r="G72" s="7" t="s">
        <v>240</v>
      </c>
      <c r="H72" s="7" t="s">
        <v>249</v>
      </c>
      <c r="I72" s="16"/>
      <c r="J72" s="76"/>
      <c r="K72" s="16" t="s">
        <v>78</v>
      </c>
      <c r="L72" s="16"/>
      <c r="M72" s="16" t="s">
        <v>226</v>
      </c>
      <c r="N72" s="77">
        <v>2</v>
      </c>
      <c r="O72" s="14">
        <v>14000000</v>
      </c>
      <c r="P72" s="16" t="s">
        <v>242</v>
      </c>
      <c r="Q72" t="s">
        <v>3561</v>
      </c>
    </row>
    <row r="73" spans="1:17" ht="29" hidden="1" x14ac:dyDescent="0.35">
      <c r="A73" s="16">
        <v>58</v>
      </c>
      <c r="B73" s="7" t="s">
        <v>71</v>
      </c>
      <c r="C73" s="7" t="s">
        <v>72</v>
      </c>
      <c r="D73" s="7" t="s">
        <v>73</v>
      </c>
      <c r="E73" s="7" t="s">
        <v>239</v>
      </c>
      <c r="F73" s="16"/>
      <c r="G73" s="7" t="s">
        <v>240</v>
      </c>
      <c r="H73" s="7" t="s">
        <v>250</v>
      </c>
      <c r="I73" s="16"/>
      <c r="J73" s="76"/>
      <c r="K73" s="16" t="s">
        <v>78</v>
      </c>
      <c r="L73" s="16"/>
      <c r="M73" s="16" t="s">
        <v>226</v>
      </c>
      <c r="N73" s="77">
        <v>2</v>
      </c>
      <c r="O73" s="14">
        <v>14000000</v>
      </c>
      <c r="P73" s="16" t="s">
        <v>242</v>
      </c>
      <c r="Q73" t="s">
        <v>3561</v>
      </c>
    </row>
    <row r="74" spans="1:17" ht="62" hidden="1" x14ac:dyDescent="0.35">
      <c r="A74" s="78">
        <v>59</v>
      </c>
      <c r="B74" s="7" t="s">
        <v>71</v>
      </c>
      <c r="C74" s="7" t="s">
        <v>72</v>
      </c>
      <c r="D74" s="7" t="s">
        <v>73</v>
      </c>
      <c r="E74" s="79" t="s">
        <v>251</v>
      </c>
      <c r="F74" s="78"/>
      <c r="G74" s="80" t="s">
        <v>252</v>
      </c>
      <c r="H74" s="80" t="s">
        <v>253</v>
      </c>
      <c r="I74" s="78"/>
      <c r="J74" s="81"/>
      <c r="K74" s="78" t="s">
        <v>78</v>
      </c>
      <c r="L74" s="78"/>
      <c r="M74" s="78" t="s">
        <v>226</v>
      </c>
      <c r="N74" s="78"/>
      <c r="O74" s="81">
        <v>10000000</v>
      </c>
      <c r="P74" s="82" t="s">
        <v>254</v>
      </c>
      <c r="Q74" t="s">
        <v>3561</v>
      </c>
    </row>
    <row r="75" spans="1:17" ht="29" hidden="1" x14ac:dyDescent="0.35">
      <c r="A75" s="6">
        <v>1</v>
      </c>
      <c r="B75" s="7" t="s">
        <v>18</v>
      </c>
      <c r="C75" s="7" t="s">
        <v>255</v>
      </c>
      <c r="D75" s="7" t="s">
        <v>256</v>
      </c>
      <c r="E75" s="7" t="s">
        <v>257</v>
      </c>
      <c r="F75" s="7" t="s">
        <v>258</v>
      </c>
      <c r="G75" s="7" t="s">
        <v>205</v>
      </c>
      <c r="H75" s="7" t="s">
        <v>259</v>
      </c>
      <c r="I75" s="7" t="s">
        <v>260</v>
      </c>
      <c r="J75" s="83">
        <v>250000000</v>
      </c>
      <c r="K75" s="6" t="s">
        <v>261</v>
      </c>
      <c r="L75" s="7">
        <v>2938293</v>
      </c>
      <c r="M75" s="6" t="s">
        <v>79</v>
      </c>
      <c r="N75" s="14" t="s">
        <v>262</v>
      </c>
      <c r="O75" s="14">
        <v>201000000</v>
      </c>
      <c r="P75" s="7" t="s">
        <v>263</v>
      </c>
      <c r="Q75" t="s">
        <v>3586</v>
      </c>
    </row>
    <row r="76" spans="1:17" ht="29" hidden="1" x14ac:dyDescent="0.35">
      <c r="A76" s="6">
        <f t="shared" ref="A76:A139" si="1">A75+1</f>
        <v>2</v>
      </c>
      <c r="B76" s="7" t="s">
        <v>18</v>
      </c>
      <c r="C76" s="7" t="s">
        <v>255</v>
      </c>
      <c r="D76" s="7" t="s">
        <v>256</v>
      </c>
      <c r="E76" s="7" t="s">
        <v>264</v>
      </c>
      <c r="F76" s="7" t="s">
        <v>265</v>
      </c>
      <c r="G76" s="7" t="s">
        <v>266</v>
      </c>
      <c r="H76" s="7" t="s">
        <v>266</v>
      </c>
      <c r="I76" s="7"/>
      <c r="J76" s="83">
        <v>20000000</v>
      </c>
      <c r="K76" s="6" t="s">
        <v>261</v>
      </c>
      <c r="L76" s="7">
        <v>2846452</v>
      </c>
      <c r="M76" s="6" t="s">
        <v>79</v>
      </c>
      <c r="N76" s="14" t="s">
        <v>267</v>
      </c>
      <c r="O76" s="14">
        <v>83750000</v>
      </c>
      <c r="P76" s="7" t="s">
        <v>268</v>
      </c>
      <c r="Q76" t="s">
        <v>3586</v>
      </c>
    </row>
    <row r="77" spans="1:17" ht="29" hidden="1" x14ac:dyDescent="0.35">
      <c r="A77" s="84">
        <f t="shared" si="1"/>
        <v>3</v>
      </c>
      <c r="B77" s="85" t="s">
        <v>18</v>
      </c>
      <c r="C77" s="85" t="s">
        <v>255</v>
      </c>
      <c r="D77" s="85" t="s">
        <v>256</v>
      </c>
      <c r="E77" s="85" t="s">
        <v>269</v>
      </c>
      <c r="F77" s="85" t="s">
        <v>270</v>
      </c>
      <c r="G77" s="85" t="s">
        <v>271</v>
      </c>
      <c r="H77" s="85" t="s">
        <v>272</v>
      </c>
      <c r="I77" s="85"/>
      <c r="J77" s="86"/>
      <c r="K77" s="84" t="s">
        <v>261</v>
      </c>
      <c r="L77" s="85" t="s">
        <v>273</v>
      </c>
      <c r="M77" s="32" t="s">
        <v>97</v>
      </c>
      <c r="N77" s="85" t="s">
        <v>274</v>
      </c>
      <c r="O77" s="105">
        <v>50000000</v>
      </c>
      <c r="P77" s="85" t="s">
        <v>275</v>
      </c>
      <c r="Q77" t="s">
        <v>3586</v>
      </c>
    </row>
    <row r="78" spans="1:17" ht="29" hidden="1" x14ac:dyDescent="0.35">
      <c r="A78" s="84">
        <f t="shared" si="1"/>
        <v>4</v>
      </c>
      <c r="B78" s="85" t="s">
        <v>18</v>
      </c>
      <c r="C78" s="85" t="s">
        <v>255</v>
      </c>
      <c r="D78" s="85" t="s">
        <v>256</v>
      </c>
      <c r="E78" s="85" t="s">
        <v>276</v>
      </c>
      <c r="F78" s="85" t="s">
        <v>277</v>
      </c>
      <c r="G78" s="85" t="s">
        <v>278</v>
      </c>
      <c r="H78" s="85" t="s">
        <v>279</v>
      </c>
      <c r="I78" s="85" t="s">
        <v>280</v>
      </c>
      <c r="J78" s="88">
        <v>5000000</v>
      </c>
      <c r="K78" s="84" t="s">
        <v>261</v>
      </c>
      <c r="L78" s="85">
        <v>2978277</v>
      </c>
      <c r="M78" s="32" t="s">
        <v>97</v>
      </c>
      <c r="N78" s="85" t="s">
        <v>280</v>
      </c>
      <c r="O78" s="105">
        <v>10550000</v>
      </c>
      <c r="P78" s="85" t="s">
        <v>281</v>
      </c>
      <c r="Q78" t="s">
        <v>3586</v>
      </c>
    </row>
    <row r="79" spans="1:17" ht="29" hidden="1" x14ac:dyDescent="0.35">
      <c r="A79" s="84">
        <f t="shared" si="1"/>
        <v>5</v>
      </c>
      <c r="B79" s="85" t="s">
        <v>18</v>
      </c>
      <c r="C79" s="85" t="s">
        <v>255</v>
      </c>
      <c r="D79" s="85" t="s">
        <v>256</v>
      </c>
      <c r="E79" s="85" t="s">
        <v>276</v>
      </c>
      <c r="F79" s="85" t="s">
        <v>282</v>
      </c>
      <c r="G79" s="85" t="s">
        <v>278</v>
      </c>
      <c r="H79" s="85" t="s">
        <v>283</v>
      </c>
      <c r="I79" s="85" t="s">
        <v>280</v>
      </c>
      <c r="J79" s="88">
        <v>5000000</v>
      </c>
      <c r="K79" s="84" t="s">
        <v>261</v>
      </c>
      <c r="L79" s="85">
        <v>2972587</v>
      </c>
      <c r="M79" s="32" t="s">
        <v>97</v>
      </c>
      <c r="N79" s="85" t="s">
        <v>280</v>
      </c>
      <c r="O79" s="105">
        <v>10550000</v>
      </c>
      <c r="P79" s="85" t="s">
        <v>281</v>
      </c>
      <c r="Q79" t="s">
        <v>3586</v>
      </c>
    </row>
    <row r="80" spans="1:17" ht="43.5" hidden="1" x14ac:dyDescent="0.35">
      <c r="A80" s="84">
        <f t="shared" si="1"/>
        <v>6</v>
      </c>
      <c r="B80" s="85" t="s">
        <v>18</v>
      </c>
      <c r="C80" s="85" t="s">
        <v>37</v>
      </c>
      <c r="D80" s="85" t="s">
        <v>256</v>
      </c>
      <c r="E80" s="85" t="s">
        <v>284</v>
      </c>
      <c r="F80" s="85" t="s">
        <v>285</v>
      </c>
      <c r="G80" s="85" t="s">
        <v>238</v>
      </c>
      <c r="H80" s="85" t="s">
        <v>286</v>
      </c>
      <c r="I80" s="85"/>
      <c r="J80" s="86"/>
      <c r="K80" s="84" t="s">
        <v>261</v>
      </c>
      <c r="L80" s="85" t="s">
        <v>273</v>
      </c>
      <c r="M80" s="32" t="s">
        <v>97</v>
      </c>
      <c r="N80" s="85" t="s">
        <v>287</v>
      </c>
      <c r="O80" s="105">
        <v>129950000</v>
      </c>
      <c r="P80" s="85" t="s">
        <v>288</v>
      </c>
      <c r="Q80" t="s">
        <v>3586</v>
      </c>
    </row>
    <row r="81" spans="1:17" ht="43.5" hidden="1" x14ac:dyDescent="0.35">
      <c r="A81" s="84">
        <f t="shared" si="1"/>
        <v>7</v>
      </c>
      <c r="B81" s="85" t="s">
        <v>18</v>
      </c>
      <c r="C81" s="85" t="s">
        <v>37</v>
      </c>
      <c r="D81" s="85" t="s">
        <v>256</v>
      </c>
      <c r="E81" s="85" t="s">
        <v>284</v>
      </c>
      <c r="F81" s="85" t="s">
        <v>289</v>
      </c>
      <c r="G81" s="85" t="s">
        <v>238</v>
      </c>
      <c r="H81" s="85" t="s">
        <v>290</v>
      </c>
      <c r="I81" s="85"/>
      <c r="J81" s="86"/>
      <c r="K81" s="84" t="s">
        <v>261</v>
      </c>
      <c r="L81" s="85" t="s">
        <v>273</v>
      </c>
      <c r="M81" s="32" t="s">
        <v>97</v>
      </c>
      <c r="N81" s="85" t="s">
        <v>287</v>
      </c>
      <c r="O81" s="105">
        <v>129950000</v>
      </c>
      <c r="P81" s="85" t="s">
        <v>288</v>
      </c>
      <c r="Q81" t="s">
        <v>3586</v>
      </c>
    </row>
    <row r="82" spans="1:17" ht="43.5" hidden="1" x14ac:dyDescent="0.35">
      <c r="A82" s="84">
        <f t="shared" si="1"/>
        <v>8</v>
      </c>
      <c r="B82" s="85" t="s">
        <v>18</v>
      </c>
      <c r="C82" s="85" t="s">
        <v>255</v>
      </c>
      <c r="D82" s="85" t="s">
        <v>256</v>
      </c>
      <c r="E82" s="85" t="s">
        <v>291</v>
      </c>
      <c r="F82" s="85" t="s">
        <v>292</v>
      </c>
      <c r="G82" s="85" t="s">
        <v>101</v>
      </c>
      <c r="H82" s="85" t="s">
        <v>293</v>
      </c>
      <c r="I82" s="85" t="s">
        <v>294</v>
      </c>
      <c r="J82" s="88">
        <v>51000000</v>
      </c>
      <c r="K82" s="84" t="s">
        <v>261</v>
      </c>
      <c r="L82" s="85">
        <v>2821269</v>
      </c>
      <c r="M82" s="32" t="s">
        <v>97</v>
      </c>
      <c r="N82" s="85" t="s">
        <v>274</v>
      </c>
      <c r="O82" s="105">
        <f>16750000*3</f>
        <v>50250000</v>
      </c>
      <c r="P82" s="85" t="s">
        <v>295</v>
      </c>
      <c r="Q82" t="s">
        <v>3586</v>
      </c>
    </row>
    <row r="83" spans="1:17" ht="39" hidden="1" x14ac:dyDescent="0.35">
      <c r="A83" s="89">
        <f t="shared" si="1"/>
        <v>9</v>
      </c>
      <c r="B83" s="90" t="s">
        <v>18</v>
      </c>
      <c r="C83" s="90" t="s">
        <v>255</v>
      </c>
      <c r="D83" s="85" t="s">
        <v>256</v>
      </c>
      <c r="E83" s="90" t="s">
        <v>296</v>
      </c>
      <c r="F83" s="90" t="s">
        <v>297</v>
      </c>
      <c r="G83" s="89" t="s">
        <v>298</v>
      </c>
      <c r="H83" s="89" t="s">
        <v>299</v>
      </c>
      <c r="I83" s="89" t="s">
        <v>35</v>
      </c>
      <c r="J83" s="91">
        <v>150000000</v>
      </c>
      <c r="K83" s="89" t="s">
        <v>261</v>
      </c>
      <c r="L83" s="89">
        <v>2942621</v>
      </c>
      <c r="M83" s="89" t="s">
        <v>109</v>
      </c>
      <c r="N83" s="93" t="s">
        <v>300</v>
      </c>
      <c r="O83" s="93">
        <v>134000000</v>
      </c>
      <c r="P83" s="87" t="s">
        <v>281</v>
      </c>
      <c r="Q83" t="s">
        <v>3586</v>
      </c>
    </row>
    <row r="84" spans="1:17" ht="130.5" hidden="1" x14ac:dyDescent="0.35">
      <c r="A84" s="89">
        <f t="shared" si="1"/>
        <v>10</v>
      </c>
      <c r="B84" s="90" t="s">
        <v>18</v>
      </c>
      <c r="C84" s="90" t="s">
        <v>255</v>
      </c>
      <c r="D84" s="85" t="s">
        <v>256</v>
      </c>
      <c r="E84" s="90" t="s">
        <v>301</v>
      </c>
      <c r="F84" s="90" t="s">
        <v>302</v>
      </c>
      <c r="G84" s="89" t="s">
        <v>303</v>
      </c>
      <c r="H84" s="89" t="s">
        <v>304</v>
      </c>
      <c r="I84" s="89" t="s">
        <v>305</v>
      </c>
      <c r="J84" s="91">
        <v>25000000</v>
      </c>
      <c r="K84" s="89" t="s">
        <v>261</v>
      </c>
      <c r="L84" s="89">
        <v>2848845</v>
      </c>
      <c r="M84" s="89" t="s">
        <v>109</v>
      </c>
      <c r="N84" s="93" t="s">
        <v>25</v>
      </c>
      <c r="O84" s="119">
        <v>50000000</v>
      </c>
      <c r="P84" s="87" t="s">
        <v>306</v>
      </c>
      <c r="Q84" t="s">
        <v>3586</v>
      </c>
    </row>
    <row r="85" spans="1:17" ht="130.5" hidden="1" x14ac:dyDescent="0.35">
      <c r="A85" s="96">
        <f t="shared" si="1"/>
        <v>11</v>
      </c>
      <c r="B85" s="97" t="s">
        <v>18</v>
      </c>
      <c r="C85" s="97" t="s">
        <v>255</v>
      </c>
      <c r="D85" s="98" t="s">
        <v>256</v>
      </c>
      <c r="E85" s="97" t="s">
        <v>301</v>
      </c>
      <c r="F85" s="97" t="s">
        <v>307</v>
      </c>
      <c r="G85" s="96" t="s">
        <v>308</v>
      </c>
      <c r="H85" s="96" t="s">
        <v>309</v>
      </c>
      <c r="I85" s="96" t="s">
        <v>310</v>
      </c>
      <c r="J85" s="99">
        <v>28000000</v>
      </c>
      <c r="K85" s="96" t="s">
        <v>261</v>
      </c>
      <c r="L85" s="96">
        <v>2909530</v>
      </c>
      <c r="M85" s="96" t="s">
        <v>109</v>
      </c>
      <c r="N85" s="100" t="s">
        <v>25</v>
      </c>
      <c r="O85" s="100"/>
      <c r="P85" s="101" t="s">
        <v>306</v>
      </c>
      <c r="Q85" t="s">
        <v>3586</v>
      </c>
    </row>
    <row r="86" spans="1:17" ht="87" hidden="1" x14ac:dyDescent="0.35">
      <c r="A86" s="89">
        <f>A85+1</f>
        <v>12</v>
      </c>
      <c r="B86" s="90" t="s">
        <v>18</v>
      </c>
      <c r="C86" s="90" t="s">
        <v>255</v>
      </c>
      <c r="D86" s="85" t="s">
        <v>256</v>
      </c>
      <c r="E86" s="90" t="s">
        <v>311</v>
      </c>
      <c r="F86" s="90" t="s">
        <v>307</v>
      </c>
      <c r="G86" s="89" t="s">
        <v>308</v>
      </c>
      <c r="H86" s="89" t="s">
        <v>309</v>
      </c>
      <c r="I86" s="89" t="s">
        <v>312</v>
      </c>
      <c r="J86" s="91">
        <v>10000000</v>
      </c>
      <c r="K86" s="89" t="s">
        <v>261</v>
      </c>
      <c r="L86" s="89">
        <v>2910363</v>
      </c>
      <c r="M86" s="89" t="s">
        <v>109</v>
      </c>
      <c r="N86" s="93" t="s">
        <v>313</v>
      </c>
      <c r="O86" s="119"/>
      <c r="P86" s="87" t="s">
        <v>314</v>
      </c>
      <c r="Q86" t="s">
        <v>3586</v>
      </c>
    </row>
    <row r="87" spans="1:17" ht="87" hidden="1" x14ac:dyDescent="0.35">
      <c r="A87" s="89">
        <f t="shared" si="1"/>
        <v>13</v>
      </c>
      <c r="B87" s="90" t="s">
        <v>18</v>
      </c>
      <c r="C87" s="90" t="s">
        <v>255</v>
      </c>
      <c r="D87" s="85" t="s">
        <v>256</v>
      </c>
      <c r="E87" s="90" t="s">
        <v>311</v>
      </c>
      <c r="F87" s="90" t="s">
        <v>315</v>
      </c>
      <c r="G87" s="89" t="s">
        <v>308</v>
      </c>
      <c r="H87" s="89" t="s">
        <v>316</v>
      </c>
      <c r="I87" s="89" t="s">
        <v>317</v>
      </c>
      <c r="J87" s="91">
        <v>100000000</v>
      </c>
      <c r="K87" s="89" t="s">
        <v>261</v>
      </c>
      <c r="L87" s="89">
        <v>2910429</v>
      </c>
      <c r="M87" s="89" t="s">
        <v>109</v>
      </c>
      <c r="N87" s="93" t="s">
        <v>313</v>
      </c>
      <c r="O87" s="119">
        <v>110000000</v>
      </c>
      <c r="P87" s="87" t="s">
        <v>314</v>
      </c>
      <c r="Q87" t="s">
        <v>3586</v>
      </c>
    </row>
    <row r="88" spans="1:17" ht="72.5" hidden="1" x14ac:dyDescent="0.35">
      <c r="A88" s="89">
        <f t="shared" si="1"/>
        <v>14</v>
      </c>
      <c r="B88" s="90" t="s">
        <v>18</v>
      </c>
      <c r="C88" s="90" t="s">
        <v>255</v>
      </c>
      <c r="D88" s="85" t="s">
        <v>256</v>
      </c>
      <c r="E88" s="90" t="s">
        <v>318</v>
      </c>
      <c r="F88" s="90" t="s">
        <v>302</v>
      </c>
      <c r="G88" s="89" t="s">
        <v>319</v>
      </c>
      <c r="H88" s="89" t="s">
        <v>320</v>
      </c>
      <c r="I88" s="89" t="s">
        <v>321</v>
      </c>
      <c r="J88" s="91">
        <v>100000000</v>
      </c>
      <c r="K88" s="89" t="s">
        <v>261</v>
      </c>
      <c r="L88" s="89">
        <v>2915235</v>
      </c>
      <c r="M88" s="89" t="s">
        <v>109</v>
      </c>
      <c r="N88" s="93" t="s">
        <v>322</v>
      </c>
      <c r="O88" s="93">
        <v>100500000</v>
      </c>
      <c r="P88" s="87" t="s">
        <v>323</v>
      </c>
      <c r="Q88" t="s">
        <v>3586</v>
      </c>
    </row>
    <row r="89" spans="1:17" ht="101.5" hidden="1" x14ac:dyDescent="0.35">
      <c r="A89" s="89">
        <f t="shared" si="1"/>
        <v>15</v>
      </c>
      <c r="B89" s="90" t="s">
        <v>18</v>
      </c>
      <c r="C89" s="90" t="s">
        <v>255</v>
      </c>
      <c r="D89" s="85" t="s">
        <v>256</v>
      </c>
      <c r="E89" s="90" t="s">
        <v>301</v>
      </c>
      <c r="F89" s="90" t="s">
        <v>324</v>
      </c>
      <c r="G89" s="89" t="s">
        <v>325</v>
      </c>
      <c r="H89" s="89" t="s">
        <v>326</v>
      </c>
      <c r="I89" s="89" t="s">
        <v>327</v>
      </c>
      <c r="J89" s="91">
        <v>120000000</v>
      </c>
      <c r="K89" s="89" t="s">
        <v>261</v>
      </c>
      <c r="L89" s="89">
        <v>3149918</v>
      </c>
      <c r="M89" s="89" t="s">
        <v>109</v>
      </c>
      <c r="N89" s="93" t="s">
        <v>328</v>
      </c>
      <c r="O89" s="93">
        <v>117250000</v>
      </c>
      <c r="P89" s="87" t="s">
        <v>329</v>
      </c>
      <c r="Q89" t="s">
        <v>3586</v>
      </c>
    </row>
    <row r="90" spans="1:17" ht="39" hidden="1" x14ac:dyDescent="0.35">
      <c r="A90" s="89">
        <f t="shared" si="1"/>
        <v>16</v>
      </c>
      <c r="B90" s="90" t="s">
        <v>18</v>
      </c>
      <c r="C90" s="90" t="s">
        <v>255</v>
      </c>
      <c r="D90" s="85" t="s">
        <v>256</v>
      </c>
      <c r="E90" s="90" t="s">
        <v>301</v>
      </c>
      <c r="F90" s="90" t="s">
        <v>330</v>
      </c>
      <c r="G90" s="89" t="s">
        <v>325</v>
      </c>
      <c r="H90" s="89" t="s">
        <v>331</v>
      </c>
      <c r="I90" s="89" t="s">
        <v>327</v>
      </c>
      <c r="J90" s="91">
        <v>120000000</v>
      </c>
      <c r="K90" s="89" t="s">
        <v>261</v>
      </c>
      <c r="L90" s="89">
        <v>2871486</v>
      </c>
      <c r="M90" s="89" t="s">
        <v>109</v>
      </c>
      <c r="N90" s="93" t="s">
        <v>322</v>
      </c>
      <c r="O90" s="93">
        <v>100500000</v>
      </c>
      <c r="P90" s="87"/>
      <c r="Q90" t="s">
        <v>3586</v>
      </c>
    </row>
    <row r="91" spans="1:17" ht="43.5" hidden="1" x14ac:dyDescent="0.35">
      <c r="A91" s="89">
        <f t="shared" si="1"/>
        <v>17</v>
      </c>
      <c r="B91" s="90" t="s">
        <v>18</v>
      </c>
      <c r="C91" s="90" t="s">
        <v>255</v>
      </c>
      <c r="D91" s="85" t="s">
        <v>256</v>
      </c>
      <c r="E91" s="90" t="s">
        <v>332</v>
      </c>
      <c r="F91" s="90" t="s">
        <v>333</v>
      </c>
      <c r="G91" s="89" t="s">
        <v>334</v>
      </c>
      <c r="H91" s="89" t="s">
        <v>335</v>
      </c>
      <c r="I91" s="89" t="s">
        <v>336</v>
      </c>
      <c r="J91" s="91">
        <v>20000000</v>
      </c>
      <c r="K91" s="89" t="s">
        <v>261</v>
      </c>
      <c r="L91" s="89">
        <v>2824567</v>
      </c>
      <c r="M91" s="89" t="s">
        <v>109</v>
      </c>
      <c r="N91" s="93" t="s">
        <v>25</v>
      </c>
      <c r="O91" s="119">
        <v>0</v>
      </c>
      <c r="P91" s="87" t="s">
        <v>337</v>
      </c>
      <c r="Q91" t="s">
        <v>3586</v>
      </c>
    </row>
    <row r="92" spans="1:17" ht="43.5" hidden="1" x14ac:dyDescent="0.35">
      <c r="A92" s="84">
        <f t="shared" si="1"/>
        <v>18</v>
      </c>
      <c r="B92" s="85" t="s">
        <v>18</v>
      </c>
      <c r="C92" s="85" t="s">
        <v>255</v>
      </c>
      <c r="D92" s="85" t="s">
        <v>256</v>
      </c>
      <c r="E92" s="85" t="s">
        <v>296</v>
      </c>
      <c r="F92" s="85" t="s">
        <v>338</v>
      </c>
      <c r="G92" s="84" t="s">
        <v>339</v>
      </c>
      <c r="H92" s="84" t="s">
        <v>340</v>
      </c>
      <c r="I92" s="84" t="s">
        <v>341</v>
      </c>
      <c r="J92" s="94">
        <v>100000000</v>
      </c>
      <c r="K92" s="84" t="s">
        <v>261</v>
      </c>
      <c r="L92" s="84">
        <v>2935974</v>
      </c>
      <c r="M92" s="84" t="s">
        <v>27</v>
      </c>
      <c r="N92" s="84" t="s">
        <v>342</v>
      </c>
      <c r="O92" s="93">
        <v>134000000</v>
      </c>
      <c r="P92" s="87"/>
      <c r="Q92" t="s">
        <v>3586</v>
      </c>
    </row>
    <row r="93" spans="1:17" ht="29" hidden="1" x14ac:dyDescent="0.35">
      <c r="A93" s="84">
        <f t="shared" si="1"/>
        <v>19</v>
      </c>
      <c r="B93" s="85" t="s">
        <v>18</v>
      </c>
      <c r="C93" s="85" t="s">
        <v>255</v>
      </c>
      <c r="D93" s="85" t="s">
        <v>256</v>
      </c>
      <c r="E93" s="85" t="s">
        <v>343</v>
      </c>
      <c r="F93" s="85" t="s">
        <v>344</v>
      </c>
      <c r="G93" s="84" t="s">
        <v>345</v>
      </c>
      <c r="H93" s="84" t="s">
        <v>346</v>
      </c>
      <c r="I93" s="84" t="s">
        <v>347</v>
      </c>
      <c r="J93" s="94">
        <v>30000000</v>
      </c>
      <c r="K93" s="84" t="s">
        <v>261</v>
      </c>
      <c r="L93" s="84">
        <v>2963095</v>
      </c>
      <c r="M93" s="84" t="s">
        <v>27</v>
      </c>
      <c r="N93" s="84" t="s">
        <v>348</v>
      </c>
      <c r="O93" s="119">
        <v>50000000</v>
      </c>
      <c r="P93" s="87"/>
      <c r="Q93" t="s">
        <v>3586</v>
      </c>
    </row>
    <row r="94" spans="1:17" ht="29" hidden="1" x14ac:dyDescent="0.35">
      <c r="A94" s="84">
        <f t="shared" si="1"/>
        <v>20</v>
      </c>
      <c r="B94" s="85" t="s">
        <v>18</v>
      </c>
      <c r="C94" s="85" t="s">
        <v>255</v>
      </c>
      <c r="D94" s="85" t="s">
        <v>256</v>
      </c>
      <c r="E94" s="85" t="s">
        <v>349</v>
      </c>
      <c r="F94" s="85" t="s">
        <v>350</v>
      </c>
      <c r="G94" s="84" t="s">
        <v>351</v>
      </c>
      <c r="H94" s="84" t="s">
        <v>352</v>
      </c>
      <c r="I94" s="84" t="s">
        <v>353</v>
      </c>
      <c r="J94" s="94" t="s">
        <v>48</v>
      </c>
      <c r="K94" s="84" t="s">
        <v>261</v>
      </c>
      <c r="L94" s="84">
        <v>2959291</v>
      </c>
      <c r="M94" s="84" t="s">
        <v>27</v>
      </c>
      <c r="N94" s="84"/>
      <c r="O94" s="93">
        <v>110000000</v>
      </c>
      <c r="P94" s="85"/>
      <c r="Q94" t="s">
        <v>3586</v>
      </c>
    </row>
    <row r="95" spans="1:17" ht="29" hidden="1" x14ac:dyDescent="0.35">
      <c r="A95" s="84">
        <f t="shared" si="1"/>
        <v>21</v>
      </c>
      <c r="B95" s="85" t="s">
        <v>18</v>
      </c>
      <c r="C95" s="85" t="s">
        <v>255</v>
      </c>
      <c r="D95" s="85" t="s">
        <v>256</v>
      </c>
      <c r="E95" s="85" t="s">
        <v>354</v>
      </c>
      <c r="F95" s="85" t="s">
        <v>355</v>
      </c>
      <c r="G95" s="85" t="s">
        <v>356</v>
      </c>
      <c r="H95" s="92" t="s">
        <v>357</v>
      </c>
      <c r="I95" s="85" t="s">
        <v>358</v>
      </c>
      <c r="J95" s="102">
        <v>35000000</v>
      </c>
      <c r="K95" s="84" t="s">
        <v>261</v>
      </c>
      <c r="L95" s="85" t="s">
        <v>359</v>
      </c>
      <c r="M95" s="84" t="s">
        <v>27</v>
      </c>
      <c r="N95" s="85" t="s">
        <v>313</v>
      </c>
      <c r="O95" s="344">
        <v>50000000</v>
      </c>
      <c r="P95" s="85"/>
      <c r="Q95" t="s">
        <v>3586</v>
      </c>
    </row>
    <row r="96" spans="1:17" ht="29" hidden="1" x14ac:dyDescent="0.35">
      <c r="A96" s="103">
        <f t="shared" si="1"/>
        <v>22</v>
      </c>
      <c r="B96" s="85" t="s">
        <v>18</v>
      </c>
      <c r="C96" s="85" t="s">
        <v>255</v>
      </c>
      <c r="D96" s="85" t="s">
        <v>256</v>
      </c>
      <c r="E96" s="85" t="s">
        <v>360</v>
      </c>
      <c r="F96" s="85" t="s">
        <v>140</v>
      </c>
      <c r="G96" s="84" t="s">
        <v>361</v>
      </c>
      <c r="H96" s="84" t="s">
        <v>362</v>
      </c>
      <c r="I96" s="84">
        <v>20</v>
      </c>
      <c r="J96" s="94">
        <v>20000000</v>
      </c>
      <c r="K96" s="84" t="s">
        <v>261</v>
      </c>
      <c r="L96" s="84">
        <v>2820196</v>
      </c>
      <c r="M96" s="84" t="s">
        <v>144</v>
      </c>
      <c r="N96" s="84" t="s">
        <v>122</v>
      </c>
      <c r="O96" s="119">
        <v>50000000</v>
      </c>
      <c r="P96" s="104"/>
      <c r="Q96" t="s">
        <v>3586</v>
      </c>
    </row>
    <row r="97" spans="1:17" ht="43.5" hidden="1" x14ac:dyDescent="0.35">
      <c r="A97" s="103">
        <f t="shared" si="1"/>
        <v>23</v>
      </c>
      <c r="B97" s="85" t="s">
        <v>18</v>
      </c>
      <c r="C97" s="85" t="s">
        <v>255</v>
      </c>
      <c r="D97" s="85" t="s">
        <v>256</v>
      </c>
      <c r="E97" s="85" t="s">
        <v>363</v>
      </c>
      <c r="F97" s="85" t="s">
        <v>140</v>
      </c>
      <c r="G97" s="84" t="s">
        <v>364</v>
      </c>
      <c r="H97" s="84" t="s">
        <v>365</v>
      </c>
      <c r="I97" s="84" t="s">
        <v>366</v>
      </c>
      <c r="J97" s="94">
        <v>50000000</v>
      </c>
      <c r="K97" s="84" t="s">
        <v>261</v>
      </c>
      <c r="L97" s="84">
        <v>2928196</v>
      </c>
      <c r="M97" s="84" t="s">
        <v>144</v>
      </c>
      <c r="N97" s="84" t="s">
        <v>274</v>
      </c>
      <c r="O97" s="93">
        <v>50000000</v>
      </c>
      <c r="P97" s="104"/>
      <c r="Q97" t="s">
        <v>3586</v>
      </c>
    </row>
    <row r="98" spans="1:17" ht="29" hidden="1" x14ac:dyDescent="0.35">
      <c r="A98" s="103">
        <f t="shared" si="1"/>
        <v>24</v>
      </c>
      <c r="B98" s="85" t="s">
        <v>18</v>
      </c>
      <c r="C98" s="85" t="s">
        <v>255</v>
      </c>
      <c r="D98" s="85" t="s">
        <v>256</v>
      </c>
      <c r="E98" s="85" t="s">
        <v>367</v>
      </c>
      <c r="F98" s="85" t="s">
        <v>368</v>
      </c>
      <c r="G98" s="84" t="s">
        <v>364</v>
      </c>
      <c r="H98" s="84" t="s">
        <v>369</v>
      </c>
      <c r="I98" s="84" t="s">
        <v>370</v>
      </c>
      <c r="J98" s="94">
        <v>100000000</v>
      </c>
      <c r="K98" s="84" t="s">
        <v>261</v>
      </c>
      <c r="L98" s="84">
        <v>2928393</v>
      </c>
      <c r="M98" s="84" t="s">
        <v>144</v>
      </c>
      <c r="N98" s="84" t="s">
        <v>370</v>
      </c>
      <c r="O98" s="93">
        <v>100000000</v>
      </c>
      <c r="P98" s="104"/>
      <c r="Q98" t="s">
        <v>3586</v>
      </c>
    </row>
    <row r="99" spans="1:17" ht="29" hidden="1" x14ac:dyDescent="0.35">
      <c r="A99" s="103">
        <f t="shared" si="1"/>
        <v>25</v>
      </c>
      <c r="B99" s="85" t="s">
        <v>18</v>
      </c>
      <c r="C99" s="85" t="s">
        <v>255</v>
      </c>
      <c r="D99" s="85" t="s">
        <v>256</v>
      </c>
      <c r="E99" s="85" t="s">
        <v>367</v>
      </c>
      <c r="F99" s="85" t="s">
        <v>140</v>
      </c>
      <c r="G99" s="84" t="s">
        <v>364</v>
      </c>
      <c r="H99" s="84" t="s">
        <v>371</v>
      </c>
      <c r="I99" s="84" t="s">
        <v>370</v>
      </c>
      <c r="J99" s="94">
        <v>100000000</v>
      </c>
      <c r="K99" s="84" t="s">
        <v>261</v>
      </c>
      <c r="L99" s="84">
        <v>2929100</v>
      </c>
      <c r="M99" s="84" t="s">
        <v>144</v>
      </c>
      <c r="N99" s="84" t="s">
        <v>370</v>
      </c>
      <c r="O99" s="93">
        <v>100000000</v>
      </c>
      <c r="P99" s="104"/>
      <c r="Q99" t="s">
        <v>3586</v>
      </c>
    </row>
    <row r="100" spans="1:17" ht="29" hidden="1" x14ac:dyDescent="0.35">
      <c r="A100" s="84">
        <f t="shared" si="1"/>
        <v>26</v>
      </c>
      <c r="B100" s="85" t="s">
        <v>18</v>
      </c>
      <c r="C100" s="85" t="s">
        <v>255</v>
      </c>
      <c r="D100" s="85" t="s">
        <v>256</v>
      </c>
      <c r="E100" s="85" t="s">
        <v>372</v>
      </c>
      <c r="F100" s="85" t="s">
        <v>373</v>
      </c>
      <c r="G100" s="85" t="s">
        <v>374</v>
      </c>
      <c r="H100" s="85" t="s">
        <v>375</v>
      </c>
      <c r="I100" s="85" t="s">
        <v>35</v>
      </c>
      <c r="J100" s="102">
        <v>25000000</v>
      </c>
      <c r="K100" s="84" t="s">
        <v>261</v>
      </c>
      <c r="L100" s="85">
        <v>2911253</v>
      </c>
      <c r="M100" s="84" t="s">
        <v>46</v>
      </c>
      <c r="N100" s="105" t="s">
        <v>376</v>
      </c>
      <c r="O100" s="282"/>
      <c r="P100" s="85" t="s">
        <v>377</v>
      </c>
      <c r="Q100" t="s">
        <v>3586</v>
      </c>
    </row>
    <row r="101" spans="1:17" ht="29" hidden="1" x14ac:dyDescent="0.35">
      <c r="A101" s="84">
        <f t="shared" si="1"/>
        <v>27</v>
      </c>
      <c r="B101" s="85" t="s">
        <v>18</v>
      </c>
      <c r="C101" s="85" t="s">
        <v>255</v>
      </c>
      <c r="D101" s="85" t="s">
        <v>256</v>
      </c>
      <c r="E101" s="85" t="s">
        <v>372</v>
      </c>
      <c r="F101" s="85" t="s">
        <v>373</v>
      </c>
      <c r="G101" s="85" t="s">
        <v>374</v>
      </c>
      <c r="H101" s="85" t="s">
        <v>378</v>
      </c>
      <c r="I101" s="85" t="s">
        <v>35</v>
      </c>
      <c r="J101" s="102">
        <v>25000000</v>
      </c>
      <c r="K101" s="84" t="s">
        <v>261</v>
      </c>
      <c r="L101" s="85">
        <v>2911253</v>
      </c>
      <c r="M101" s="84" t="s">
        <v>46</v>
      </c>
      <c r="N101" s="105" t="s">
        <v>376</v>
      </c>
      <c r="O101" s="282"/>
      <c r="P101" s="85" t="s">
        <v>377</v>
      </c>
      <c r="Q101" t="s">
        <v>3586</v>
      </c>
    </row>
    <row r="102" spans="1:17" ht="29" hidden="1" x14ac:dyDescent="0.35">
      <c r="A102" s="84">
        <f t="shared" si="1"/>
        <v>28</v>
      </c>
      <c r="B102" s="85" t="s">
        <v>18</v>
      </c>
      <c r="C102" s="85" t="s">
        <v>255</v>
      </c>
      <c r="D102" s="85" t="s">
        <v>256</v>
      </c>
      <c r="E102" s="85" t="s">
        <v>372</v>
      </c>
      <c r="F102" s="85" t="s">
        <v>373</v>
      </c>
      <c r="G102" s="85" t="s">
        <v>374</v>
      </c>
      <c r="H102" s="85" t="s">
        <v>379</v>
      </c>
      <c r="I102" s="85" t="s">
        <v>35</v>
      </c>
      <c r="J102" s="102">
        <v>25000000</v>
      </c>
      <c r="K102" s="84" t="s">
        <v>261</v>
      </c>
      <c r="L102" s="85">
        <v>2911253</v>
      </c>
      <c r="M102" s="84" t="s">
        <v>46</v>
      </c>
      <c r="N102" s="105" t="s">
        <v>376</v>
      </c>
      <c r="O102" s="282"/>
      <c r="P102" s="85" t="s">
        <v>377</v>
      </c>
      <c r="Q102" t="s">
        <v>3586</v>
      </c>
    </row>
    <row r="103" spans="1:17" ht="29" hidden="1" x14ac:dyDescent="0.35">
      <c r="A103" s="84">
        <f t="shared" si="1"/>
        <v>29</v>
      </c>
      <c r="B103" s="85" t="s">
        <v>18</v>
      </c>
      <c r="C103" s="85" t="s">
        <v>255</v>
      </c>
      <c r="D103" s="85" t="s">
        <v>256</v>
      </c>
      <c r="E103" s="85" t="s">
        <v>372</v>
      </c>
      <c r="F103" s="85" t="s">
        <v>373</v>
      </c>
      <c r="G103" s="85" t="s">
        <v>374</v>
      </c>
      <c r="H103" s="106" t="s">
        <v>380</v>
      </c>
      <c r="I103" s="85" t="s">
        <v>35</v>
      </c>
      <c r="J103" s="102">
        <v>25000000</v>
      </c>
      <c r="K103" s="84" t="s">
        <v>261</v>
      </c>
      <c r="L103" s="85">
        <v>2911253</v>
      </c>
      <c r="M103" s="84" t="s">
        <v>46</v>
      </c>
      <c r="N103" s="105" t="s">
        <v>376</v>
      </c>
      <c r="O103" s="282">
        <f>16750000*7</f>
        <v>117250000</v>
      </c>
      <c r="P103" s="85" t="s">
        <v>377</v>
      </c>
      <c r="Q103" t="s">
        <v>3586</v>
      </c>
    </row>
    <row r="104" spans="1:17" ht="29" hidden="1" x14ac:dyDescent="0.35">
      <c r="A104" s="84">
        <f t="shared" si="1"/>
        <v>30</v>
      </c>
      <c r="B104" s="85" t="s">
        <v>18</v>
      </c>
      <c r="C104" s="85" t="s">
        <v>255</v>
      </c>
      <c r="D104" s="85" t="s">
        <v>256</v>
      </c>
      <c r="E104" s="85" t="s">
        <v>372</v>
      </c>
      <c r="F104" s="85" t="s">
        <v>373</v>
      </c>
      <c r="G104" s="85" t="s">
        <v>374</v>
      </c>
      <c r="H104" s="106" t="s">
        <v>381</v>
      </c>
      <c r="I104" s="85" t="s">
        <v>35</v>
      </c>
      <c r="J104" s="102">
        <v>25000000</v>
      </c>
      <c r="K104" s="84" t="s">
        <v>261</v>
      </c>
      <c r="L104" s="85">
        <v>2911253</v>
      </c>
      <c r="M104" s="84" t="s">
        <v>46</v>
      </c>
      <c r="N104" s="105" t="s">
        <v>376</v>
      </c>
      <c r="O104" s="282"/>
      <c r="P104" s="85" t="s">
        <v>377</v>
      </c>
      <c r="Q104" t="s">
        <v>3586</v>
      </c>
    </row>
    <row r="105" spans="1:17" ht="29" hidden="1" x14ac:dyDescent="0.35">
      <c r="A105" s="84">
        <f t="shared" si="1"/>
        <v>31</v>
      </c>
      <c r="B105" s="85" t="s">
        <v>18</v>
      </c>
      <c r="C105" s="85" t="s">
        <v>255</v>
      </c>
      <c r="D105" s="85" t="s">
        <v>256</v>
      </c>
      <c r="E105" s="85" t="s">
        <v>372</v>
      </c>
      <c r="F105" s="85" t="s">
        <v>373</v>
      </c>
      <c r="G105" s="85" t="s">
        <v>374</v>
      </c>
      <c r="H105" s="85" t="s">
        <v>382</v>
      </c>
      <c r="I105" s="85" t="s">
        <v>35</v>
      </c>
      <c r="J105" s="102">
        <v>25000000</v>
      </c>
      <c r="K105" s="84" t="s">
        <v>261</v>
      </c>
      <c r="L105" s="85">
        <v>2911253</v>
      </c>
      <c r="M105" s="84" t="s">
        <v>46</v>
      </c>
      <c r="N105" s="105" t="s">
        <v>376</v>
      </c>
      <c r="O105" s="282"/>
      <c r="P105" s="85" t="s">
        <v>377</v>
      </c>
      <c r="Q105" t="s">
        <v>3586</v>
      </c>
    </row>
    <row r="106" spans="1:17" ht="29" hidden="1" x14ac:dyDescent="0.35">
      <c r="A106" s="84">
        <f t="shared" si="1"/>
        <v>32</v>
      </c>
      <c r="B106" s="85" t="s">
        <v>18</v>
      </c>
      <c r="C106" s="85" t="s">
        <v>255</v>
      </c>
      <c r="D106" s="85" t="s">
        <v>256</v>
      </c>
      <c r="E106" s="85" t="s">
        <v>372</v>
      </c>
      <c r="F106" s="85" t="s">
        <v>373</v>
      </c>
      <c r="G106" s="85" t="s">
        <v>374</v>
      </c>
      <c r="H106" s="85" t="s">
        <v>383</v>
      </c>
      <c r="I106" s="85" t="s">
        <v>35</v>
      </c>
      <c r="J106" s="102">
        <v>25000000</v>
      </c>
      <c r="K106" s="84" t="s">
        <v>261</v>
      </c>
      <c r="L106" s="85">
        <v>2911253</v>
      </c>
      <c r="M106" s="84" t="s">
        <v>46</v>
      </c>
      <c r="N106" s="105" t="s">
        <v>376</v>
      </c>
      <c r="O106" s="282"/>
      <c r="P106" s="85" t="s">
        <v>377</v>
      </c>
      <c r="Q106" t="s">
        <v>3586</v>
      </c>
    </row>
    <row r="107" spans="1:17" ht="58" hidden="1" x14ac:dyDescent="0.35">
      <c r="A107" s="84">
        <f t="shared" si="1"/>
        <v>33</v>
      </c>
      <c r="B107" s="85" t="s">
        <v>18</v>
      </c>
      <c r="C107" s="85" t="s">
        <v>255</v>
      </c>
      <c r="D107" s="85" t="s">
        <v>256</v>
      </c>
      <c r="E107" s="85" t="s">
        <v>384</v>
      </c>
      <c r="F107" s="85"/>
      <c r="G107" s="85" t="s">
        <v>44</v>
      </c>
      <c r="H107" s="85" t="s">
        <v>385</v>
      </c>
      <c r="I107" s="85" t="s">
        <v>28</v>
      </c>
      <c r="J107" s="102">
        <v>18000000</v>
      </c>
      <c r="K107" s="84" t="s">
        <v>261</v>
      </c>
      <c r="L107" s="85">
        <v>3008964</v>
      </c>
      <c r="M107" s="84" t="s">
        <v>46</v>
      </c>
      <c r="N107" s="105" t="s">
        <v>376</v>
      </c>
      <c r="O107" s="345"/>
      <c r="P107" s="85" t="s">
        <v>386</v>
      </c>
      <c r="Q107" t="s">
        <v>3586</v>
      </c>
    </row>
    <row r="108" spans="1:17" ht="58" hidden="1" x14ac:dyDescent="0.35">
      <c r="A108" s="84">
        <f t="shared" si="1"/>
        <v>34</v>
      </c>
      <c r="B108" s="85" t="s">
        <v>18</v>
      </c>
      <c r="C108" s="85" t="s">
        <v>255</v>
      </c>
      <c r="D108" s="85" t="s">
        <v>256</v>
      </c>
      <c r="E108" s="85" t="s">
        <v>384</v>
      </c>
      <c r="F108" s="85"/>
      <c r="G108" s="85" t="s">
        <v>44</v>
      </c>
      <c r="H108" s="85" t="s">
        <v>45</v>
      </c>
      <c r="I108" s="85" t="s">
        <v>28</v>
      </c>
      <c r="J108" s="102">
        <v>18000000</v>
      </c>
      <c r="K108" s="84" t="s">
        <v>261</v>
      </c>
      <c r="L108" s="85">
        <v>3008964</v>
      </c>
      <c r="M108" s="84" t="s">
        <v>46</v>
      </c>
      <c r="N108" s="105" t="s">
        <v>376</v>
      </c>
      <c r="O108" s="345">
        <f>16750000*3</f>
        <v>50250000</v>
      </c>
      <c r="P108" s="85" t="s">
        <v>386</v>
      </c>
      <c r="Q108" t="s">
        <v>3586</v>
      </c>
    </row>
    <row r="109" spans="1:17" ht="58" hidden="1" x14ac:dyDescent="0.35">
      <c r="A109" s="84">
        <f t="shared" si="1"/>
        <v>35</v>
      </c>
      <c r="B109" s="85" t="s">
        <v>18</v>
      </c>
      <c r="C109" s="85" t="s">
        <v>255</v>
      </c>
      <c r="D109" s="85" t="s">
        <v>256</v>
      </c>
      <c r="E109" s="85" t="s">
        <v>387</v>
      </c>
      <c r="F109" s="85"/>
      <c r="G109" s="85" t="s">
        <v>44</v>
      </c>
      <c r="H109" s="85" t="s">
        <v>45</v>
      </c>
      <c r="I109" s="85" t="s">
        <v>28</v>
      </c>
      <c r="J109" s="102">
        <v>18000000</v>
      </c>
      <c r="K109" s="84" t="s">
        <v>261</v>
      </c>
      <c r="L109" s="85">
        <v>2834043</v>
      </c>
      <c r="M109" s="84" t="s">
        <v>46</v>
      </c>
      <c r="N109" s="105" t="s">
        <v>376</v>
      </c>
      <c r="O109" s="345"/>
      <c r="P109" s="85" t="s">
        <v>386</v>
      </c>
      <c r="Q109" t="s">
        <v>3586</v>
      </c>
    </row>
    <row r="110" spans="1:17" ht="43.5" hidden="1" x14ac:dyDescent="0.35">
      <c r="A110" s="84">
        <f t="shared" si="1"/>
        <v>36</v>
      </c>
      <c r="B110" s="85" t="s">
        <v>18</v>
      </c>
      <c r="C110" s="85" t="s">
        <v>255</v>
      </c>
      <c r="D110" s="85" t="s">
        <v>256</v>
      </c>
      <c r="E110" s="85" t="s">
        <v>301</v>
      </c>
      <c r="F110" s="85" t="s">
        <v>388</v>
      </c>
      <c r="G110" s="85" t="s">
        <v>389</v>
      </c>
      <c r="H110" s="85" t="s">
        <v>390</v>
      </c>
      <c r="I110" s="85">
        <v>1</v>
      </c>
      <c r="J110" s="102">
        <v>25000000</v>
      </c>
      <c r="K110" s="84" t="s">
        <v>261</v>
      </c>
      <c r="L110" s="85">
        <v>3008871</v>
      </c>
      <c r="M110" s="84" t="s">
        <v>46</v>
      </c>
      <c r="N110" s="105" t="s">
        <v>376</v>
      </c>
      <c r="O110" s="344"/>
      <c r="P110" s="85" t="s">
        <v>377</v>
      </c>
      <c r="Q110" t="s">
        <v>3586</v>
      </c>
    </row>
    <row r="111" spans="1:17" ht="43.5" hidden="1" x14ac:dyDescent="0.35">
      <c r="A111" s="84">
        <f t="shared" si="1"/>
        <v>37</v>
      </c>
      <c r="B111" s="85" t="s">
        <v>18</v>
      </c>
      <c r="C111" s="85" t="s">
        <v>255</v>
      </c>
      <c r="D111" s="85" t="s">
        <v>256</v>
      </c>
      <c r="E111" s="85" t="s">
        <v>301</v>
      </c>
      <c r="F111" s="85" t="s">
        <v>388</v>
      </c>
      <c r="G111" s="85" t="s">
        <v>389</v>
      </c>
      <c r="H111" s="85" t="s">
        <v>391</v>
      </c>
      <c r="I111" s="85">
        <v>1</v>
      </c>
      <c r="J111" s="102">
        <v>25000000</v>
      </c>
      <c r="K111" s="84" t="s">
        <v>261</v>
      </c>
      <c r="L111" s="85">
        <v>3008871</v>
      </c>
      <c r="M111" s="84" t="s">
        <v>46</v>
      </c>
      <c r="N111" s="105" t="s">
        <v>376</v>
      </c>
      <c r="O111" s="344"/>
      <c r="P111" s="85" t="s">
        <v>377</v>
      </c>
      <c r="Q111" t="s">
        <v>3586</v>
      </c>
    </row>
    <row r="112" spans="1:17" ht="43.5" hidden="1" x14ac:dyDescent="0.35">
      <c r="A112" s="84">
        <f t="shared" si="1"/>
        <v>38</v>
      </c>
      <c r="B112" s="85" t="s">
        <v>18</v>
      </c>
      <c r="C112" s="85" t="s">
        <v>255</v>
      </c>
      <c r="D112" s="85" t="s">
        <v>256</v>
      </c>
      <c r="E112" s="85" t="s">
        <v>301</v>
      </c>
      <c r="F112" s="85" t="s">
        <v>388</v>
      </c>
      <c r="G112" s="85" t="s">
        <v>389</v>
      </c>
      <c r="H112" s="85" t="s">
        <v>392</v>
      </c>
      <c r="I112" s="85">
        <v>1</v>
      </c>
      <c r="J112" s="102">
        <v>25000000</v>
      </c>
      <c r="K112" s="84" t="s">
        <v>261</v>
      </c>
      <c r="L112" s="85">
        <v>3008871</v>
      </c>
      <c r="M112" s="84" t="s">
        <v>46</v>
      </c>
      <c r="N112" s="105" t="s">
        <v>376</v>
      </c>
      <c r="O112" s="344"/>
      <c r="P112" s="85" t="s">
        <v>377</v>
      </c>
      <c r="Q112" t="s">
        <v>3586</v>
      </c>
    </row>
    <row r="113" spans="1:17" ht="43.5" hidden="1" x14ac:dyDescent="0.35">
      <c r="A113" s="84">
        <f t="shared" si="1"/>
        <v>39</v>
      </c>
      <c r="B113" s="85" t="s">
        <v>18</v>
      </c>
      <c r="C113" s="85" t="s">
        <v>255</v>
      </c>
      <c r="D113" s="85" t="s">
        <v>256</v>
      </c>
      <c r="E113" s="85" t="s">
        <v>301</v>
      </c>
      <c r="F113" s="85" t="s">
        <v>388</v>
      </c>
      <c r="G113" s="85" t="s">
        <v>389</v>
      </c>
      <c r="H113" s="85" t="s">
        <v>393</v>
      </c>
      <c r="I113" s="85">
        <v>1</v>
      </c>
      <c r="J113" s="102">
        <v>25000000</v>
      </c>
      <c r="K113" s="84" t="s">
        <v>261</v>
      </c>
      <c r="L113" s="85">
        <v>3008871</v>
      </c>
      <c r="M113" s="84" t="s">
        <v>46</v>
      </c>
      <c r="N113" s="105" t="s">
        <v>376</v>
      </c>
      <c r="O113" s="344"/>
      <c r="P113" s="85" t="s">
        <v>377</v>
      </c>
      <c r="Q113" t="s">
        <v>3586</v>
      </c>
    </row>
    <row r="114" spans="1:17" ht="43.5" hidden="1" x14ac:dyDescent="0.35">
      <c r="A114" s="84">
        <f t="shared" si="1"/>
        <v>40</v>
      </c>
      <c r="B114" s="85" t="s">
        <v>18</v>
      </c>
      <c r="C114" s="85" t="s">
        <v>255</v>
      </c>
      <c r="D114" s="85" t="s">
        <v>256</v>
      </c>
      <c r="E114" s="85" t="s">
        <v>301</v>
      </c>
      <c r="F114" s="85" t="s">
        <v>388</v>
      </c>
      <c r="G114" s="85" t="s">
        <v>389</v>
      </c>
      <c r="H114" s="85" t="s">
        <v>394</v>
      </c>
      <c r="I114" s="85">
        <v>1</v>
      </c>
      <c r="J114" s="102">
        <v>25000000</v>
      </c>
      <c r="K114" s="84" t="s">
        <v>261</v>
      </c>
      <c r="L114" s="85">
        <v>3008871</v>
      </c>
      <c r="M114" s="84" t="s">
        <v>46</v>
      </c>
      <c r="N114" s="105" t="s">
        <v>376</v>
      </c>
      <c r="O114" s="344">
        <f>16750000*9</f>
        <v>150750000</v>
      </c>
      <c r="P114" s="85" t="s">
        <v>395</v>
      </c>
      <c r="Q114" t="s">
        <v>3586</v>
      </c>
    </row>
    <row r="115" spans="1:17" ht="43.5" hidden="1" x14ac:dyDescent="0.35">
      <c r="A115" s="84">
        <f t="shared" si="1"/>
        <v>41</v>
      </c>
      <c r="B115" s="85" t="s">
        <v>18</v>
      </c>
      <c r="C115" s="85" t="s">
        <v>255</v>
      </c>
      <c r="D115" s="85" t="s">
        <v>256</v>
      </c>
      <c r="E115" s="85" t="s">
        <v>301</v>
      </c>
      <c r="F115" s="85" t="s">
        <v>388</v>
      </c>
      <c r="G115" s="85" t="s">
        <v>389</v>
      </c>
      <c r="H115" s="85" t="s">
        <v>396</v>
      </c>
      <c r="I115" s="85">
        <v>1</v>
      </c>
      <c r="J115" s="102">
        <v>25000000</v>
      </c>
      <c r="K115" s="84" t="s">
        <v>261</v>
      </c>
      <c r="L115" s="85">
        <v>3008871</v>
      </c>
      <c r="M115" s="84" t="s">
        <v>46</v>
      </c>
      <c r="N115" s="105" t="s">
        <v>376</v>
      </c>
      <c r="O115" s="344"/>
      <c r="P115" s="85" t="s">
        <v>395</v>
      </c>
      <c r="Q115" t="s">
        <v>3586</v>
      </c>
    </row>
    <row r="116" spans="1:17" ht="43.5" hidden="1" x14ac:dyDescent="0.35">
      <c r="A116" s="84">
        <f t="shared" si="1"/>
        <v>42</v>
      </c>
      <c r="B116" s="85" t="s">
        <v>18</v>
      </c>
      <c r="C116" s="85" t="s">
        <v>255</v>
      </c>
      <c r="D116" s="85" t="s">
        <v>256</v>
      </c>
      <c r="E116" s="85" t="s">
        <v>301</v>
      </c>
      <c r="F116" s="85" t="s">
        <v>388</v>
      </c>
      <c r="G116" s="85" t="s">
        <v>389</v>
      </c>
      <c r="H116" s="85" t="s">
        <v>397</v>
      </c>
      <c r="I116" s="85">
        <v>1</v>
      </c>
      <c r="J116" s="102">
        <v>25000000</v>
      </c>
      <c r="K116" s="84" t="s">
        <v>261</v>
      </c>
      <c r="L116" s="85">
        <v>3008871</v>
      </c>
      <c r="M116" s="84" t="s">
        <v>46</v>
      </c>
      <c r="N116" s="105" t="s">
        <v>376</v>
      </c>
      <c r="O116" s="344"/>
      <c r="P116" s="85" t="s">
        <v>395</v>
      </c>
      <c r="Q116" t="s">
        <v>3586</v>
      </c>
    </row>
    <row r="117" spans="1:17" ht="43.5" hidden="1" x14ac:dyDescent="0.35">
      <c r="A117" s="84">
        <f t="shared" si="1"/>
        <v>43</v>
      </c>
      <c r="B117" s="85" t="s">
        <v>18</v>
      </c>
      <c r="C117" s="85" t="s">
        <v>255</v>
      </c>
      <c r="D117" s="85" t="s">
        <v>256</v>
      </c>
      <c r="E117" s="85" t="s">
        <v>301</v>
      </c>
      <c r="F117" s="85" t="s">
        <v>388</v>
      </c>
      <c r="G117" s="85" t="s">
        <v>389</v>
      </c>
      <c r="H117" s="85" t="s">
        <v>398</v>
      </c>
      <c r="I117" s="85">
        <v>1</v>
      </c>
      <c r="J117" s="102">
        <v>25000000</v>
      </c>
      <c r="K117" s="84" t="s">
        <v>261</v>
      </c>
      <c r="L117" s="85">
        <v>3008871</v>
      </c>
      <c r="M117" s="84" t="s">
        <v>46</v>
      </c>
      <c r="N117" s="105" t="s">
        <v>376</v>
      </c>
      <c r="O117" s="344"/>
      <c r="P117" s="85" t="s">
        <v>395</v>
      </c>
      <c r="Q117" t="s">
        <v>3586</v>
      </c>
    </row>
    <row r="118" spans="1:17" ht="43.5" hidden="1" x14ac:dyDescent="0.35">
      <c r="A118" s="84">
        <f t="shared" si="1"/>
        <v>44</v>
      </c>
      <c r="B118" s="85" t="s">
        <v>18</v>
      </c>
      <c r="C118" s="85" t="s">
        <v>255</v>
      </c>
      <c r="D118" s="85" t="s">
        <v>256</v>
      </c>
      <c r="E118" s="85" t="s">
        <v>301</v>
      </c>
      <c r="F118" s="85" t="s">
        <v>388</v>
      </c>
      <c r="G118" s="85" t="s">
        <v>389</v>
      </c>
      <c r="H118" s="85" t="s">
        <v>399</v>
      </c>
      <c r="I118" s="85">
        <v>1</v>
      </c>
      <c r="J118" s="102">
        <v>25000000</v>
      </c>
      <c r="K118" s="84" t="s">
        <v>261</v>
      </c>
      <c r="L118" s="85">
        <v>3008871</v>
      </c>
      <c r="M118" s="84" t="s">
        <v>46</v>
      </c>
      <c r="N118" s="105" t="s">
        <v>376</v>
      </c>
      <c r="O118" s="344"/>
      <c r="P118" s="85" t="s">
        <v>395</v>
      </c>
      <c r="Q118" t="s">
        <v>3586</v>
      </c>
    </row>
    <row r="119" spans="1:17" ht="58" hidden="1" x14ac:dyDescent="0.35">
      <c r="A119" s="84">
        <f t="shared" si="1"/>
        <v>45</v>
      </c>
      <c r="B119" s="85" t="s">
        <v>18</v>
      </c>
      <c r="C119" s="85" t="s">
        <v>255</v>
      </c>
      <c r="D119" s="85" t="s">
        <v>256</v>
      </c>
      <c r="E119" s="85" t="s">
        <v>400</v>
      </c>
      <c r="F119" s="85" t="s">
        <v>48</v>
      </c>
      <c r="G119" s="85" t="s">
        <v>49</v>
      </c>
      <c r="H119" s="85" t="s">
        <v>200</v>
      </c>
      <c r="I119" s="85" t="s">
        <v>401</v>
      </c>
      <c r="J119" s="102">
        <v>60000000</v>
      </c>
      <c r="K119" s="84" t="s">
        <v>261</v>
      </c>
      <c r="L119" s="85">
        <v>2819854</v>
      </c>
      <c r="M119" s="84" t="s">
        <v>46</v>
      </c>
      <c r="N119" s="105" t="s">
        <v>402</v>
      </c>
      <c r="O119" s="105">
        <v>167500000</v>
      </c>
      <c r="P119" s="85" t="s">
        <v>403</v>
      </c>
      <c r="Q119" t="s">
        <v>3586</v>
      </c>
    </row>
    <row r="120" spans="1:17" ht="43.5" hidden="1" x14ac:dyDescent="0.35">
      <c r="A120" s="84">
        <f t="shared" si="1"/>
        <v>46</v>
      </c>
      <c r="B120" s="85" t="s">
        <v>18</v>
      </c>
      <c r="C120" s="85" t="s">
        <v>255</v>
      </c>
      <c r="D120" s="85" t="s">
        <v>256</v>
      </c>
      <c r="E120" s="85" t="s">
        <v>404</v>
      </c>
      <c r="F120" s="85" t="s">
        <v>48</v>
      </c>
      <c r="G120" s="85" t="s">
        <v>405</v>
      </c>
      <c r="H120" s="85" t="s">
        <v>406</v>
      </c>
      <c r="I120" s="85" t="s">
        <v>407</v>
      </c>
      <c r="J120" s="102">
        <v>30000000</v>
      </c>
      <c r="K120" s="84" t="s">
        <v>261</v>
      </c>
      <c r="L120" s="85">
        <v>2796862</v>
      </c>
      <c r="M120" s="84" t="s">
        <v>46</v>
      </c>
      <c r="N120" s="105" t="s">
        <v>408</v>
      </c>
      <c r="O120" s="344">
        <v>50000000</v>
      </c>
      <c r="P120" s="85" t="s">
        <v>409</v>
      </c>
      <c r="Q120" t="s">
        <v>3586</v>
      </c>
    </row>
    <row r="121" spans="1:17" ht="43.5" hidden="1" x14ac:dyDescent="0.35">
      <c r="A121" s="84">
        <f t="shared" si="1"/>
        <v>47</v>
      </c>
      <c r="B121" s="85" t="s">
        <v>18</v>
      </c>
      <c r="C121" s="85" t="s">
        <v>255</v>
      </c>
      <c r="D121" s="85" t="s">
        <v>256</v>
      </c>
      <c r="E121" s="85" t="s">
        <v>301</v>
      </c>
      <c r="F121" s="85"/>
      <c r="G121" s="85" t="s">
        <v>410</v>
      </c>
      <c r="H121" s="85" t="s">
        <v>411</v>
      </c>
      <c r="I121" s="85" t="s">
        <v>412</v>
      </c>
      <c r="J121" s="102">
        <v>13750000</v>
      </c>
      <c r="K121" s="84" t="s">
        <v>261</v>
      </c>
      <c r="L121" s="85">
        <v>2800949</v>
      </c>
      <c r="M121" s="84" t="s">
        <v>46</v>
      </c>
      <c r="N121" s="105" t="s">
        <v>413</v>
      </c>
      <c r="O121" s="105">
        <v>117250000</v>
      </c>
      <c r="P121" s="85" t="s">
        <v>414</v>
      </c>
      <c r="Q121" t="s">
        <v>3586</v>
      </c>
    </row>
    <row r="122" spans="1:17" ht="43.5" hidden="1" x14ac:dyDescent="0.35">
      <c r="A122" s="84">
        <f t="shared" si="1"/>
        <v>48</v>
      </c>
      <c r="B122" s="85" t="s">
        <v>18</v>
      </c>
      <c r="C122" s="85" t="s">
        <v>255</v>
      </c>
      <c r="D122" s="85" t="s">
        <v>256</v>
      </c>
      <c r="E122" s="85" t="s">
        <v>296</v>
      </c>
      <c r="F122" s="85"/>
      <c r="G122" s="85" t="s">
        <v>415</v>
      </c>
      <c r="H122" s="84" t="s">
        <v>168</v>
      </c>
      <c r="I122" s="85" t="s">
        <v>416</v>
      </c>
      <c r="J122" s="102">
        <v>25000000</v>
      </c>
      <c r="K122" s="84" t="s">
        <v>261</v>
      </c>
      <c r="L122" s="85">
        <v>2878177</v>
      </c>
      <c r="M122" s="84" t="s">
        <v>46</v>
      </c>
      <c r="N122" s="105" t="s">
        <v>417</v>
      </c>
      <c r="O122" s="105">
        <v>67000000</v>
      </c>
      <c r="P122" s="85" t="s">
        <v>377</v>
      </c>
      <c r="Q122" t="s">
        <v>3586</v>
      </c>
    </row>
    <row r="123" spans="1:17" ht="43.5" hidden="1" x14ac:dyDescent="0.35">
      <c r="A123" s="84">
        <f t="shared" si="1"/>
        <v>49</v>
      </c>
      <c r="B123" s="85" t="s">
        <v>18</v>
      </c>
      <c r="C123" s="85" t="s">
        <v>255</v>
      </c>
      <c r="D123" s="85" t="s">
        <v>256</v>
      </c>
      <c r="E123" s="85" t="s">
        <v>301</v>
      </c>
      <c r="F123" s="85" t="s">
        <v>373</v>
      </c>
      <c r="G123" s="85" t="s">
        <v>418</v>
      </c>
      <c r="H123" s="85" t="s">
        <v>419</v>
      </c>
      <c r="I123" s="85" t="s">
        <v>402</v>
      </c>
      <c r="J123" s="102">
        <v>25000000</v>
      </c>
      <c r="K123" s="84" t="s">
        <v>261</v>
      </c>
      <c r="L123" s="85">
        <v>2843723</v>
      </c>
      <c r="M123" s="84" t="s">
        <v>46</v>
      </c>
      <c r="N123" s="105" t="s">
        <v>376</v>
      </c>
      <c r="O123" s="344">
        <f>16750000*4</f>
        <v>67000000</v>
      </c>
      <c r="P123" s="85" t="s">
        <v>377</v>
      </c>
      <c r="Q123" t="s">
        <v>3586</v>
      </c>
    </row>
    <row r="124" spans="1:17" ht="43.5" hidden="1" x14ac:dyDescent="0.35">
      <c r="A124" s="84">
        <f t="shared" si="1"/>
        <v>50</v>
      </c>
      <c r="B124" s="85" t="s">
        <v>18</v>
      </c>
      <c r="C124" s="85" t="s">
        <v>255</v>
      </c>
      <c r="D124" s="85" t="s">
        <v>256</v>
      </c>
      <c r="E124" s="85" t="s">
        <v>301</v>
      </c>
      <c r="F124" s="85" t="s">
        <v>373</v>
      </c>
      <c r="G124" s="85" t="s">
        <v>418</v>
      </c>
      <c r="H124" s="85" t="s">
        <v>418</v>
      </c>
      <c r="I124" s="85" t="s">
        <v>402</v>
      </c>
      <c r="J124" s="102">
        <v>25000000</v>
      </c>
      <c r="K124" s="84" t="s">
        <v>261</v>
      </c>
      <c r="L124" s="85">
        <v>2843723</v>
      </c>
      <c r="M124" s="84" t="s">
        <v>46</v>
      </c>
      <c r="N124" s="105" t="s">
        <v>376</v>
      </c>
      <c r="O124" s="344"/>
      <c r="P124" s="85" t="s">
        <v>377</v>
      </c>
      <c r="Q124" t="s">
        <v>3586</v>
      </c>
    </row>
    <row r="125" spans="1:17" ht="43.5" hidden="1" x14ac:dyDescent="0.35">
      <c r="A125" s="84">
        <f t="shared" si="1"/>
        <v>51</v>
      </c>
      <c r="B125" s="85" t="s">
        <v>18</v>
      </c>
      <c r="C125" s="85" t="s">
        <v>255</v>
      </c>
      <c r="D125" s="85" t="s">
        <v>256</v>
      </c>
      <c r="E125" s="85" t="s">
        <v>301</v>
      </c>
      <c r="F125" s="85" t="s">
        <v>373</v>
      </c>
      <c r="G125" s="85" t="s">
        <v>418</v>
      </c>
      <c r="H125" s="85" t="s">
        <v>420</v>
      </c>
      <c r="I125" s="85" t="s">
        <v>402</v>
      </c>
      <c r="J125" s="102">
        <v>25000000</v>
      </c>
      <c r="K125" s="84" t="s">
        <v>261</v>
      </c>
      <c r="L125" s="85">
        <v>2849114</v>
      </c>
      <c r="M125" s="84" t="s">
        <v>46</v>
      </c>
      <c r="N125" s="105" t="s">
        <v>376</v>
      </c>
      <c r="O125" s="344"/>
      <c r="P125" s="85" t="s">
        <v>377</v>
      </c>
      <c r="Q125" t="s">
        <v>3586</v>
      </c>
    </row>
    <row r="126" spans="1:17" ht="43.5" hidden="1" x14ac:dyDescent="0.35">
      <c r="A126" s="84">
        <f t="shared" si="1"/>
        <v>52</v>
      </c>
      <c r="B126" s="85" t="s">
        <v>18</v>
      </c>
      <c r="C126" s="85" t="s">
        <v>255</v>
      </c>
      <c r="D126" s="85" t="s">
        <v>256</v>
      </c>
      <c r="E126" s="85" t="s">
        <v>301</v>
      </c>
      <c r="F126" s="85" t="s">
        <v>373</v>
      </c>
      <c r="G126" s="85" t="s">
        <v>418</v>
      </c>
      <c r="H126" s="85" t="s">
        <v>421</v>
      </c>
      <c r="I126" s="85" t="s">
        <v>422</v>
      </c>
      <c r="J126" s="102">
        <v>25000000</v>
      </c>
      <c r="K126" s="84" t="s">
        <v>261</v>
      </c>
      <c r="L126" s="85">
        <v>2849114</v>
      </c>
      <c r="M126" s="84" t="s">
        <v>46</v>
      </c>
      <c r="N126" s="105" t="s">
        <v>376</v>
      </c>
      <c r="O126" s="344"/>
      <c r="P126" s="85" t="s">
        <v>423</v>
      </c>
      <c r="Q126" t="s">
        <v>3586</v>
      </c>
    </row>
    <row r="127" spans="1:17" ht="43.5" hidden="1" x14ac:dyDescent="0.35">
      <c r="A127" s="84">
        <f t="shared" si="1"/>
        <v>53</v>
      </c>
      <c r="B127" s="85" t="s">
        <v>18</v>
      </c>
      <c r="C127" s="85" t="s">
        <v>37</v>
      </c>
      <c r="D127" s="85" t="s">
        <v>256</v>
      </c>
      <c r="E127" s="85" t="s">
        <v>424</v>
      </c>
      <c r="F127" s="85" t="s">
        <v>48</v>
      </c>
      <c r="G127" s="85" t="s">
        <v>209</v>
      </c>
      <c r="H127" s="85" t="s">
        <v>425</v>
      </c>
      <c r="I127" s="85" t="s">
        <v>48</v>
      </c>
      <c r="J127" s="102">
        <v>50000000</v>
      </c>
      <c r="K127" s="84" t="s">
        <v>261</v>
      </c>
      <c r="L127" s="85" t="s">
        <v>48</v>
      </c>
      <c r="M127" s="84" t="s">
        <v>46</v>
      </c>
      <c r="N127" s="105" t="s">
        <v>426</v>
      </c>
      <c r="O127" s="105">
        <v>50250000</v>
      </c>
      <c r="P127" s="85"/>
      <c r="Q127" t="s">
        <v>3586</v>
      </c>
    </row>
    <row r="128" spans="1:17" ht="29" hidden="1" x14ac:dyDescent="0.35">
      <c r="A128" s="107">
        <f>A127+1</f>
        <v>54</v>
      </c>
      <c r="B128" s="98" t="s">
        <v>18</v>
      </c>
      <c r="C128" s="98" t="s">
        <v>255</v>
      </c>
      <c r="D128" s="98" t="s">
        <v>256</v>
      </c>
      <c r="E128" s="98" t="s">
        <v>427</v>
      </c>
      <c r="F128" s="98" t="s">
        <v>428</v>
      </c>
      <c r="G128" s="98" t="s">
        <v>429</v>
      </c>
      <c r="H128" s="98" t="s">
        <v>430</v>
      </c>
      <c r="I128" s="98" t="s">
        <v>431</v>
      </c>
      <c r="J128" s="108">
        <v>27500000</v>
      </c>
      <c r="K128" s="107" t="s">
        <v>261</v>
      </c>
      <c r="L128" s="98">
        <v>2906016</v>
      </c>
      <c r="M128" s="107" t="s">
        <v>226</v>
      </c>
      <c r="N128" s="109" t="s">
        <v>28</v>
      </c>
      <c r="O128" s="109"/>
      <c r="P128" s="98" t="s">
        <v>432</v>
      </c>
      <c r="Q128" t="s">
        <v>3586</v>
      </c>
    </row>
    <row r="129" spans="1:17" ht="29" hidden="1" x14ac:dyDescent="0.35">
      <c r="A129" s="84">
        <f t="shared" si="1"/>
        <v>55</v>
      </c>
      <c r="B129" s="85" t="s">
        <v>18</v>
      </c>
      <c r="C129" s="85" t="s">
        <v>255</v>
      </c>
      <c r="D129" s="85" t="s">
        <v>256</v>
      </c>
      <c r="E129" s="85" t="s">
        <v>349</v>
      </c>
      <c r="F129" s="85" t="s">
        <v>48</v>
      </c>
      <c r="G129" s="85" t="s">
        <v>429</v>
      </c>
      <c r="H129" s="85" t="s">
        <v>433</v>
      </c>
      <c r="I129" s="85" t="s">
        <v>431</v>
      </c>
      <c r="J129" s="102">
        <v>5000000</v>
      </c>
      <c r="K129" s="84" t="s">
        <v>261</v>
      </c>
      <c r="L129" s="85">
        <v>2906235</v>
      </c>
      <c r="M129" s="84" t="s">
        <v>226</v>
      </c>
      <c r="N129" s="105" t="s">
        <v>28</v>
      </c>
      <c r="O129" s="105">
        <v>24995000</v>
      </c>
      <c r="P129" s="85" t="s">
        <v>434</v>
      </c>
      <c r="Q129" t="s">
        <v>3586</v>
      </c>
    </row>
    <row r="130" spans="1:17" ht="43.5" hidden="1" x14ac:dyDescent="0.35">
      <c r="A130" s="84">
        <f t="shared" si="1"/>
        <v>56</v>
      </c>
      <c r="B130" s="85" t="s">
        <v>18</v>
      </c>
      <c r="C130" s="85" t="s">
        <v>255</v>
      </c>
      <c r="D130" s="85" t="s">
        <v>256</v>
      </c>
      <c r="E130" s="85" t="s">
        <v>435</v>
      </c>
      <c r="F130" s="85" t="s">
        <v>48</v>
      </c>
      <c r="G130" s="85" t="s">
        <v>436</v>
      </c>
      <c r="H130" s="85" t="s">
        <v>437</v>
      </c>
      <c r="I130" s="85" t="s">
        <v>35</v>
      </c>
      <c r="J130" s="102">
        <v>20000000</v>
      </c>
      <c r="K130" s="84" t="s">
        <v>261</v>
      </c>
      <c r="L130" s="85">
        <v>2956891</v>
      </c>
      <c r="M130" s="84" t="s">
        <v>226</v>
      </c>
      <c r="N130" s="105" t="s">
        <v>438</v>
      </c>
      <c r="O130" s="105">
        <v>62500000</v>
      </c>
      <c r="P130" s="85" t="s">
        <v>439</v>
      </c>
      <c r="Q130" t="s">
        <v>3586</v>
      </c>
    </row>
    <row r="131" spans="1:17" ht="29" hidden="1" x14ac:dyDescent="0.35">
      <c r="A131" s="84">
        <f t="shared" si="1"/>
        <v>57</v>
      </c>
      <c r="B131" s="85" t="s">
        <v>18</v>
      </c>
      <c r="C131" s="85" t="s">
        <v>255</v>
      </c>
      <c r="D131" s="85" t="s">
        <v>256</v>
      </c>
      <c r="E131" s="85" t="s">
        <v>440</v>
      </c>
      <c r="F131" s="85" t="s">
        <v>441</v>
      </c>
      <c r="G131" s="85" t="s">
        <v>442</v>
      </c>
      <c r="H131" s="85" t="s">
        <v>443</v>
      </c>
      <c r="I131" s="85" t="s">
        <v>444</v>
      </c>
      <c r="J131" s="102">
        <v>30000000</v>
      </c>
      <c r="K131" s="84" t="s">
        <v>261</v>
      </c>
      <c r="L131" s="85">
        <v>2959644</v>
      </c>
      <c r="M131" s="84" t="s">
        <v>180</v>
      </c>
      <c r="N131" s="105" t="s">
        <v>408</v>
      </c>
      <c r="O131" s="344">
        <v>50000000</v>
      </c>
      <c r="P131" s="85"/>
      <c r="Q131" t="s">
        <v>3586</v>
      </c>
    </row>
    <row r="132" spans="1:17" ht="43.5" hidden="1" x14ac:dyDescent="0.35">
      <c r="A132" s="84">
        <f t="shared" si="1"/>
        <v>58</v>
      </c>
      <c r="B132" s="85" t="s">
        <v>18</v>
      </c>
      <c r="C132" s="85" t="s">
        <v>255</v>
      </c>
      <c r="D132" s="85" t="s">
        <v>256</v>
      </c>
      <c r="E132" s="85" t="s">
        <v>301</v>
      </c>
      <c r="F132" s="85" t="s">
        <v>445</v>
      </c>
      <c r="G132" s="85" t="s">
        <v>187</v>
      </c>
      <c r="H132" s="85" t="s">
        <v>446</v>
      </c>
      <c r="I132" s="85" t="s">
        <v>447</v>
      </c>
      <c r="J132" s="102">
        <v>30000000</v>
      </c>
      <c r="K132" s="84" t="s">
        <v>261</v>
      </c>
      <c r="L132" s="85">
        <v>2802984</v>
      </c>
      <c r="M132" s="84" t="s">
        <v>180</v>
      </c>
      <c r="N132" s="105" t="s">
        <v>408</v>
      </c>
      <c r="O132" s="344">
        <v>50000000</v>
      </c>
      <c r="P132" s="85"/>
      <c r="Q132" t="s">
        <v>3586</v>
      </c>
    </row>
    <row r="133" spans="1:17" ht="43.5" hidden="1" x14ac:dyDescent="0.35">
      <c r="A133" s="84">
        <f t="shared" si="1"/>
        <v>59</v>
      </c>
      <c r="B133" s="85" t="s">
        <v>18</v>
      </c>
      <c r="C133" s="85" t="s">
        <v>255</v>
      </c>
      <c r="D133" s="85" t="s">
        <v>256</v>
      </c>
      <c r="E133" s="85" t="s">
        <v>301</v>
      </c>
      <c r="F133" s="85" t="s">
        <v>448</v>
      </c>
      <c r="G133" s="85" t="s">
        <v>449</v>
      </c>
      <c r="H133" s="85" t="s">
        <v>450</v>
      </c>
      <c r="I133" s="85" t="s">
        <v>95</v>
      </c>
      <c r="J133" s="102">
        <v>15000000</v>
      </c>
      <c r="K133" s="84" t="s">
        <v>261</v>
      </c>
      <c r="L133" s="85">
        <v>2761378</v>
      </c>
      <c r="M133" s="84" t="s">
        <v>180</v>
      </c>
      <c r="N133" s="105" t="s">
        <v>267</v>
      </c>
      <c r="O133" s="105">
        <v>83750000</v>
      </c>
      <c r="P133" s="85"/>
      <c r="Q133" t="s">
        <v>3586</v>
      </c>
    </row>
    <row r="134" spans="1:17" ht="43.5" hidden="1" x14ac:dyDescent="0.35">
      <c r="A134" s="84">
        <f t="shared" si="1"/>
        <v>60</v>
      </c>
      <c r="B134" s="85" t="s">
        <v>18</v>
      </c>
      <c r="C134" s="85" t="s">
        <v>255</v>
      </c>
      <c r="D134" s="85" t="s">
        <v>256</v>
      </c>
      <c r="E134" s="85" t="s">
        <v>301</v>
      </c>
      <c r="F134" s="85" t="s">
        <v>451</v>
      </c>
      <c r="G134" s="85" t="s">
        <v>452</v>
      </c>
      <c r="H134" s="85" t="s">
        <v>453</v>
      </c>
      <c r="I134" s="85" t="s">
        <v>454</v>
      </c>
      <c r="J134" s="102">
        <v>100000000</v>
      </c>
      <c r="K134" s="84" t="s">
        <v>261</v>
      </c>
      <c r="L134" s="85">
        <v>2782925</v>
      </c>
      <c r="M134" s="84" t="s">
        <v>180</v>
      </c>
      <c r="N134" s="105" t="s">
        <v>267</v>
      </c>
      <c r="O134" s="105">
        <v>74250000</v>
      </c>
      <c r="P134" s="85" t="s">
        <v>455</v>
      </c>
      <c r="Q134" t="s">
        <v>3586</v>
      </c>
    </row>
    <row r="135" spans="1:17" ht="29" hidden="1" x14ac:dyDescent="0.35">
      <c r="A135" s="84">
        <f t="shared" si="1"/>
        <v>61</v>
      </c>
      <c r="B135" s="85" t="s">
        <v>18</v>
      </c>
      <c r="C135" s="85" t="s">
        <v>255</v>
      </c>
      <c r="D135" s="85" t="s">
        <v>256</v>
      </c>
      <c r="E135" s="85" t="s">
        <v>291</v>
      </c>
      <c r="F135" s="85" t="s">
        <v>456</v>
      </c>
      <c r="G135" s="84" t="s">
        <v>457</v>
      </c>
      <c r="H135" s="84" t="s">
        <v>458</v>
      </c>
      <c r="I135" s="84" t="s">
        <v>431</v>
      </c>
      <c r="J135" s="94">
        <v>100000000</v>
      </c>
      <c r="K135" s="84" t="s">
        <v>261</v>
      </c>
      <c r="L135" s="84">
        <v>2974709</v>
      </c>
      <c r="M135" s="84" t="s">
        <v>55</v>
      </c>
      <c r="N135" s="84" t="s">
        <v>413</v>
      </c>
      <c r="O135" s="93">
        <v>103950000</v>
      </c>
      <c r="P135" s="85" t="s">
        <v>455</v>
      </c>
      <c r="Q135" t="s">
        <v>3586</v>
      </c>
    </row>
    <row r="136" spans="1:17" ht="29" hidden="1" x14ac:dyDescent="0.35">
      <c r="A136" s="84">
        <f t="shared" si="1"/>
        <v>62</v>
      </c>
      <c r="B136" s="85" t="s">
        <v>18</v>
      </c>
      <c r="C136" s="85" t="s">
        <v>255</v>
      </c>
      <c r="D136" s="85" t="s">
        <v>256</v>
      </c>
      <c r="E136" s="85" t="s">
        <v>291</v>
      </c>
      <c r="F136" s="85" t="s">
        <v>459</v>
      </c>
      <c r="G136" s="84" t="s">
        <v>457</v>
      </c>
      <c r="H136" s="84" t="s">
        <v>460</v>
      </c>
      <c r="I136" s="84" t="s">
        <v>431</v>
      </c>
      <c r="J136" s="94">
        <v>100000000</v>
      </c>
      <c r="K136" s="84" t="s">
        <v>261</v>
      </c>
      <c r="L136" s="84">
        <v>2975110</v>
      </c>
      <c r="M136" s="84" t="s">
        <v>55</v>
      </c>
      <c r="N136" s="84" t="s">
        <v>413</v>
      </c>
      <c r="O136" s="93">
        <v>103950000</v>
      </c>
      <c r="P136" s="85" t="s">
        <v>455</v>
      </c>
      <c r="Q136" t="s">
        <v>3586</v>
      </c>
    </row>
    <row r="137" spans="1:17" ht="29" hidden="1" x14ac:dyDescent="0.35">
      <c r="A137" s="84">
        <f t="shared" si="1"/>
        <v>63</v>
      </c>
      <c r="B137" s="85" t="s">
        <v>18</v>
      </c>
      <c r="C137" s="85" t="s">
        <v>255</v>
      </c>
      <c r="D137" s="85" t="s">
        <v>256</v>
      </c>
      <c r="E137" s="85" t="s">
        <v>461</v>
      </c>
      <c r="F137" s="85" t="s">
        <v>462</v>
      </c>
      <c r="G137" s="84" t="s">
        <v>463</v>
      </c>
      <c r="H137" s="84" t="s">
        <v>464</v>
      </c>
      <c r="I137" s="84"/>
      <c r="J137" s="94">
        <v>100000000</v>
      </c>
      <c r="K137" s="84" t="s">
        <v>261</v>
      </c>
      <c r="L137" s="84">
        <v>2764013</v>
      </c>
      <c r="M137" s="84" t="s">
        <v>55</v>
      </c>
      <c r="N137" s="84" t="s">
        <v>413</v>
      </c>
      <c r="O137" s="93">
        <v>103950000</v>
      </c>
      <c r="P137" s="85" t="s">
        <v>455</v>
      </c>
      <c r="Q137" t="s">
        <v>3586</v>
      </c>
    </row>
    <row r="138" spans="1:17" ht="43.5" hidden="1" x14ac:dyDescent="0.35">
      <c r="A138" s="84">
        <f t="shared" si="1"/>
        <v>64</v>
      </c>
      <c r="B138" s="85" t="s">
        <v>18</v>
      </c>
      <c r="C138" s="85" t="s">
        <v>255</v>
      </c>
      <c r="D138" s="85" t="s">
        <v>256</v>
      </c>
      <c r="E138" s="85" t="s">
        <v>301</v>
      </c>
      <c r="F138" s="85" t="s">
        <v>465</v>
      </c>
      <c r="G138" s="84" t="s">
        <v>52</v>
      </c>
      <c r="H138" s="84" t="s">
        <v>466</v>
      </c>
      <c r="I138" s="84" t="s">
        <v>467</v>
      </c>
      <c r="J138" s="94">
        <v>100000000</v>
      </c>
      <c r="K138" s="84" t="s">
        <v>261</v>
      </c>
      <c r="L138" s="84">
        <v>2798585</v>
      </c>
      <c r="M138" s="84" t="s">
        <v>55</v>
      </c>
      <c r="N138" s="84" t="s">
        <v>413</v>
      </c>
      <c r="O138" s="93">
        <v>103950000</v>
      </c>
      <c r="P138" s="85" t="s">
        <v>455</v>
      </c>
      <c r="Q138" t="s">
        <v>3586</v>
      </c>
    </row>
    <row r="139" spans="1:17" ht="43.5" hidden="1" x14ac:dyDescent="0.35">
      <c r="A139" s="84">
        <f t="shared" si="1"/>
        <v>65</v>
      </c>
      <c r="B139" s="85" t="s">
        <v>18</v>
      </c>
      <c r="C139" s="85" t="s">
        <v>37</v>
      </c>
      <c r="D139" s="85" t="s">
        <v>256</v>
      </c>
      <c r="E139" s="85" t="s">
        <v>461</v>
      </c>
      <c r="F139" s="85" t="s">
        <v>468</v>
      </c>
      <c r="G139" s="84" t="s">
        <v>469</v>
      </c>
      <c r="H139" s="84" t="s">
        <v>470</v>
      </c>
      <c r="I139" s="84" t="s">
        <v>471</v>
      </c>
      <c r="J139" s="94">
        <v>100000000</v>
      </c>
      <c r="K139" s="84" t="s">
        <v>261</v>
      </c>
      <c r="L139" s="84" t="s">
        <v>62</v>
      </c>
      <c r="M139" s="84" t="s">
        <v>55</v>
      </c>
      <c r="N139" s="84">
        <v>7</v>
      </c>
      <c r="O139" s="93">
        <v>103950000</v>
      </c>
      <c r="P139" s="87" t="s">
        <v>472</v>
      </c>
      <c r="Q139" t="s">
        <v>3586</v>
      </c>
    </row>
    <row r="140" spans="1:17" ht="43.5" hidden="1" x14ac:dyDescent="0.35">
      <c r="A140" s="110">
        <v>67</v>
      </c>
      <c r="B140" s="85" t="s">
        <v>18</v>
      </c>
      <c r="C140" s="85" t="s">
        <v>37</v>
      </c>
      <c r="D140" s="85" t="s">
        <v>256</v>
      </c>
      <c r="E140" s="85" t="s">
        <v>461</v>
      </c>
      <c r="F140" s="85" t="s">
        <v>473</v>
      </c>
      <c r="G140" s="84" t="s">
        <v>469</v>
      </c>
      <c r="H140" s="84" t="s">
        <v>474</v>
      </c>
      <c r="I140" s="84" t="s">
        <v>471</v>
      </c>
      <c r="J140" s="94">
        <v>100000000</v>
      </c>
      <c r="K140" s="84" t="s">
        <v>261</v>
      </c>
      <c r="L140" s="84" t="s">
        <v>62</v>
      </c>
      <c r="M140" s="84" t="s">
        <v>55</v>
      </c>
      <c r="N140" s="84">
        <v>7</v>
      </c>
      <c r="O140" s="93">
        <v>103950000</v>
      </c>
      <c r="P140" s="111" t="s">
        <v>472</v>
      </c>
      <c r="Q140" t="s">
        <v>3586</v>
      </c>
    </row>
    <row r="141" spans="1:17" ht="29" hidden="1" x14ac:dyDescent="0.35">
      <c r="A141" s="112">
        <v>68</v>
      </c>
      <c r="B141" s="113" t="s">
        <v>18</v>
      </c>
      <c r="C141" s="113" t="s">
        <v>255</v>
      </c>
      <c r="D141" s="113" t="s">
        <v>256</v>
      </c>
      <c r="E141" s="106" t="s">
        <v>284</v>
      </c>
      <c r="F141" s="113"/>
      <c r="G141" s="114" t="s">
        <v>240</v>
      </c>
      <c r="H141" s="114" t="s">
        <v>241</v>
      </c>
      <c r="I141" s="115"/>
      <c r="J141" s="95"/>
      <c r="K141" s="115" t="s">
        <v>261</v>
      </c>
      <c r="L141" s="113"/>
      <c r="M141" s="115" t="s">
        <v>226</v>
      </c>
      <c r="N141" s="115" t="s">
        <v>313</v>
      </c>
      <c r="O141" s="119">
        <v>77400000</v>
      </c>
      <c r="P141" s="106" t="s">
        <v>475</v>
      </c>
      <c r="Q141" t="s">
        <v>3586</v>
      </c>
    </row>
    <row r="142" spans="1:17" ht="43.5" hidden="1" x14ac:dyDescent="0.35">
      <c r="A142" s="112">
        <v>69</v>
      </c>
      <c r="B142" s="106" t="s">
        <v>18</v>
      </c>
      <c r="C142" s="106" t="s">
        <v>37</v>
      </c>
      <c r="D142" s="106" t="s">
        <v>476</v>
      </c>
      <c r="E142" s="116" t="s">
        <v>461</v>
      </c>
      <c r="F142" s="106" t="s">
        <v>477</v>
      </c>
      <c r="G142" s="115" t="s">
        <v>469</v>
      </c>
      <c r="H142" s="115" t="s">
        <v>474</v>
      </c>
      <c r="I142" s="115" t="s">
        <v>471</v>
      </c>
      <c r="J142" s="117">
        <v>100000000</v>
      </c>
      <c r="K142" s="115" t="s">
        <v>261</v>
      </c>
      <c r="L142" s="115" t="s">
        <v>62</v>
      </c>
      <c r="M142" s="115" t="s">
        <v>55</v>
      </c>
      <c r="N142" s="118" t="s">
        <v>478</v>
      </c>
      <c r="O142" s="119">
        <v>103950000</v>
      </c>
      <c r="P142" s="120" t="s">
        <v>479</v>
      </c>
      <c r="Q142" t="s">
        <v>3586</v>
      </c>
    </row>
    <row r="143" spans="1:17" ht="58" hidden="1" x14ac:dyDescent="0.35">
      <c r="A143" s="6">
        <v>1</v>
      </c>
      <c r="B143" s="7" t="s">
        <v>480</v>
      </c>
      <c r="C143" s="7" t="s">
        <v>481</v>
      </c>
      <c r="D143" s="121" t="s">
        <v>482</v>
      </c>
      <c r="E143" s="7" t="s">
        <v>483</v>
      </c>
      <c r="F143" s="7" t="s">
        <v>484</v>
      </c>
      <c r="G143" s="7" t="s">
        <v>278</v>
      </c>
      <c r="H143" s="7" t="s">
        <v>485</v>
      </c>
      <c r="I143" s="7" t="s">
        <v>486</v>
      </c>
      <c r="J143" s="122">
        <v>13000000</v>
      </c>
      <c r="K143" s="6" t="s">
        <v>487</v>
      </c>
      <c r="L143" s="7">
        <v>2913914</v>
      </c>
      <c r="M143" s="32" t="s">
        <v>97</v>
      </c>
      <c r="N143" s="7" t="s">
        <v>488</v>
      </c>
      <c r="O143" s="14">
        <v>13000000</v>
      </c>
      <c r="P143" s="7" t="s">
        <v>489</v>
      </c>
      <c r="Q143" t="s">
        <v>3561</v>
      </c>
    </row>
    <row r="144" spans="1:17" ht="58" hidden="1" x14ac:dyDescent="0.35">
      <c r="A144" s="6">
        <f t="shared" ref="A144:A151" si="2">A143+1</f>
        <v>2</v>
      </c>
      <c r="B144" s="7" t="s">
        <v>480</v>
      </c>
      <c r="C144" s="7" t="s">
        <v>481</v>
      </c>
      <c r="D144" s="121" t="s">
        <v>482</v>
      </c>
      <c r="E144" s="7" t="s">
        <v>490</v>
      </c>
      <c r="F144" s="7" t="s">
        <v>491</v>
      </c>
      <c r="G144" s="7" t="s">
        <v>278</v>
      </c>
      <c r="H144" s="7" t="s">
        <v>492</v>
      </c>
      <c r="I144" s="7" t="s">
        <v>96</v>
      </c>
      <c r="J144" s="122">
        <v>115000000</v>
      </c>
      <c r="K144" s="6" t="s">
        <v>487</v>
      </c>
      <c r="L144" s="7">
        <v>2915760</v>
      </c>
      <c r="M144" s="32" t="s">
        <v>97</v>
      </c>
      <c r="N144" s="7" t="s">
        <v>493</v>
      </c>
      <c r="O144" s="14">
        <v>115000000</v>
      </c>
      <c r="P144" s="7" t="s">
        <v>494</v>
      </c>
      <c r="Q144" t="s">
        <v>3561</v>
      </c>
    </row>
    <row r="145" spans="1:17" ht="58" hidden="1" x14ac:dyDescent="0.35">
      <c r="A145" s="6">
        <f t="shared" si="2"/>
        <v>3</v>
      </c>
      <c r="B145" s="7" t="s">
        <v>480</v>
      </c>
      <c r="C145" s="7" t="s">
        <v>481</v>
      </c>
      <c r="D145" s="121" t="s">
        <v>482</v>
      </c>
      <c r="E145" s="7" t="s">
        <v>483</v>
      </c>
      <c r="F145" s="7" t="s">
        <v>495</v>
      </c>
      <c r="G145" s="85" t="s">
        <v>496</v>
      </c>
      <c r="H145" s="85" t="s">
        <v>497</v>
      </c>
      <c r="I145" s="85" t="s">
        <v>498</v>
      </c>
      <c r="J145" s="122">
        <v>15000000</v>
      </c>
      <c r="K145" s="6" t="s">
        <v>487</v>
      </c>
      <c r="L145" s="7">
        <v>2933683</v>
      </c>
      <c r="M145" s="32" t="s">
        <v>97</v>
      </c>
      <c r="N145" s="7" t="s">
        <v>488</v>
      </c>
      <c r="O145" s="14">
        <v>15000000</v>
      </c>
      <c r="P145" s="7"/>
      <c r="Q145" t="s">
        <v>3561</v>
      </c>
    </row>
    <row r="146" spans="1:17" ht="58" hidden="1" x14ac:dyDescent="0.35">
      <c r="A146" s="6">
        <f t="shared" si="2"/>
        <v>4</v>
      </c>
      <c r="B146" s="7" t="s">
        <v>480</v>
      </c>
      <c r="C146" s="7" t="s">
        <v>481</v>
      </c>
      <c r="D146" s="121" t="s">
        <v>482</v>
      </c>
      <c r="E146" s="7" t="s">
        <v>499</v>
      </c>
      <c r="F146" s="7" t="s">
        <v>495</v>
      </c>
      <c r="G146" s="85" t="s">
        <v>496</v>
      </c>
      <c r="H146" s="85" t="s">
        <v>497</v>
      </c>
      <c r="I146" s="85" t="s">
        <v>500</v>
      </c>
      <c r="J146" s="122">
        <v>20000000</v>
      </c>
      <c r="K146" s="6" t="s">
        <v>487</v>
      </c>
      <c r="L146" s="7">
        <v>2797432</v>
      </c>
      <c r="M146" s="32" t="s">
        <v>97</v>
      </c>
      <c r="N146" s="7" t="s">
        <v>488</v>
      </c>
      <c r="O146" s="14">
        <v>20000000</v>
      </c>
      <c r="P146" s="7" t="s">
        <v>501</v>
      </c>
      <c r="Q146" t="s">
        <v>3561</v>
      </c>
    </row>
    <row r="147" spans="1:17" ht="58" hidden="1" x14ac:dyDescent="0.35">
      <c r="A147" s="6">
        <f t="shared" si="2"/>
        <v>5</v>
      </c>
      <c r="B147" s="7" t="s">
        <v>480</v>
      </c>
      <c r="C147" s="7" t="s">
        <v>481</v>
      </c>
      <c r="D147" s="121" t="s">
        <v>482</v>
      </c>
      <c r="E147" s="7" t="s">
        <v>502</v>
      </c>
      <c r="F147" s="7" t="s">
        <v>503</v>
      </c>
      <c r="G147" s="85" t="s">
        <v>504</v>
      </c>
      <c r="H147" s="85" t="s">
        <v>505</v>
      </c>
      <c r="I147" s="7" t="s">
        <v>336</v>
      </c>
      <c r="J147" s="122">
        <v>5000000</v>
      </c>
      <c r="K147" s="6" t="s">
        <v>487</v>
      </c>
      <c r="L147" s="7">
        <v>2805773</v>
      </c>
      <c r="M147" s="32" t="s">
        <v>97</v>
      </c>
      <c r="N147" s="7" t="s">
        <v>336</v>
      </c>
      <c r="O147" s="14">
        <v>5000000</v>
      </c>
      <c r="P147" s="7" t="s">
        <v>506</v>
      </c>
      <c r="Q147" t="s">
        <v>3561</v>
      </c>
    </row>
    <row r="148" spans="1:17" ht="58" hidden="1" x14ac:dyDescent="0.35">
      <c r="A148" s="6">
        <f t="shared" si="2"/>
        <v>6</v>
      </c>
      <c r="B148" s="7" t="s">
        <v>480</v>
      </c>
      <c r="C148" s="7" t="s">
        <v>481</v>
      </c>
      <c r="D148" s="121" t="s">
        <v>482</v>
      </c>
      <c r="E148" s="7" t="s">
        <v>507</v>
      </c>
      <c r="F148" s="7" t="s">
        <v>508</v>
      </c>
      <c r="G148" s="85" t="s">
        <v>504</v>
      </c>
      <c r="H148" s="85" t="s">
        <v>509</v>
      </c>
      <c r="I148" s="7" t="s">
        <v>510</v>
      </c>
      <c r="J148" s="122">
        <v>5000000</v>
      </c>
      <c r="K148" s="6" t="s">
        <v>487</v>
      </c>
      <c r="L148" s="7">
        <v>2940475</v>
      </c>
      <c r="M148" s="32" t="s">
        <v>97</v>
      </c>
      <c r="N148" s="7" t="s">
        <v>510</v>
      </c>
      <c r="O148" s="14">
        <v>5000000</v>
      </c>
      <c r="P148" s="7" t="s">
        <v>511</v>
      </c>
      <c r="Q148" t="s">
        <v>3561</v>
      </c>
    </row>
    <row r="149" spans="1:17" ht="58" hidden="1" x14ac:dyDescent="0.35">
      <c r="A149" s="6">
        <f t="shared" si="2"/>
        <v>7</v>
      </c>
      <c r="B149" s="7" t="s">
        <v>480</v>
      </c>
      <c r="C149" s="7" t="s">
        <v>481</v>
      </c>
      <c r="D149" s="121" t="s">
        <v>482</v>
      </c>
      <c r="E149" s="7" t="s">
        <v>512</v>
      </c>
      <c r="F149" s="7" t="s">
        <v>513</v>
      </c>
      <c r="G149" s="85" t="s">
        <v>504</v>
      </c>
      <c r="H149" s="85" t="s">
        <v>514</v>
      </c>
      <c r="I149" s="7" t="s">
        <v>510</v>
      </c>
      <c r="J149" s="122">
        <v>5000000</v>
      </c>
      <c r="K149" s="6" t="s">
        <v>487</v>
      </c>
      <c r="L149" s="7">
        <v>2939377</v>
      </c>
      <c r="M149" s="32" t="s">
        <v>97</v>
      </c>
      <c r="N149" s="7" t="s">
        <v>510</v>
      </c>
      <c r="O149" s="14">
        <v>5000000</v>
      </c>
      <c r="P149" s="7" t="s">
        <v>511</v>
      </c>
      <c r="Q149" t="s">
        <v>3561</v>
      </c>
    </row>
    <row r="150" spans="1:17" ht="72.5" hidden="1" x14ac:dyDescent="0.35">
      <c r="A150" s="6">
        <f t="shared" si="2"/>
        <v>8</v>
      </c>
      <c r="B150" s="7" t="s">
        <v>480</v>
      </c>
      <c r="C150" s="7" t="s">
        <v>481</v>
      </c>
      <c r="D150" s="121" t="s">
        <v>482</v>
      </c>
      <c r="E150" s="7" t="s">
        <v>515</v>
      </c>
      <c r="F150" s="123" t="s">
        <v>516</v>
      </c>
      <c r="G150" s="7" t="s">
        <v>415</v>
      </c>
      <c r="H150" s="6" t="s">
        <v>517</v>
      </c>
      <c r="I150" s="7" t="s">
        <v>35</v>
      </c>
      <c r="J150" s="7">
        <v>60000000</v>
      </c>
      <c r="K150" s="6" t="s">
        <v>487</v>
      </c>
      <c r="L150" s="7">
        <v>2872221</v>
      </c>
      <c r="M150" s="6" t="s">
        <v>46</v>
      </c>
      <c r="N150" s="14" t="s">
        <v>28</v>
      </c>
      <c r="O150" s="14">
        <v>60000000</v>
      </c>
      <c r="P150" s="7" t="s">
        <v>518</v>
      </c>
      <c r="Q150" t="s">
        <v>3561</v>
      </c>
    </row>
    <row r="151" spans="1:17" ht="58" hidden="1" x14ac:dyDescent="0.35">
      <c r="A151" s="6">
        <f t="shared" si="2"/>
        <v>9</v>
      </c>
      <c r="B151" s="7" t="s">
        <v>480</v>
      </c>
      <c r="C151" s="7" t="s">
        <v>481</v>
      </c>
      <c r="D151" s="7" t="s">
        <v>519</v>
      </c>
      <c r="E151" s="7" t="s">
        <v>520</v>
      </c>
      <c r="F151" s="7" t="s">
        <v>186</v>
      </c>
      <c r="G151" s="7" t="s">
        <v>187</v>
      </c>
      <c r="H151" s="7" t="s">
        <v>446</v>
      </c>
      <c r="I151" s="7" t="s">
        <v>521</v>
      </c>
      <c r="J151" s="7">
        <v>25000000</v>
      </c>
      <c r="K151" s="6" t="s">
        <v>487</v>
      </c>
      <c r="L151" s="7">
        <v>2975537</v>
      </c>
      <c r="M151" s="6" t="s">
        <v>180</v>
      </c>
      <c r="N151" s="14" t="s">
        <v>522</v>
      </c>
      <c r="O151" s="14">
        <v>25000000</v>
      </c>
      <c r="P151" s="7"/>
      <c r="Q151" t="s">
        <v>3561</v>
      </c>
    </row>
    <row r="152" spans="1:17" ht="58" hidden="1" x14ac:dyDescent="0.35">
      <c r="A152" s="6">
        <v>13</v>
      </c>
      <c r="B152" s="7" t="s">
        <v>480</v>
      </c>
      <c r="C152" s="7" t="s">
        <v>481</v>
      </c>
      <c r="D152" s="7" t="s">
        <v>519</v>
      </c>
      <c r="E152" s="7" t="s">
        <v>523</v>
      </c>
      <c r="F152" s="123" t="s">
        <v>516</v>
      </c>
      <c r="G152" s="6" t="s">
        <v>469</v>
      </c>
      <c r="H152" s="6" t="s">
        <v>524</v>
      </c>
      <c r="I152" s="6" t="s">
        <v>35</v>
      </c>
      <c r="J152" s="15">
        <v>100000000</v>
      </c>
      <c r="K152" s="6" t="s">
        <v>487</v>
      </c>
      <c r="L152" s="6">
        <v>2884858</v>
      </c>
      <c r="M152" s="6" t="s">
        <v>55</v>
      </c>
      <c r="N152" s="6" t="s">
        <v>28</v>
      </c>
      <c r="O152" s="124">
        <v>100000000</v>
      </c>
      <c r="P152" s="9" t="s">
        <v>525</v>
      </c>
      <c r="Q152" t="s">
        <v>3561</v>
      </c>
    </row>
    <row r="153" spans="1:17" ht="58" hidden="1" x14ac:dyDescent="0.35">
      <c r="A153" s="6">
        <v>14</v>
      </c>
      <c r="B153" s="7" t="s">
        <v>480</v>
      </c>
      <c r="C153" s="7" t="s">
        <v>481</v>
      </c>
      <c r="D153" s="121" t="s">
        <v>526</v>
      </c>
      <c r="E153" s="7" t="s">
        <v>527</v>
      </c>
      <c r="F153" s="7" t="s">
        <v>528</v>
      </c>
      <c r="G153" s="6" t="s">
        <v>529</v>
      </c>
      <c r="H153" s="6" t="s">
        <v>530</v>
      </c>
      <c r="I153" s="6" t="s">
        <v>35</v>
      </c>
      <c r="J153" s="15">
        <v>40000000</v>
      </c>
      <c r="K153" s="6" t="s">
        <v>487</v>
      </c>
      <c r="L153" s="6">
        <v>2932434</v>
      </c>
      <c r="M153" s="6" t="s">
        <v>55</v>
      </c>
      <c r="N153" s="6" t="s">
        <v>28</v>
      </c>
      <c r="O153" s="124">
        <v>40000000</v>
      </c>
      <c r="P153" s="9" t="s">
        <v>531</v>
      </c>
      <c r="Q153" t="s">
        <v>3561</v>
      </c>
    </row>
    <row r="154" spans="1:17" ht="58" x14ac:dyDescent="0.35">
      <c r="A154" s="125">
        <v>15</v>
      </c>
      <c r="B154" s="27" t="s">
        <v>480</v>
      </c>
      <c r="C154" s="27" t="s">
        <v>481</v>
      </c>
      <c r="D154" s="27" t="s">
        <v>532</v>
      </c>
      <c r="E154" s="27" t="s">
        <v>533</v>
      </c>
      <c r="F154" s="123" t="s">
        <v>516</v>
      </c>
      <c r="G154" s="126" t="s">
        <v>82</v>
      </c>
      <c r="H154" s="27" t="s">
        <v>534</v>
      </c>
      <c r="I154" s="27"/>
      <c r="J154" s="27"/>
      <c r="K154" s="6" t="s">
        <v>487</v>
      </c>
      <c r="L154" s="126">
        <v>3348388</v>
      </c>
      <c r="M154" s="126" t="s">
        <v>535</v>
      </c>
      <c r="N154" s="127" t="s">
        <v>536</v>
      </c>
      <c r="O154" s="127">
        <v>100000000</v>
      </c>
      <c r="P154" s="27" t="s">
        <v>275</v>
      </c>
      <c r="Q154" t="s">
        <v>3561</v>
      </c>
    </row>
    <row r="155" spans="1:17" ht="31" x14ac:dyDescent="0.35">
      <c r="A155" s="126">
        <v>16</v>
      </c>
      <c r="B155" s="128" t="s">
        <v>71</v>
      </c>
      <c r="C155" s="128" t="s">
        <v>537</v>
      </c>
      <c r="D155" s="123" t="s">
        <v>538</v>
      </c>
      <c r="E155" s="123" t="s">
        <v>539</v>
      </c>
      <c r="F155" s="123" t="s">
        <v>516</v>
      </c>
      <c r="G155" s="128" t="s">
        <v>82</v>
      </c>
      <c r="H155" s="128" t="s">
        <v>540</v>
      </c>
      <c r="I155" s="128"/>
      <c r="J155" s="129"/>
      <c r="K155" s="54" t="s">
        <v>197</v>
      </c>
      <c r="L155" s="128" t="s">
        <v>541</v>
      </c>
      <c r="M155" s="128" t="s">
        <v>535</v>
      </c>
      <c r="N155" s="129" t="s">
        <v>542</v>
      </c>
      <c r="O155" s="129">
        <v>40000000</v>
      </c>
      <c r="P155" s="128" t="s">
        <v>275</v>
      </c>
      <c r="Q155" t="s">
        <v>3561</v>
      </c>
    </row>
    <row r="156" spans="1:17" ht="52" hidden="1" x14ac:dyDescent="0.35">
      <c r="A156" s="126">
        <v>17</v>
      </c>
      <c r="B156" s="130" t="s">
        <v>480</v>
      </c>
      <c r="C156" s="130" t="s">
        <v>481</v>
      </c>
      <c r="D156" s="130" t="s">
        <v>3578</v>
      </c>
      <c r="E156" s="31" t="s">
        <v>543</v>
      </c>
      <c r="F156" s="26" t="s">
        <v>544</v>
      </c>
      <c r="G156" s="26" t="s">
        <v>545</v>
      </c>
      <c r="H156" s="26" t="s">
        <v>546</v>
      </c>
      <c r="I156" s="131"/>
      <c r="J156" s="127">
        <v>39600000</v>
      </c>
      <c r="K156" s="6" t="s">
        <v>487</v>
      </c>
      <c r="L156" s="130"/>
      <c r="M156" s="130" t="s">
        <v>180</v>
      </c>
      <c r="N156" s="130" t="s">
        <v>500</v>
      </c>
      <c r="O156" s="132">
        <v>39600000</v>
      </c>
      <c r="P156" s="130" t="s">
        <v>547</v>
      </c>
      <c r="Q156" t="s">
        <v>3561</v>
      </c>
    </row>
    <row r="157" spans="1:17" ht="52" hidden="1" x14ac:dyDescent="0.35">
      <c r="A157" s="126">
        <v>18</v>
      </c>
      <c r="B157" s="130" t="s">
        <v>480</v>
      </c>
      <c r="C157" s="130" t="s">
        <v>481</v>
      </c>
      <c r="D157" s="130" t="s">
        <v>3579</v>
      </c>
      <c r="E157" s="27" t="s">
        <v>548</v>
      </c>
      <c r="F157" s="130" t="s">
        <v>549</v>
      </c>
      <c r="G157" s="130" t="s">
        <v>492</v>
      </c>
      <c r="H157" s="130" t="s">
        <v>550</v>
      </c>
      <c r="I157" s="130"/>
      <c r="J157" s="130"/>
      <c r="K157" s="6" t="s">
        <v>487</v>
      </c>
      <c r="L157" s="130"/>
      <c r="M157" s="32" t="s">
        <v>97</v>
      </c>
      <c r="N157" s="130" t="s">
        <v>500</v>
      </c>
      <c r="O157" s="132">
        <v>19940000</v>
      </c>
      <c r="P157" s="130" t="s">
        <v>547</v>
      </c>
      <c r="Q157" t="s">
        <v>3561</v>
      </c>
    </row>
    <row r="158" spans="1:17" ht="29" hidden="1" x14ac:dyDescent="0.35">
      <c r="A158" s="6">
        <f t="shared" ref="A158:A193" si="3">A157+1</f>
        <v>19</v>
      </c>
      <c r="B158" s="7" t="s">
        <v>71</v>
      </c>
      <c r="C158" s="7" t="s">
        <v>551</v>
      </c>
      <c r="D158" s="7" t="s">
        <v>552</v>
      </c>
      <c r="E158" s="7" t="s">
        <v>553</v>
      </c>
      <c r="F158" s="7" t="s">
        <v>554</v>
      </c>
      <c r="G158" s="7" t="s">
        <v>208</v>
      </c>
      <c r="H158" s="7" t="s">
        <v>555</v>
      </c>
      <c r="I158" s="7" t="s">
        <v>556</v>
      </c>
      <c r="J158" s="122">
        <v>61400000</v>
      </c>
      <c r="K158" s="6" t="s">
        <v>553</v>
      </c>
      <c r="L158" s="7">
        <v>2791937</v>
      </c>
      <c r="M158" s="32" t="s">
        <v>97</v>
      </c>
      <c r="N158" s="7" t="s">
        <v>28</v>
      </c>
      <c r="O158" s="14">
        <v>61400000</v>
      </c>
      <c r="P158" s="7"/>
      <c r="Q158" t="s">
        <v>3561</v>
      </c>
    </row>
    <row r="159" spans="1:17" ht="29" hidden="1" x14ac:dyDescent="0.35">
      <c r="A159" s="6">
        <f t="shared" si="3"/>
        <v>20</v>
      </c>
      <c r="B159" s="7" t="s">
        <v>71</v>
      </c>
      <c r="C159" s="7" t="s">
        <v>551</v>
      </c>
      <c r="D159" s="7" t="s">
        <v>557</v>
      </c>
      <c r="E159" s="7" t="s">
        <v>558</v>
      </c>
      <c r="F159" s="7" t="s">
        <v>559</v>
      </c>
      <c r="G159" s="7" t="s">
        <v>238</v>
      </c>
      <c r="H159" s="85" t="s">
        <v>560</v>
      </c>
      <c r="I159" s="7" t="s">
        <v>561</v>
      </c>
      <c r="J159" s="122">
        <v>20000000</v>
      </c>
      <c r="K159" s="6" t="s">
        <v>553</v>
      </c>
      <c r="L159" s="7">
        <v>2964243</v>
      </c>
      <c r="M159" s="32" t="s">
        <v>97</v>
      </c>
      <c r="N159" s="7" t="s">
        <v>561</v>
      </c>
      <c r="O159" s="14">
        <v>20000000</v>
      </c>
      <c r="P159" s="7" t="s">
        <v>562</v>
      </c>
      <c r="Q159" t="s">
        <v>3561</v>
      </c>
    </row>
    <row r="160" spans="1:17" ht="29" hidden="1" x14ac:dyDescent="0.35">
      <c r="A160" s="6">
        <f t="shared" si="3"/>
        <v>21</v>
      </c>
      <c r="B160" s="7" t="s">
        <v>71</v>
      </c>
      <c r="C160" s="7" t="s">
        <v>551</v>
      </c>
      <c r="D160" s="7" t="s">
        <v>557</v>
      </c>
      <c r="E160" s="7" t="s">
        <v>558</v>
      </c>
      <c r="F160" s="7" t="s">
        <v>563</v>
      </c>
      <c r="G160" s="7" t="s">
        <v>238</v>
      </c>
      <c r="H160" s="85" t="s">
        <v>286</v>
      </c>
      <c r="I160" s="7" t="s">
        <v>561</v>
      </c>
      <c r="J160" s="122">
        <v>20000000</v>
      </c>
      <c r="K160" s="6" t="s">
        <v>553</v>
      </c>
      <c r="L160" s="7">
        <v>2965176</v>
      </c>
      <c r="M160" s="32" t="s">
        <v>97</v>
      </c>
      <c r="N160" s="7" t="s">
        <v>561</v>
      </c>
      <c r="O160" s="14">
        <v>20000000</v>
      </c>
      <c r="P160" s="7" t="s">
        <v>562</v>
      </c>
      <c r="Q160" t="s">
        <v>3561</v>
      </c>
    </row>
    <row r="161" spans="1:17" ht="29" hidden="1" x14ac:dyDescent="0.35">
      <c r="A161" s="6">
        <f t="shared" si="3"/>
        <v>22</v>
      </c>
      <c r="B161" s="7" t="s">
        <v>71</v>
      </c>
      <c r="C161" s="7" t="s">
        <v>551</v>
      </c>
      <c r="D161" s="7" t="s">
        <v>552</v>
      </c>
      <c r="E161" s="7" t="s">
        <v>564</v>
      </c>
      <c r="F161" s="7" t="s">
        <v>565</v>
      </c>
      <c r="G161" s="7" t="s">
        <v>566</v>
      </c>
      <c r="H161" s="133" t="s">
        <v>567</v>
      </c>
      <c r="I161" s="85"/>
      <c r="J161" s="134"/>
      <c r="K161" s="84" t="s">
        <v>553</v>
      </c>
      <c r="L161" s="7" t="s">
        <v>568</v>
      </c>
      <c r="M161" s="32" t="s">
        <v>97</v>
      </c>
      <c r="N161" s="7">
        <f>118*3</f>
        <v>354</v>
      </c>
      <c r="O161" s="14">
        <v>276858332</v>
      </c>
      <c r="P161" s="7" t="s">
        <v>288</v>
      </c>
      <c r="Q161" t="s">
        <v>3561</v>
      </c>
    </row>
    <row r="162" spans="1:17" ht="29" hidden="1" x14ac:dyDescent="0.35">
      <c r="A162" s="6">
        <f t="shared" si="3"/>
        <v>23</v>
      </c>
      <c r="B162" s="7" t="s">
        <v>71</v>
      </c>
      <c r="C162" s="7" t="s">
        <v>551</v>
      </c>
      <c r="D162" s="7" t="s">
        <v>552</v>
      </c>
      <c r="E162" s="7" t="s">
        <v>569</v>
      </c>
      <c r="F162" s="7" t="s">
        <v>570</v>
      </c>
      <c r="G162" s="85" t="s">
        <v>101</v>
      </c>
      <c r="H162" s="85" t="s">
        <v>571</v>
      </c>
      <c r="I162" s="85" t="s">
        <v>572</v>
      </c>
      <c r="J162" s="122">
        <v>32000000</v>
      </c>
      <c r="K162" s="6" t="s">
        <v>553</v>
      </c>
      <c r="L162" s="7">
        <v>2821670</v>
      </c>
      <c r="M162" s="32" t="s">
        <v>97</v>
      </c>
      <c r="N162" s="7" t="s">
        <v>573</v>
      </c>
      <c r="O162" s="14">
        <v>50000000</v>
      </c>
      <c r="P162" s="7"/>
      <c r="Q162" t="s">
        <v>3561</v>
      </c>
    </row>
    <row r="163" spans="1:17" ht="29" hidden="1" x14ac:dyDescent="0.35">
      <c r="A163" s="135">
        <f t="shared" si="3"/>
        <v>24</v>
      </c>
      <c r="B163" s="136" t="s">
        <v>71</v>
      </c>
      <c r="C163" s="136" t="s">
        <v>551</v>
      </c>
      <c r="D163" s="7" t="s">
        <v>552</v>
      </c>
      <c r="E163" s="136" t="s">
        <v>574</v>
      </c>
      <c r="F163" s="136" t="s">
        <v>111</v>
      </c>
      <c r="G163" s="135" t="s">
        <v>112</v>
      </c>
      <c r="H163" s="135" t="s">
        <v>113</v>
      </c>
      <c r="I163" s="135" t="s">
        <v>575</v>
      </c>
      <c r="J163" s="137">
        <v>600000000</v>
      </c>
      <c r="K163" s="135" t="s">
        <v>553</v>
      </c>
      <c r="L163" s="135">
        <v>2952807</v>
      </c>
      <c r="M163" s="135" t="s">
        <v>109</v>
      </c>
      <c r="N163" s="138" t="s">
        <v>35</v>
      </c>
      <c r="O163" s="138">
        <v>700000000</v>
      </c>
      <c r="P163" s="9"/>
      <c r="Q163" t="s">
        <v>3561</v>
      </c>
    </row>
    <row r="164" spans="1:17" ht="26" hidden="1" x14ac:dyDescent="0.35">
      <c r="A164" s="135">
        <f t="shared" si="3"/>
        <v>25</v>
      </c>
      <c r="B164" s="136" t="s">
        <v>576</v>
      </c>
      <c r="C164" s="136" t="s">
        <v>577</v>
      </c>
      <c r="D164" s="136" t="s">
        <v>557</v>
      </c>
      <c r="E164" s="136" t="s">
        <v>578</v>
      </c>
      <c r="F164" s="136" t="s">
        <v>297</v>
      </c>
      <c r="G164" s="135" t="s">
        <v>579</v>
      </c>
      <c r="H164" s="135" t="s">
        <v>580</v>
      </c>
      <c r="I164" s="135" t="s">
        <v>581</v>
      </c>
      <c r="J164" s="137">
        <v>273930000</v>
      </c>
      <c r="K164" s="135" t="s">
        <v>553</v>
      </c>
      <c r="L164" s="135">
        <v>2768128</v>
      </c>
      <c r="M164" s="135" t="s">
        <v>109</v>
      </c>
      <c r="N164" s="138" t="s">
        <v>581</v>
      </c>
      <c r="O164" s="138">
        <v>273930000</v>
      </c>
      <c r="P164" s="9"/>
      <c r="Q164" t="s">
        <v>3561</v>
      </c>
    </row>
    <row r="165" spans="1:17" ht="26" hidden="1" x14ac:dyDescent="0.35">
      <c r="A165" s="135">
        <f t="shared" si="3"/>
        <v>26</v>
      </c>
      <c r="B165" s="136" t="s">
        <v>576</v>
      </c>
      <c r="C165" s="136" t="s">
        <v>577</v>
      </c>
      <c r="D165" s="136" t="s">
        <v>557</v>
      </c>
      <c r="E165" s="136" t="s">
        <v>578</v>
      </c>
      <c r="F165" s="136" t="s">
        <v>302</v>
      </c>
      <c r="G165" s="135" t="s">
        <v>303</v>
      </c>
      <c r="H165" s="135" t="s">
        <v>582</v>
      </c>
      <c r="I165" s="135" t="s">
        <v>583</v>
      </c>
      <c r="J165" s="137">
        <v>100000000</v>
      </c>
      <c r="K165" s="135" t="s">
        <v>553</v>
      </c>
      <c r="L165" s="135">
        <v>2847867</v>
      </c>
      <c r="M165" s="135" t="s">
        <v>109</v>
      </c>
      <c r="N165" s="138" t="s">
        <v>35</v>
      </c>
      <c r="O165" s="138">
        <v>100000000</v>
      </c>
      <c r="P165" s="9" t="s">
        <v>584</v>
      </c>
      <c r="Q165" t="s">
        <v>3561</v>
      </c>
    </row>
    <row r="166" spans="1:17" ht="39" hidden="1" x14ac:dyDescent="0.35">
      <c r="A166" s="135">
        <f t="shared" si="3"/>
        <v>27</v>
      </c>
      <c r="B166" s="136" t="s">
        <v>576</v>
      </c>
      <c r="C166" s="136" t="s">
        <v>577</v>
      </c>
      <c r="D166" s="136" t="s">
        <v>557</v>
      </c>
      <c r="E166" s="136" t="s">
        <v>585</v>
      </c>
      <c r="F166" s="136" t="s">
        <v>586</v>
      </c>
      <c r="G166" s="135" t="s">
        <v>587</v>
      </c>
      <c r="H166" s="135" t="s">
        <v>587</v>
      </c>
      <c r="I166" s="135" t="s">
        <v>35</v>
      </c>
      <c r="J166" s="137">
        <v>100000000</v>
      </c>
      <c r="K166" s="349" t="s">
        <v>553</v>
      </c>
      <c r="L166" s="135"/>
      <c r="M166" s="135" t="s">
        <v>109</v>
      </c>
      <c r="N166" s="138" t="s">
        <v>35</v>
      </c>
      <c r="O166" s="138">
        <v>100000000</v>
      </c>
      <c r="P166" s="9" t="s">
        <v>588</v>
      </c>
      <c r="Q166" t="s">
        <v>3561</v>
      </c>
    </row>
    <row r="167" spans="1:17" ht="29" hidden="1" x14ac:dyDescent="0.35">
      <c r="A167" s="6">
        <f t="shared" si="3"/>
        <v>28</v>
      </c>
      <c r="B167" s="7" t="s">
        <v>71</v>
      </c>
      <c r="C167" s="7" t="s">
        <v>551</v>
      </c>
      <c r="D167" s="7" t="s">
        <v>589</v>
      </c>
      <c r="E167" s="7" t="s">
        <v>590</v>
      </c>
      <c r="F167" s="7" t="s">
        <v>591</v>
      </c>
      <c r="G167" s="6" t="s">
        <v>135</v>
      </c>
      <c r="H167" s="6" t="s">
        <v>592</v>
      </c>
      <c r="I167" s="6" t="s">
        <v>408</v>
      </c>
      <c r="J167" s="15">
        <v>50000000</v>
      </c>
      <c r="K167" s="6" t="s">
        <v>553</v>
      </c>
      <c r="L167" s="6">
        <v>2906111</v>
      </c>
      <c r="M167" s="6" t="s">
        <v>27</v>
      </c>
      <c r="N167" s="6" t="s">
        <v>593</v>
      </c>
      <c r="O167" s="138">
        <v>50000000</v>
      </c>
      <c r="P167" s="7"/>
      <c r="Q167" t="s">
        <v>3561</v>
      </c>
    </row>
    <row r="168" spans="1:17" ht="29" hidden="1" x14ac:dyDescent="0.35">
      <c r="A168" s="6">
        <f t="shared" si="3"/>
        <v>29</v>
      </c>
      <c r="B168" s="7" t="s">
        <v>71</v>
      </c>
      <c r="C168" s="7" t="s">
        <v>551</v>
      </c>
      <c r="D168" s="7" t="s">
        <v>552</v>
      </c>
      <c r="E168" s="7" t="s">
        <v>594</v>
      </c>
      <c r="F168" s="7" t="s">
        <v>591</v>
      </c>
      <c r="G168" s="6" t="s">
        <v>135</v>
      </c>
      <c r="H168" s="6" t="s">
        <v>595</v>
      </c>
      <c r="I168" s="6" t="s">
        <v>408</v>
      </c>
      <c r="J168" s="15">
        <v>20000000</v>
      </c>
      <c r="K168" s="6" t="s">
        <v>553</v>
      </c>
      <c r="L168" s="6">
        <v>2906120</v>
      </c>
      <c r="M168" s="6" t="s">
        <v>27</v>
      </c>
      <c r="N168" s="6" t="s">
        <v>596</v>
      </c>
      <c r="O168" s="138">
        <v>50000000</v>
      </c>
      <c r="P168" s="7"/>
      <c r="Q168" t="s">
        <v>3561</v>
      </c>
    </row>
    <row r="169" spans="1:17" ht="29" hidden="1" x14ac:dyDescent="0.35">
      <c r="A169" s="6">
        <f t="shared" si="3"/>
        <v>30</v>
      </c>
      <c r="B169" s="7" t="s">
        <v>71</v>
      </c>
      <c r="C169" s="7" t="s">
        <v>551</v>
      </c>
      <c r="D169" s="7" t="s">
        <v>557</v>
      </c>
      <c r="E169" s="7" t="s">
        <v>597</v>
      </c>
      <c r="F169" s="7" t="s">
        <v>297</v>
      </c>
      <c r="G169" s="6" t="s">
        <v>598</v>
      </c>
      <c r="H169" s="6" t="s">
        <v>599</v>
      </c>
      <c r="I169" s="6" t="s">
        <v>28</v>
      </c>
      <c r="J169" s="15">
        <v>25000000</v>
      </c>
      <c r="K169" s="6" t="s">
        <v>553</v>
      </c>
      <c r="L169" s="6">
        <v>2791231</v>
      </c>
      <c r="M169" s="6" t="s">
        <v>27</v>
      </c>
      <c r="N169" s="6" t="s">
        <v>28</v>
      </c>
      <c r="O169" s="138">
        <v>25000000</v>
      </c>
      <c r="P169" s="7"/>
      <c r="Q169" t="s">
        <v>3561</v>
      </c>
    </row>
    <row r="170" spans="1:17" ht="29" hidden="1" x14ac:dyDescent="0.35">
      <c r="A170" s="6">
        <f t="shared" si="3"/>
        <v>31</v>
      </c>
      <c r="B170" s="7" t="s">
        <v>71</v>
      </c>
      <c r="C170" s="7" t="s">
        <v>551</v>
      </c>
      <c r="D170" s="7" t="s">
        <v>557</v>
      </c>
      <c r="E170" s="7" t="s">
        <v>578</v>
      </c>
      <c r="F170" s="7"/>
      <c r="G170" s="7" t="s">
        <v>600</v>
      </c>
      <c r="H170" s="7" t="s">
        <v>601</v>
      </c>
      <c r="I170" s="7" t="s">
        <v>35</v>
      </c>
      <c r="J170" s="7">
        <v>125000000</v>
      </c>
      <c r="K170" s="6" t="s">
        <v>553</v>
      </c>
      <c r="L170" s="7">
        <v>2913934</v>
      </c>
      <c r="M170" s="6" t="s">
        <v>46</v>
      </c>
      <c r="N170" s="14" t="s">
        <v>35</v>
      </c>
      <c r="O170" s="14">
        <v>125000000</v>
      </c>
      <c r="P170" s="7"/>
      <c r="Q170" t="s">
        <v>3561</v>
      </c>
    </row>
    <row r="171" spans="1:17" ht="29" hidden="1" x14ac:dyDescent="0.35">
      <c r="A171" s="6">
        <f t="shared" si="3"/>
        <v>32</v>
      </c>
      <c r="B171" s="7" t="s">
        <v>71</v>
      </c>
      <c r="C171" s="7" t="s">
        <v>551</v>
      </c>
      <c r="D171" s="7" t="s">
        <v>557</v>
      </c>
      <c r="E171" s="7" t="s">
        <v>578</v>
      </c>
      <c r="F171" s="7"/>
      <c r="G171" s="7" t="s">
        <v>600</v>
      </c>
      <c r="H171" s="7" t="s">
        <v>602</v>
      </c>
      <c r="I171" s="7" t="s">
        <v>35</v>
      </c>
      <c r="J171" s="7">
        <v>50000000</v>
      </c>
      <c r="K171" s="6" t="s">
        <v>553</v>
      </c>
      <c r="L171" s="7">
        <v>2913934</v>
      </c>
      <c r="M171" s="6" t="s">
        <v>46</v>
      </c>
      <c r="N171" s="14" t="s">
        <v>35</v>
      </c>
      <c r="O171" s="14">
        <v>50000000</v>
      </c>
      <c r="P171" s="7"/>
      <c r="Q171" t="s">
        <v>3561</v>
      </c>
    </row>
    <row r="172" spans="1:17" ht="29" hidden="1" x14ac:dyDescent="0.35">
      <c r="A172" s="6">
        <f t="shared" si="3"/>
        <v>33</v>
      </c>
      <c r="B172" s="7" t="s">
        <v>71</v>
      </c>
      <c r="C172" s="7" t="s">
        <v>551</v>
      </c>
      <c r="D172" s="7" t="s">
        <v>557</v>
      </c>
      <c r="E172" s="7" t="s">
        <v>578</v>
      </c>
      <c r="F172" s="7"/>
      <c r="G172" s="7" t="s">
        <v>600</v>
      </c>
      <c r="H172" s="7" t="s">
        <v>603</v>
      </c>
      <c r="I172" s="7" t="s">
        <v>35</v>
      </c>
      <c r="J172" s="7">
        <v>40000000</v>
      </c>
      <c r="K172" s="6" t="s">
        <v>553</v>
      </c>
      <c r="L172" s="7">
        <v>2913934</v>
      </c>
      <c r="M172" s="6" t="s">
        <v>46</v>
      </c>
      <c r="N172" s="14" t="s">
        <v>35</v>
      </c>
      <c r="O172" s="14">
        <v>40000000</v>
      </c>
      <c r="P172" s="7"/>
      <c r="Q172" t="s">
        <v>3561</v>
      </c>
    </row>
    <row r="173" spans="1:17" ht="29" hidden="1" x14ac:dyDescent="0.35">
      <c r="A173" s="6">
        <f t="shared" si="3"/>
        <v>34</v>
      </c>
      <c r="B173" s="7" t="s">
        <v>71</v>
      </c>
      <c r="C173" s="7" t="s">
        <v>551</v>
      </c>
      <c r="D173" s="7" t="s">
        <v>557</v>
      </c>
      <c r="E173" s="7" t="s">
        <v>578</v>
      </c>
      <c r="F173" s="7"/>
      <c r="G173" s="7" t="s">
        <v>600</v>
      </c>
      <c r="H173" s="7" t="s">
        <v>604</v>
      </c>
      <c r="I173" s="7" t="s">
        <v>35</v>
      </c>
      <c r="J173" s="7">
        <v>40000000</v>
      </c>
      <c r="K173" s="6" t="s">
        <v>553</v>
      </c>
      <c r="L173" s="7">
        <v>2913934</v>
      </c>
      <c r="M173" s="6" t="s">
        <v>46</v>
      </c>
      <c r="N173" s="14" t="s">
        <v>35</v>
      </c>
      <c r="O173" s="14">
        <v>40000000</v>
      </c>
      <c r="P173" s="7"/>
      <c r="Q173" t="s">
        <v>3561</v>
      </c>
    </row>
    <row r="174" spans="1:17" ht="29" hidden="1" x14ac:dyDescent="0.35">
      <c r="A174" s="6">
        <f t="shared" si="3"/>
        <v>35</v>
      </c>
      <c r="B174" s="7" t="s">
        <v>71</v>
      </c>
      <c r="C174" s="7" t="s">
        <v>551</v>
      </c>
      <c r="D174" s="7" t="s">
        <v>557</v>
      </c>
      <c r="E174" s="7" t="s">
        <v>578</v>
      </c>
      <c r="F174" s="7"/>
      <c r="G174" s="7" t="s">
        <v>600</v>
      </c>
      <c r="H174" s="7" t="s">
        <v>605</v>
      </c>
      <c r="I174" s="7" t="s">
        <v>35</v>
      </c>
      <c r="J174" s="7">
        <v>50000000</v>
      </c>
      <c r="K174" s="6" t="s">
        <v>553</v>
      </c>
      <c r="L174" s="7">
        <v>2913934</v>
      </c>
      <c r="M174" s="6" t="s">
        <v>46</v>
      </c>
      <c r="N174" s="14" t="s">
        <v>35</v>
      </c>
      <c r="O174" s="14">
        <v>50000000</v>
      </c>
      <c r="P174" s="7"/>
      <c r="Q174" t="s">
        <v>3561</v>
      </c>
    </row>
    <row r="175" spans="1:17" ht="29" hidden="1" x14ac:dyDescent="0.35">
      <c r="A175" s="6">
        <f t="shared" si="3"/>
        <v>36</v>
      </c>
      <c r="B175" s="7" t="s">
        <v>71</v>
      </c>
      <c r="C175" s="7" t="s">
        <v>551</v>
      </c>
      <c r="D175" s="7" t="s">
        <v>557</v>
      </c>
      <c r="E175" s="7" t="s">
        <v>578</v>
      </c>
      <c r="F175" s="7"/>
      <c r="G175" s="7" t="s">
        <v>600</v>
      </c>
      <c r="H175" s="6" t="s">
        <v>606</v>
      </c>
      <c r="I175" s="7" t="s">
        <v>35</v>
      </c>
      <c r="J175" s="7">
        <v>25000000</v>
      </c>
      <c r="K175" s="6" t="s">
        <v>553</v>
      </c>
      <c r="L175" s="7">
        <v>2913934</v>
      </c>
      <c r="M175" s="6" t="s">
        <v>46</v>
      </c>
      <c r="N175" s="14" t="s">
        <v>35</v>
      </c>
      <c r="O175" s="14">
        <v>25000000</v>
      </c>
      <c r="P175" s="7"/>
      <c r="Q175" t="s">
        <v>3561</v>
      </c>
    </row>
    <row r="176" spans="1:17" ht="29" hidden="1" x14ac:dyDescent="0.35">
      <c r="A176" s="6">
        <f t="shared" si="3"/>
        <v>37</v>
      </c>
      <c r="B176" s="7" t="s">
        <v>71</v>
      </c>
      <c r="C176" s="7" t="s">
        <v>551</v>
      </c>
      <c r="D176" s="7" t="s">
        <v>552</v>
      </c>
      <c r="E176" s="7" t="s">
        <v>607</v>
      </c>
      <c r="F176" s="7" t="s">
        <v>608</v>
      </c>
      <c r="G176" s="7" t="s">
        <v>389</v>
      </c>
      <c r="H176" s="7" t="s">
        <v>398</v>
      </c>
      <c r="I176" s="7" t="s">
        <v>609</v>
      </c>
      <c r="J176" s="7">
        <v>25000000</v>
      </c>
      <c r="K176" s="6" t="s">
        <v>553</v>
      </c>
      <c r="L176" s="7"/>
      <c r="M176" s="6" t="s">
        <v>46</v>
      </c>
      <c r="N176" s="14" t="s">
        <v>25</v>
      </c>
      <c r="O176" s="14">
        <v>25000000</v>
      </c>
      <c r="P176" s="7" t="s">
        <v>610</v>
      </c>
      <c r="Q176" t="s">
        <v>3561</v>
      </c>
    </row>
    <row r="177" spans="1:17" ht="29" hidden="1" x14ac:dyDescent="0.35">
      <c r="A177" s="6">
        <f t="shared" si="3"/>
        <v>38</v>
      </c>
      <c r="B177" s="7" t="s">
        <v>71</v>
      </c>
      <c r="C177" s="7" t="s">
        <v>551</v>
      </c>
      <c r="D177" s="7" t="s">
        <v>552</v>
      </c>
      <c r="E177" s="7" t="s">
        <v>611</v>
      </c>
      <c r="F177" s="7" t="s">
        <v>608</v>
      </c>
      <c r="G177" s="7" t="s">
        <v>389</v>
      </c>
      <c r="H177" s="7" t="s">
        <v>398</v>
      </c>
      <c r="I177" s="7">
        <v>1</v>
      </c>
      <c r="J177" s="7">
        <v>75000000</v>
      </c>
      <c r="K177" s="6" t="s">
        <v>553</v>
      </c>
      <c r="L177" s="7"/>
      <c r="M177" s="6" t="s">
        <v>46</v>
      </c>
      <c r="N177" s="14" t="s">
        <v>25</v>
      </c>
      <c r="O177" s="14">
        <v>75000000</v>
      </c>
      <c r="P177" s="7" t="s">
        <v>610</v>
      </c>
      <c r="Q177" t="s">
        <v>3561</v>
      </c>
    </row>
    <row r="178" spans="1:17" ht="29" hidden="1" x14ac:dyDescent="0.35">
      <c r="A178" s="6">
        <f t="shared" si="3"/>
        <v>39</v>
      </c>
      <c r="B178" s="7" t="s">
        <v>71</v>
      </c>
      <c r="C178" s="7" t="s">
        <v>551</v>
      </c>
      <c r="D178" s="7" t="s">
        <v>557</v>
      </c>
      <c r="E178" s="7" t="s">
        <v>578</v>
      </c>
      <c r="F178" s="7" t="s">
        <v>48</v>
      </c>
      <c r="G178" s="7" t="s">
        <v>612</v>
      </c>
      <c r="H178" s="7" t="s">
        <v>613</v>
      </c>
      <c r="I178" s="7" t="s">
        <v>614</v>
      </c>
      <c r="J178" s="7">
        <v>22500000</v>
      </c>
      <c r="K178" s="6" t="s">
        <v>553</v>
      </c>
      <c r="L178" s="7">
        <v>2819924</v>
      </c>
      <c r="M178" s="6" t="s">
        <v>46</v>
      </c>
      <c r="N178" s="14">
        <v>1</v>
      </c>
      <c r="O178" s="14">
        <v>22500000</v>
      </c>
      <c r="P178" s="7"/>
      <c r="Q178" t="s">
        <v>3561</v>
      </c>
    </row>
    <row r="179" spans="1:17" ht="29" hidden="1" x14ac:dyDescent="0.35">
      <c r="A179" s="6">
        <f t="shared" si="3"/>
        <v>40</v>
      </c>
      <c r="B179" s="7" t="s">
        <v>71</v>
      </c>
      <c r="C179" s="7" t="s">
        <v>551</v>
      </c>
      <c r="D179" s="7" t="s">
        <v>552</v>
      </c>
      <c r="E179" s="7" t="s">
        <v>574</v>
      </c>
      <c r="F179" s="7"/>
      <c r="G179" s="7" t="s">
        <v>615</v>
      </c>
      <c r="H179" s="7" t="s">
        <v>616</v>
      </c>
      <c r="I179" s="7" t="s">
        <v>617</v>
      </c>
      <c r="J179" s="7">
        <v>200000000</v>
      </c>
      <c r="K179" s="6" t="s">
        <v>553</v>
      </c>
      <c r="L179" s="7">
        <v>2799577</v>
      </c>
      <c r="M179" s="6" t="s">
        <v>46</v>
      </c>
      <c r="N179" s="14" t="s">
        <v>617</v>
      </c>
      <c r="O179" s="14">
        <v>200000000</v>
      </c>
      <c r="P179" s="7"/>
      <c r="Q179" t="s">
        <v>3561</v>
      </c>
    </row>
    <row r="180" spans="1:17" ht="29" hidden="1" x14ac:dyDescent="0.35">
      <c r="A180" s="6">
        <f t="shared" si="3"/>
        <v>41</v>
      </c>
      <c r="B180" s="7" t="s">
        <v>71</v>
      </c>
      <c r="C180" s="7" t="s">
        <v>551</v>
      </c>
      <c r="D180" s="7" t="s">
        <v>552</v>
      </c>
      <c r="E180" s="7" t="s">
        <v>574</v>
      </c>
      <c r="F180" s="7"/>
      <c r="G180" s="7" t="s">
        <v>615</v>
      </c>
      <c r="H180" s="7" t="s">
        <v>618</v>
      </c>
      <c r="I180" s="7" t="s">
        <v>54</v>
      </c>
      <c r="J180" s="7">
        <v>200000000</v>
      </c>
      <c r="K180" s="6" t="s">
        <v>553</v>
      </c>
      <c r="L180" s="7">
        <v>2799240</v>
      </c>
      <c r="M180" s="6" t="s">
        <v>46</v>
      </c>
      <c r="N180" s="14">
        <v>1</v>
      </c>
      <c r="O180" s="14">
        <v>100000000</v>
      </c>
      <c r="P180" s="7"/>
      <c r="Q180" t="s">
        <v>3561</v>
      </c>
    </row>
    <row r="181" spans="1:17" ht="29" hidden="1" x14ac:dyDescent="0.35">
      <c r="A181" s="6">
        <f t="shared" si="3"/>
        <v>42</v>
      </c>
      <c r="B181" s="7" t="s">
        <v>71</v>
      </c>
      <c r="C181" s="7" t="s">
        <v>551</v>
      </c>
      <c r="D181" s="7" t="s">
        <v>552</v>
      </c>
      <c r="E181" s="7" t="s">
        <v>619</v>
      </c>
      <c r="F181" s="7" t="s">
        <v>48</v>
      </c>
      <c r="G181" s="7" t="s">
        <v>405</v>
      </c>
      <c r="H181" s="7" t="s">
        <v>620</v>
      </c>
      <c r="I181" s="7" t="s">
        <v>164</v>
      </c>
      <c r="J181" s="7">
        <v>50000000</v>
      </c>
      <c r="K181" s="6" t="s">
        <v>553</v>
      </c>
      <c r="L181" s="7">
        <v>2798730</v>
      </c>
      <c r="M181" s="6" t="s">
        <v>46</v>
      </c>
      <c r="N181" s="14" t="s">
        <v>164</v>
      </c>
      <c r="O181" s="14">
        <v>50000000</v>
      </c>
      <c r="P181" s="7"/>
      <c r="Q181" t="s">
        <v>3561</v>
      </c>
    </row>
    <row r="182" spans="1:17" ht="43.5" hidden="1" x14ac:dyDescent="0.35">
      <c r="A182" s="6">
        <f t="shared" si="3"/>
        <v>43</v>
      </c>
      <c r="B182" s="7" t="s">
        <v>71</v>
      </c>
      <c r="C182" s="7" t="s">
        <v>551</v>
      </c>
      <c r="D182" s="7" t="s">
        <v>557</v>
      </c>
      <c r="E182" s="7" t="s">
        <v>621</v>
      </c>
      <c r="F182" s="7" t="s">
        <v>622</v>
      </c>
      <c r="G182" s="7" t="s">
        <v>171</v>
      </c>
      <c r="H182" s="7" t="s">
        <v>623</v>
      </c>
      <c r="I182" s="7" t="s">
        <v>35</v>
      </c>
      <c r="J182" s="7">
        <v>45850000</v>
      </c>
      <c r="K182" s="6" t="s">
        <v>553</v>
      </c>
      <c r="L182" s="7">
        <v>2965207</v>
      </c>
      <c r="M182" s="6" t="s">
        <v>173</v>
      </c>
      <c r="N182" s="14" t="s">
        <v>35</v>
      </c>
      <c r="O182" s="14">
        <v>45850000</v>
      </c>
      <c r="P182" s="7"/>
      <c r="Q182" t="s">
        <v>3561</v>
      </c>
    </row>
    <row r="183" spans="1:17" ht="58" hidden="1" x14ac:dyDescent="0.35">
      <c r="A183" s="6">
        <f t="shared" si="3"/>
        <v>44</v>
      </c>
      <c r="B183" s="7" t="s">
        <v>71</v>
      </c>
      <c r="C183" s="7" t="s">
        <v>551</v>
      </c>
      <c r="D183" s="7" t="s">
        <v>552</v>
      </c>
      <c r="E183" s="7" t="s">
        <v>624</v>
      </c>
      <c r="F183" s="7" t="s">
        <v>625</v>
      </c>
      <c r="G183" s="7" t="s">
        <v>626</v>
      </c>
      <c r="H183" s="7" t="s">
        <v>627</v>
      </c>
      <c r="I183" s="7" t="s">
        <v>628</v>
      </c>
      <c r="J183" s="7">
        <v>20000000</v>
      </c>
      <c r="K183" s="6" t="s">
        <v>553</v>
      </c>
      <c r="L183" s="7">
        <v>2843102</v>
      </c>
      <c r="M183" s="6" t="s">
        <v>173</v>
      </c>
      <c r="N183" s="14" t="s">
        <v>628</v>
      </c>
      <c r="O183" s="14">
        <v>50000000</v>
      </c>
      <c r="P183" s="7"/>
      <c r="Q183" t="s">
        <v>3561</v>
      </c>
    </row>
    <row r="184" spans="1:17" ht="43.5" hidden="1" x14ac:dyDescent="0.35">
      <c r="A184" s="6">
        <f t="shared" si="3"/>
        <v>45</v>
      </c>
      <c r="B184" s="7" t="s">
        <v>71</v>
      </c>
      <c r="C184" s="7" t="s">
        <v>551</v>
      </c>
      <c r="D184" s="7" t="s">
        <v>552</v>
      </c>
      <c r="E184" s="7" t="s">
        <v>629</v>
      </c>
      <c r="F184" s="7" t="s">
        <v>630</v>
      </c>
      <c r="G184" s="7" t="s">
        <v>626</v>
      </c>
      <c r="H184" s="7" t="s">
        <v>631</v>
      </c>
      <c r="I184" s="7" t="s">
        <v>48</v>
      </c>
      <c r="J184" s="7">
        <v>100000000</v>
      </c>
      <c r="K184" s="6" t="s">
        <v>553</v>
      </c>
      <c r="L184" s="7">
        <v>2895482</v>
      </c>
      <c r="M184" s="6" t="s">
        <v>173</v>
      </c>
      <c r="N184" s="14" t="s">
        <v>35</v>
      </c>
      <c r="O184" s="14">
        <v>100000000</v>
      </c>
      <c r="P184" s="7"/>
      <c r="Q184" t="s">
        <v>3561</v>
      </c>
    </row>
    <row r="185" spans="1:17" ht="43.5" hidden="1" x14ac:dyDescent="0.35">
      <c r="A185" s="6">
        <f t="shared" si="3"/>
        <v>46</v>
      </c>
      <c r="B185" s="7" t="s">
        <v>71</v>
      </c>
      <c r="C185" s="7" t="s">
        <v>551</v>
      </c>
      <c r="D185" s="7" t="s">
        <v>552</v>
      </c>
      <c r="E185" s="7" t="s">
        <v>632</v>
      </c>
      <c r="F185" s="7" t="s">
        <v>633</v>
      </c>
      <c r="G185" s="7" t="s">
        <v>626</v>
      </c>
      <c r="H185" s="7" t="s">
        <v>634</v>
      </c>
      <c r="I185" s="7" t="s">
        <v>628</v>
      </c>
      <c r="J185" s="7">
        <v>50000000</v>
      </c>
      <c r="K185" s="6" t="s">
        <v>553</v>
      </c>
      <c r="L185" s="7">
        <v>2873369</v>
      </c>
      <c r="M185" s="6" t="s">
        <v>173</v>
      </c>
      <c r="N185" s="14" t="s">
        <v>628</v>
      </c>
      <c r="O185" s="14">
        <v>50000000</v>
      </c>
      <c r="P185" s="7"/>
      <c r="Q185" t="s">
        <v>3561</v>
      </c>
    </row>
    <row r="186" spans="1:17" ht="43.5" hidden="1" x14ac:dyDescent="0.35">
      <c r="A186" s="6">
        <f t="shared" si="3"/>
        <v>47</v>
      </c>
      <c r="B186" s="7" t="s">
        <v>71</v>
      </c>
      <c r="C186" s="7" t="s">
        <v>551</v>
      </c>
      <c r="D186" s="7" t="s">
        <v>552</v>
      </c>
      <c r="E186" s="7" t="s">
        <v>635</v>
      </c>
      <c r="F186" s="7" t="s">
        <v>633</v>
      </c>
      <c r="G186" s="7" t="s">
        <v>626</v>
      </c>
      <c r="H186" s="7" t="s">
        <v>634</v>
      </c>
      <c r="I186" s="7" t="s">
        <v>628</v>
      </c>
      <c r="J186" s="7">
        <v>50000000</v>
      </c>
      <c r="K186" s="6" t="s">
        <v>553</v>
      </c>
      <c r="L186" s="7">
        <v>2895327</v>
      </c>
      <c r="M186" s="6" t="s">
        <v>173</v>
      </c>
      <c r="N186" s="14" t="s">
        <v>628</v>
      </c>
      <c r="O186" s="14">
        <v>50000000</v>
      </c>
      <c r="P186" s="7"/>
      <c r="Q186" t="s">
        <v>3561</v>
      </c>
    </row>
    <row r="187" spans="1:17" ht="29" hidden="1" x14ac:dyDescent="0.35">
      <c r="A187" s="6">
        <f t="shared" si="3"/>
        <v>48</v>
      </c>
      <c r="B187" s="7" t="s">
        <v>71</v>
      </c>
      <c r="C187" s="7" t="s">
        <v>551</v>
      </c>
      <c r="D187" s="7" t="s">
        <v>557</v>
      </c>
      <c r="E187" s="7" t="s">
        <v>578</v>
      </c>
      <c r="F187" s="7" t="s">
        <v>636</v>
      </c>
      <c r="G187" s="7" t="s">
        <v>182</v>
      </c>
      <c r="H187" s="7" t="s">
        <v>185</v>
      </c>
      <c r="I187" s="7" t="s">
        <v>431</v>
      </c>
      <c r="J187" s="7">
        <v>25000000</v>
      </c>
      <c r="K187" s="6" t="s">
        <v>553</v>
      </c>
      <c r="L187" s="7">
        <v>2948143</v>
      </c>
      <c r="M187" s="6" t="s">
        <v>180</v>
      </c>
      <c r="N187" s="14" t="s">
        <v>25</v>
      </c>
      <c r="O187" s="14">
        <v>28000000</v>
      </c>
      <c r="P187" s="7"/>
      <c r="Q187" t="s">
        <v>3561</v>
      </c>
    </row>
    <row r="188" spans="1:17" ht="29" hidden="1" x14ac:dyDescent="0.35">
      <c r="A188" s="6">
        <f t="shared" si="3"/>
        <v>49</v>
      </c>
      <c r="B188" s="7" t="s">
        <v>71</v>
      </c>
      <c r="C188" s="7" t="s">
        <v>551</v>
      </c>
      <c r="D188" s="7" t="s">
        <v>552</v>
      </c>
      <c r="E188" s="7" t="s">
        <v>619</v>
      </c>
      <c r="F188" s="7" t="s">
        <v>637</v>
      </c>
      <c r="G188" s="7" t="s">
        <v>182</v>
      </c>
      <c r="H188" s="7" t="s">
        <v>638</v>
      </c>
      <c r="I188" s="7" t="s">
        <v>639</v>
      </c>
      <c r="J188" s="7">
        <v>20000000</v>
      </c>
      <c r="K188" s="6" t="s">
        <v>553</v>
      </c>
      <c r="L188" s="7">
        <v>2959599</v>
      </c>
      <c r="M188" s="6" t="s">
        <v>180</v>
      </c>
      <c r="N188" s="14" t="s">
        <v>122</v>
      </c>
      <c r="O188" s="14">
        <v>20000000</v>
      </c>
      <c r="P188" s="7"/>
      <c r="Q188" t="s">
        <v>3561</v>
      </c>
    </row>
    <row r="189" spans="1:17" ht="29" hidden="1" x14ac:dyDescent="0.35">
      <c r="A189" s="6">
        <f t="shared" si="3"/>
        <v>50</v>
      </c>
      <c r="B189" s="7" t="s">
        <v>71</v>
      </c>
      <c r="C189" s="7" t="s">
        <v>551</v>
      </c>
      <c r="D189" s="7" t="s">
        <v>552</v>
      </c>
      <c r="E189" s="7" t="s">
        <v>640</v>
      </c>
      <c r="F189" s="7" t="s">
        <v>641</v>
      </c>
      <c r="G189" s="6" t="s">
        <v>463</v>
      </c>
      <c r="H189" s="6" t="s">
        <v>642</v>
      </c>
      <c r="I189" s="6" t="s">
        <v>431</v>
      </c>
      <c r="J189" s="15">
        <v>100000000</v>
      </c>
      <c r="K189" s="6" t="s">
        <v>553</v>
      </c>
      <c r="L189" s="6">
        <v>2771328</v>
      </c>
      <c r="M189" s="6" t="s">
        <v>55</v>
      </c>
      <c r="N189" s="6" t="s">
        <v>35</v>
      </c>
      <c r="O189" s="138">
        <v>100000000</v>
      </c>
      <c r="P189" s="9"/>
      <c r="Q189" t="s">
        <v>3561</v>
      </c>
    </row>
    <row r="190" spans="1:17" ht="29" hidden="1" x14ac:dyDescent="0.35">
      <c r="A190" s="6">
        <f t="shared" si="3"/>
        <v>51</v>
      </c>
      <c r="B190" s="7" t="s">
        <v>71</v>
      </c>
      <c r="C190" s="7" t="s">
        <v>551</v>
      </c>
      <c r="D190" s="7" t="s">
        <v>552</v>
      </c>
      <c r="E190" s="7" t="s">
        <v>643</v>
      </c>
      <c r="F190" s="7" t="s">
        <v>644</v>
      </c>
      <c r="G190" s="6" t="s">
        <v>529</v>
      </c>
      <c r="H190" s="6" t="s">
        <v>645</v>
      </c>
      <c r="I190" s="6" t="s">
        <v>35</v>
      </c>
      <c r="J190" s="15">
        <v>100000000</v>
      </c>
      <c r="K190" s="6" t="s">
        <v>553</v>
      </c>
      <c r="L190" s="6">
        <v>2938481</v>
      </c>
      <c r="M190" s="6" t="s">
        <v>55</v>
      </c>
      <c r="N190" s="6" t="s">
        <v>35</v>
      </c>
      <c r="O190" s="138">
        <v>100000000</v>
      </c>
      <c r="P190" s="9"/>
      <c r="Q190" t="s">
        <v>3561</v>
      </c>
    </row>
    <row r="191" spans="1:17" ht="58" hidden="1" x14ac:dyDescent="0.35">
      <c r="A191" s="155">
        <f t="shared" si="3"/>
        <v>52</v>
      </c>
      <c r="B191" s="140" t="s">
        <v>18</v>
      </c>
      <c r="C191" s="140" t="s">
        <v>255</v>
      </c>
      <c r="D191" s="140" t="s">
        <v>646</v>
      </c>
      <c r="E191" s="140" t="s">
        <v>647</v>
      </c>
      <c r="F191" s="140" t="s">
        <v>648</v>
      </c>
      <c r="G191" s="155" t="s">
        <v>76</v>
      </c>
      <c r="H191" s="140" t="s">
        <v>649</v>
      </c>
      <c r="I191" s="140" t="s">
        <v>650</v>
      </c>
      <c r="J191" s="10">
        <v>50000000</v>
      </c>
      <c r="K191" s="155" t="s">
        <v>651</v>
      </c>
      <c r="L191" s="140">
        <v>2792292</v>
      </c>
      <c r="M191" s="155" t="s">
        <v>79</v>
      </c>
      <c r="N191" s="142" t="s">
        <v>652</v>
      </c>
      <c r="O191" s="148">
        <v>50000000</v>
      </c>
      <c r="P191" s="140" t="s">
        <v>653</v>
      </c>
      <c r="Q191" t="s">
        <v>3559</v>
      </c>
    </row>
    <row r="192" spans="1:17" ht="43.5" hidden="1" x14ac:dyDescent="0.35">
      <c r="A192" s="155">
        <f t="shared" si="3"/>
        <v>53</v>
      </c>
      <c r="B192" s="140" t="s">
        <v>18</v>
      </c>
      <c r="C192" s="140" t="s">
        <v>255</v>
      </c>
      <c r="D192" s="140" t="s">
        <v>646</v>
      </c>
      <c r="E192" s="140" t="s">
        <v>654</v>
      </c>
      <c r="F192" s="140" t="s">
        <v>655</v>
      </c>
      <c r="G192" s="155" t="s">
        <v>266</v>
      </c>
      <c r="H192" s="140" t="s">
        <v>266</v>
      </c>
      <c r="I192" s="140"/>
      <c r="J192" s="10">
        <v>35000000</v>
      </c>
      <c r="K192" s="155" t="s">
        <v>651</v>
      </c>
      <c r="L192" s="140">
        <v>2847000</v>
      </c>
      <c r="M192" s="155" t="s">
        <v>79</v>
      </c>
      <c r="N192" s="142" t="s">
        <v>280</v>
      </c>
      <c r="O192" s="142">
        <v>50000000</v>
      </c>
      <c r="P192" s="140" t="s">
        <v>653</v>
      </c>
      <c r="Q192" t="s">
        <v>3559</v>
      </c>
    </row>
    <row r="193" spans="1:17" ht="29" hidden="1" x14ac:dyDescent="0.35">
      <c r="A193" s="155">
        <f t="shared" si="3"/>
        <v>54</v>
      </c>
      <c r="B193" s="140" t="s">
        <v>18</v>
      </c>
      <c r="C193" s="140" t="s">
        <v>255</v>
      </c>
      <c r="D193" s="140" t="s">
        <v>646</v>
      </c>
      <c r="E193" s="140" t="s">
        <v>656</v>
      </c>
      <c r="F193" s="140" t="s">
        <v>657</v>
      </c>
      <c r="G193" s="155" t="s">
        <v>658</v>
      </c>
      <c r="H193" s="140" t="s">
        <v>659</v>
      </c>
      <c r="I193" s="140" t="s">
        <v>660</v>
      </c>
      <c r="J193" s="10">
        <v>24000000</v>
      </c>
      <c r="K193" s="155" t="s">
        <v>651</v>
      </c>
      <c r="L193" s="140">
        <v>2822231</v>
      </c>
      <c r="M193" s="155" t="s">
        <v>79</v>
      </c>
      <c r="N193" s="142" t="s">
        <v>661</v>
      </c>
      <c r="O193" s="142">
        <v>50000000</v>
      </c>
      <c r="P193" s="140" t="s">
        <v>653</v>
      </c>
      <c r="Q193" t="s">
        <v>3559</v>
      </c>
    </row>
    <row r="194" spans="1:17" ht="29" hidden="1" x14ac:dyDescent="0.35">
      <c r="A194" s="155">
        <f>A193+1</f>
        <v>55</v>
      </c>
      <c r="B194" s="140" t="s">
        <v>18</v>
      </c>
      <c r="C194" s="140" t="s">
        <v>255</v>
      </c>
      <c r="D194" s="140" t="s">
        <v>646</v>
      </c>
      <c r="E194" s="140" t="s">
        <v>662</v>
      </c>
      <c r="F194" s="140" t="s">
        <v>270</v>
      </c>
      <c r="G194" s="143" t="s">
        <v>271</v>
      </c>
      <c r="H194" s="144" t="s">
        <v>663</v>
      </c>
      <c r="I194" s="144"/>
      <c r="J194" s="10"/>
      <c r="K194" s="155" t="s">
        <v>651</v>
      </c>
      <c r="L194" s="140" t="s">
        <v>273</v>
      </c>
      <c r="M194" s="32" t="s">
        <v>97</v>
      </c>
      <c r="N194" s="155">
        <v>1</v>
      </c>
      <c r="O194" s="142">
        <v>50000000</v>
      </c>
      <c r="P194" s="140" t="s">
        <v>275</v>
      </c>
      <c r="Q194" t="s">
        <v>3559</v>
      </c>
    </row>
    <row r="195" spans="1:17" ht="29" hidden="1" x14ac:dyDescent="0.35">
      <c r="A195" s="155">
        <f t="shared" ref="A195:A212" si="4">A194+1</f>
        <v>56</v>
      </c>
      <c r="B195" s="140" t="s">
        <v>18</v>
      </c>
      <c r="C195" s="140" t="s">
        <v>255</v>
      </c>
      <c r="D195" s="140" t="s">
        <v>646</v>
      </c>
      <c r="E195" s="140" t="s">
        <v>662</v>
      </c>
      <c r="F195" s="140" t="s">
        <v>270</v>
      </c>
      <c r="G195" s="143" t="s">
        <v>271</v>
      </c>
      <c r="H195" s="144" t="s">
        <v>272</v>
      </c>
      <c r="I195" s="144"/>
      <c r="J195" s="10"/>
      <c r="K195" s="155" t="s">
        <v>651</v>
      </c>
      <c r="L195" s="140" t="s">
        <v>273</v>
      </c>
      <c r="M195" s="32" t="s">
        <v>97</v>
      </c>
      <c r="N195" s="155">
        <v>1</v>
      </c>
      <c r="O195" s="142">
        <v>50000000</v>
      </c>
      <c r="P195" s="140" t="s">
        <v>275</v>
      </c>
      <c r="Q195" t="s">
        <v>3559</v>
      </c>
    </row>
    <row r="196" spans="1:17" ht="29" hidden="1" x14ac:dyDescent="0.35">
      <c r="A196" s="155">
        <f t="shared" si="4"/>
        <v>57</v>
      </c>
      <c r="B196" s="140" t="s">
        <v>18</v>
      </c>
      <c r="C196" s="140" t="s">
        <v>255</v>
      </c>
      <c r="D196" s="140" t="s">
        <v>646</v>
      </c>
      <c r="E196" s="140" t="s">
        <v>665</v>
      </c>
      <c r="F196" s="140" t="s">
        <v>666</v>
      </c>
      <c r="G196" s="155" t="s">
        <v>278</v>
      </c>
      <c r="H196" s="140" t="s">
        <v>492</v>
      </c>
      <c r="I196" s="140" t="s">
        <v>35</v>
      </c>
      <c r="J196" s="10">
        <v>50000000</v>
      </c>
      <c r="K196" s="155" t="s">
        <v>651</v>
      </c>
      <c r="L196" s="140">
        <v>2909168</v>
      </c>
      <c r="M196" s="32" t="s">
        <v>97</v>
      </c>
      <c r="N196" s="155" t="s">
        <v>25</v>
      </c>
      <c r="O196" s="142">
        <v>50000000</v>
      </c>
      <c r="P196" s="140" t="s">
        <v>667</v>
      </c>
      <c r="Q196" t="s">
        <v>3559</v>
      </c>
    </row>
    <row r="197" spans="1:17" ht="29" hidden="1" x14ac:dyDescent="0.35">
      <c r="A197" s="155">
        <f t="shared" si="4"/>
        <v>58</v>
      </c>
      <c r="B197" s="140" t="s">
        <v>18</v>
      </c>
      <c r="C197" s="140" t="s">
        <v>255</v>
      </c>
      <c r="D197" s="140" t="s">
        <v>646</v>
      </c>
      <c r="E197" s="140" t="s">
        <v>668</v>
      </c>
      <c r="F197" s="140" t="s">
        <v>669</v>
      </c>
      <c r="G197" s="155" t="s">
        <v>670</v>
      </c>
      <c r="H197" s="140" t="s">
        <v>671</v>
      </c>
      <c r="I197" s="140" t="s">
        <v>25</v>
      </c>
      <c r="J197" s="10">
        <v>50000000</v>
      </c>
      <c r="K197" s="155" t="s">
        <v>651</v>
      </c>
      <c r="L197" s="140" t="s">
        <v>273</v>
      </c>
      <c r="M197" s="32" t="s">
        <v>97</v>
      </c>
      <c r="N197" s="155" t="s">
        <v>25</v>
      </c>
      <c r="O197" s="142">
        <v>50000000</v>
      </c>
      <c r="P197" s="140" t="s">
        <v>275</v>
      </c>
      <c r="Q197" t="s">
        <v>3559</v>
      </c>
    </row>
    <row r="198" spans="1:17" ht="29" hidden="1" x14ac:dyDescent="0.35">
      <c r="A198" s="155">
        <f t="shared" si="4"/>
        <v>59</v>
      </c>
      <c r="B198" s="140" t="s">
        <v>18</v>
      </c>
      <c r="C198" s="140" t="s">
        <v>255</v>
      </c>
      <c r="D198" s="140" t="s">
        <v>646</v>
      </c>
      <c r="E198" s="140" t="s">
        <v>672</v>
      </c>
      <c r="F198" s="140" t="s">
        <v>673</v>
      </c>
      <c r="G198" s="143" t="s">
        <v>670</v>
      </c>
      <c r="H198" s="144" t="s">
        <v>674</v>
      </c>
      <c r="I198" s="144" t="s">
        <v>25</v>
      </c>
      <c r="J198" s="10">
        <v>50000000</v>
      </c>
      <c r="K198" s="155" t="s">
        <v>651</v>
      </c>
      <c r="L198" s="140">
        <v>2918747</v>
      </c>
      <c r="M198" s="32" t="s">
        <v>97</v>
      </c>
      <c r="N198" s="155" t="s">
        <v>25</v>
      </c>
      <c r="O198" s="142">
        <v>50000000</v>
      </c>
      <c r="P198" s="140" t="s">
        <v>675</v>
      </c>
      <c r="Q198" t="s">
        <v>3559</v>
      </c>
    </row>
    <row r="199" spans="1:17" ht="29" hidden="1" x14ac:dyDescent="0.35">
      <c r="A199" s="155">
        <f t="shared" si="4"/>
        <v>60</v>
      </c>
      <c r="B199" s="140" t="s">
        <v>18</v>
      </c>
      <c r="C199" s="140" t="s">
        <v>255</v>
      </c>
      <c r="D199" s="140" t="s">
        <v>646</v>
      </c>
      <c r="E199" s="140" t="s">
        <v>668</v>
      </c>
      <c r="F199" s="140" t="s">
        <v>676</v>
      </c>
      <c r="G199" s="143" t="s">
        <v>670</v>
      </c>
      <c r="H199" s="144" t="s">
        <v>677</v>
      </c>
      <c r="I199" s="144" t="s">
        <v>25</v>
      </c>
      <c r="J199" s="10">
        <v>50000000</v>
      </c>
      <c r="K199" s="155" t="s">
        <v>651</v>
      </c>
      <c r="L199" s="140">
        <v>2918794</v>
      </c>
      <c r="M199" s="32" t="s">
        <v>97</v>
      </c>
      <c r="N199" s="155" t="s">
        <v>25</v>
      </c>
      <c r="O199" s="142">
        <v>50000000</v>
      </c>
      <c r="P199" s="140" t="s">
        <v>675</v>
      </c>
      <c r="Q199" t="s">
        <v>3559</v>
      </c>
    </row>
    <row r="200" spans="1:17" ht="29" hidden="1" x14ac:dyDescent="0.35">
      <c r="A200" s="155">
        <f t="shared" si="4"/>
        <v>61</v>
      </c>
      <c r="B200" s="140" t="s">
        <v>18</v>
      </c>
      <c r="C200" s="140" t="s">
        <v>255</v>
      </c>
      <c r="D200" s="140" t="s">
        <v>646</v>
      </c>
      <c r="E200" s="140" t="s">
        <v>668</v>
      </c>
      <c r="F200" s="140" t="s">
        <v>678</v>
      </c>
      <c r="G200" s="143" t="s">
        <v>670</v>
      </c>
      <c r="H200" s="144" t="s">
        <v>679</v>
      </c>
      <c r="I200" s="144" t="s">
        <v>280</v>
      </c>
      <c r="J200" s="10">
        <v>50000000</v>
      </c>
      <c r="K200" s="155" t="s">
        <v>651</v>
      </c>
      <c r="L200" s="140">
        <v>2919016</v>
      </c>
      <c r="M200" s="32" t="s">
        <v>97</v>
      </c>
      <c r="N200" s="155" t="s">
        <v>25</v>
      </c>
      <c r="O200" s="142">
        <v>50000000</v>
      </c>
      <c r="P200" s="140" t="s">
        <v>675</v>
      </c>
      <c r="Q200" t="s">
        <v>3559</v>
      </c>
    </row>
    <row r="201" spans="1:17" ht="29" hidden="1" x14ac:dyDescent="0.35">
      <c r="A201" s="155">
        <f t="shared" si="4"/>
        <v>62</v>
      </c>
      <c r="B201" s="140" t="s">
        <v>18</v>
      </c>
      <c r="C201" s="140" t="s">
        <v>255</v>
      </c>
      <c r="D201" s="140" t="s">
        <v>646</v>
      </c>
      <c r="E201" s="140" t="s">
        <v>668</v>
      </c>
      <c r="F201" s="140" t="s">
        <v>680</v>
      </c>
      <c r="G201" s="155" t="s">
        <v>670</v>
      </c>
      <c r="H201" s="140" t="s">
        <v>681</v>
      </c>
      <c r="I201" s="140" t="s">
        <v>280</v>
      </c>
      <c r="J201" s="10">
        <v>50000000</v>
      </c>
      <c r="K201" s="155" t="s">
        <v>651</v>
      </c>
      <c r="L201" s="140" t="s">
        <v>273</v>
      </c>
      <c r="M201" s="32" t="s">
        <v>97</v>
      </c>
      <c r="N201" s="155" t="s">
        <v>25</v>
      </c>
      <c r="O201" s="142">
        <v>50000000</v>
      </c>
      <c r="P201" s="140"/>
      <c r="Q201" t="s">
        <v>3559</v>
      </c>
    </row>
    <row r="202" spans="1:17" ht="29" hidden="1" x14ac:dyDescent="0.35">
      <c r="A202" s="155">
        <f t="shared" si="4"/>
        <v>63</v>
      </c>
      <c r="B202" s="140" t="s">
        <v>18</v>
      </c>
      <c r="C202" s="140" t="s">
        <v>255</v>
      </c>
      <c r="D202" s="140" t="s">
        <v>646</v>
      </c>
      <c r="E202" s="140" t="s">
        <v>662</v>
      </c>
      <c r="F202" s="140" t="s">
        <v>236</v>
      </c>
      <c r="G202" s="155" t="s">
        <v>238</v>
      </c>
      <c r="H202" s="144" t="s">
        <v>682</v>
      </c>
      <c r="I202" s="140" t="s">
        <v>280</v>
      </c>
      <c r="J202" s="10">
        <v>35000000</v>
      </c>
      <c r="K202" s="155" t="s">
        <v>651</v>
      </c>
      <c r="L202" s="140">
        <v>2844263</v>
      </c>
      <c r="M202" s="32" t="s">
        <v>97</v>
      </c>
      <c r="N202" s="155"/>
      <c r="O202" s="142">
        <v>50000000</v>
      </c>
      <c r="P202" s="140" t="s">
        <v>675</v>
      </c>
      <c r="Q202" t="s">
        <v>3559</v>
      </c>
    </row>
    <row r="203" spans="1:17" ht="29" hidden="1" x14ac:dyDescent="0.35">
      <c r="A203" s="155">
        <f t="shared" si="4"/>
        <v>64</v>
      </c>
      <c r="B203" s="140" t="s">
        <v>18</v>
      </c>
      <c r="C203" s="140" t="s">
        <v>255</v>
      </c>
      <c r="D203" s="140" t="s">
        <v>646</v>
      </c>
      <c r="E203" s="140" t="s">
        <v>662</v>
      </c>
      <c r="F203" s="140" t="s">
        <v>559</v>
      </c>
      <c r="G203" s="155" t="s">
        <v>238</v>
      </c>
      <c r="H203" s="144" t="s">
        <v>560</v>
      </c>
      <c r="I203" s="140" t="s">
        <v>280</v>
      </c>
      <c r="J203" s="10">
        <v>35000000</v>
      </c>
      <c r="K203" s="155" t="s">
        <v>651</v>
      </c>
      <c r="L203" s="140">
        <v>2844284</v>
      </c>
      <c r="M203" s="32" t="s">
        <v>97</v>
      </c>
      <c r="N203" s="155" t="s">
        <v>25</v>
      </c>
      <c r="O203" s="142">
        <v>50000000</v>
      </c>
      <c r="P203" s="140" t="s">
        <v>675</v>
      </c>
      <c r="Q203" t="s">
        <v>3559</v>
      </c>
    </row>
    <row r="204" spans="1:17" ht="29" hidden="1" x14ac:dyDescent="0.35">
      <c r="A204" s="155">
        <f t="shared" si="4"/>
        <v>65</v>
      </c>
      <c r="B204" s="140" t="s">
        <v>18</v>
      </c>
      <c r="C204" s="140" t="s">
        <v>255</v>
      </c>
      <c r="D204" s="140" t="s">
        <v>646</v>
      </c>
      <c r="E204" s="140" t="s">
        <v>683</v>
      </c>
      <c r="F204" s="140" t="s">
        <v>684</v>
      </c>
      <c r="G204" s="155" t="s">
        <v>238</v>
      </c>
      <c r="H204" s="144" t="s">
        <v>685</v>
      </c>
      <c r="I204" s="140" t="s">
        <v>280</v>
      </c>
      <c r="J204" s="10">
        <v>35000000</v>
      </c>
      <c r="K204" s="155" t="s">
        <v>651</v>
      </c>
      <c r="L204" s="140">
        <v>2844193</v>
      </c>
      <c r="M204" s="32" t="s">
        <v>97</v>
      </c>
      <c r="N204" s="155" t="s">
        <v>25</v>
      </c>
      <c r="O204" s="142">
        <v>50000000</v>
      </c>
      <c r="P204" s="140" t="s">
        <v>675</v>
      </c>
      <c r="Q204" t="s">
        <v>3559</v>
      </c>
    </row>
    <row r="205" spans="1:17" ht="29" hidden="1" x14ac:dyDescent="0.35">
      <c r="A205" s="155">
        <f t="shared" si="4"/>
        <v>66</v>
      </c>
      <c r="B205" s="140" t="s">
        <v>18</v>
      </c>
      <c r="C205" s="140" t="s">
        <v>255</v>
      </c>
      <c r="D205" s="140" t="s">
        <v>646</v>
      </c>
      <c r="E205" s="140" t="s">
        <v>686</v>
      </c>
      <c r="F205" s="140" t="s">
        <v>687</v>
      </c>
      <c r="G205" s="155" t="s">
        <v>238</v>
      </c>
      <c r="H205" s="144" t="s">
        <v>688</v>
      </c>
      <c r="I205" s="140" t="s">
        <v>25</v>
      </c>
      <c r="J205" s="10">
        <v>35000000</v>
      </c>
      <c r="K205" s="155" t="s">
        <v>651</v>
      </c>
      <c r="L205" s="140">
        <v>2844232</v>
      </c>
      <c r="M205" s="32" t="s">
        <v>97</v>
      </c>
      <c r="N205" s="155" t="s">
        <v>25</v>
      </c>
      <c r="O205" s="142">
        <v>50000000</v>
      </c>
      <c r="P205" s="140" t="s">
        <v>675</v>
      </c>
      <c r="Q205" t="s">
        <v>3559</v>
      </c>
    </row>
    <row r="206" spans="1:17" ht="29" hidden="1" x14ac:dyDescent="0.35">
      <c r="A206" s="155">
        <f t="shared" si="4"/>
        <v>67</v>
      </c>
      <c r="B206" s="140" t="s">
        <v>18</v>
      </c>
      <c r="C206" s="140" t="s">
        <v>255</v>
      </c>
      <c r="D206" s="140" t="s">
        <v>646</v>
      </c>
      <c r="E206" s="140" t="s">
        <v>683</v>
      </c>
      <c r="F206" s="140" t="s">
        <v>563</v>
      </c>
      <c r="G206" s="155" t="s">
        <v>238</v>
      </c>
      <c r="H206" s="144" t="s">
        <v>286</v>
      </c>
      <c r="I206" s="140" t="s">
        <v>280</v>
      </c>
      <c r="J206" s="10">
        <v>35000000</v>
      </c>
      <c r="K206" s="155" t="s">
        <v>651</v>
      </c>
      <c r="L206" s="140">
        <v>2844117</v>
      </c>
      <c r="M206" s="32" t="s">
        <v>97</v>
      </c>
      <c r="N206" s="155" t="s">
        <v>25</v>
      </c>
      <c r="O206" s="142">
        <v>50000000</v>
      </c>
      <c r="P206" s="140" t="s">
        <v>675</v>
      </c>
      <c r="Q206" t="s">
        <v>3559</v>
      </c>
    </row>
    <row r="207" spans="1:17" ht="26" hidden="1" x14ac:dyDescent="0.35">
      <c r="A207" s="145">
        <f t="shared" si="4"/>
        <v>68</v>
      </c>
      <c r="B207" s="146" t="s">
        <v>18</v>
      </c>
      <c r="C207" s="146" t="s">
        <v>255</v>
      </c>
      <c r="D207" s="140" t="s">
        <v>646</v>
      </c>
      <c r="E207" s="146" t="s">
        <v>689</v>
      </c>
      <c r="F207" s="146" t="s">
        <v>690</v>
      </c>
      <c r="G207" s="145" t="s">
        <v>308</v>
      </c>
      <c r="H207" s="145" t="s">
        <v>691</v>
      </c>
      <c r="I207" s="145" t="s">
        <v>25</v>
      </c>
      <c r="J207" s="147">
        <v>30000000</v>
      </c>
      <c r="K207" s="145" t="s">
        <v>651</v>
      </c>
      <c r="L207" s="145">
        <v>2913124</v>
      </c>
      <c r="M207" s="145" t="s">
        <v>109</v>
      </c>
      <c r="N207" s="142" t="s">
        <v>25</v>
      </c>
      <c r="O207" s="142">
        <v>50000000</v>
      </c>
      <c r="P207" s="305" t="s">
        <v>692</v>
      </c>
      <c r="Q207" t="s">
        <v>3559</v>
      </c>
    </row>
    <row r="208" spans="1:17" ht="39" hidden="1" x14ac:dyDescent="0.35">
      <c r="A208" s="145">
        <f t="shared" si="4"/>
        <v>69</v>
      </c>
      <c r="B208" s="146" t="s">
        <v>18</v>
      </c>
      <c r="C208" s="146" t="s">
        <v>255</v>
      </c>
      <c r="D208" s="140" t="s">
        <v>646</v>
      </c>
      <c r="E208" s="146" t="s">
        <v>693</v>
      </c>
      <c r="F208" s="146" t="s">
        <v>302</v>
      </c>
      <c r="G208" s="145" t="s">
        <v>319</v>
      </c>
      <c r="H208" s="145" t="s">
        <v>694</v>
      </c>
      <c r="I208" s="145" t="s">
        <v>695</v>
      </c>
      <c r="J208" s="147">
        <v>50000000</v>
      </c>
      <c r="K208" s="145" t="s">
        <v>651</v>
      </c>
      <c r="L208" s="145">
        <v>2915457</v>
      </c>
      <c r="M208" s="145" t="s">
        <v>109</v>
      </c>
      <c r="N208" s="142" t="s">
        <v>56</v>
      </c>
      <c r="O208" s="142">
        <v>50000000</v>
      </c>
      <c r="P208" s="305" t="s">
        <v>692</v>
      </c>
      <c r="Q208" t="s">
        <v>3559</v>
      </c>
    </row>
    <row r="209" spans="1:17" ht="39" hidden="1" x14ac:dyDescent="0.35">
      <c r="A209" s="145">
        <f t="shared" si="4"/>
        <v>70</v>
      </c>
      <c r="B209" s="146" t="s">
        <v>18</v>
      </c>
      <c r="C209" s="146" t="s">
        <v>255</v>
      </c>
      <c r="D209" s="140" t="s">
        <v>646</v>
      </c>
      <c r="E209" s="146" t="s">
        <v>696</v>
      </c>
      <c r="F209" s="146" t="s">
        <v>697</v>
      </c>
      <c r="G209" s="145" t="s">
        <v>325</v>
      </c>
      <c r="H209" s="145" t="s">
        <v>698</v>
      </c>
      <c r="I209" s="145" t="s">
        <v>699</v>
      </c>
      <c r="J209" s="147">
        <v>100000000</v>
      </c>
      <c r="K209" s="145" t="s">
        <v>651</v>
      </c>
      <c r="L209" s="145">
        <v>3149900</v>
      </c>
      <c r="M209" s="145" t="s">
        <v>109</v>
      </c>
      <c r="N209" s="142">
        <v>1</v>
      </c>
      <c r="O209" s="142">
        <v>50000000</v>
      </c>
      <c r="P209" s="305" t="s">
        <v>692</v>
      </c>
      <c r="Q209" t="s">
        <v>3559</v>
      </c>
    </row>
    <row r="210" spans="1:17" ht="43.5" hidden="1" x14ac:dyDescent="0.35">
      <c r="A210" s="145">
        <f t="shared" si="4"/>
        <v>71</v>
      </c>
      <c r="B210" s="146" t="s">
        <v>18</v>
      </c>
      <c r="C210" s="146" t="s">
        <v>255</v>
      </c>
      <c r="D210" s="140" t="s">
        <v>646</v>
      </c>
      <c r="E210" s="146" t="s">
        <v>700</v>
      </c>
      <c r="F210" s="146" t="s">
        <v>297</v>
      </c>
      <c r="G210" s="145" t="s">
        <v>298</v>
      </c>
      <c r="H210" s="145" t="s">
        <v>701</v>
      </c>
      <c r="I210" s="145" t="s">
        <v>25</v>
      </c>
      <c r="J210" s="147">
        <v>400000000</v>
      </c>
      <c r="K210" s="145" t="s">
        <v>651</v>
      </c>
      <c r="L210" s="145">
        <v>2941865</v>
      </c>
      <c r="M210" s="145" t="s">
        <v>109</v>
      </c>
      <c r="N210" s="142" t="s">
        <v>702</v>
      </c>
      <c r="O210" s="142">
        <v>200000000</v>
      </c>
      <c r="P210" s="305" t="s">
        <v>703</v>
      </c>
      <c r="Q210" t="s">
        <v>3559</v>
      </c>
    </row>
    <row r="211" spans="1:17" ht="43.5" hidden="1" x14ac:dyDescent="0.35">
      <c r="A211" s="155">
        <f t="shared" si="4"/>
        <v>72</v>
      </c>
      <c r="B211" s="140" t="s">
        <v>18</v>
      </c>
      <c r="C211" s="140" t="s">
        <v>255</v>
      </c>
      <c r="D211" s="140" t="s">
        <v>704</v>
      </c>
      <c r="E211" s="140" t="s">
        <v>705</v>
      </c>
      <c r="F211" s="140" t="s">
        <v>591</v>
      </c>
      <c r="G211" s="155" t="s">
        <v>135</v>
      </c>
      <c r="H211" s="155" t="s">
        <v>706</v>
      </c>
      <c r="I211" s="155" t="s">
        <v>707</v>
      </c>
      <c r="J211" s="13">
        <v>50000000</v>
      </c>
      <c r="K211" s="155" t="s">
        <v>651</v>
      </c>
      <c r="L211" s="155">
        <v>2906148</v>
      </c>
      <c r="M211" s="155" t="s">
        <v>27</v>
      </c>
      <c r="N211" s="155" t="s">
        <v>708</v>
      </c>
      <c r="O211" s="148">
        <v>75000000</v>
      </c>
      <c r="P211" s="140"/>
      <c r="Q211" t="s">
        <v>3559</v>
      </c>
    </row>
    <row r="212" spans="1:17" ht="43.5" hidden="1" x14ac:dyDescent="0.35">
      <c r="A212" s="155">
        <f t="shared" si="4"/>
        <v>73</v>
      </c>
      <c r="B212" s="140" t="s">
        <v>18</v>
      </c>
      <c r="C212" s="140" t="s">
        <v>255</v>
      </c>
      <c r="D212" s="140" t="s">
        <v>704</v>
      </c>
      <c r="E212" s="140" t="s">
        <v>709</v>
      </c>
      <c r="F212" s="140" t="s">
        <v>710</v>
      </c>
      <c r="G212" s="155" t="s">
        <v>356</v>
      </c>
      <c r="H212" s="140" t="s">
        <v>711</v>
      </c>
      <c r="I212" s="140" t="s">
        <v>712</v>
      </c>
      <c r="J212" s="10">
        <v>15000000</v>
      </c>
      <c r="K212" s="155" t="s">
        <v>651</v>
      </c>
      <c r="L212" s="140">
        <v>2930742</v>
      </c>
      <c r="M212" s="155" t="s">
        <v>27</v>
      </c>
      <c r="N212" s="155" t="s">
        <v>280</v>
      </c>
      <c r="O212" s="142">
        <v>75000000</v>
      </c>
      <c r="P212" s="140" t="s">
        <v>713</v>
      </c>
      <c r="Q212" t="s">
        <v>3559</v>
      </c>
    </row>
    <row r="213" spans="1:17" ht="26" hidden="1" x14ac:dyDescent="0.35">
      <c r="A213" s="149">
        <f>A212+1</f>
        <v>74</v>
      </c>
      <c r="B213" s="150" t="s">
        <v>18</v>
      </c>
      <c r="C213" s="150" t="s">
        <v>255</v>
      </c>
      <c r="D213" s="140" t="s">
        <v>646</v>
      </c>
      <c r="E213" s="150" t="s">
        <v>714</v>
      </c>
      <c r="F213" s="150" t="s">
        <v>715</v>
      </c>
      <c r="G213" s="149" t="s">
        <v>141</v>
      </c>
      <c r="H213" s="150" t="s">
        <v>142</v>
      </c>
      <c r="I213" s="150" t="s">
        <v>274</v>
      </c>
      <c r="J213" s="151">
        <v>50000000</v>
      </c>
      <c r="K213" s="149" t="s">
        <v>651</v>
      </c>
      <c r="L213" s="155">
        <v>2809701</v>
      </c>
      <c r="M213" s="149" t="s">
        <v>144</v>
      </c>
      <c r="N213" s="149" t="s">
        <v>274</v>
      </c>
      <c r="O213" s="152">
        <v>150000000</v>
      </c>
      <c r="P213" s="149" t="s">
        <v>667</v>
      </c>
      <c r="Q213" t="s">
        <v>3559</v>
      </c>
    </row>
    <row r="214" spans="1:17" ht="52" hidden="1" x14ac:dyDescent="0.35">
      <c r="A214" s="149">
        <f t="shared" ref="A214:A277" si="5">A213+1</f>
        <v>75</v>
      </c>
      <c r="B214" s="150" t="s">
        <v>18</v>
      </c>
      <c r="C214" s="150" t="s">
        <v>255</v>
      </c>
      <c r="D214" s="140" t="s">
        <v>646</v>
      </c>
      <c r="E214" s="150" t="s">
        <v>716</v>
      </c>
      <c r="F214" s="150" t="s">
        <v>715</v>
      </c>
      <c r="G214" s="149" t="s">
        <v>141</v>
      </c>
      <c r="H214" s="150" t="s">
        <v>142</v>
      </c>
      <c r="I214" s="150" t="s">
        <v>717</v>
      </c>
      <c r="J214" s="151">
        <v>50000000</v>
      </c>
      <c r="K214" s="149" t="s">
        <v>651</v>
      </c>
      <c r="L214" s="155">
        <v>2949824</v>
      </c>
      <c r="M214" s="149" t="s">
        <v>144</v>
      </c>
      <c r="N214" s="149" t="s">
        <v>717</v>
      </c>
      <c r="O214" s="152">
        <v>150000000</v>
      </c>
      <c r="P214" s="149" t="s">
        <v>667</v>
      </c>
      <c r="Q214" t="s">
        <v>3559</v>
      </c>
    </row>
    <row r="215" spans="1:17" ht="43.5" hidden="1" x14ac:dyDescent="0.35">
      <c r="A215" s="149">
        <f t="shared" si="5"/>
        <v>76</v>
      </c>
      <c r="B215" s="140" t="s">
        <v>18</v>
      </c>
      <c r="C215" s="140" t="s">
        <v>255</v>
      </c>
      <c r="D215" s="140" t="s">
        <v>646</v>
      </c>
      <c r="E215" s="140" t="s">
        <v>718</v>
      </c>
      <c r="F215" s="140" t="s">
        <v>140</v>
      </c>
      <c r="G215" s="155" t="s">
        <v>149</v>
      </c>
      <c r="H215" s="155" t="s">
        <v>719</v>
      </c>
      <c r="I215" s="155" t="s">
        <v>48</v>
      </c>
      <c r="J215" s="13">
        <v>35000000</v>
      </c>
      <c r="K215" s="155" t="s">
        <v>651</v>
      </c>
      <c r="L215" s="155">
        <v>2947582</v>
      </c>
      <c r="M215" s="155" t="s">
        <v>144</v>
      </c>
      <c r="N215" s="155" t="s">
        <v>280</v>
      </c>
      <c r="O215" s="142">
        <v>50000000</v>
      </c>
      <c r="P215" s="305" t="s">
        <v>667</v>
      </c>
      <c r="Q215" t="s">
        <v>3559</v>
      </c>
    </row>
    <row r="216" spans="1:17" ht="29" hidden="1" x14ac:dyDescent="0.35">
      <c r="A216" s="149">
        <f t="shared" si="5"/>
        <v>77</v>
      </c>
      <c r="B216" s="140" t="s">
        <v>18</v>
      </c>
      <c r="C216" s="140" t="s">
        <v>255</v>
      </c>
      <c r="D216" s="140" t="s">
        <v>646</v>
      </c>
      <c r="E216" s="140" t="s">
        <v>720</v>
      </c>
      <c r="F216" s="140" t="s">
        <v>140</v>
      </c>
      <c r="G216" s="155" t="s">
        <v>149</v>
      </c>
      <c r="H216" s="155" t="s">
        <v>721</v>
      </c>
      <c r="I216" s="155" t="s">
        <v>25</v>
      </c>
      <c r="J216" s="13">
        <v>35000000</v>
      </c>
      <c r="K216" s="155" t="s">
        <v>651</v>
      </c>
      <c r="L216" s="155">
        <v>2948491</v>
      </c>
      <c r="M216" s="155" t="s">
        <v>144</v>
      </c>
      <c r="N216" s="155" t="s">
        <v>280</v>
      </c>
      <c r="O216" s="142">
        <v>50000000</v>
      </c>
      <c r="P216" s="305" t="s">
        <v>667</v>
      </c>
      <c r="Q216" t="s">
        <v>3559</v>
      </c>
    </row>
    <row r="217" spans="1:17" ht="29" hidden="1" x14ac:dyDescent="0.35">
      <c r="A217" s="149">
        <f t="shared" si="5"/>
        <v>78</v>
      </c>
      <c r="B217" s="140" t="s">
        <v>18</v>
      </c>
      <c r="C217" s="140" t="s">
        <v>255</v>
      </c>
      <c r="D217" s="140" t="s">
        <v>646</v>
      </c>
      <c r="E217" s="140" t="s">
        <v>722</v>
      </c>
      <c r="F217" s="140" t="s">
        <v>140</v>
      </c>
      <c r="G217" s="155" t="s">
        <v>149</v>
      </c>
      <c r="H217" s="155" t="s">
        <v>150</v>
      </c>
      <c r="I217" s="155" t="s">
        <v>25</v>
      </c>
      <c r="J217" s="13">
        <v>35000000</v>
      </c>
      <c r="K217" s="155" t="s">
        <v>651</v>
      </c>
      <c r="L217" s="155">
        <v>2948862</v>
      </c>
      <c r="M217" s="155" t="s">
        <v>144</v>
      </c>
      <c r="N217" s="155" t="s">
        <v>280</v>
      </c>
      <c r="O217" s="142">
        <v>50000000</v>
      </c>
      <c r="P217" s="305" t="s">
        <v>667</v>
      </c>
      <c r="Q217" t="s">
        <v>3559</v>
      </c>
    </row>
    <row r="218" spans="1:17" ht="29" hidden="1" x14ac:dyDescent="0.35">
      <c r="A218" s="149">
        <f t="shared" si="5"/>
        <v>79</v>
      </c>
      <c r="B218" s="140" t="s">
        <v>18</v>
      </c>
      <c r="C218" s="140" t="s">
        <v>255</v>
      </c>
      <c r="D218" s="140" t="s">
        <v>646</v>
      </c>
      <c r="E218" s="140" t="s">
        <v>723</v>
      </c>
      <c r="F218" s="140" t="s">
        <v>140</v>
      </c>
      <c r="G218" s="155" t="s">
        <v>149</v>
      </c>
      <c r="H218" s="155" t="s">
        <v>724</v>
      </c>
      <c r="I218" s="155" t="s">
        <v>725</v>
      </c>
      <c r="J218" s="13">
        <v>35000000</v>
      </c>
      <c r="K218" s="155" t="s">
        <v>651</v>
      </c>
      <c r="L218" s="155">
        <v>2949807</v>
      </c>
      <c r="M218" s="155" t="s">
        <v>144</v>
      </c>
      <c r="N218" s="155" t="s">
        <v>280</v>
      </c>
      <c r="O218" s="142">
        <v>50000000</v>
      </c>
      <c r="P218" s="305" t="s">
        <v>667</v>
      </c>
      <c r="Q218" t="s">
        <v>3559</v>
      </c>
    </row>
    <row r="219" spans="1:17" ht="29" hidden="1" x14ac:dyDescent="0.35">
      <c r="A219" s="149">
        <f t="shared" si="5"/>
        <v>80</v>
      </c>
      <c r="B219" s="140" t="s">
        <v>18</v>
      </c>
      <c r="C219" s="140" t="s">
        <v>255</v>
      </c>
      <c r="D219" s="140" t="s">
        <v>646</v>
      </c>
      <c r="E219" s="140" t="s">
        <v>726</v>
      </c>
      <c r="F219" s="140" t="s">
        <v>140</v>
      </c>
      <c r="G219" s="155" t="s">
        <v>149</v>
      </c>
      <c r="H219" s="155" t="s">
        <v>727</v>
      </c>
      <c r="I219" s="155" t="s">
        <v>725</v>
      </c>
      <c r="J219" s="13">
        <v>35000000</v>
      </c>
      <c r="K219" s="155" t="s">
        <v>651</v>
      </c>
      <c r="L219" s="155">
        <v>2950007</v>
      </c>
      <c r="M219" s="155" t="s">
        <v>144</v>
      </c>
      <c r="N219" s="155" t="s">
        <v>280</v>
      </c>
      <c r="O219" s="142">
        <v>50000000</v>
      </c>
      <c r="P219" s="305" t="s">
        <v>667</v>
      </c>
      <c r="Q219" t="s">
        <v>3559</v>
      </c>
    </row>
    <row r="220" spans="1:17" ht="29" hidden="1" x14ac:dyDescent="0.35">
      <c r="A220" s="149">
        <f t="shared" si="5"/>
        <v>81</v>
      </c>
      <c r="B220" s="140" t="s">
        <v>18</v>
      </c>
      <c r="C220" s="140" t="s">
        <v>255</v>
      </c>
      <c r="D220" s="140" t="s">
        <v>646</v>
      </c>
      <c r="E220" s="140" t="s">
        <v>728</v>
      </c>
      <c r="F220" s="140" t="s">
        <v>140</v>
      </c>
      <c r="G220" s="155" t="s">
        <v>361</v>
      </c>
      <c r="H220" s="155" t="s">
        <v>729</v>
      </c>
      <c r="I220" s="155">
        <v>170</v>
      </c>
      <c r="J220" s="13">
        <v>7500000</v>
      </c>
      <c r="K220" s="155" t="s">
        <v>651</v>
      </c>
      <c r="L220" s="155">
        <v>2819674</v>
      </c>
      <c r="M220" s="155" t="s">
        <v>144</v>
      </c>
      <c r="N220" s="155" t="s">
        <v>730</v>
      </c>
      <c r="O220" s="156">
        <v>7500000</v>
      </c>
      <c r="P220" s="153"/>
      <c r="Q220" t="s">
        <v>3559</v>
      </c>
    </row>
    <row r="221" spans="1:17" ht="43.5" hidden="1" x14ac:dyDescent="0.35">
      <c r="A221" s="149">
        <f t="shared" si="5"/>
        <v>82</v>
      </c>
      <c r="B221" s="140" t="s">
        <v>18</v>
      </c>
      <c r="C221" s="140" t="s">
        <v>255</v>
      </c>
      <c r="D221" s="140" t="s">
        <v>646</v>
      </c>
      <c r="E221" s="140" t="s">
        <v>731</v>
      </c>
      <c r="F221" s="140" t="s">
        <v>140</v>
      </c>
      <c r="G221" s="155" t="s">
        <v>157</v>
      </c>
      <c r="H221" s="155" t="s">
        <v>732</v>
      </c>
      <c r="I221" s="155">
        <v>2</v>
      </c>
      <c r="J221" s="13">
        <v>70000000</v>
      </c>
      <c r="K221" s="155" t="s">
        <v>651</v>
      </c>
      <c r="L221" s="155">
        <v>2871701</v>
      </c>
      <c r="M221" s="155" t="s">
        <v>144</v>
      </c>
      <c r="N221" s="155" t="s">
        <v>661</v>
      </c>
      <c r="O221" s="156">
        <v>50000000</v>
      </c>
      <c r="P221" s="305" t="s">
        <v>733</v>
      </c>
      <c r="Q221" t="s">
        <v>3559</v>
      </c>
    </row>
    <row r="222" spans="1:17" ht="29" hidden="1" x14ac:dyDescent="0.35">
      <c r="A222" s="155">
        <f t="shared" si="5"/>
        <v>83</v>
      </c>
      <c r="B222" s="140" t="s">
        <v>18</v>
      </c>
      <c r="C222" s="140" t="s">
        <v>255</v>
      </c>
      <c r="D222" s="140" t="s">
        <v>646</v>
      </c>
      <c r="E222" s="140" t="s">
        <v>734</v>
      </c>
      <c r="F222" s="140" t="s">
        <v>735</v>
      </c>
      <c r="G222" s="155" t="s">
        <v>389</v>
      </c>
      <c r="H222" s="140" t="s">
        <v>393</v>
      </c>
      <c r="I222" s="140" t="s">
        <v>609</v>
      </c>
      <c r="J222" s="10">
        <v>75000000</v>
      </c>
      <c r="K222" s="155" t="s">
        <v>651</v>
      </c>
      <c r="L222" s="140">
        <v>2955761</v>
      </c>
      <c r="M222" s="155" t="s">
        <v>46</v>
      </c>
      <c r="N222" s="142" t="s">
        <v>736</v>
      </c>
      <c r="O222" s="142">
        <v>30000000</v>
      </c>
      <c r="P222" s="140" t="s">
        <v>667</v>
      </c>
      <c r="Q222" t="s">
        <v>3559</v>
      </c>
    </row>
    <row r="223" spans="1:17" ht="29" hidden="1" x14ac:dyDescent="0.35">
      <c r="A223" s="155">
        <f t="shared" si="5"/>
        <v>84</v>
      </c>
      <c r="B223" s="140" t="s">
        <v>18</v>
      </c>
      <c r="C223" s="140" t="s">
        <v>255</v>
      </c>
      <c r="D223" s="140" t="s">
        <v>646</v>
      </c>
      <c r="E223" s="140" t="s">
        <v>737</v>
      </c>
      <c r="F223" s="140" t="s">
        <v>388</v>
      </c>
      <c r="G223" s="155" t="s">
        <v>389</v>
      </c>
      <c r="H223" s="140" t="s">
        <v>397</v>
      </c>
      <c r="I223" s="140" t="s">
        <v>609</v>
      </c>
      <c r="J223" s="10">
        <v>45000000</v>
      </c>
      <c r="K223" s="155" t="s">
        <v>651</v>
      </c>
      <c r="L223" s="140" t="s">
        <v>48</v>
      </c>
      <c r="M223" s="155" t="s">
        <v>46</v>
      </c>
      <c r="N223" s="142" t="s">
        <v>25</v>
      </c>
      <c r="O223" s="142">
        <v>50000000</v>
      </c>
      <c r="P223" s="140" t="s">
        <v>738</v>
      </c>
      <c r="Q223" t="s">
        <v>3559</v>
      </c>
    </row>
    <row r="224" spans="1:17" ht="29" hidden="1" x14ac:dyDescent="0.35">
      <c r="A224" s="155">
        <f t="shared" si="5"/>
        <v>85</v>
      </c>
      <c r="B224" s="140" t="s">
        <v>18</v>
      </c>
      <c r="C224" s="140" t="s">
        <v>255</v>
      </c>
      <c r="D224" s="140" t="s">
        <v>646</v>
      </c>
      <c r="E224" s="140" t="s">
        <v>739</v>
      </c>
      <c r="F224" s="140" t="s">
        <v>48</v>
      </c>
      <c r="G224" s="155" t="s">
        <v>49</v>
      </c>
      <c r="H224" s="140" t="s">
        <v>200</v>
      </c>
      <c r="I224" s="140" t="s">
        <v>35</v>
      </c>
      <c r="J224" s="10">
        <v>22600000</v>
      </c>
      <c r="K224" s="155" t="s">
        <v>651</v>
      </c>
      <c r="L224" s="140">
        <v>2819794</v>
      </c>
      <c r="M224" s="155" t="s">
        <v>46</v>
      </c>
      <c r="N224" s="154" t="s">
        <v>122</v>
      </c>
      <c r="O224" s="148">
        <v>5000000</v>
      </c>
      <c r="P224" s="140" t="s">
        <v>740</v>
      </c>
      <c r="Q224" t="s">
        <v>3559</v>
      </c>
    </row>
    <row r="225" spans="1:17" ht="29" hidden="1" x14ac:dyDescent="0.35">
      <c r="A225" s="155">
        <f t="shared" si="5"/>
        <v>86</v>
      </c>
      <c r="B225" s="140" t="s">
        <v>18</v>
      </c>
      <c r="C225" s="140" t="s">
        <v>255</v>
      </c>
      <c r="D225" s="140" t="s">
        <v>646</v>
      </c>
      <c r="E225" s="140" t="s">
        <v>741</v>
      </c>
      <c r="F225" s="140" t="s">
        <v>48</v>
      </c>
      <c r="G225" s="155" t="s">
        <v>405</v>
      </c>
      <c r="H225" s="140" t="s">
        <v>742</v>
      </c>
      <c r="I225" s="140" t="s">
        <v>575</v>
      </c>
      <c r="J225" s="10">
        <v>10000000</v>
      </c>
      <c r="K225" s="155" t="s">
        <v>651</v>
      </c>
      <c r="L225" s="140">
        <v>2933375</v>
      </c>
      <c r="M225" s="155" t="s">
        <v>46</v>
      </c>
      <c r="N225" s="142" t="s">
        <v>736</v>
      </c>
      <c r="O225" s="142">
        <v>30000000</v>
      </c>
      <c r="P225" s="140" t="s">
        <v>667</v>
      </c>
      <c r="Q225" t="s">
        <v>3559</v>
      </c>
    </row>
    <row r="226" spans="1:17" ht="29" hidden="1" x14ac:dyDescent="0.35">
      <c r="A226" s="155">
        <f t="shared" si="5"/>
        <v>87</v>
      </c>
      <c r="B226" s="140" t="s">
        <v>18</v>
      </c>
      <c r="C226" s="140" t="s">
        <v>255</v>
      </c>
      <c r="D226" s="140" t="s">
        <v>646</v>
      </c>
      <c r="E226" s="140" t="s">
        <v>700</v>
      </c>
      <c r="F226" s="140" t="s">
        <v>48</v>
      </c>
      <c r="G226" s="155" t="s">
        <v>405</v>
      </c>
      <c r="H226" s="140" t="s">
        <v>742</v>
      </c>
      <c r="I226" s="140" t="s">
        <v>280</v>
      </c>
      <c r="J226" s="10">
        <v>35000000</v>
      </c>
      <c r="K226" s="155" t="s">
        <v>651</v>
      </c>
      <c r="L226" s="140">
        <v>2933509</v>
      </c>
      <c r="M226" s="155" t="s">
        <v>46</v>
      </c>
      <c r="N226" s="142" t="s">
        <v>25</v>
      </c>
      <c r="O226" s="142">
        <v>50000000</v>
      </c>
      <c r="P226" s="140" t="s">
        <v>743</v>
      </c>
      <c r="Q226" t="s">
        <v>3559</v>
      </c>
    </row>
    <row r="227" spans="1:17" ht="29" hidden="1" x14ac:dyDescent="0.35">
      <c r="A227" s="155">
        <f t="shared" si="5"/>
        <v>88</v>
      </c>
      <c r="B227" s="140" t="s">
        <v>18</v>
      </c>
      <c r="C227" s="140" t="s">
        <v>255</v>
      </c>
      <c r="D227" s="140" t="s">
        <v>646</v>
      </c>
      <c r="E227" s="140" t="s">
        <v>739</v>
      </c>
      <c r="F227" s="140"/>
      <c r="G227" s="155" t="s">
        <v>410</v>
      </c>
      <c r="H227" s="140" t="s">
        <v>411</v>
      </c>
      <c r="I227" s="140" t="s">
        <v>280</v>
      </c>
      <c r="J227" s="10">
        <v>350000000</v>
      </c>
      <c r="K227" s="155" t="s">
        <v>744</v>
      </c>
      <c r="L227" s="140" t="s">
        <v>48</v>
      </c>
      <c r="M227" s="155" t="s">
        <v>46</v>
      </c>
      <c r="N227" s="142" t="s">
        <v>25</v>
      </c>
      <c r="O227" s="142">
        <v>250000000</v>
      </c>
      <c r="P227" s="140" t="s">
        <v>745</v>
      </c>
      <c r="Q227" t="s">
        <v>3559</v>
      </c>
    </row>
    <row r="228" spans="1:17" ht="29" hidden="1" x14ac:dyDescent="0.35">
      <c r="A228" s="155">
        <f t="shared" si="5"/>
        <v>89</v>
      </c>
      <c r="B228" s="140" t="s">
        <v>18</v>
      </c>
      <c r="C228" s="140" t="s">
        <v>255</v>
      </c>
      <c r="D228" s="140" t="s">
        <v>646</v>
      </c>
      <c r="E228" s="140" t="s">
        <v>746</v>
      </c>
      <c r="F228" s="140"/>
      <c r="G228" s="155" t="s">
        <v>167</v>
      </c>
      <c r="H228" s="140" t="s">
        <v>517</v>
      </c>
      <c r="I228" s="140" t="s">
        <v>510</v>
      </c>
      <c r="J228" s="10">
        <v>50000000</v>
      </c>
      <c r="K228" s="155" t="s">
        <v>651</v>
      </c>
      <c r="L228" s="140">
        <v>2849760</v>
      </c>
      <c r="M228" s="155" t="s">
        <v>46</v>
      </c>
      <c r="N228" s="142" t="s">
        <v>25</v>
      </c>
      <c r="O228" s="142">
        <v>50000000</v>
      </c>
      <c r="P228" s="140" t="s">
        <v>743</v>
      </c>
      <c r="Q228" t="s">
        <v>3559</v>
      </c>
    </row>
    <row r="229" spans="1:17" ht="29" hidden="1" x14ac:dyDescent="0.35">
      <c r="A229" s="155">
        <f t="shared" si="5"/>
        <v>90</v>
      </c>
      <c r="B229" s="140" t="s">
        <v>18</v>
      </c>
      <c r="C229" s="140" t="s">
        <v>255</v>
      </c>
      <c r="D229" s="140" t="s">
        <v>646</v>
      </c>
      <c r="E229" s="140" t="s">
        <v>747</v>
      </c>
      <c r="F229" s="140" t="s">
        <v>748</v>
      </c>
      <c r="G229" s="155" t="s">
        <v>749</v>
      </c>
      <c r="H229" s="140" t="s">
        <v>750</v>
      </c>
      <c r="I229" s="140" t="s">
        <v>751</v>
      </c>
      <c r="J229" s="10">
        <v>30000000</v>
      </c>
      <c r="K229" s="155" t="s">
        <v>651</v>
      </c>
      <c r="L229" s="140">
        <v>2949716</v>
      </c>
      <c r="M229" s="155" t="s">
        <v>173</v>
      </c>
      <c r="N229" s="142" t="s">
        <v>752</v>
      </c>
      <c r="O229" s="142">
        <v>50000000</v>
      </c>
      <c r="P229" s="140" t="s">
        <v>753</v>
      </c>
      <c r="Q229" t="s">
        <v>3559</v>
      </c>
    </row>
    <row r="230" spans="1:17" ht="29" hidden="1" x14ac:dyDescent="0.35">
      <c r="A230" s="155">
        <f t="shared" si="5"/>
        <v>91</v>
      </c>
      <c r="B230" s="140" t="s">
        <v>18</v>
      </c>
      <c r="C230" s="140" t="s">
        <v>255</v>
      </c>
      <c r="D230" s="140" t="s">
        <v>646</v>
      </c>
      <c r="E230" s="140" t="s">
        <v>754</v>
      </c>
      <c r="F230" s="140" t="s">
        <v>755</v>
      </c>
      <c r="G230" s="155" t="s">
        <v>756</v>
      </c>
      <c r="H230" s="140" t="s">
        <v>757</v>
      </c>
      <c r="I230" s="140" t="s">
        <v>28</v>
      </c>
      <c r="J230" s="10">
        <v>100000000</v>
      </c>
      <c r="K230" s="155" t="s">
        <v>651</v>
      </c>
      <c r="L230" s="140">
        <v>3149881</v>
      </c>
      <c r="M230" s="155" t="s">
        <v>226</v>
      </c>
      <c r="N230" s="411" t="s">
        <v>758</v>
      </c>
      <c r="O230" s="412">
        <v>250000000</v>
      </c>
      <c r="P230" s="140"/>
      <c r="Q230" t="s">
        <v>3559</v>
      </c>
    </row>
    <row r="231" spans="1:17" ht="29" hidden="1" x14ac:dyDescent="0.35">
      <c r="A231" s="155">
        <f t="shared" si="5"/>
        <v>92</v>
      </c>
      <c r="B231" s="140" t="s">
        <v>18</v>
      </c>
      <c r="C231" s="140" t="s">
        <v>255</v>
      </c>
      <c r="D231" s="140" t="s">
        <v>646</v>
      </c>
      <c r="E231" s="140" t="s">
        <v>754</v>
      </c>
      <c r="F231" s="140" t="s">
        <v>755</v>
      </c>
      <c r="G231" s="155" t="s">
        <v>756</v>
      </c>
      <c r="H231" s="140" t="s">
        <v>759</v>
      </c>
      <c r="I231" s="140" t="s">
        <v>28</v>
      </c>
      <c r="J231" s="10">
        <v>100000000</v>
      </c>
      <c r="K231" s="155" t="s">
        <v>651</v>
      </c>
      <c r="L231" s="140"/>
      <c r="M231" s="155" t="s">
        <v>226</v>
      </c>
      <c r="N231" s="411"/>
      <c r="O231" s="412"/>
      <c r="P231" s="140"/>
      <c r="Q231" t="s">
        <v>3559</v>
      </c>
    </row>
    <row r="232" spans="1:17" ht="29" hidden="1" x14ac:dyDescent="0.35">
      <c r="A232" s="155">
        <f t="shared" si="5"/>
        <v>93</v>
      </c>
      <c r="B232" s="140" t="s">
        <v>18</v>
      </c>
      <c r="C232" s="140" t="s">
        <v>255</v>
      </c>
      <c r="D232" s="140" t="s">
        <v>646</v>
      </c>
      <c r="E232" s="140" t="s">
        <v>760</v>
      </c>
      <c r="F232" s="140" t="s">
        <v>761</v>
      </c>
      <c r="G232" s="155" t="s">
        <v>429</v>
      </c>
      <c r="H232" s="140" t="s">
        <v>430</v>
      </c>
      <c r="I232" s="140" t="s">
        <v>25</v>
      </c>
      <c r="J232" s="10">
        <v>50000000</v>
      </c>
      <c r="K232" s="155" t="s">
        <v>651</v>
      </c>
      <c r="L232" s="140" t="s">
        <v>48</v>
      </c>
      <c r="M232" s="155" t="s">
        <v>226</v>
      </c>
      <c r="N232" s="142" t="s">
        <v>752</v>
      </c>
      <c r="O232" s="142">
        <v>50000000</v>
      </c>
      <c r="P232" s="140" t="s">
        <v>653</v>
      </c>
      <c r="Q232" t="s">
        <v>3559</v>
      </c>
    </row>
    <row r="233" spans="1:17" ht="29" hidden="1" x14ac:dyDescent="0.35">
      <c r="A233" s="155">
        <f t="shared" si="5"/>
        <v>94</v>
      </c>
      <c r="B233" s="140" t="s">
        <v>18</v>
      </c>
      <c r="C233" s="140" t="s">
        <v>255</v>
      </c>
      <c r="D233" s="140" t="s">
        <v>646</v>
      </c>
      <c r="E233" s="140" t="s">
        <v>760</v>
      </c>
      <c r="F233" s="140" t="s">
        <v>761</v>
      </c>
      <c r="G233" s="155" t="s">
        <v>429</v>
      </c>
      <c r="H233" s="140" t="s">
        <v>762</v>
      </c>
      <c r="I233" s="140" t="s">
        <v>25</v>
      </c>
      <c r="J233" s="10">
        <v>50000000</v>
      </c>
      <c r="K233" s="155" t="s">
        <v>651</v>
      </c>
      <c r="L233" s="140" t="s">
        <v>48</v>
      </c>
      <c r="M233" s="155" t="s">
        <v>226</v>
      </c>
      <c r="N233" s="142" t="s">
        <v>752</v>
      </c>
      <c r="O233" s="142">
        <v>50000000</v>
      </c>
      <c r="P233" s="140" t="s">
        <v>653</v>
      </c>
      <c r="Q233" t="s">
        <v>3559</v>
      </c>
    </row>
    <row r="234" spans="1:17" ht="29" hidden="1" x14ac:dyDescent="0.35">
      <c r="A234" s="155">
        <f t="shared" si="5"/>
        <v>95</v>
      </c>
      <c r="B234" s="140" t="s">
        <v>18</v>
      </c>
      <c r="C234" s="140" t="s">
        <v>255</v>
      </c>
      <c r="D234" s="140" t="s">
        <v>646</v>
      </c>
      <c r="E234" s="140" t="s">
        <v>763</v>
      </c>
      <c r="F234" s="140" t="s">
        <v>111</v>
      </c>
      <c r="G234" s="155" t="s">
        <v>764</v>
      </c>
      <c r="H234" s="140" t="s">
        <v>765</v>
      </c>
      <c r="I234" s="140" t="s">
        <v>48</v>
      </c>
      <c r="J234" s="10">
        <v>380000000</v>
      </c>
      <c r="K234" s="155" t="s">
        <v>651</v>
      </c>
      <c r="L234" s="140">
        <v>2939785</v>
      </c>
      <c r="M234" s="155" t="s">
        <v>226</v>
      </c>
      <c r="N234" s="142" t="s">
        <v>752</v>
      </c>
      <c r="O234" s="142">
        <v>380000000</v>
      </c>
      <c r="P234" s="140" t="s">
        <v>766</v>
      </c>
      <c r="Q234" t="s">
        <v>3559</v>
      </c>
    </row>
    <row r="235" spans="1:17" ht="43.5" hidden="1" x14ac:dyDescent="0.35">
      <c r="A235" s="155" t="e">
        <f>#REF!+1</f>
        <v>#REF!</v>
      </c>
      <c r="B235" s="140" t="s">
        <v>18</v>
      </c>
      <c r="C235" s="140" t="s">
        <v>255</v>
      </c>
      <c r="D235" s="140" t="s">
        <v>646</v>
      </c>
      <c r="E235" s="140" t="s">
        <v>767</v>
      </c>
      <c r="F235" s="140" t="s">
        <v>768</v>
      </c>
      <c r="G235" s="155" t="s">
        <v>769</v>
      </c>
      <c r="H235" s="140" t="s">
        <v>770</v>
      </c>
      <c r="I235" s="140" t="s">
        <v>431</v>
      </c>
      <c r="J235" s="10">
        <v>40000000</v>
      </c>
      <c r="K235" s="155" t="s">
        <v>651</v>
      </c>
      <c r="L235" s="140">
        <v>2887476</v>
      </c>
      <c r="M235" s="155" t="s">
        <v>226</v>
      </c>
      <c r="N235" s="155" t="s">
        <v>771</v>
      </c>
      <c r="O235" s="156">
        <v>42500000</v>
      </c>
      <c r="P235" s="140" t="s">
        <v>772</v>
      </c>
      <c r="Q235" t="s">
        <v>3559</v>
      </c>
    </row>
    <row r="236" spans="1:17" ht="43.5" hidden="1" x14ac:dyDescent="0.35">
      <c r="A236" s="155" t="e">
        <f t="shared" si="5"/>
        <v>#REF!</v>
      </c>
      <c r="B236" s="140" t="s">
        <v>18</v>
      </c>
      <c r="C236" s="140" t="s">
        <v>255</v>
      </c>
      <c r="D236" s="140" t="s">
        <v>646</v>
      </c>
      <c r="E236" s="140" t="s">
        <v>767</v>
      </c>
      <c r="F236" s="140" t="s">
        <v>768</v>
      </c>
      <c r="G236" s="155" t="s">
        <v>769</v>
      </c>
      <c r="H236" s="140" t="s">
        <v>773</v>
      </c>
      <c r="I236" s="140" t="s">
        <v>431</v>
      </c>
      <c r="J236" s="10">
        <v>40000000</v>
      </c>
      <c r="K236" s="155" t="s">
        <v>651</v>
      </c>
      <c r="L236" s="140">
        <v>2887476</v>
      </c>
      <c r="M236" s="155" t="s">
        <v>226</v>
      </c>
      <c r="N236" s="155" t="s">
        <v>771</v>
      </c>
      <c r="O236" s="156">
        <v>42500000</v>
      </c>
      <c r="P236" s="140" t="s">
        <v>772</v>
      </c>
      <c r="Q236" t="s">
        <v>3559</v>
      </c>
    </row>
    <row r="237" spans="1:17" ht="43.5" hidden="1" x14ac:dyDescent="0.35">
      <c r="A237" s="155" t="e">
        <f t="shared" si="5"/>
        <v>#REF!</v>
      </c>
      <c r="B237" s="140" t="s">
        <v>18</v>
      </c>
      <c r="C237" s="140" t="s">
        <v>255</v>
      </c>
      <c r="D237" s="140" t="s">
        <v>646</v>
      </c>
      <c r="E237" s="140" t="s">
        <v>767</v>
      </c>
      <c r="F237" s="140" t="s">
        <v>768</v>
      </c>
      <c r="G237" s="155" t="s">
        <v>769</v>
      </c>
      <c r="H237" s="140" t="s">
        <v>774</v>
      </c>
      <c r="I237" s="140" t="s">
        <v>431</v>
      </c>
      <c r="J237" s="10">
        <v>40000000</v>
      </c>
      <c r="K237" s="155" t="s">
        <v>651</v>
      </c>
      <c r="L237" s="140">
        <v>2887476</v>
      </c>
      <c r="M237" s="155" t="s">
        <v>226</v>
      </c>
      <c r="N237" s="155" t="s">
        <v>771</v>
      </c>
      <c r="O237" s="156">
        <v>42500000</v>
      </c>
      <c r="P237" s="140" t="s">
        <v>772</v>
      </c>
      <c r="Q237" t="s">
        <v>3559</v>
      </c>
    </row>
    <row r="238" spans="1:17" ht="43.5" hidden="1" x14ac:dyDescent="0.35">
      <c r="A238" s="155" t="e">
        <f t="shared" si="5"/>
        <v>#REF!</v>
      </c>
      <c r="B238" s="140" t="s">
        <v>18</v>
      </c>
      <c r="C238" s="140" t="s">
        <v>255</v>
      </c>
      <c r="D238" s="140" t="s">
        <v>646</v>
      </c>
      <c r="E238" s="140" t="s">
        <v>767</v>
      </c>
      <c r="F238" s="140" t="s">
        <v>768</v>
      </c>
      <c r="G238" s="155" t="s">
        <v>769</v>
      </c>
      <c r="H238" s="140" t="s">
        <v>775</v>
      </c>
      <c r="I238" s="140" t="s">
        <v>431</v>
      </c>
      <c r="J238" s="10">
        <v>40000000</v>
      </c>
      <c r="K238" s="155" t="s">
        <v>651</v>
      </c>
      <c r="L238" s="140">
        <v>2887476</v>
      </c>
      <c r="M238" s="155" t="s">
        <v>226</v>
      </c>
      <c r="N238" s="155" t="s">
        <v>771</v>
      </c>
      <c r="O238" s="156">
        <v>42500000</v>
      </c>
      <c r="P238" s="140" t="s">
        <v>772</v>
      </c>
      <c r="Q238" t="s">
        <v>3559</v>
      </c>
    </row>
    <row r="239" spans="1:17" ht="43.5" hidden="1" x14ac:dyDescent="0.35">
      <c r="A239" s="155" t="e">
        <f t="shared" si="5"/>
        <v>#REF!</v>
      </c>
      <c r="B239" s="140" t="s">
        <v>18</v>
      </c>
      <c r="C239" s="140" t="s">
        <v>255</v>
      </c>
      <c r="D239" s="140" t="s">
        <v>646</v>
      </c>
      <c r="E239" s="140" t="s">
        <v>767</v>
      </c>
      <c r="F239" s="140" t="s">
        <v>768</v>
      </c>
      <c r="G239" s="155" t="s">
        <v>769</v>
      </c>
      <c r="H239" s="140" t="s">
        <v>776</v>
      </c>
      <c r="I239" s="140" t="s">
        <v>431</v>
      </c>
      <c r="J239" s="10">
        <v>40000000</v>
      </c>
      <c r="K239" s="155" t="s">
        <v>651</v>
      </c>
      <c r="L239" s="140">
        <v>2887476</v>
      </c>
      <c r="M239" s="155" t="s">
        <v>226</v>
      </c>
      <c r="N239" s="155" t="s">
        <v>771</v>
      </c>
      <c r="O239" s="156">
        <v>42500000</v>
      </c>
      <c r="P239" s="140" t="s">
        <v>772</v>
      </c>
      <c r="Q239" t="s">
        <v>3559</v>
      </c>
    </row>
    <row r="240" spans="1:17" ht="43.5" hidden="1" x14ac:dyDescent="0.35">
      <c r="A240" s="155" t="e">
        <f t="shared" si="5"/>
        <v>#REF!</v>
      </c>
      <c r="B240" s="140" t="s">
        <v>18</v>
      </c>
      <c r="C240" s="140" t="s">
        <v>255</v>
      </c>
      <c r="D240" s="140" t="s">
        <v>646</v>
      </c>
      <c r="E240" s="140" t="s">
        <v>767</v>
      </c>
      <c r="F240" s="140" t="s">
        <v>768</v>
      </c>
      <c r="G240" s="155" t="s">
        <v>769</v>
      </c>
      <c r="H240" s="140" t="s">
        <v>777</v>
      </c>
      <c r="I240" s="140" t="s">
        <v>431</v>
      </c>
      <c r="J240" s="10">
        <v>40000000</v>
      </c>
      <c r="K240" s="155" t="s">
        <v>651</v>
      </c>
      <c r="L240" s="140">
        <v>2887476</v>
      </c>
      <c r="M240" s="155" t="s">
        <v>226</v>
      </c>
      <c r="N240" s="155" t="s">
        <v>771</v>
      </c>
      <c r="O240" s="156">
        <v>42500000</v>
      </c>
      <c r="P240" s="140" t="s">
        <v>772</v>
      </c>
      <c r="Q240" t="s">
        <v>3559</v>
      </c>
    </row>
    <row r="241" spans="1:17" ht="43.5" hidden="1" x14ac:dyDescent="0.35">
      <c r="A241" s="155" t="e">
        <f t="shared" si="5"/>
        <v>#REF!</v>
      </c>
      <c r="B241" s="140" t="s">
        <v>18</v>
      </c>
      <c r="C241" s="140" t="s">
        <v>255</v>
      </c>
      <c r="D241" s="140" t="s">
        <v>646</v>
      </c>
      <c r="E241" s="140" t="s">
        <v>767</v>
      </c>
      <c r="F241" s="140" t="s">
        <v>768</v>
      </c>
      <c r="G241" s="155" t="s">
        <v>769</v>
      </c>
      <c r="H241" s="140" t="s">
        <v>778</v>
      </c>
      <c r="I241" s="140" t="s">
        <v>431</v>
      </c>
      <c r="J241" s="10">
        <v>40000000</v>
      </c>
      <c r="K241" s="155" t="s">
        <v>651</v>
      </c>
      <c r="L241" s="140">
        <v>2887476</v>
      </c>
      <c r="M241" s="155" t="s">
        <v>226</v>
      </c>
      <c r="N241" s="155" t="s">
        <v>771</v>
      </c>
      <c r="O241" s="156">
        <v>42500000</v>
      </c>
      <c r="P241" s="140" t="s">
        <v>772</v>
      </c>
      <c r="Q241" t="s">
        <v>3559</v>
      </c>
    </row>
    <row r="242" spans="1:17" ht="43.5" hidden="1" x14ac:dyDescent="0.35">
      <c r="A242" s="155" t="e">
        <f t="shared" si="5"/>
        <v>#REF!</v>
      </c>
      <c r="B242" s="140" t="s">
        <v>18</v>
      </c>
      <c r="C242" s="140" t="s">
        <v>255</v>
      </c>
      <c r="D242" s="140" t="s">
        <v>646</v>
      </c>
      <c r="E242" s="140" t="s">
        <v>767</v>
      </c>
      <c r="F242" s="140" t="s">
        <v>768</v>
      </c>
      <c r="G242" s="155" t="s">
        <v>769</v>
      </c>
      <c r="H242" s="140" t="s">
        <v>779</v>
      </c>
      <c r="I242" s="140" t="s">
        <v>431</v>
      </c>
      <c r="J242" s="10">
        <v>40000000</v>
      </c>
      <c r="K242" s="155" t="s">
        <v>651</v>
      </c>
      <c r="L242" s="140">
        <v>2887476</v>
      </c>
      <c r="M242" s="155" t="s">
        <v>226</v>
      </c>
      <c r="N242" s="155" t="s">
        <v>771</v>
      </c>
      <c r="O242" s="156">
        <v>42500000</v>
      </c>
      <c r="P242" s="140" t="s">
        <v>772</v>
      </c>
      <c r="Q242" t="s">
        <v>3559</v>
      </c>
    </row>
    <row r="243" spans="1:17" ht="43.5" hidden="1" x14ac:dyDescent="0.35">
      <c r="A243" s="155" t="e">
        <f t="shared" si="5"/>
        <v>#REF!</v>
      </c>
      <c r="B243" s="140" t="s">
        <v>18</v>
      </c>
      <c r="C243" s="140" t="s">
        <v>255</v>
      </c>
      <c r="D243" s="140" t="s">
        <v>646</v>
      </c>
      <c r="E243" s="140" t="s">
        <v>767</v>
      </c>
      <c r="F243" s="140" t="s">
        <v>768</v>
      </c>
      <c r="G243" s="155" t="s">
        <v>769</v>
      </c>
      <c r="H243" s="140" t="s">
        <v>780</v>
      </c>
      <c r="I243" s="140" t="s">
        <v>431</v>
      </c>
      <c r="J243" s="10">
        <v>40000000</v>
      </c>
      <c r="K243" s="155" t="s">
        <v>651</v>
      </c>
      <c r="L243" s="140">
        <v>2887476</v>
      </c>
      <c r="M243" s="155" t="s">
        <v>226</v>
      </c>
      <c r="N243" s="155" t="s">
        <v>771</v>
      </c>
      <c r="O243" s="156">
        <v>42500000</v>
      </c>
      <c r="P243" s="140" t="s">
        <v>772</v>
      </c>
      <c r="Q243" t="s">
        <v>3559</v>
      </c>
    </row>
    <row r="244" spans="1:17" ht="43.5" hidden="1" x14ac:dyDescent="0.35">
      <c r="A244" s="155" t="e">
        <f t="shared" si="5"/>
        <v>#REF!</v>
      </c>
      <c r="B244" s="140" t="s">
        <v>18</v>
      </c>
      <c r="C244" s="140" t="s">
        <v>255</v>
      </c>
      <c r="D244" s="140" t="s">
        <v>646</v>
      </c>
      <c r="E244" s="140" t="s">
        <v>781</v>
      </c>
      <c r="F244" s="140" t="s">
        <v>782</v>
      </c>
      <c r="G244" s="155" t="s">
        <v>783</v>
      </c>
      <c r="H244" s="140" t="s">
        <v>783</v>
      </c>
      <c r="I244" s="140" t="s">
        <v>25</v>
      </c>
      <c r="J244" s="10">
        <v>280000000</v>
      </c>
      <c r="K244" s="155" t="s">
        <v>651</v>
      </c>
      <c r="L244" s="140"/>
      <c r="M244" s="155" t="s">
        <v>226</v>
      </c>
      <c r="N244" s="142" t="s">
        <v>752</v>
      </c>
      <c r="O244" s="142">
        <v>250000000</v>
      </c>
      <c r="P244" s="140" t="s">
        <v>784</v>
      </c>
      <c r="Q244" t="s">
        <v>3559</v>
      </c>
    </row>
    <row r="245" spans="1:17" ht="43.5" hidden="1" x14ac:dyDescent="0.35">
      <c r="A245" s="155" t="e">
        <f t="shared" si="5"/>
        <v>#REF!</v>
      </c>
      <c r="B245" s="140" t="s">
        <v>18</v>
      </c>
      <c r="C245" s="140" t="s">
        <v>255</v>
      </c>
      <c r="D245" s="140" t="s">
        <v>646</v>
      </c>
      <c r="E245" s="140" t="s">
        <v>781</v>
      </c>
      <c r="F245" s="140" t="s">
        <v>782</v>
      </c>
      <c r="G245" s="155" t="s">
        <v>783</v>
      </c>
      <c r="H245" s="140" t="s">
        <v>785</v>
      </c>
      <c r="I245" s="140" t="s">
        <v>25</v>
      </c>
      <c r="J245" s="10">
        <v>280000000</v>
      </c>
      <c r="K245" s="155" t="s">
        <v>651</v>
      </c>
      <c r="L245" s="140"/>
      <c r="M245" s="155" t="s">
        <v>226</v>
      </c>
      <c r="N245" s="142" t="s">
        <v>752</v>
      </c>
      <c r="O245" s="142">
        <v>250000000</v>
      </c>
      <c r="P245" s="140" t="s">
        <v>784</v>
      </c>
      <c r="Q245" t="s">
        <v>3559</v>
      </c>
    </row>
    <row r="246" spans="1:17" ht="29" hidden="1" x14ac:dyDescent="0.35">
      <c r="A246" s="155" t="e">
        <f t="shared" si="5"/>
        <v>#REF!</v>
      </c>
      <c r="B246" s="140" t="s">
        <v>18</v>
      </c>
      <c r="C246" s="140" t="s">
        <v>255</v>
      </c>
      <c r="D246" s="140" t="s">
        <v>646</v>
      </c>
      <c r="E246" s="140" t="s">
        <v>786</v>
      </c>
      <c r="F246" s="140" t="s">
        <v>186</v>
      </c>
      <c r="G246" s="155" t="s">
        <v>177</v>
      </c>
      <c r="H246" s="140" t="s">
        <v>787</v>
      </c>
      <c r="I246" s="140" t="s">
        <v>788</v>
      </c>
      <c r="J246" s="10">
        <v>20000000</v>
      </c>
      <c r="K246" s="155" t="s">
        <v>651</v>
      </c>
      <c r="L246" s="140">
        <v>2958885</v>
      </c>
      <c r="M246" s="155" t="s">
        <v>180</v>
      </c>
      <c r="N246" s="142" t="s">
        <v>280</v>
      </c>
      <c r="O246" s="142">
        <v>50000000</v>
      </c>
      <c r="P246" s="140" t="s">
        <v>789</v>
      </c>
      <c r="Q246" t="s">
        <v>3559</v>
      </c>
    </row>
    <row r="247" spans="1:17" ht="29" hidden="1" x14ac:dyDescent="0.35">
      <c r="A247" s="155" t="e">
        <f t="shared" si="5"/>
        <v>#REF!</v>
      </c>
      <c r="B247" s="140" t="s">
        <v>18</v>
      </c>
      <c r="C247" s="140" t="s">
        <v>255</v>
      </c>
      <c r="D247" s="140" t="s">
        <v>646</v>
      </c>
      <c r="E247" s="140" t="s">
        <v>790</v>
      </c>
      <c r="F247" s="140" t="s">
        <v>791</v>
      </c>
      <c r="G247" s="155" t="s">
        <v>792</v>
      </c>
      <c r="H247" s="140" t="s">
        <v>792</v>
      </c>
      <c r="I247" s="140" t="s">
        <v>280</v>
      </c>
      <c r="J247" s="10">
        <v>35000000</v>
      </c>
      <c r="K247" s="155" t="s">
        <v>651</v>
      </c>
      <c r="L247" s="140">
        <v>2947266</v>
      </c>
      <c r="M247" s="155" t="s">
        <v>180</v>
      </c>
      <c r="N247" s="142" t="s">
        <v>280</v>
      </c>
      <c r="O247" s="142">
        <v>50000000</v>
      </c>
      <c r="P247" s="140" t="s">
        <v>793</v>
      </c>
      <c r="Q247" t="s">
        <v>3559</v>
      </c>
    </row>
    <row r="248" spans="1:17" ht="29" hidden="1" x14ac:dyDescent="0.35">
      <c r="A248" s="155" t="e">
        <f t="shared" si="5"/>
        <v>#REF!</v>
      </c>
      <c r="B248" s="140" t="s">
        <v>18</v>
      </c>
      <c r="C248" s="140" t="s">
        <v>255</v>
      </c>
      <c r="D248" s="140" t="s">
        <v>646</v>
      </c>
      <c r="E248" s="140" t="s">
        <v>790</v>
      </c>
      <c r="F248" s="140" t="s">
        <v>791</v>
      </c>
      <c r="G248" s="155" t="s">
        <v>792</v>
      </c>
      <c r="H248" s="140" t="s">
        <v>794</v>
      </c>
      <c r="I248" s="140" t="s">
        <v>280</v>
      </c>
      <c r="J248" s="10">
        <v>35000000</v>
      </c>
      <c r="K248" s="155" t="s">
        <v>651</v>
      </c>
      <c r="L248" s="140">
        <v>2943291</v>
      </c>
      <c r="M248" s="155" t="s">
        <v>180</v>
      </c>
      <c r="N248" s="142" t="s">
        <v>280</v>
      </c>
      <c r="O248" s="142">
        <v>50000000</v>
      </c>
      <c r="P248" s="140" t="s">
        <v>793</v>
      </c>
      <c r="Q248" t="s">
        <v>3559</v>
      </c>
    </row>
    <row r="249" spans="1:17" ht="29" hidden="1" x14ac:dyDescent="0.35">
      <c r="A249" s="155" t="e">
        <f t="shared" si="5"/>
        <v>#REF!</v>
      </c>
      <c r="B249" s="140" t="s">
        <v>18</v>
      </c>
      <c r="C249" s="140" t="s">
        <v>255</v>
      </c>
      <c r="D249" s="140" t="s">
        <v>646</v>
      </c>
      <c r="E249" s="140" t="s">
        <v>790</v>
      </c>
      <c r="F249" s="140" t="s">
        <v>791</v>
      </c>
      <c r="G249" s="155" t="s">
        <v>792</v>
      </c>
      <c r="H249" s="140" t="s">
        <v>795</v>
      </c>
      <c r="I249" s="140" t="s">
        <v>280</v>
      </c>
      <c r="J249" s="10">
        <v>35000000</v>
      </c>
      <c r="K249" s="155" t="s">
        <v>651</v>
      </c>
      <c r="L249" s="140">
        <v>2944347</v>
      </c>
      <c r="M249" s="155" t="s">
        <v>180</v>
      </c>
      <c r="N249" s="142" t="s">
        <v>280</v>
      </c>
      <c r="O249" s="142">
        <v>50000000</v>
      </c>
      <c r="P249" s="140" t="s">
        <v>793</v>
      </c>
      <c r="Q249" t="s">
        <v>3559</v>
      </c>
    </row>
    <row r="250" spans="1:17" ht="29" hidden="1" x14ac:dyDescent="0.35">
      <c r="A250" s="155" t="e">
        <f t="shared" si="5"/>
        <v>#REF!</v>
      </c>
      <c r="B250" s="140" t="s">
        <v>18</v>
      </c>
      <c r="C250" s="140" t="s">
        <v>255</v>
      </c>
      <c r="D250" s="140" t="s">
        <v>646</v>
      </c>
      <c r="E250" s="140" t="s">
        <v>790</v>
      </c>
      <c r="F250" s="140" t="s">
        <v>791</v>
      </c>
      <c r="G250" s="155" t="s">
        <v>792</v>
      </c>
      <c r="H250" s="140" t="s">
        <v>796</v>
      </c>
      <c r="I250" s="140" t="s">
        <v>280</v>
      </c>
      <c r="J250" s="10">
        <v>35000000</v>
      </c>
      <c r="K250" s="155" t="s">
        <v>651</v>
      </c>
      <c r="L250" s="140">
        <v>2965459</v>
      </c>
      <c r="M250" s="155" t="s">
        <v>180</v>
      </c>
      <c r="N250" s="142" t="s">
        <v>280</v>
      </c>
      <c r="O250" s="142">
        <v>50000000</v>
      </c>
      <c r="P250" s="140" t="s">
        <v>793</v>
      </c>
      <c r="Q250" t="s">
        <v>3559</v>
      </c>
    </row>
    <row r="251" spans="1:17" ht="29" hidden="1" x14ac:dyDescent="0.35">
      <c r="A251" s="155" t="e">
        <f t="shared" si="5"/>
        <v>#REF!</v>
      </c>
      <c r="B251" s="140" t="s">
        <v>18</v>
      </c>
      <c r="C251" s="140" t="s">
        <v>255</v>
      </c>
      <c r="D251" s="140" t="s">
        <v>646</v>
      </c>
      <c r="E251" s="140" t="s">
        <v>797</v>
      </c>
      <c r="F251" s="140" t="s">
        <v>798</v>
      </c>
      <c r="G251" s="155" t="s">
        <v>185</v>
      </c>
      <c r="H251" s="140" t="s">
        <v>799</v>
      </c>
      <c r="I251" s="140" t="s">
        <v>725</v>
      </c>
      <c r="J251" s="10">
        <v>42200000</v>
      </c>
      <c r="K251" s="155" t="s">
        <v>651</v>
      </c>
      <c r="L251" s="140">
        <v>2933437</v>
      </c>
      <c r="M251" s="155" t="s">
        <v>180</v>
      </c>
      <c r="N251" s="142" t="s">
        <v>280</v>
      </c>
      <c r="O251" s="142">
        <v>50000000</v>
      </c>
      <c r="P251" s="140" t="s">
        <v>653</v>
      </c>
      <c r="Q251" t="s">
        <v>3559</v>
      </c>
    </row>
    <row r="252" spans="1:17" ht="29" hidden="1" x14ac:dyDescent="0.35">
      <c r="A252" s="155" t="e">
        <f t="shared" si="5"/>
        <v>#REF!</v>
      </c>
      <c r="B252" s="140" t="s">
        <v>18</v>
      </c>
      <c r="C252" s="140" t="s">
        <v>255</v>
      </c>
      <c r="D252" s="140" t="s">
        <v>646</v>
      </c>
      <c r="E252" s="140" t="s">
        <v>800</v>
      </c>
      <c r="F252" s="140" t="s">
        <v>636</v>
      </c>
      <c r="G252" s="155" t="s">
        <v>182</v>
      </c>
      <c r="H252" s="140" t="s">
        <v>185</v>
      </c>
      <c r="I252" s="140" t="s">
        <v>801</v>
      </c>
      <c r="J252" s="10">
        <v>25000000</v>
      </c>
      <c r="K252" s="155" t="s">
        <v>651</v>
      </c>
      <c r="L252" s="140">
        <v>2921026</v>
      </c>
      <c r="M252" s="155" t="s">
        <v>180</v>
      </c>
      <c r="N252" s="155" t="s">
        <v>802</v>
      </c>
      <c r="O252" s="142">
        <v>25000000</v>
      </c>
      <c r="P252" s="140" t="s">
        <v>803</v>
      </c>
      <c r="Q252" t="s">
        <v>3559</v>
      </c>
    </row>
    <row r="253" spans="1:17" ht="29" hidden="1" x14ac:dyDescent="0.35">
      <c r="A253" s="155" t="e">
        <f t="shared" si="5"/>
        <v>#REF!</v>
      </c>
      <c r="B253" s="140" t="s">
        <v>18</v>
      </c>
      <c r="C253" s="140" t="s">
        <v>255</v>
      </c>
      <c r="D253" s="140" t="s">
        <v>646</v>
      </c>
      <c r="E253" s="140" t="s">
        <v>739</v>
      </c>
      <c r="F253" s="140" t="s">
        <v>636</v>
      </c>
      <c r="G253" s="155" t="s">
        <v>182</v>
      </c>
      <c r="H253" s="140" t="s">
        <v>93</v>
      </c>
      <c r="I253" s="140" t="s">
        <v>725</v>
      </c>
      <c r="J253" s="10">
        <v>25000000</v>
      </c>
      <c r="K253" s="155" t="s">
        <v>651</v>
      </c>
      <c r="L253" s="140">
        <v>2960274</v>
      </c>
      <c r="M253" s="155" t="s">
        <v>180</v>
      </c>
      <c r="N253" s="142" t="s">
        <v>280</v>
      </c>
      <c r="O253" s="142">
        <v>50000000</v>
      </c>
      <c r="P253" s="140" t="s">
        <v>653</v>
      </c>
      <c r="Q253" t="s">
        <v>3559</v>
      </c>
    </row>
    <row r="254" spans="1:17" ht="43.5" hidden="1" x14ac:dyDescent="0.35">
      <c r="A254" s="155" t="e">
        <f t="shared" si="5"/>
        <v>#REF!</v>
      </c>
      <c r="B254" s="140" t="s">
        <v>18</v>
      </c>
      <c r="C254" s="140" t="s">
        <v>255</v>
      </c>
      <c r="D254" s="140" t="s">
        <v>646</v>
      </c>
      <c r="E254" s="140" t="s">
        <v>800</v>
      </c>
      <c r="F254" s="140" t="s">
        <v>186</v>
      </c>
      <c r="G254" s="155" t="s">
        <v>187</v>
      </c>
      <c r="H254" s="140" t="s">
        <v>804</v>
      </c>
      <c r="I254" s="140" t="s">
        <v>725</v>
      </c>
      <c r="J254" s="10">
        <v>28000000</v>
      </c>
      <c r="K254" s="155" t="s">
        <v>651</v>
      </c>
      <c r="L254" s="140">
        <v>2762206</v>
      </c>
      <c r="M254" s="155" t="s">
        <v>180</v>
      </c>
      <c r="N254" s="155" t="s">
        <v>805</v>
      </c>
      <c r="O254" s="142">
        <v>101797600</v>
      </c>
      <c r="P254" s="140" t="s">
        <v>806</v>
      </c>
      <c r="Q254" t="s">
        <v>3559</v>
      </c>
    </row>
    <row r="255" spans="1:17" ht="29" hidden="1" x14ac:dyDescent="0.35">
      <c r="A255" s="155" t="e">
        <f t="shared" si="5"/>
        <v>#REF!</v>
      </c>
      <c r="B255" s="140" t="s">
        <v>18</v>
      </c>
      <c r="C255" s="140" t="s">
        <v>255</v>
      </c>
      <c r="D255" s="140" t="s">
        <v>646</v>
      </c>
      <c r="E255" s="140" t="s">
        <v>739</v>
      </c>
      <c r="F255" s="140" t="s">
        <v>186</v>
      </c>
      <c r="G255" s="155" t="s">
        <v>187</v>
      </c>
      <c r="H255" s="140" t="s">
        <v>442</v>
      </c>
      <c r="I255" s="140" t="s">
        <v>725</v>
      </c>
      <c r="J255" s="10">
        <v>28000000</v>
      </c>
      <c r="K255" s="155" t="s">
        <v>651</v>
      </c>
      <c r="L255" s="140">
        <v>2972726</v>
      </c>
      <c r="M255" s="155" t="s">
        <v>180</v>
      </c>
      <c r="N255" s="142" t="s">
        <v>280</v>
      </c>
      <c r="O255" s="142">
        <v>50000000</v>
      </c>
      <c r="P255" s="140" t="s">
        <v>653</v>
      </c>
      <c r="Q255" t="s">
        <v>3559</v>
      </c>
    </row>
    <row r="256" spans="1:17" ht="29" hidden="1" x14ac:dyDescent="0.35">
      <c r="A256" s="155" t="e">
        <f t="shared" si="5"/>
        <v>#REF!</v>
      </c>
      <c r="B256" s="140" t="s">
        <v>18</v>
      </c>
      <c r="C256" s="140" t="s">
        <v>255</v>
      </c>
      <c r="D256" s="140" t="s">
        <v>646</v>
      </c>
      <c r="E256" s="140" t="s">
        <v>739</v>
      </c>
      <c r="F256" s="140" t="s">
        <v>186</v>
      </c>
      <c r="G256" s="155" t="s">
        <v>187</v>
      </c>
      <c r="H256" s="140" t="s">
        <v>807</v>
      </c>
      <c r="I256" s="140" t="s">
        <v>725</v>
      </c>
      <c r="J256" s="10">
        <v>28000000</v>
      </c>
      <c r="K256" s="155" t="s">
        <v>651</v>
      </c>
      <c r="L256" s="140">
        <v>2935122</v>
      </c>
      <c r="M256" s="155" t="s">
        <v>180</v>
      </c>
      <c r="N256" s="142" t="s">
        <v>280</v>
      </c>
      <c r="O256" s="142">
        <v>50000000</v>
      </c>
      <c r="P256" s="140" t="s">
        <v>653</v>
      </c>
      <c r="Q256" t="s">
        <v>3559</v>
      </c>
    </row>
    <row r="257" spans="1:17" ht="62" x14ac:dyDescent="0.35">
      <c r="A257" s="157" t="e">
        <f t="shared" si="5"/>
        <v>#REF!</v>
      </c>
      <c r="B257" s="157" t="s">
        <v>71</v>
      </c>
      <c r="C257" s="157" t="s">
        <v>537</v>
      </c>
      <c r="D257" s="158" t="s">
        <v>808</v>
      </c>
      <c r="E257" s="158" t="s">
        <v>809</v>
      </c>
      <c r="F257" s="158" t="s">
        <v>810</v>
      </c>
      <c r="G257" s="157" t="s">
        <v>658</v>
      </c>
      <c r="H257" s="157" t="s">
        <v>811</v>
      </c>
      <c r="I257" s="157" t="s">
        <v>500</v>
      </c>
      <c r="J257" s="159">
        <v>45000000</v>
      </c>
      <c r="K257" s="54" t="s">
        <v>197</v>
      </c>
      <c r="L257" s="157">
        <v>3252422</v>
      </c>
      <c r="M257" s="157" t="s">
        <v>79</v>
      </c>
      <c r="N257" s="160" t="s">
        <v>812</v>
      </c>
      <c r="O257" s="160">
        <v>45000000</v>
      </c>
      <c r="P257" s="157" t="s">
        <v>813</v>
      </c>
      <c r="Q257" t="s">
        <v>3561</v>
      </c>
    </row>
    <row r="258" spans="1:17" ht="46.5" x14ac:dyDescent="0.35">
      <c r="A258" s="157" t="e">
        <f t="shared" si="5"/>
        <v>#REF!</v>
      </c>
      <c r="B258" s="157" t="s">
        <v>71</v>
      </c>
      <c r="C258" s="157" t="s">
        <v>537</v>
      </c>
      <c r="D258" s="158" t="s">
        <v>808</v>
      </c>
      <c r="E258" s="158" t="s">
        <v>203</v>
      </c>
      <c r="F258" s="158" t="s">
        <v>815</v>
      </c>
      <c r="G258" s="157" t="s">
        <v>816</v>
      </c>
      <c r="H258" s="157" t="s">
        <v>817</v>
      </c>
      <c r="I258" s="157">
        <v>5</v>
      </c>
      <c r="J258" s="159">
        <v>7000000</v>
      </c>
      <c r="K258" s="54" t="s">
        <v>197</v>
      </c>
      <c r="L258" s="157">
        <v>2932185</v>
      </c>
      <c r="M258" s="157" t="s">
        <v>79</v>
      </c>
      <c r="N258" s="160" t="s">
        <v>122</v>
      </c>
      <c r="O258" s="160">
        <v>8000000</v>
      </c>
      <c r="P258" s="157"/>
      <c r="Q258" t="s">
        <v>3561</v>
      </c>
    </row>
    <row r="259" spans="1:17" ht="46.5" x14ac:dyDescent="0.35">
      <c r="A259" s="157" t="e">
        <f t="shared" si="5"/>
        <v>#REF!</v>
      </c>
      <c r="B259" s="157" t="s">
        <v>71</v>
      </c>
      <c r="C259" s="157" t="s">
        <v>537</v>
      </c>
      <c r="D259" s="158" t="s">
        <v>808</v>
      </c>
      <c r="E259" s="158" t="s">
        <v>203</v>
      </c>
      <c r="F259" s="158" t="s">
        <v>819</v>
      </c>
      <c r="G259" s="157" t="s">
        <v>816</v>
      </c>
      <c r="H259" s="157" t="s">
        <v>820</v>
      </c>
      <c r="I259" s="157">
        <v>5</v>
      </c>
      <c r="J259" s="159">
        <v>10000000</v>
      </c>
      <c r="K259" s="54" t="s">
        <v>197</v>
      </c>
      <c r="L259" s="157">
        <v>2932209</v>
      </c>
      <c r="M259" s="157" t="s">
        <v>79</v>
      </c>
      <c r="N259" s="160" t="s">
        <v>274</v>
      </c>
      <c r="O259" s="160">
        <v>12000000</v>
      </c>
      <c r="P259" s="157"/>
      <c r="Q259" t="s">
        <v>3561</v>
      </c>
    </row>
    <row r="260" spans="1:17" ht="46.5" x14ac:dyDescent="0.35">
      <c r="A260" s="157" t="e">
        <f t="shared" si="5"/>
        <v>#REF!</v>
      </c>
      <c r="B260" s="157" t="s">
        <v>71</v>
      </c>
      <c r="C260" s="157" t="s">
        <v>537</v>
      </c>
      <c r="D260" s="158" t="s">
        <v>808</v>
      </c>
      <c r="E260" s="158" t="s">
        <v>203</v>
      </c>
      <c r="F260" s="158" t="s">
        <v>821</v>
      </c>
      <c r="G260" s="157" t="s">
        <v>816</v>
      </c>
      <c r="H260" s="157" t="s">
        <v>822</v>
      </c>
      <c r="I260" s="157">
        <v>5</v>
      </c>
      <c r="J260" s="159">
        <v>7000000</v>
      </c>
      <c r="K260" s="54" t="s">
        <v>197</v>
      </c>
      <c r="L260" s="157">
        <v>2932312</v>
      </c>
      <c r="M260" s="157" t="s">
        <v>79</v>
      </c>
      <c r="N260" s="160" t="s">
        <v>122</v>
      </c>
      <c r="O260" s="160">
        <v>8000000</v>
      </c>
      <c r="P260" s="157"/>
      <c r="Q260" t="s">
        <v>3561</v>
      </c>
    </row>
    <row r="261" spans="1:17" ht="46.5" x14ac:dyDescent="0.35">
      <c r="A261" s="157" t="e">
        <f t="shared" si="5"/>
        <v>#REF!</v>
      </c>
      <c r="B261" s="157" t="s">
        <v>71</v>
      </c>
      <c r="C261" s="157" t="s">
        <v>537</v>
      </c>
      <c r="D261" s="158" t="s">
        <v>808</v>
      </c>
      <c r="E261" s="158" t="s">
        <v>203</v>
      </c>
      <c r="F261" s="158" t="s">
        <v>823</v>
      </c>
      <c r="G261" s="157" t="s">
        <v>816</v>
      </c>
      <c r="H261" s="157" t="s">
        <v>824</v>
      </c>
      <c r="I261" s="157">
        <v>5</v>
      </c>
      <c r="J261" s="159">
        <v>7000000</v>
      </c>
      <c r="K261" s="54" t="s">
        <v>197</v>
      </c>
      <c r="L261" s="157">
        <v>2933188</v>
      </c>
      <c r="M261" s="157" t="s">
        <v>79</v>
      </c>
      <c r="N261" s="160" t="s">
        <v>122</v>
      </c>
      <c r="O261" s="160">
        <v>8000000</v>
      </c>
      <c r="P261" s="157"/>
      <c r="Q261" t="s">
        <v>3561</v>
      </c>
    </row>
    <row r="262" spans="1:17" ht="46.5" hidden="1" x14ac:dyDescent="0.35">
      <c r="A262" s="157" t="e">
        <f t="shared" si="5"/>
        <v>#REF!</v>
      </c>
      <c r="B262" s="157" t="s">
        <v>71</v>
      </c>
      <c r="C262" s="157" t="s">
        <v>537</v>
      </c>
      <c r="D262" s="158" t="s">
        <v>808</v>
      </c>
      <c r="E262" s="158" t="s">
        <v>825</v>
      </c>
      <c r="F262" s="158" t="s">
        <v>484</v>
      </c>
      <c r="G262" s="157" t="s">
        <v>278</v>
      </c>
      <c r="H262" s="157" t="s">
        <v>485</v>
      </c>
      <c r="I262" s="157" t="s">
        <v>366</v>
      </c>
      <c r="J262" s="160">
        <v>15000000</v>
      </c>
      <c r="K262" s="54" t="s">
        <v>197</v>
      </c>
      <c r="L262" s="157">
        <v>2977046</v>
      </c>
      <c r="M262" s="32" t="s">
        <v>97</v>
      </c>
      <c r="N262" s="157" t="s">
        <v>826</v>
      </c>
      <c r="O262" s="160">
        <v>52200000</v>
      </c>
      <c r="P262" s="157"/>
      <c r="Q262" t="s">
        <v>3561</v>
      </c>
    </row>
    <row r="263" spans="1:17" ht="31" hidden="1" x14ac:dyDescent="0.35">
      <c r="A263" s="157" t="e">
        <f t="shared" si="5"/>
        <v>#REF!</v>
      </c>
      <c r="B263" s="157" t="s">
        <v>71</v>
      </c>
      <c r="C263" s="157" t="s">
        <v>537</v>
      </c>
      <c r="D263" s="161" t="s">
        <v>538</v>
      </c>
      <c r="E263" s="158" t="s">
        <v>827</v>
      </c>
      <c r="F263" s="158" t="s">
        <v>828</v>
      </c>
      <c r="G263" s="162" t="s">
        <v>670</v>
      </c>
      <c r="H263" s="162" t="s">
        <v>681</v>
      </c>
      <c r="I263" s="162" t="s">
        <v>826</v>
      </c>
      <c r="J263" s="160">
        <v>52200000</v>
      </c>
      <c r="K263" s="54" t="s">
        <v>197</v>
      </c>
      <c r="L263" s="157">
        <v>2916730</v>
      </c>
      <c r="M263" s="32" t="s">
        <v>97</v>
      </c>
      <c r="N263" s="157" t="s">
        <v>826</v>
      </c>
      <c r="O263" s="160">
        <v>52000000</v>
      </c>
      <c r="P263" s="157"/>
      <c r="Q263" t="s">
        <v>3561</v>
      </c>
    </row>
    <row r="264" spans="1:17" ht="31" hidden="1" x14ac:dyDescent="0.35">
      <c r="A264" s="157" t="e">
        <f t="shared" si="5"/>
        <v>#REF!</v>
      </c>
      <c r="B264" s="157" t="s">
        <v>71</v>
      </c>
      <c r="C264" s="157" t="s">
        <v>537</v>
      </c>
      <c r="D264" s="161" t="s">
        <v>538</v>
      </c>
      <c r="E264" s="158" t="s">
        <v>830</v>
      </c>
      <c r="F264" s="158" t="s">
        <v>673</v>
      </c>
      <c r="G264" s="162" t="s">
        <v>670</v>
      </c>
      <c r="H264" s="162" t="s">
        <v>674</v>
      </c>
      <c r="I264" s="162" t="s">
        <v>826</v>
      </c>
      <c r="J264" s="160">
        <v>52000000</v>
      </c>
      <c r="K264" s="54" t="s">
        <v>197</v>
      </c>
      <c r="L264" s="157">
        <v>2916412</v>
      </c>
      <c r="M264" s="32" t="s">
        <v>97</v>
      </c>
      <c r="N264" s="157" t="s">
        <v>826</v>
      </c>
      <c r="O264" s="160">
        <v>50000000</v>
      </c>
      <c r="P264" s="157"/>
      <c r="Q264" t="s">
        <v>3561</v>
      </c>
    </row>
    <row r="265" spans="1:17" ht="31" hidden="1" x14ac:dyDescent="0.35">
      <c r="A265" s="157" t="e">
        <f t="shared" si="5"/>
        <v>#REF!</v>
      </c>
      <c r="B265" s="157" t="s">
        <v>71</v>
      </c>
      <c r="C265" s="157" t="s">
        <v>537</v>
      </c>
      <c r="D265" s="161" t="s">
        <v>538</v>
      </c>
      <c r="E265" s="158" t="s">
        <v>827</v>
      </c>
      <c r="F265" s="158" t="s">
        <v>676</v>
      </c>
      <c r="G265" s="162" t="s">
        <v>670</v>
      </c>
      <c r="H265" s="162" t="s">
        <v>677</v>
      </c>
      <c r="I265" s="162" t="s">
        <v>826</v>
      </c>
      <c r="J265" s="160">
        <v>50000000</v>
      </c>
      <c r="K265" s="54" t="s">
        <v>197</v>
      </c>
      <c r="L265" s="157">
        <v>2917580</v>
      </c>
      <c r="M265" s="32" t="s">
        <v>97</v>
      </c>
      <c r="N265" s="157" t="s">
        <v>826</v>
      </c>
      <c r="O265" s="160">
        <v>52200000</v>
      </c>
      <c r="P265" s="157"/>
      <c r="Q265" t="s">
        <v>3561</v>
      </c>
    </row>
    <row r="266" spans="1:17" ht="31" hidden="1" x14ac:dyDescent="0.35">
      <c r="A266" s="157" t="e">
        <f t="shared" si="5"/>
        <v>#REF!</v>
      </c>
      <c r="B266" s="157" t="s">
        <v>71</v>
      </c>
      <c r="C266" s="157" t="s">
        <v>537</v>
      </c>
      <c r="D266" s="161" t="s">
        <v>538</v>
      </c>
      <c r="E266" s="158" t="s">
        <v>831</v>
      </c>
      <c r="F266" s="158" t="s">
        <v>678</v>
      </c>
      <c r="G266" s="162" t="s">
        <v>670</v>
      </c>
      <c r="H266" s="162" t="s">
        <v>679</v>
      </c>
      <c r="I266" s="162" t="s">
        <v>826</v>
      </c>
      <c r="J266" s="160">
        <v>52200000</v>
      </c>
      <c r="K266" s="54" t="s">
        <v>197</v>
      </c>
      <c r="L266" s="157">
        <v>2916544</v>
      </c>
      <c r="M266" s="32" t="s">
        <v>97</v>
      </c>
      <c r="N266" s="157" t="s">
        <v>832</v>
      </c>
      <c r="O266" s="160">
        <v>50000000</v>
      </c>
      <c r="P266" s="157" t="s">
        <v>833</v>
      </c>
      <c r="Q266" t="s">
        <v>3561</v>
      </c>
    </row>
    <row r="267" spans="1:17" ht="31" hidden="1" x14ac:dyDescent="0.35">
      <c r="A267" s="82" t="e">
        <f t="shared" si="5"/>
        <v>#REF!</v>
      </c>
      <c r="B267" s="82" t="s">
        <v>71</v>
      </c>
      <c r="C267" s="82" t="s">
        <v>537</v>
      </c>
      <c r="D267" s="163" t="s">
        <v>834</v>
      </c>
      <c r="E267" s="164" t="s">
        <v>91</v>
      </c>
      <c r="F267" s="164" t="s">
        <v>92</v>
      </c>
      <c r="G267" s="82" t="s">
        <v>208</v>
      </c>
      <c r="H267" s="82" t="s">
        <v>94</v>
      </c>
      <c r="I267" s="82" t="s">
        <v>95</v>
      </c>
      <c r="J267" s="165">
        <v>18000000</v>
      </c>
      <c r="K267" s="54" t="s">
        <v>197</v>
      </c>
      <c r="L267" s="82">
        <v>2960802</v>
      </c>
      <c r="M267" s="32" t="s">
        <v>97</v>
      </c>
      <c r="N267" s="82" t="s">
        <v>826</v>
      </c>
      <c r="O267" s="165">
        <v>15000000</v>
      </c>
      <c r="P267" s="82"/>
      <c r="Q267" t="s">
        <v>3561</v>
      </c>
    </row>
    <row r="268" spans="1:17" ht="46.5" hidden="1" x14ac:dyDescent="0.35">
      <c r="A268" s="166">
        <v>14</v>
      </c>
      <c r="B268" s="166" t="s">
        <v>836</v>
      </c>
      <c r="C268" s="166" t="s">
        <v>577</v>
      </c>
      <c r="D268" s="167" t="s">
        <v>538</v>
      </c>
      <c r="E268" s="168" t="s">
        <v>837</v>
      </c>
      <c r="F268" s="168" t="s">
        <v>838</v>
      </c>
      <c r="G268" s="166" t="s">
        <v>839</v>
      </c>
      <c r="H268" s="166" t="s">
        <v>840</v>
      </c>
      <c r="I268" s="166"/>
      <c r="J268" s="169"/>
      <c r="K268" s="54" t="s">
        <v>197</v>
      </c>
      <c r="L268" s="166" t="s">
        <v>841</v>
      </c>
      <c r="M268" s="32" t="s">
        <v>97</v>
      </c>
      <c r="N268" s="166" t="s">
        <v>826</v>
      </c>
      <c r="O268" s="169">
        <v>100000000</v>
      </c>
      <c r="P268" s="166" t="s">
        <v>275</v>
      </c>
      <c r="Q268" t="s">
        <v>3561</v>
      </c>
    </row>
    <row r="269" spans="1:17" ht="31" hidden="1" x14ac:dyDescent="0.35">
      <c r="A269" s="157">
        <f t="shared" si="5"/>
        <v>15</v>
      </c>
      <c r="B269" s="157" t="s">
        <v>71</v>
      </c>
      <c r="C269" s="157" t="s">
        <v>537</v>
      </c>
      <c r="D269" s="158" t="s">
        <v>538</v>
      </c>
      <c r="E269" s="158" t="s">
        <v>843</v>
      </c>
      <c r="F269" s="158" t="s">
        <v>844</v>
      </c>
      <c r="G269" s="162" t="s">
        <v>504</v>
      </c>
      <c r="H269" s="162" t="s">
        <v>845</v>
      </c>
      <c r="I269" s="157" t="s">
        <v>846</v>
      </c>
      <c r="J269" s="160">
        <v>15000000</v>
      </c>
      <c r="K269" s="54" t="s">
        <v>197</v>
      </c>
      <c r="L269" s="157">
        <v>2942631</v>
      </c>
      <c r="M269" s="32" t="s">
        <v>97</v>
      </c>
      <c r="N269" s="157" t="s">
        <v>846</v>
      </c>
      <c r="O269" s="160">
        <v>20000000</v>
      </c>
      <c r="P269" s="170"/>
      <c r="Q269" t="s">
        <v>3561</v>
      </c>
    </row>
    <row r="270" spans="1:17" ht="46.5" hidden="1" x14ac:dyDescent="0.35">
      <c r="A270" s="157">
        <f t="shared" si="5"/>
        <v>16</v>
      </c>
      <c r="B270" s="157" t="s">
        <v>71</v>
      </c>
      <c r="C270" s="157" t="s">
        <v>537</v>
      </c>
      <c r="D270" s="161" t="s">
        <v>847</v>
      </c>
      <c r="E270" s="158" t="s">
        <v>848</v>
      </c>
      <c r="F270" s="158" t="s">
        <v>849</v>
      </c>
      <c r="G270" s="162" t="s">
        <v>504</v>
      </c>
      <c r="H270" s="162" t="s">
        <v>850</v>
      </c>
      <c r="I270" s="157" t="s">
        <v>336</v>
      </c>
      <c r="J270" s="160">
        <v>10000000</v>
      </c>
      <c r="K270" s="54" t="s">
        <v>197</v>
      </c>
      <c r="L270" s="157">
        <v>2821439</v>
      </c>
      <c r="M270" s="32" t="s">
        <v>97</v>
      </c>
      <c r="N270" s="157" t="s">
        <v>336</v>
      </c>
      <c r="O270" s="160">
        <v>10000000</v>
      </c>
      <c r="P270" s="171"/>
      <c r="Q270" t="s">
        <v>3561</v>
      </c>
    </row>
    <row r="271" spans="1:17" ht="31" hidden="1" x14ac:dyDescent="0.35">
      <c r="A271" s="157">
        <f t="shared" si="5"/>
        <v>17</v>
      </c>
      <c r="B271" s="157" t="s">
        <v>71</v>
      </c>
      <c r="C271" s="157" t="s">
        <v>537</v>
      </c>
      <c r="D271" s="158" t="s">
        <v>538</v>
      </c>
      <c r="E271" s="158" t="s">
        <v>851</v>
      </c>
      <c r="F271" s="158" t="s">
        <v>852</v>
      </c>
      <c r="G271" s="162" t="s">
        <v>504</v>
      </c>
      <c r="H271" s="162" t="s">
        <v>853</v>
      </c>
      <c r="I271" s="157" t="s">
        <v>854</v>
      </c>
      <c r="J271" s="160">
        <v>15000000</v>
      </c>
      <c r="K271" s="54" t="s">
        <v>197</v>
      </c>
      <c r="L271" s="157">
        <v>2942018</v>
      </c>
      <c r="M271" s="32" t="s">
        <v>97</v>
      </c>
      <c r="N271" s="157" t="s">
        <v>854</v>
      </c>
      <c r="O271" s="160">
        <v>15000000</v>
      </c>
      <c r="P271" s="171"/>
      <c r="Q271" t="s">
        <v>3561</v>
      </c>
    </row>
    <row r="272" spans="1:17" ht="31" hidden="1" x14ac:dyDescent="0.35">
      <c r="A272" s="172">
        <f t="shared" si="5"/>
        <v>18</v>
      </c>
      <c r="B272" s="172" t="s">
        <v>71</v>
      </c>
      <c r="C272" s="172" t="s">
        <v>537</v>
      </c>
      <c r="D272" s="167" t="s">
        <v>538</v>
      </c>
      <c r="E272" s="167" t="s">
        <v>855</v>
      </c>
      <c r="F272" s="167" t="s">
        <v>735</v>
      </c>
      <c r="G272" s="172" t="s">
        <v>298</v>
      </c>
      <c r="H272" s="172" t="s">
        <v>299</v>
      </c>
      <c r="I272" s="172" t="s">
        <v>35</v>
      </c>
      <c r="J272" s="173">
        <v>15000000</v>
      </c>
      <c r="K272" s="54" t="s">
        <v>197</v>
      </c>
      <c r="L272" s="172">
        <v>2941674</v>
      </c>
      <c r="M272" s="172" t="s">
        <v>109</v>
      </c>
      <c r="N272" s="169" t="s">
        <v>826</v>
      </c>
      <c r="O272" s="169">
        <v>36000000</v>
      </c>
      <c r="P272" s="174"/>
      <c r="Q272" t="s">
        <v>3561</v>
      </c>
    </row>
    <row r="273" spans="1:17" ht="31" hidden="1" x14ac:dyDescent="0.35">
      <c r="A273" s="82">
        <f t="shared" si="5"/>
        <v>19</v>
      </c>
      <c r="B273" s="82" t="s">
        <v>71</v>
      </c>
      <c r="C273" s="82" t="s">
        <v>537</v>
      </c>
      <c r="D273" s="164" t="s">
        <v>834</v>
      </c>
      <c r="E273" s="164" t="s">
        <v>196</v>
      </c>
      <c r="F273" s="164" t="s">
        <v>124</v>
      </c>
      <c r="G273" s="82" t="s">
        <v>23</v>
      </c>
      <c r="H273" s="82" t="s">
        <v>125</v>
      </c>
      <c r="I273" s="82" t="s">
        <v>151</v>
      </c>
      <c r="J273" s="165">
        <v>10000000</v>
      </c>
      <c r="K273" s="54" t="s">
        <v>197</v>
      </c>
      <c r="L273" s="82">
        <v>2798523</v>
      </c>
      <c r="M273" s="82" t="s">
        <v>27</v>
      </c>
      <c r="N273" s="82"/>
      <c r="O273" s="165">
        <v>100000000</v>
      </c>
      <c r="P273" s="82" t="s">
        <v>198</v>
      </c>
      <c r="Q273" t="s">
        <v>3561</v>
      </c>
    </row>
    <row r="274" spans="1:17" ht="46.5" hidden="1" x14ac:dyDescent="0.35">
      <c r="A274" s="157">
        <f t="shared" si="5"/>
        <v>20</v>
      </c>
      <c r="B274" s="157" t="s">
        <v>71</v>
      </c>
      <c r="C274" s="157" t="s">
        <v>537</v>
      </c>
      <c r="D274" s="158" t="s">
        <v>808</v>
      </c>
      <c r="E274" s="158" t="s">
        <v>858</v>
      </c>
      <c r="F274" s="158" t="s">
        <v>859</v>
      </c>
      <c r="G274" s="157" t="s">
        <v>345</v>
      </c>
      <c r="H274" s="157" t="s">
        <v>860</v>
      </c>
      <c r="I274" s="157" t="s">
        <v>861</v>
      </c>
      <c r="J274" s="160">
        <v>10500000</v>
      </c>
      <c r="K274" s="54" t="s">
        <v>197</v>
      </c>
      <c r="L274" s="157">
        <v>2962377</v>
      </c>
      <c r="M274" s="157" t="s">
        <v>27</v>
      </c>
      <c r="N274" s="157" t="s">
        <v>861</v>
      </c>
      <c r="O274" s="160">
        <v>10500000</v>
      </c>
      <c r="P274" s="157"/>
      <c r="Q274" t="s">
        <v>3561</v>
      </c>
    </row>
    <row r="275" spans="1:17" ht="46.5" hidden="1" x14ac:dyDescent="0.35">
      <c r="A275" s="157">
        <f t="shared" si="5"/>
        <v>21</v>
      </c>
      <c r="B275" s="157" t="s">
        <v>71</v>
      </c>
      <c r="C275" s="157" t="s">
        <v>537</v>
      </c>
      <c r="D275" s="161" t="s">
        <v>847</v>
      </c>
      <c r="E275" s="158" t="s">
        <v>862</v>
      </c>
      <c r="F275" s="158" t="s">
        <v>863</v>
      </c>
      <c r="G275" s="157" t="s">
        <v>345</v>
      </c>
      <c r="H275" s="157" t="s">
        <v>864</v>
      </c>
      <c r="I275" s="157" t="s">
        <v>95</v>
      </c>
      <c r="J275" s="160">
        <v>9000000</v>
      </c>
      <c r="K275" s="54" t="s">
        <v>197</v>
      </c>
      <c r="L275" s="157">
        <v>2934409</v>
      </c>
      <c r="M275" s="157" t="s">
        <v>27</v>
      </c>
      <c r="N275" s="157" t="s">
        <v>95</v>
      </c>
      <c r="O275" s="160">
        <v>13500000</v>
      </c>
      <c r="P275" s="157"/>
      <c r="Q275" t="s">
        <v>3561</v>
      </c>
    </row>
    <row r="276" spans="1:17" ht="46.5" hidden="1" x14ac:dyDescent="0.35">
      <c r="A276" s="157">
        <f t="shared" si="5"/>
        <v>22</v>
      </c>
      <c r="B276" s="157" t="s">
        <v>71</v>
      </c>
      <c r="C276" s="157" t="s">
        <v>537</v>
      </c>
      <c r="D276" s="161" t="s">
        <v>847</v>
      </c>
      <c r="E276" s="158" t="s">
        <v>862</v>
      </c>
      <c r="F276" s="158" t="s">
        <v>865</v>
      </c>
      <c r="G276" s="157" t="s">
        <v>345</v>
      </c>
      <c r="H276" s="157" t="s">
        <v>866</v>
      </c>
      <c r="I276" s="157" t="s">
        <v>725</v>
      </c>
      <c r="J276" s="160">
        <v>3000000</v>
      </c>
      <c r="K276" s="54" t="s">
        <v>197</v>
      </c>
      <c r="L276" s="157">
        <v>2934409</v>
      </c>
      <c r="M276" s="157" t="s">
        <v>27</v>
      </c>
      <c r="N276" s="175" t="s">
        <v>725</v>
      </c>
      <c r="O276" s="160">
        <v>4500000</v>
      </c>
      <c r="P276" s="157"/>
      <c r="Q276" t="s">
        <v>3561</v>
      </c>
    </row>
    <row r="277" spans="1:17" ht="46.5" hidden="1" x14ac:dyDescent="0.35">
      <c r="A277" s="157">
        <f t="shared" si="5"/>
        <v>23</v>
      </c>
      <c r="B277" s="157" t="s">
        <v>71</v>
      </c>
      <c r="C277" s="157" t="s">
        <v>537</v>
      </c>
      <c r="D277" s="158" t="s">
        <v>808</v>
      </c>
      <c r="E277" s="158" t="s">
        <v>867</v>
      </c>
      <c r="F277" s="158" t="s">
        <v>868</v>
      </c>
      <c r="G277" s="157" t="s">
        <v>345</v>
      </c>
      <c r="H277" s="157" t="s">
        <v>345</v>
      </c>
      <c r="I277" s="157">
        <v>2</v>
      </c>
      <c r="J277" s="160">
        <v>20000000</v>
      </c>
      <c r="K277" s="54" t="s">
        <v>197</v>
      </c>
      <c r="L277" s="157">
        <v>2959240</v>
      </c>
      <c r="M277" s="157" t="s">
        <v>27</v>
      </c>
      <c r="N277" s="175" t="s">
        <v>639</v>
      </c>
      <c r="O277" s="160">
        <v>26000000</v>
      </c>
      <c r="P277" s="157"/>
      <c r="Q277" t="s">
        <v>3561</v>
      </c>
    </row>
    <row r="278" spans="1:17" ht="62" hidden="1" x14ac:dyDescent="0.35">
      <c r="A278" s="157">
        <f t="shared" ref="A278:A332" si="6">A277+1</f>
        <v>24</v>
      </c>
      <c r="B278" s="157" t="s">
        <v>836</v>
      </c>
      <c r="C278" s="157" t="s">
        <v>577</v>
      </c>
      <c r="D278" s="161" t="s">
        <v>847</v>
      </c>
      <c r="E278" s="158" t="s">
        <v>869</v>
      </c>
      <c r="F278" s="158"/>
      <c r="G278" s="157" t="s">
        <v>870</v>
      </c>
      <c r="H278" s="157" t="s">
        <v>871</v>
      </c>
      <c r="I278" s="157" t="s">
        <v>872</v>
      </c>
      <c r="J278" s="176">
        <v>150000000</v>
      </c>
      <c r="K278" s="54" t="s">
        <v>197</v>
      </c>
      <c r="L278" s="157">
        <v>3308045</v>
      </c>
      <c r="M278" s="157" t="s">
        <v>27</v>
      </c>
      <c r="N278" s="157" t="s">
        <v>872</v>
      </c>
      <c r="O278" s="176">
        <v>150000000</v>
      </c>
      <c r="P278" s="157" t="s">
        <v>873</v>
      </c>
      <c r="Q278" t="s">
        <v>3561</v>
      </c>
    </row>
    <row r="279" spans="1:17" ht="62" hidden="1" x14ac:dyDescent="0.35">
      <c r="A279" s="166">
        <f t="shared" si="6"/>
        <v>25</v>
      </c>
      <c r="B279" s="166" t="s">
        <v>71</v>
      </c>
      <c r="C279" s="166" t="s">
        <v>537</v>
      </c>
      <c r="D279" s="158" t="s">
        <v>808</v>
      </c>
      <c r="E279" s="177" t="s">
        <v>874</v>
      </c>
      <c r="F279" s="177" t="s">
        <v>715</v>
      </c>
      <c r="G279" s="166" t="s">
        <v>141</v>
      </c>
      <c r="H279" s="166" t="s">
        <v>142</v>
      </c>
      <c r="I279" s="166" t="s">
        <v>25</v>
      </c>
      <c r="J279" s="169">
        <v>20000000</v>
      </c>
      <c r="K279" s="54" t="s">
        <v>197</v>
      </c>
      <c r="L279" s="166">
        <v>2809754</v>
      </c>
      <c r="M279" s="166" t="s">
        <v>144</v>
      </c>
      <c r="N279" s="166" t="s">
        <v>25</v>
      </c>
      <c r="O279" s="169">
        <v>40000000</v>
      </c>
      <c r="P279" s="166"/>
      <c r="Q279" t="s">
        <v>3561</v>
      </c>
    </row>
    <row r="280" spans="1:17" ht="46.5" hidden="1" x14ac:dyDescent="0.35">
      <c r="A280" s="166">
        <f t="shared" si="6"/>
        <v>26</v>
      </c>
      <c r="B280" s="166" t="s">
        <v>71</v>
      </c>
      <c r="C280" s="166" t="s">
        <v>537</v>
      </c>
      <c r="D280" s="158" t="s">
        <v>808</v>
      </c>
      <c r="E280" s="178" t="s">
        <v>876</v>
      </c>
      <c r="F280" s="178" t="s">
        <v>140</v>
      </c>
      <c r="G280" s="166" t="s">
        <v>149</v>
      </c>
      <c r="H280" s="166" t="s">
        <v>877</v>
      </c>
      <c r="I280" s="166" t="s">
        <v>878</v>
      </c>
      <c r="J280" s="169">
        <v>35000000</v>
      </c>
      <c r="K280" s="54" t="s">
        <v>197</v>
      </c>
      <c r="L280" s="166">
        <v>2952717</v>
      </c>
      <c r="M280" s="166" t="s">
        <v>144</v>
      </c>
      <c r="N280" s="179" t="s">
        <v>826</v>
      </c>
      <c r="O280" s="169">
        <v>30000000</v>
      </c>
      <c r="P280" s="166"/>
      <c r="Q280" t="s">
        <v>3561</v>
      </c>
    </row>
    <row r="281" spans="1:17" ht="62" hidden="1" x14ac:dyDescent="0.35">
      <c r="A281" s="157">
        <f t="shared" si="6"/>
        <v>27</v>
      </c>
      <c r="B281" s="157" t="s">
        <v>71</v>
      </c>
      <c r="C281" s="157" t="s">
        <v>537</v>
      </c>
      <c r="D281" s="158" t="s">
        <v>538</v>
      </c>
      <c r="E281" s="158" t="s">
        <v>880</v>
      </c>
      <c r="F281" s="158" t="s">
        <v>140</v>
      </c>
      <c r="G281" s="157" t="s">
        <v>154</v>
      </c>
      <c r="H281" s="157" t="s">
        <v>155</v>
      </c>
      <c r="I281" s="157">
        <v>40</v>
      </c>
      <c r="J281" s="160">
        <v>20000000</v>
      </c>
      <c r="K281" s="54" t="s">
        <v>197</v>
      </c>
      <c r="L281" s="157">
        <v>2959751</v>
      </c>
      <c r="M281" s="157" t="s">
        <v>144</v>
      </c>
      <c r="N281" s="157" t="s">
        <v>500</v>
      </c>
      <c r="O281" s="160">
        <v>20000000</v>
      </c>
      <c r="P281" s="157"/>
      <c r="Q281" t="s">
        <v>3561</v>
      </c>
    </row>
    <row r="282" spans="1:17" ht="46.5" hidden="1" x14ac:dyDescent="0.35">
      <c r="A282" s="157">
        <f t="shared" si="6"/>
        <v>28</v>
      </c>
      <c r="B282" s="157" t="s">
        <v>71</v>
      </c>
      <c r="C282" s="157" t="s">
        <v>537</v>
      </c>
      <c r="D282" s="158" t="s">
        <v>808</v>
      </c>
      <c r="E282" s="158" t="s">
        <v>881</v>
      </c>
      <c r="F282" s="158" t="s">
        <v>140</v>
      </c>
      <c r="G282" s="157" t="s">
        <v>154</v>
      </c>
      <c r="H282" s="157" t="s">
        <v>882</v>
      </c>
      <c r="I282" s="157" t="s">
        <v>883</v>
      </c>
      <c r="J282" s="160">
        <v>23926000</v>
      </c>
      <c r="K282" s="54" t="s">
        <v>197</v>
      </c>
      <c r="L282" s="157">
        <v>2975168</v>
      </c>
      <c r="M282" s="157" t="s">
        <v>144</v>
      </c>
      <c r="N282" s="175" t="s">
        <v>593</v>
      </c>
      <c r="O282" s="160">
        <v>45000000</v>
      </c>
      <c r="P282" s="157"/>
      <c r="Q282" t="s">
        <v>3561</v>
      </c>
    </row>
    <row r="283" spans="1:17" ht="46.5" hidden="1" x14ac:dyDescent="0.35">
      <c r="A283" s="157">
        <f t="shared" si="6"/>
        <v>29</v>
      </c>
      <c r="B283" s="157" t="s">
        <v>71</v>
      </c>
      <c r="C283" s="157" t="s">
        <v>537</v>
      </c>
      <c r="D283" s="158" t="s">
        <v>808</v>
      </c>
      <c r="E283" s="158" t="s">
        <v>884</v>
      </c>
      <c r="F283" s="158" t="s">
        <v>885</v>
      </c>
      <c r="G283" s="157" t="s">
        <v>374</v>
      </c>
      <c r="H283" s="157" t="s">
        <v>379</v>
      </c>
      <c r="I283" s="157" t="s">
        <v>35</v>
      </c>
      <c r="J283" s="159">
        <v>25000000</v>
      </c>
      <c r="K283" s="54" t="s">
        <v>197</v>
      </c>
      <c r="L283" s="157">
        <v>2911428</v>
      </c>
      <c r="M283" s="157" t="s">
        <v>46</v>
      </c>
      <c r="N283" s="160" t="s">
        <v>826</v>
      </c>
      <c r="O283" s="160">
        <v>25000000</v>
      </c>
      <c r="P283" s="157"/>
      <c r="Q283" t="s">
        <v>3561</v>
      </c>
    </row>
    <row r="284" spans="1:17" ht="108.5" hidden="1" x14ac:dyDescent="0.35">
      <c r="A284" s="157">
        <f t="shared" si="6"/>
        <v>30</v>
      </c>
      <c r="B284" s="157" t="s">
        <v>71</v>
      </c>
      <c r="C284" s="157" t="s">
        <v>537</v>
      </c>
      <c r="D284" s="161" t="s">
        <v>847</v>
      </c>
      <c r="E284" s="158" t="s">
        <v>887</v>
      </c>
      <c r="F284" s="158"/>
      <c r="G284" s="157" t="s">
        <v>44</v>
      </c>
      <c r="H284" s="157" t="s">
        <v>888</v>
      </c>
      <c r="I284" s="157" t="s">
        <v>614</v>
      </c>
      <c r="J284" s="159">
        <v>16000000</v>
      </c>
      <c r="K284" s="54" t="s">
        <v>197</v>
      </c>
      <c r="L284" s="157">
        <v>2933415</v>
      </c>
      <c r="M284" s="157" t="s">
        <v>46</v>
      </c>
      <c r="N284" s="160" t="s">
        <v>122</v>
      </c>
      <c r="O284" s="160">
        <v>16000000</v>
      </c>
      <c r="P284" s="157"/>
      <c r="Q284" t="s">
        <v>3561</v>
      </c>
    </row>
    <row r="285" spans="1:17" ht="108.5" hidden="1" x14ac:dyDescent="0.35">
      <c r="A285" s="157">
        <f t="shared" si="6"/>
        <v>31</v>
      </c>
      <c r="B285" s="157" t="s">
        <v>71</v>
      </c>
      <c r="C285" s="157" t="s">
        <v>537</v>
      </c>
      <c r="D285" s="161" t="s">
        <v>847</v>
      </c>
      <c r="E285" s="158" t="s">
        <v>887</v>
      </c>
      <c r="F285" s="158"/>
      <c r="G285" s="157" t="s">
        <v>44</v>
      </c>
      <c r="H285" s="157" t="s">
        <v>890</v>
      </c>
      <c r="I285" s="157" t="s">
        <v>201</v>
      </c>
      <c r="J285" s="159">
        <v>23000000</v>
      </c>
      <c r="K285" s="54" t="s">
        <v>197</v>
      </c>
      <c r="L285" s="157">
        <v>2933359</v>
      </c>
      <c r="M285" s="157" t="s">
        <v>46</v>
      </c>
      <c r="N285" s="160" t="s">
        <v>274</v>
      </c>
      <c r="O285" s="160">
        <v>23000000</v>
      </c>
      <c r="P285" s="157"/>
      <c r="Q285" t="s">
        <v>3561</v>
      </c>
    </row>
    <row r="286" spans="1:17" ht="46.5" hidden="1" x14ac:dyDescent="0.35">
      <c r="A286" s="157">
        <f t="shared" si="6"/>
        <v>32</v>
      </c>
      <c r="B286" s="157" t="s">
        <v>71</v>
      </c>
      <c r="C286" s="157" t="s">
        <v>537</v>
      </c>
      <c r="D286" s="158" t="s">
        <v>808</v>
      </c>
      <c r="E286" s="158" t="s">
        <v>891</v>
      </c>
      <c r="F286" s="158"/>
      <c r="G286" s="157" t="s">
        <v>44</v>
      </c>
      <c r="H286" s="157" t="s">
        <v>385</v>
      </c>
      <c r="I286" s="157" t="s">
        <v>28</v>
      </c>
      <c r="J286" s="159">
        <v>5000000</v>
      </c>
      <c r="K286" s="54" t="s">
        <v>197</v>
      </c>
      <c r="L286" s="157">
        <v>2932683</v>
      </c>
      <c r="M286" s="157" t="s">
        <v>46</v>
      </c>
      <c r="N286" s="160" t="s">
        <v>826</v>
      </c>
      <c r="O286" s="160">
        <v>5000000</v>
      </c>
      <c r="P286" s="157"/>
      <c r="Q286" t="s">
        <v>3561</v>
      </c>
    </row>
    <row r="287" spans="1:17" ht="93" hidden="1" x14ac:dyDescent="0.35">
      <c r="A287" s="157">
        <f t="shared" si="6"/>
        <v>33</v>
      </c>
      <c r="B287" s="157" t="s">
        <v>71</v>
      </c>
      <c r="C287" s="157" t="s">
        <v>537</v>
      </c>
      <c r="D287" s="161" t="s">
        <v>847</v>
      </c>
      <c r="E287" s="158" t="s">
        <v>893</v>
      </c>
      <c r="F287" s="158"/>
      <c r="G287" s="157" t="s">
        <v>600</v>
      </c>
      <c r="H287" s="157" t="s">
        <v>894</v>
      </c>
      <c r="I287" s="157" t="s">
        <v>895</v>
      </c>
      <c r="J287" s="159">
        <v>75000000</v>
      </c>
      <c r="K287" s="54" t="s">
        <v>197</v>
      </c>
      <c r="L287" s="157">
        <v>2913723</v>
      </c>
      <c r="M287" s="157" t="s">
        <v>46</v>
      </c>
      <c r="N287" s="160" t="s">
        <v>895</v>
      </c>
      <c r="O287" s="160">
        <v>75000000</v>
      </c>
      <c r="P287" s="157"/>
      <c r="Q287" t="s">
        <v>3561</v>
      </c>
    </row>
    <row r="288" spans="1:17" ht="46.5" hidden="1" x14ac:dyDescent="0.35">
      <c r="A288" s="82">
        <f t="shared" si="6"/>
        <v>34</v>
      </c>
      <c r="B288" s="82" t="s">
        <v>71</v>
      </c>
      <c r="C288" s="82" t="s">
        <v>72</v>
      </c>
      <c r="D288" s="164" t="s">
        <v>834</v>
      </c>
      <c r="E288" s="164" t="s">
        <v>199</v>
      </c>
      <c r="F288" s="164"/>
      <c r="G288" s="82" t="s">
        <v>49</v>
      </c>
      <c r="H288" s="82" t="s">
        <v>200</v>
      </c>
      <c r="I288" s="82" t="s">
        <v>201</v>
      </c>
      <c r="J288" s="165">
        <v>30000000</v>
      </c>
      <c r="K288" s="54" t="s">
        <v>197</v>
      </c>
      <c r="L288" s="82">
        <v>2818868</v>
      </c>
      <c r="M288" s="82" t="s">
        <v>46</v>
      </c>
      <c r="N288" s="165">
        <v>5</v>
      </c>
      <c r="O288" s="165">
        <v>31725000</v>
      </c>
      <c r="P288" s="82"/>
      <c r="Q288" t="s">
        <v>3561</v>
      </c>
    </row>
    <row r="289" spans="1:17" ht="31" hidden="1" x14ac:dyDescent="0.35">
      <c r="A289" s="157">
        <f t="shared" si="6"/>
        <v>35</v>
      </c>
      <c r="B289" s="157" t="s">
        <v>71</v>
      </c>
      <c r="C289" s="157" t="s">
        <v>537</v>
      </c>
      <c r="D289" s="158" t="s">
        <v>538</v>
      </c>
      <c r="E289" s="158" t="s">
        <v>855</v>
      </c>
      <c r="F289" s="158" t="s">
        <v>48</v>
      </c>
      <c r="G289" s="157" t="s">
        <v>405</v>
      </c>
      <c r="H289" s="157" t="s">
        <v>620</v>
      </c>
      <c r="I289" s="157" t="s">
        <v>832</v>
      </c>
      <c r="J289" s="159">
        <v>50000000</v>
      </c>
      <c r="K289" s="54" t="s">
        <v>197</v>
      </c>
      <c r="L289" s="157">
        <v>2933939</v>
      </c>
      <c r="M289" s="157" t="s">
        <v>46</v>
      </c>
      <c r="N289" s="160" t="s">
        <v>832</v>
      </c>
      <c r="O289" s="160">
        <v>50000000</v>
      </c>
      <c r="P289" s="157"/>
      <c r="Q289" t="s">
        <v>3561</v>
      </c>
    </row>
    <row r="290" spans="1:17" ht="31" hidden="1" x14ac:dyDescent="0.35">
      <c r="A290" s="157">
        <f t="shared" si="6"/>
        <v>36</v>
      </c>
      <c r="B290" s="157" t="s">
        <v>71</v>
      </c>
      <c r="C290" s="157" t="s">
        <v>537</v>
      </c>
      <c r="D290" s="158" t="s">
        <v>538</v>
      </c>
      <c r="E290" s="158" t="s">
        <v>855</v>
      </c>
      <c r="F290" s="158" t="s">
        <v>48</v>
      </c>
      <c r="G290" s="157" t="s">
        <v>405</v>
      </c>
      <c r="H290" s="157" t="s">
        <v>897</v>
      </c>
      <c r="I290" s="157" t="s">
        <v>826</v>
      </c>
      <c r="J290" s="159">
        <v>25000000</v>
      </c>
      <c r="K290" s="54" t="s">
        <v>197</v>
      </c>
      <c r="L290" s="157">
        <v>2798018</v>
      </c>
      <c r="M290" s="157" t="s">
        <v>46</v>
      </c>
      <c r="N290" s="160" t="s">
        <v>826</v>
      </c>
      <c r="O290" s="160">
        <v>25000000</v>
      </c>
      <c r="P290" s="157"/>
      <c r="Q290" t="s">
        <v>3561</v>
      </c>
    </row>
    <row r="291" spans="1:17" ht="62" hidden="1" x14ac:dyDescent="0.35">
      <c r="A291" s="166">
        <f t="shared" si="6"/>
        <v>37</v>
      </c>
      <c r="B291" s="166" t="s">
        <v>71</v>
      </c>
      <c r="C291" s="166" t="s">
        <v>537</v>
      </c>
      <c r="D291" s="167" t="s">
        <v>847</v>
      </c>
      <c r="E291" s="178" t="s">
        <v>898</v>
      </c>
      <c r="F291" s="178"/>
      <c r="G291" s="166" t="s">
        <v>410</v>
      </c>
      <c r="H291" s="166" t="s">
        <v>899</v>
      </c>
      <c r="I291" s="166" t="s">
        <v>35</v>
      </c>
      <c r="J291" s="169">
        <v>25000000</v>
      </c>
      <c r="K291" s="54" t="s">
        <v>197</v>
      </c>
      <c r="L291" s="166">
        <v>2799451</v>
      </c>
      <c r="M291" s="166" t="s">
        <v>46</v>
      </c>
      <c r="N291" s="169" t="s">
        <v>28</v>
      </c>
      <c r="O291" s="169">
        <v>50000000</v>
      </c>
      <c r="P291" s="166"/>
      <c r="Q291" t="s">
        <v>3561</v>
      </c>
    </row>
    <row r="292" spans="1:17" ht="46.5" hidden="1" x14ac:dyDescent="0.35">
      <c r="A292" s="157">
        <f t="shared" si="6"/>
        <v>38</v>
      </c>
      <c r="B292" s="157" t="s">
        <v>71</v>
      </c>
      <c r="C292" s="157" t="s">
        <v>537</v>
      </c>
      <c r="D292" s="158" t="s">
        <v>808</v>
      </c>
      <c r="E292" s="158" t="s">
        <v>199</v>
      </c>
      <c r="F292" s="158"/>
      <c r="G292" s="157" t="s">
        <v>410</v>
      </c>
      <c r="H292" s="157" t="s">
        <v>899</v>
      </c>
      <c r="I292" s="157" t="s">
        <v>826</v>
      </c>
      <c r="J292" s="159">
        <v>25000000</v>
      </c>
      <c r="K292" s="54" t="s">
        <v>197</v>
      </c>
      <c r="L292" s="157">
        <v>2800503</v>
      </c>
      <c r="M292" s="157" t="s">
        <v>46</v>
      </c>
      <c r="N292" s="160" t="s">
        <v>826</v>
      </c>
      <c r="O292" s="160">
        <v>50000000</v>
      </c>
      <c r="P292" s="157"/>
      <c r="Q292" t="s">
        <v>3561</v>
      </c>
    </row>
    <row r="293" spans="1:17" ht="31" hidden="1" x14ac:dyDescent="0.35">
      <c r="A293" s="157">
        <f t="shared" si="6"/>
        <v>39</v>
      </c>
      <c r="B293" s="157" t="s">
        <v>71</v>
      </c>
      <c r="C293" s="157" t="s">
        <v>537</v>
      </c>
      <c r="D293" s="161" t="s">
        <v>538</v>
      </c>
      <c r="E293" s="158" t="s">
        <v>902</v>
      </c>
      <c r="F293" s="158" t="s">
        <v>903</v>
      </c>
      <c r="G293" s="157" t="s">
        <v>171</v>
      </c>
      <c r="H293" s="157" t="s">
        <v>172</v>
      </c>
      <c r="I293" s="157" t="s">
        <v>35</v>
      </c>
      <c r="J293" s="159">
        <v>50000000</v>
      </c>
      <c r="K293" s="54" t="s">
        <v>197</v>
      </c>
      <c r="L293" s="157">
        <v>2901806</v>
      </c>
      <c r="M293" s="157" t="s">
        <v>173</v>
      </c>
      <c r="N293" s="160" t="s">
        <v>35</v>
      </c>
      <c r="O293" s="160">
        <v>40000000</v>
      </c>
      <c r="P293" s="157"/>
      <c r="Q293" t="s">
        <v>3561</v>
      </c>
    </row>
    <row r="294" spans="1:17" ht="46.5" hidden="1" x14ac:dyDescent="0.35">
      <c r="A294" s="157">
        <f t="shared" si="6"/>
        <v>40</v>
      </c>
      <c r="B294" s="157" t="s">
        <v>71</v>
      </c>
      <c r="C294" s="157" t="s">
        <v>537</v>
      </c>
      <c r="D294" s="158" t="s">
        <v>808</v>
      </c>
      <c r="E294" s="158" t="s">
        <v>904</v>
      </c>
      <c r="F294" s="158" t="s">
        <v>905</v>
      </c>
      <c r="G294" s="157" t="s">
        <v>906</v>
      </c>
      <c r="H294" s="157" t="s">
        <v>907</v>
      </c>
      <c r="I294" s="157" t="s">
        <v>908</v>
      </c>
      <c r="J294" s="159">
        <v>81000000</v>
      </c>
      <c r="K294" s="54" t="s">
        <v>197</v>
      </c>
      <c r="L294" s="157">
        <v>2870743</v>
      </c>
      <c r="M294" s="157" t="s">
        <v>173</v>
      </c>
      <c r="N294" s="169" t="s">
        <v>826</v>
      </c>
      <c r="O294" s="169">
        <v>30000000</v>
      </c>
      <c r="P294" s="157"/>
      <c r="Q294" t="s">
        <v>3561</v>
      </c>
    </row>
    <row r="295" spans="1:17" ht="31" hidden="1" x14ac:dyDescent="0.35">
      <c r="A295" s="157">
        <f t="shared" si="6"/>
        <v>41</v>
      </c>
      <c r="B295" s="157" t="s">
        <v>71</v>
      </c>
      <c r="C295" s="157" t="s">
        <v>537</v>
      </c>
      <c r="D295" s="161" t="s">
        <v>847</v>
      </c>
      <c r="E295" s="158" t="s">
        <v>910</v>
      </c>
      <c r="F295" s="158" t="s">
        <v>911</v>
      </c>
      <c r="G295" s="157" t="s">
        <v>912</v>
      </c>
      <c r="H295" s="157" t="s">
        <v>913</v>
      </c>
      <c r="I295" s="157" t="s">
        <v>914</v>
      </c>
      <c r="J295" s="159">
        <v>50000000</v>
      </c>
      <c r="K295" s="54" t="s">
        <v>197</v>
      </c>
      <c r="L295" s="157">
        <v>2790822</v>
      </c>
      <c r="M295" s="157" t="s">
        <v>173</v>
      </c>
      <c r="N295" s="160" t="s">
        <v>915</v>
      </c>
      <c r="O295" s="160">
        <v>50000000</v>
      </c>
      <c r="P295" s="157"/>
      <c r="Q295" t="s">
        <v>3561</v>
      </c>
    </row>
    <row r="296" spans="1:17" ht="62" hidden="1" x14ac:dyDescent="0.35">
      <c r="A296" s="157">
        <f t="shared" si="6"/>
        <v>42</v>
      </c>
      <c r="B296" s="157" t="s">
        <v>71</v>
      </c>
      <c r="C296" s="157" t="s">
        <v>537</v>
      </c>
      <c r="D296" s="158" t="s">
        <v>808</v>
      </c>
      <c r="E296" s="158" t="s">
        <v>809</v>
      </c>
      <c r="F296" s="158" t="s">
        <v>917</v>
      </c>
      <c r="G296" s="157" t="s">
        <v>912</v>
      </c>
      <c r="H296" s="157" t="s">
        <v>918</v>
      </c>
      <c r="I296" s="157" t="s">
        <v>919</v>
      </c>
      <c r="J296" s="159">
        <v>15000000</v>
      </c>
      <c r="K296" s="54" t="s">
        <v>197</v>
      </c>
      <c r="L296" s="157">
        <v>2791786</v>
      </c>
      <c r="M296" s="157" t="s">
        <v>173</v>
      </c>
      <c r="N296" s="160" t="s">
        <v>736</v>
      </c>
      <c r="O296" s="160">
        <v>45000000</v>
      </c>
      <c r="P296" s="157"/>
      <c r="Q296" t="s">
        <v>3561</v>
      </c>
    </row>
    <row r="297" spans="1:17" ht="46.5" hidden="1" x14ac:dyDescent="0.35">
      <c r="A297" s="166">
        <f t="shared" si="6"/>
        <v>43</v>
      </c>
      <c r="B297" s="166" t="s">
        <v>71</v>
      </c>
      <c r="C297" s="166" t="s">
        <v>537</v>
      </c>
      <c r="D297" s="158" t="s">
        <v>808</v>
      </c>
      <c r="E297" s="178" t="s">
        <v>921</v>
      </c>
      <c r="F297" s="178" t="s">
        <v>922</v>
      </c>
      <c r="G297" s="166" t="s">
        <v>749</v>
      </c>
      <c r="H297" s="166" t="s">
        <v>750</v>
      </c>
      <c r="I297" s="166" t="s">
        <v>923</v>
      </c>
      <c r="J297" s="169">
        <v>20000000</v>
      </c>
      <c r="K297" s="54" t="s">
        <v>197</v>
      </c>
      <c r="L297" s="166" t="s">
        <v>48</v>
      </c>
      <c r="M297" s="166" t="s">
        <v>173</v>
      </c>
      <c r="N297" s="169" t="s">
        <v>923</v>
      </c>
      <c r="O297" s="169">
        <v>20000000</v>
      </c>
      <c r="P297" s="166"/>
      <c r="Q297" t="s">
        <v>3561</v>
      </c>
    </row>
    <row r="298" spans="1:17" ht="46.5" hidden="1" x14ac:dyDescent="0.35">
      <c r="A298" s="157">
        <f t="shared" si="6"/>
        <v>44</v>
      </c>
      <c r="B298" s="157" t="s">
        <v>71</v>
      </c>
      <c r="C298" s="157" t="s">
        <v>537</v>
      </c>
      <c r="D298" s="158" t="s">
        <v>808</v>
      </c>
      <c r="E298" s="158" t="s">
        <v>925</v>
      </c>
      <c r="F298" s="158" t="s">
        <v>926</v>
      </c>
      <c r="G298" s="157" t="s">
        <v>749</v>
      </c>
      <c r="H298" s="157" t="s">
        <v>927</v>
      </c>
      <c r="I298" s="157" t="s">
        <v>928</v>
      </c>
      <c r="J298" s="159">
        <v>25000000</v>
      </c>
      <c r="K298" s="54" t="s">
        <v>197</v>
      </c>
      <c r="L298" s="157" t="s">
        <v>48</v>
      </c>
      <c r="M298" s="157" t="s">
        <v>173</v>
      </c>
      <c r="N298" s="160" t="s">
        <v>498</v>
      </c>
      <c r="O298" s="160">
        <v>55000000</v>
      </c>
      <c r="P298" s="157" t="s">
        <v>929</v>
      </c>
      <c r="Q298" t="s">
        <v>3561</v>
      </c>
    </row>
    <row r="299" spans="1:17" ht="62" hidden="1" x14ac:dyDescent="0.35">
      <c r="A299" s="157">
        <f t="shared" si="6"/>
        <v>45</v>
      </c>
      <c r="B299" s="157" t="s">
        <v>71</v>
      </c>
      <c r="C299" s="157" t="s">
        <v>537</v>
      </c>
      <c r="D299" s="158" t="s">
        <v>808</v>
      </c>
      <c r="E299" s="158" t="s">
        <v>931</v>
      </c>
      <c r="F299" s="158" t="s">
        <v>932</v>
      </c>
      <c r="G299" s="157" t="s">
        <v>749</v>
      </c>
      <c r="H299" s="157" t="s">
        <v>933</v>
      </c>
      <c r="I299" s="157" t="s">
        <v>498</v>
      </c>
      <c r="J299" s="159">
        <v>100000000</v>
      </c>
      <c r="K299" s="54" t="s">
        <v>197</v>
      </c>
      <c r="L299" s="157" t="s">
        <v>48</v>
      </c>
      <c r="M299" s="157" t="s">
        <v>173</v>
      </c>
      <c r="N299" s="160" t="s">
        <v>262</v>
      </c>
      <c r="O299" s="160">
        <v>100000000</v>
      </c>
      <c r="P299" s="157"/>
      <c r="Q299" t="s">
        <v>3561</v>
      </c>
    </row>
    <row r="300" spans="1:17" ht="62" hidden="1" x14ac:dyDescent="0.35">
      <c r="A300" s="157">
        <f t="shared" si="6"/>
        <v>46</v>
      </c>
      <c r="B300" s="157" t="s">
        <v>71</v>
      </c>
      <c r="C300" s="157" t="s">
        <v>537</v>
      </c>
      <c r="D300" s="161" t="s">
        <v>538</v>
      </c>
      <c r="E300" s="158" t="s">
        <v>935</v>
      </c>
      <c r="F300" s="158" t="s">
        <v>936</v>
      </c>
      <c r="G300" s="157" t="s">
        <v>749</v>
      </c>
      <c r="H300" s="157" t="s">
        <v>937</v>
      </c>
      <c r="I300" s="157" t="s">
        <v>938</v>
      </c>
      <c r="J300" s="159">
        <v>20100000</v>
      </c>
      <c r="K300" s="54" t="s">
        <v>197</v>
      </c>
      <c r="L300" s="157">
        <v>3010483</v>
      </c>
      <c r="M300" s="157" t="s">
        <v>173</v>
      </c>
      <c r="N300" s="160" t="s">
        <v>939</v>
      </c>
      <c r="O300" s="160">
        <v>20100000</v>
      </c>
      <c r="P300" s="157"/>
      <c r="Q300" t="s">
        <v>3561</v>
      </c>
    </row>
    <row r="301" spans="1:17" ht="46.5" hidden="1" x14ac:dyDescent="0.35">
      <c r="A301" s="157">
        <f t="shared" si="6"/>
        <v>47</v>
      </c>
      <c r="B301" s="157" t="s">
        <v>71</v>
      </c>
      <c r="C301" s="157" t="s">
        <v>537</v>
      </c>
      <c r="D301" s="161" t="s">
        <v>538</v>
      </c>
      <c r="E301" s="158" t="s">
        <v>941</v>
      </c>
      <c r="F301" s="158" t="s">
        <v>942</v>
      </c>
      <c r="G301" s="157" t="s">
        <v>749</v>
      </c>
      <c r="H301" s="157" t="s">
        <v>937</v>
      </c>
      <c r="I301" s="157" t="s">
        <v>943</v>
      </c>
      <c r="J301" s="159">
        <v>19700000</v>
      </c>
      <c r="K301" s="54" t="s">
        <v>197</v>
      </c>
      <c r="L301" s="157">
        <v>3010539</v>
      </c>
      <c r="M301" s="157" t="s">
        <v>173</v>
      </c>
      <c r="N301" s="160" t="s">
        <v>939</v>
      </c>
      <c r="O301" s="160">
        <v>19700000</v>
      </c>
      <c r="P301" s="157"/>
      <c r="Q301" t="s">
        <v>3561</v>
      </c>
    </row>
    <row r="302" spans="1:17" ht="46.5" hidden="1" x14ac:dyDescent="0.35">
      <c r="A302" s="157">
        <f t="shared" si="6"/>
        <v>48</v>
      </c>
      <c r="B302" s="157" t="s">
        <v>71</v>
      </c>
      <c r="C302" s="157" t="s">
        <v>537</v>
      </c>
      <c r="D302" s="161" t="s">
        <v>538</v>
      </c>
      <c r="E302" s="158" t="s">
        <v>944</v>
      </c>
      <c r="F302" s="158" t="s">
        <v>945</v>
      </c>
      <c r="G302" s="157" t="s">
        <v>749</v>
      </c>
      <c r="H302" s="157" t="s">
        <v>937</v>
      </c>
      <c r="I302" s="157" t="s">
        <v>938</v>
      </c>
      <c r="J302" s="159">
        <v>20000000</v>
      </c>
      <c r="K302" s="54" t="s">
        <v>197</v>
      </c>
      <c r="L302" s="157">
        <v>3010238</v>
      </c>
      <c r="M302" s="157" t="s">
        <v>173</v>
      </c>
      <c r="N302" s="160" t="s">
        <v>939</v>
      </c>
      <c r="O302" s="160">
        <v>20000000</v>
      </c>
      <c r="P302" s="157"/>
      <c r="Q302" t="s">
        <v>3561</v>
      </c>
    </row>
    <row r="303" spans="1:17" ht="46.5" hidden="1" x14ac:dyDescent="0.35">
      <c r="A303" s="157">
        <f t="shared" si="6"/>
        <v>49</v>
      </c>
      <c r="B303" s="157" t="s">
        <v>71</v>
      </c>
      <c r="C303" s="157" t="s">
        <v>537</v>
      </c>
      <c r="D303" s="161" t="s">
        <v>538</v>
      </c>
      <c r="E303" s="158" t="s">
        <v>946</v>
      </c>
      <c r="F303" s="158" t="s">
        <v>947</v>
      </c>
      <c r="G303" s="157" t="s">
        <v>749</v>
      </c>
      <c r="H303" s="157" t="s">
        <v>937</v>
      </c>
      <c r="I303" s="157" t="s">
        <v>938</v>
      </c>
      <c r="J303" s="159">
        <v>20100000</v>
      </c>
      <c r="K303" s="54" t="s">
        <v>197</v>
      </c>
      <c r="L303" s="157">
        <v>3011235</v>
      </c>
      <c r="M303" s="157" t="s">
        <v>173</v>
      </c>
      <c r="N303" s="160" t="s">
        <v>939</v>
      </c>
      <c r="O303" s="160">
        <v>20100000</v>
      </c>
      <c r="P303" s="157"/>
      <c r="Q303" t="s">
        <v>3561</v>
      </c>
    </row>
    <row r="304" spans="1:17" ht="46.5" hidden="1" x14ac:dyDescent="0.35">
      <c r="A304" s="157">
        <f t="shared" si="6"/>
        <v>50</v>
      </c>
      <c r="B304" s="157" t="s">
        <v>71</v>
      </c>
      <c r="C304" s="157" t="s">
        <v>537</v>
      </c>
      <c r="D304" s="161" t="s">
        <v>538</v>
      </c>
      <c r="E304" s="158" t="s">
        <v>948</v>
      </c>
      <c r="F304" s="158" t="s">
        <v>949</v>
      </c>
      <c r="G304" s="157" t="s">
        <v>749</v>
      </c>
      <c r="H304" s="157" t="s">
        <v>937</v>
      </c>
      <c r="I304" s="157" t="s">
        <v>938</v>
      </c>
      <c r="J304" s="159">
        <v>20100000</v>
      </c>
      <c r="K304" s="54" t="s">
        <v>197</v>
      </c>
      <c r="L304" s="157">
        <v>3011220</v>
      </c>
      <c r="M304" s="157" t="s">
        <v>173</v>
      </c>
      <c r="N304" s="160" t="s">
        <v>939</v>
      </c>
      <c r="O304" s="160">
        <v>20100000</v>
      </c>
      <c r="P304" s="157"/>
      <c r="Q304" t="s">
        <v>3561</v>
      </c>
    </row>
    <row r="305" spans="1:17" ht="62" hidden="1" x14ac:dyDescent="0.35">
      <c r="A305" s="157">
        <f t="shared" si="6"/>
        <v>51</v>
      </c>
      <c r="B305" s="157" t="s">
        <v>71</v>
      </c>
      <c r="C305" s="157" t="s">
        <v>537</v>
      </c>
      <c r="D305" s="161" t="s">
        <v>538</v>
      </c>
      <c r="E305" s="158" t="s">
        <v>950</v>
      </c>
      <c r="F305" s="158" t="s">
        <v>951</v>
      </c>
      <c r="G305" s="157" t="s">
        <v>749</v>
      </c>
      <c r="H305" s="157" t="s">
        <v>952</v>
      </c>
      <c r="I305" s="157" t="s">
        <v>953</v>
      </c>
      <c r="J305" s="159">
        <v>23500000</v>
      </c>
      <c r="K305" s="54" t="s">
        <v>197</v>
      </c>
      <c r="L305" s="157">
        <v>2936383</v>
      </c>
      <c r="M305" s="157" t="s">
        <v>173</v>
      </c>
      <c r="N305" s="160" t="s">
        <v>488</v>
      </c>
      <c r="O305" s="160">
        <v>21511000</v>
      </c>
      <c r="P305" s="157"/>
      <c r="Q305" t="s">
        <v>3561</v>
      </c>
    </row>
    <row r="306" spans="1:17" ht="62" hidden="1" x14ac:dyDescent="0.35">
      <c r="A306" s="166">
        <f t="shared" si="6"/>
        <v>52</v>
      </c>
      <c r="B306" s="166" t="s">
        <v>71</v>
      </c>
      <c r="C306" s="166" t="s">
        <v>537</v>
      </c>
      <c r="D306" s="158" t="s">
        <v>808</v>
      </c>
      <c r="E306" s="178" t="s">
        <v>954</v>
      </c>
      <c r="F306" s="178" t="s">
        <v>955</v>
      </c>
      <c r="G306" s="166" t="s">
        <v>749</v>
      </c>
      <c r="H306" s="166" t="s">
        <v>952</v>
      </c>
      <c r="I306" s="166" t="s">
        <v>280</v>
      </c>
      <c r="J306" s="169">
        <v>76500000</v>
      </c>
      <c r="K306" s="54" t="s">
        <v>197</v>
      </c>
      <c r="L306" s="166">
        <v>2941135</v>
      </c>
      <c r="M306" s="166" t="s">
        <v>173</v>
      </c>
      <c r="N306" s="169" t="s">
        <v>500</v>
      </c>
      <c r="O306" s="169">
        <v>60000000</v>
      </c>
      <c r="P306" s="166"/>
      <c r="Q306" t="s">
        <v>3561</v>
      </c>
    </row>
    <row r="307" spans="1:17" ht="62" hidden="1" x14ac:dyDescent="0.35">
      <c r="A307" s="157">
        <f t="shared" si="6"/>
        <v>53</v>
      </c>
      <c r="B307" s="157" t="s">
        <v>71</v>
      </c>
      <c r="C307" s="157" t="s">
        <v>537</v>
      </c>
      <c r="D307" s="161" t="s">
        <v>847</v>
      </c>
      <c r="E307" s="158" t="s">
        <v>957</v>
      </c>
      <c r="F307" s="158" t="s">
        <v>958</v>
      </c>
      <c r="G307" s="157" t="s">
        <v>749</v>
      </c>
      <c r="H307" s="157" t="s">
        <v>959</v>
      </c>
      <c r="I307" s="157" t="s">
        <v>960</v>
      </c>
      <c r="J307" s="159">
        <v>27800000</v>
      </c>
      <c r="K307" s="54" t="s">
        <v>197</v>
      </c>
      <c r="L307" s="157">
        <v>2938074</v>
      </c>
      <c r="M307" s="157" t="s">
        <v>173</v>
      </c>
      <c r="N307" s="160" t="s">
        <v>960</v>
      </c>
      <c r="O307" s="160">
        <v>27800000</v>
      </c>
      <c r="P307" s="157"/>
      <c r="Q307" t="s">
        <v>3561</v>
      </c>
    </row>
    <row r="308" spans="1:17" ht="46.5" hidden="1" x14ac:dyDescent="0.35">
      <c r="A308" s="157">
        <f t="shared" si="6"/>
        <v>54</v>
      </c>
      <c r="B308" s="157" t="s">
        <v>71</v>
      </c>
      <c r="C308" s="157" t="s">
        <v>537</v>
      </c>
      <c r="D308" s="158" t="s">
        <v>538</v>
      </c>
      <c r="E308" s="158" t="s">
        <v>961</v>
      </c>
      <c r="F308" s="158" t="s">
        <v>962</v>
      </c>
      <c r="G308" s="157" t="s">
        <v>749</v>
      </c>
      <c r="H308" s="157" t="s">
        <v>959</v>
      </c>
      <c r="I308" s="157" t="s">
        <v>35</v>
      </c>
      <c r="J308" s="159">
        <v>10000000</v>
      </c>
      <c r="K308" s="54" t="s">
        <v>197</v>
      </c>
      <c r="L308" s="157">
        <v>2940910</v>
      </c>
      <c r="M308" s="157" t="s">
        <v>173</v>
      </c>
      <c r="N308" s="160" t="s">
        <v>500</v>
      </c>
      <c r="O308" s="160">
        <v>10000000</v>
      </c>
      <c r="P308" s="157"/>
      <c r="Q308" t="s">
        <v>3561</v>
      </c>
    </row>
    <row r="309" spans="1:17" ht="46.5" hidden="1" x14ac:dyDescent="0.35">
      <c r="A309" s="157">
        <f t="shared" si="6"/>
        <v>55</v>
      </c>
      <c r="B309" s="157" t="s">
        <v>71</v>
      </c>
      <c r="C309" s="157" t="s">
        <v>537</v>
      </c>
      <c r="D309" s="158" t="s">
        <v>538</v>
      </c>
      <c r="E309" s="158" t="s">
        <v>963</v>
      </c>
      <c r="F309" s="158" t="s">
        <v>964</v>
      </c>
      <c r="G309" s="157" t="s">
        <v>749</v>
      </c>
      <c r="H309" s="157" t="s">
        <v>959</v>
      </c>
      <c r="I309" s="157" t="s">
        <v>965</v>
      </c>
      <c r="J309" s="159">
        <v>37200000</v>
      </c>
      <c r="K309" s="54" t="s">
        <v>197</v>
      </c>
      <c r="L309" s="157">
        <v>3010317</v>
      </c>
      <c r="M309" s="157" t="s">
        <v>173</v>
      </c>
      <c r="N309" s="160" t="s">
        <v>965</v>
      </c>
      <c r="O309" s="160">
        <v>37200000</v>
      </c>
      <c r="P309" s="157"/>
      <c r="Q309" t="s">
        <v>3561</v>
      </c>
    </row>
    <row r="310" spans="1:17" ht="46.5" hidden="1" x14ac:dyDescent="0.35">
      <c r="A310" s="157">
        <f t="shared" si="6"/>
        <v>56</v>
      </c>
      <c r="B310" s="157" t="s">
        <v>71</v>
      </c>
      <c r="C310" s="157" t="s">
        <v>537</v>
      </c>
      <c r="D310" s="158" t="s">
        <v>538</v>
      </c>
      <c r="E310" s="158" t="s">
        <v>966</v>
      </c>
      <c r="F310" s="158" t="s">
        <v>967</v>
      </c>
      <c r="G310" s="157" t="s">
        <v>749</v>
      </c>
      <c r="H310" s="157" t="s">
        <v>959</v>
      </c>
      <c r="I310" s="157" t="s">
        <v>498</v>
      </c>
      <c r="J310" s="159">
        <v>25000000</v>
      </c>
      <c r="K310" s="54" t="s">
        <v>197</v>
      </c>
      <c r="L310" s="157">
        <v>3010502</v>
      </c>
      <c r="M310" s="157" t="s">
        <v>173</v>
      </c>
      <c r="N310" s="160" t="s">
        <v>498</v>
      </c>
      <c r="O310" s="160">
        <v>25000000</v>
      </c>
      <c r="P310" s="157"/>
      <c r="Q310" t="s">
        <v>3561</v>
      </c>
    </row>
    <row r="311" spans="1:17" ht="46.5" hidden="1" x14ac:dyDescent="0.35">
      <c r="A311" s="157">
        <f t="shared" si="6"/>
        <v>57</v>
      </c>
      <c r="B311" s="157" t="s">
        <v>71</v>
      </c>
      <c r="C311" s="157" t="s">
        <v>537</v>
      </c>
      <c r="D311" s="158" t="s">
        <v>808</v>
      </c>
      <c r="E311" s="158" t="s">
        <v>968</v>
      </c>
      <c r="F311" s="158" t="s">
        <v>969</v>
      </c>
      <c r="G311" s="157" t="s">
        <v>970</v>
      </c>
      <c r="H311" s="157" t="s">
        <v>971</v>
      </c>
      <c r="I311" s="157" t="s">
        <v>35</v>
      </c>
      <c r="J311" s="159">
        <v>25000000</v>
      </c>
      <c r="K311" s="54" t="s">
        <v>197</v>
      </c>
      <c r="L311" s="157">
        <v>3011788</v>
      </c>
      <c r="M311" s="157" t="s">
        <v>173</v>
      </c>
      <c r="N311" s="160" t="s">
        <v>35</v>
      </c>
      <c r="O311" s="160">
        <v>25000000</v>
      </c>
      <c r="P311" s="157"/>
      <c r="Q311" t="s">
        <v>3561</v>
      </c>
    </row>
    <row r="312" spans="1:17" ht="46.5" hidden="1" x14ac:dyDescent="0.35">
      <c r="A312" s="157">
        <f t="shared" si="6"/>
        <v>58</v>
      </c>
      <c r="B312" s="157" t="s">
        <v>71</v>
      </c>
      <c r="C312" s="157" t="s">
        <v>537</v>
      </c>
      <c r="D312" s="158" t="s">
        <v>808</v>
      </c>
      <c r="E312" s="158" t="s">
        <v>972</v>
      </c>
      <c r="F312" s="158" t="s">
        <v>973</v>
      </c>
      <c r="G312" s="157" t="s">
        <v>765</v>
      </c>
      <c r="H312" s="157" t="s">
        <v>765</v>
      </c>
      <c r="I312" s="157" t="s">
        <v>48</v>
      </c>
      <c r="J312" s="159">
        <v>31289310</v>
      </c>
      <c r="K312" s="54" t="s">
        <v>197</v>
      </c>
      <c r="L312" s="157">
        <v>2940412</v>
      </c>
      <c r="M312" s="157" t="s">
        <v>226</v>
      </c>
      <c r="N312" s="160" t="s">
        <v>812</v>
      </c>
      <c r="O312" s="160">
        <v>45000000</v>
      </c>
      <c r="P312" s="157"/>
      <c r="Q312" t="s">
        <v>3561</v>
      </c>
    </row>
    <row r="313" spans="1:17" ht="31" hidden="1" x14ac:dyDescent="0.35">
      <c r="A313" s="82">
        <f t="shared" si="6"/>
        <v>59</v>
      </c>
      <c r="B313" s="82" t="s">
        <v>71</v>
      </c>
      <c r="C313" s="82" t="s">
        <v>537</v>
      </c>
      <c r="D313" s="164" t="s">
        <v>834</v>
      </c>
      <c r="E313" s="164" t="s">
        <v>974</v>
      </c>
      <c r="F313" s="164" t="s">
        <v>48</v>
      </c>
      <c r="G313" s="82" t="s">
        <v>252</v>
      </c>
      <c r="H313" s="82" t="s">
        <v>253</v>
      </c>
      <c r="I313" s="82">
        <v>10</v>
      </c>
      <c r="J313" s="165">
        <v>39000000</v>
      </c>
      <c r="K313" s="54" t="s">
        <v>197</v>
      </c>
      <c r="L313" s="82">
        <v>2958733</v>
      </c>
      <c r="M313" s="82" t="s">
        <v>226</v>
      </c>
      <c r="N313" s="165">
        <v>1</v>
      </c>
      <c r="O313" s="165">
        <v>10000000</v>
      </c>
      <c r="P313" s="82" t="s">
        <v>975</v>
      </c>
      <c r="Q313" t="s">
        <v>3561</v>
      </c>
    </row>
    <row r="314" spans="1:17" ht="31" hidden="1" x14ac:dyDescent="0.35">
      <c r="A314" s="157">
        <f t="shared" si="6"/>
        <v>60</v>
      </c>
      <c r="B314" s="157" t="s">
        <v>71</v>
      </c>
      <c r="C314" s="157" t="s">
        <v>537</v>
      </c>
      <c r="D314" s="158" t="s">
        <v>538</v>
      </c>
      <c r="E314" s="158" t="s">
        <v>976</v>
      </c>
      <c r="F314" s="158" t="s">
        <v>977</v>
      </c>
      <c r="G314" s="157" t="s">
        <v>978</v>
      </c>
      <c r="H314" s="157" t="s">
        <v>979</v>
      </c>
      <c r="I314" s="157" t="s">
        <v>500</v>
      </c>
      <c r="J314" s="159">
        <v>5000000</v>
      </c>
      <c r="K314" s="54" t="s">
        <v>197</v>
      </c>
      <c r="L314" s="157">
        <v>3252459</v>
      </c>
      <c r="M314" s="157" t="s">
        <v>226</v>
      </c>
      <c r="N314" s="160" t="s">
        <v>826</v>
      </c>
      <c r="O314" s="160">
        <v>40000000</v>
      </c>
      <c r="P314" s="157" t="s">
        <v>980</v>
      </c>
      <c r="Q314" t="s">
        <v>3561</v>
      </c>
    </row>
    <row r="315" spans="1:17" ht="31" hidden="1" x14ac:dyDescent="0.35">
      <c r="A315" s="157">
        <f t="shared" si="6"/>
        <v>61</v>
      </c>
      <c r="B315" s="157" t="s">
        <v>71</v>
      </c>
      <c r="C315" s="157" t="s">
        <v>537</v>
      </c>
      <c r="D315" s="158" t="s">
        <v>538</v>
      </c>
      <c r="E315" s="158" t="s">
        <v>981</v>
      </c>
      <c r="F315" s="158" t="s">
        <v>982</v>
      </c>
      <c r="G315" s="157" t="s">
        <v>978</v>
      </c>
      <c r="H315" s="157" t="s">
        <v>979</v>
      </c>
      <c r="I315" s="157" t="s">
        <v>500</v>
      </c>
      <c r="J315" s="159">
        <v>5000000</v>
      </c>
      <c r="K315" s="54" t="s">
        <v>197</v>
      </c>
      <c r="L315" s="157">
        <v>3252465</v>
      </c>
      <c r="M315" s="157" t="s">
        <v>226</v>
      </c>
      <c r="N315" s="160" t="s">
        <v>826</v>
      </c>
      <c r="O315" s="160">
        <v>35000000</v>
      </c>
      <c r="P315" s="157" t="s">
        <v>980</v>
      </c>
      <c r="Q315" t="s">
        <v>3561</v>
      </c>
    </row>
    <row r="316" spans="1:17" ht="46.5" hidden="1" x14ac:dyDescent="0.35">
      <c r="A316" s="157">
        <f t="shared" si="6"/>
        <v>62</v>
      </c>
      <c r="B316" s="157" t="s">
        <v>71</v>
      </c>
      <c r="C316" s="157" t="s">
        <v>537</v>
      </c>
      <c r="D316" s="158" t="s">
        <v>808</v>
      </c>
      <c r="E316" s="158" t="s">
        <v>983</v>
      </c>
      <c r="F316" s="158" t="s">
        <v>984</v>
      </c>
      <c r="G316" s="157" t="s">
        <v>978</v>
      </c>
      <c r="H316" s="157" t="s">
        <v>979</v>
      </c>
      <c r="I316" s="157" t="s">
        <v>500</v>
      </c>
      <c r="J316" s="159">
        <v>5000000</v>
      </c>
      <c r="K316" s="54" t="s">
        <v>197</v>
      </c>
      <c r="L316" s="157">
        <v>3307961</v>
      </c>
      <c r="M316" s="157" t="s">
        <v>226</v>
      </c>
      <c r="N316" s="160" t="s">
        <v>826</v>
      </c>
      <c r="O316" s="160">
        <v>25000000</v>
      </c>
      <c r="P316" s="157" t="s">
        <v>980</v>
      </c>
      <c r="Q316" t="s">
        <v>3561</v>
      </c>
    </row>
    <row r="317" spans="1:17" ht="31" hidden="1" x14ac:dyDescent="0.35">
      <c r="A317" s="157">
        <f t="shared" si="6"/>
        <v>63</v>
      </c>
      <c r="B317" s="157" t="s">
        <v>71</v>
      </c>
      <c r="C317" s="157" t="s">
        <v>537</v>
      </c>
      <c r="D317" s="161" t="s">
        <v>847</v>
      </c>
      <c r="E317" s="158" t="s">
        <v>985</v>
      </c>
      <c r="F317" s="158" t="s">
        <v>181</v>
      </c>
      <c r="G317" s="157" t="s">
        <v>182</v>
      </c>
      <c r="H317" s="157" t="s">
        <v>183</v>
      </c>
      <c r="I317" s="157" t="s">
        <v>431</v>
      </c>
      <c r="J317" s="159">
        <v>45000000</v>
      </c>
      <c r="K317" s="54" t="s">
        <v>197</v>
      </c>
      <c r="L317" s="157">
        <v>2947375</v>
      </c>
      <c r="M317" s="157" t="s">
        <v>180</v>
      </c>
      <c r="N317" s="160" t="s">
        <v>431</v>
      </c>
      <c r="O317" s="160">
        <v>45000000</v>
      </c>
      <c r="P317" s="157"/>
      <c r="Q317" t="s">
        <v>3561</v>
      </c>
    </row>
    <row r="318" spans="1:17" ht="93" hidden="1" x14ac:dyDescent="0.35">
      <c r="A318" s="157">
        <f t="shared" si="6"/>
        <v>64</v>
      </c>
      <c r="B318" s="157" t="s">
        <v>71</v>
      </c>
      <c r="C318" s="157" t="s">
        <v>537</v>
      </c>
      <c r="D318" s="161" t="s">
        <v>847</v>
      </c>
      <c r="E318" s="158" t="s">
        <v>893</v>
      </c>
      <c r="F318" s="158" t="s">
        <v>176</v>
      </c>
      <c r="G318" s="157" t="s">
        <v>187</v>
      </c>
      <c r="H318" s="157" t="s">
        <v>191</v>
      </c>
      <c r="I318" s="157" t="s">
        <v>184</v>
      </c>
      <c r="J318" s="159">
        <v>17500000</v>
      </c>
      <c r="K318" s="54" t="s">
        <v>197</v>
      </c>
      <c r="L318" s="157">
        <v>2975935</v>
      </c>
      <c r="M318" s="157" t="s">
        <v>180</v>
      </c>
      <c r="N318" s="160" t="s">
        <v>122</v>
      </c>
      <c r="O318" s="160">
        <v>17500000</v>
      </c>
      <c r="P318" s="157"/>
      <c r="Q318" t="s">
        <v>3561</v>
      </c>
    </row>
    <row r="319" spans="1:17" ht="46.5" hidden="1" x14ac:dyDescent="0.35">
      <c r="A319" s="166">
        <f t="shared" si="6"/>
        <v>65</v>
      </c>
      <c r="B319" s="166" t="s">
        <v>71</v>
      </c>
      <c r="C319" s="166" t="s">
        <v>537</v>
      </c>
      <c r="D319" s="158" t="s">
        <v>808</v>
      </c>
      <c r="E319" s="178" t="s">
        <v>909</v>
      </c>
      <c r="F319" s="178" t="s">
        <v>176</v>
      </c>
      <c r="G319" s="166" t="s">
        <v>187</v>
      </c>
      <c r="H319" s="166" t="s">
        <v>191</v>
      </c>
      <c r="I319" s="166" t="s">
        <v>126</v>
      </c>
      <c r="J319" s="169">
        <v>15000000</v>
      </c>
      <c r="K319" s="54" t="s">
        <v>197</v>
      </c>
      <c r="L319" s="166">
        <v>3307966</v>
      </c>
      <c r="M319" s="166" t="s">
        <v>180</v>
      </c>
      <c r="N319" s="169" t="s">
        <v>500</v>
      </c>
      <c r="O319" s="169">
        <v>15000000</v>
      </c>
      <c r="P319" s="166" t="s">
        <v>986</v>
      </c>
      <c r="Q319" t="s">
        <v>3561</v>
      </c>
    </row>
    <row r="320" spans="1:17" ht="93" hidden="1" x14ac:dyDescent="0.35">
      <c r="A320" s="157">
        <f t="shared" si="6"/>
        <v>66</v>
      </c>
      <c r="B320" s="157" t="s">
        <v>71</v>
      </c>
      <c r="C320" s="157" t="s">
        <v>537</v>
      </c>
      <c r="D320" s="161" t="s">
        <v>847</v>
      </c>
      <c r="E320" s="158" t="s">
        <v>893</v>
      </c>
      <c r="F320" s="158" t="s">
        <v>176</v>
      </c>
      <c r="G320" s="157" t="s">
        <v>187</v>
      </c>
      <c r="H320" s="157" t="s">
        <v>442</v>
      </c>
      <c r="I320" s="157" t="s">
        <v>988</v>
      </c>
      <c r="J320" s="159">
        <v>22000000</v>
      </c>
      <c r="K320" s="54" t="s">
        <v>197</v>
      </c>
      <c r="L320" s="157">
        <v>2934695</v>
      </c>
      <c r="M320" s="157" t="s">
        <v>180</v>
      </c>
      <c r="N320" s="160" t="s">
        <v>826</v>
      </c>
      <c r="O320" s="160">
        <v>22000000</v>
      </c>
      <c r="P320" s="157"/>
      <c r="Q320" t="s">
        <v>3561</v>
      </c>
    </row>
    <row r="321" spans="1:17" ht="93" hidden="1" x14ac:dyDescent="0.35">
      <c r="A321" s="157">
        <f t="shared" si="6"/>
        <v>67</v>
      </c>
      <c r="B321" s="157" t="s">
        <v>71</v>
      </c>
      <c r="C321" s="157" t="s">
        <v>537</v>
      </c>
      <c r="D321" s="161" t="s">
        <v>847</v>
      </c>
      <c r="E321" s="158" t="s">
        <v>893</v>
      </c>
      <c r="F321" s="158" t="s">
        <v>176</v>
      </c>
      <c r="G321" s="157" t="s">
        <v>187</v>
      </c>
      <c r="H321" s="157" t="s">
        <v>807</v>
      </c>
      <c r="I321" s="157" t="s">
        <v>988</v>
      </c>
      <c r="J321" s="159">
        <v>22000000</v>
      </c>
      <c r="K321" s="54" t="s">
        <v>197</v>
      </c>
      <c r="L321" s="157">
        <v>2762858</v>
      </c>
      <c r="M321" s="157" t="s">
        <v>180</v>
      </c>
      <c r="N321" s="160" t="s">
        <v>826</v>
      </c>
      <c r="O321" s="160">
        <v>22000000</v>
      </c>
      <c r="P321" s="157"/>
      <c r="Q321" t="s">
        <v>3561</v>
      </c>
    </row>
    <row r="322" spans="1:17" ht="46.5" hidden="1" x14ac:dyDescent="0.35">
      <c r="A322" s="157">
        <f t="shared" si="6"/>
        <v>68</v>
      </c>
      <c r="B322" s="157" t="s">
        <v>836</v>
      </c>
      <c r="C322" s="157" t="s">
        <v>577</v>
      </c>
      <c r="D322" s="161" t="s">
        <v>847</v>
      </c>
      <c r="E322" s="158"/>
      <c r="F322" s="158"/>
      <c r="G322" s="157" t="s">
        <v>989</v>
      </c>
      <c r="H322" s="162" t="s">
        <v>990</v>
      </c>
      <c r="I322" s="157" t="s">
        <v>990</v>
      </c>
      <c r="J322" s="159"/>
      <c r="K322" s="54" t="s">
        <v>197</v>
      </c>
      <c r="L322" s="157"/>
      <c r="M322" s="157" t="s">
        <v>180</v>
      </c>
      <c r="N322" s="160"/>
      <c r="O322" s="160">
        <v>30000000</v>
      </c>
      <c r="P322" s="157" t="s">
        <v>991</v>
      </c>
      <c r="Q322" t="s">
        <v>3561</v>
      </c>
    </row>
    <row r="323" spans="1:17" ht="31" hidden="1" x14ac:dyDescent="0.35">
      <c r="A323" s="82">
        <f t="shared" si="6"/>
        <v>69</v>
      </c>
      <c r="B323" s="82" t="s">
        <v>71</v>
      </c>
      <c r="C323" s="82" t="s">
        <v>537</v>
      </c>
      <c r="D323" s="164" t="s">
        <v>834</v>
      </c>
      <c r="E323" s="164" t="s">
        <v>992</v>
      </c>
      <c r="F323" s="164" t="s">
        <v>993</v>
      </c>
      <c r="G323" s="82" t="s">
        <v>469</v>
      </c>
      <c r="H323" s="82" t="s">
        <v>994</v>
      </c>
      <c r="I323" s="82">
        <v>450</v>
      </c>
      <c r="J323" s="165">
        <v>100000000</v>
      </c>
      <c r="K323" s="54" t="s">
        <v>197</v>
      </c>
      <c r="L323" s="82" t="s">
        <v>62</v>
      </c>
      <c r="M323" s="82" t="s">
        <v>55</v>
      </c>
      <c r="N323" s="82">
        <v>450</v>
      </c>
      <c r="O323" s="180">
        <v>114300000</v>
      </c>
      <c r="P323" s="181" t="s">
        <v>995</v>
      </c>
      <c r="Q323" t="s">
        <v>3561</v>
      </c>
    </row>
    <row r="324" spans="1:17" ht="31" hidden="1" x14ac:dyDescent="0.35">
      <c r="A324" s="82">
        <f t="shared" si="6"/>
        <v>70</v>
      </c>
      <c r="B324" s="82" t="s">
        <v>71</v>
      </c>
      <c r="C324" s="82" t="s">
        <v>537</v>
      </c>
      <c r="D324" s="164" t="s">
        <v>834</v>
      </c>
      <c r="E324" s="164" t="s">
        <v>992</v>
      </c>
      <c r="F324" s="164" t="s">
        <v>997</v>
      </c>
      <c r="G324" s="82" t="s">
        <v>469</v>
      </c>
      <c r="H324" s="82" t="s">
        <v>998</v>
      </c>
      <c r="I324" s="82">
        <v>450</v>
      </c>
      <c r="J324" s="165">
        <v>100000000</v>
      </c>
      <c r="K324" s="54" t="s">
        <v>197</v>
      </c>
      <c r="L324" s="82" t="s">
        <v>62</v>
      </c>
      <c r="M324" s="82" t="s">
        <v>55</v>
      </c>
      <c r="N324" s="82">
        <v>450</v>
      </c>
      <c r="O324" s="180">
        <v>114300000</v>
      </c>
      <c r="P324" s="181" t="s">
        <v>995</v>
      </c>
      <c r="Q324" t="s">
        <v>3561</v>
      </c>
    </row>
    <row r="325" spans="1:17" ht="31" hidden="1" x14ac:dyDescent="0.35">
      <c r="A325" s="157">
        <f t="shared" si="6"/>
        <v>71</v>
      </c>
      <c r="B325" s="157" t="s">
        <v>71</v>
      </c>
      <c r="C325" s="157" t="s">
        <v>537</v>
      </c>
      <c r="D325" s="158" t="s">
        <v>538</v>
      </c>
      <c r="E325" s="158" t="s">
        <v>999</v>
      </c>
      <c r="F325" s="158" t="s">
        <v>1000</v>
      </c>
      <c r="G325" s="157" t="s">
        <v>529</v>
      </c>
      <c r="H325" s="157" t="s">
        <v>530</v>
      </c>
      <c r="I325" s="157" t="s">
        <v>35</v>
      </c>
      <c r="J325" s="160">
        <v>60000000</v>
      </c>
      <c r="K325" s="54" t="s">
        <v>197</v>
      </c>
      <c r="L325" s="157">
        <v>2933599</v>
      </c>
      <c r="M325" s="157" t="s">
        <v>55</v>
      </c>
      <c r="N325" s="175" t="s">
        <v>500</v>
      </c>
      <c r="O325" s="160">
        <v>60000000</v>
      </c>
      <c r="P325" s="157"/>
      <c r="Q325" t="s">
        <v>3561</v>
      </c>
    </row>
    <row r="326" spans="1:17" ht="31" hidden="1" x14ac:dyDescent="0.35">
      <c r="A326" s="157">
        <f t="shared" si="6"/>
        <v>72</v>
      </c>
      <c r="B326" s="157" t="s">
        <v>71</v>
      </c>
      <c r="C326" s="157" t="s">
        <v>537</v>
      </c>
      <c r="D326" s="158" t="s">
        <v>538</v>
      </c>
      <c r="E326" s="158" t="s">
        <v>1002</v>
      </c>
      <c r="F326" s="182"/>
      <c r="G326" s="183" t="s">
        <v>1003</v>
      </c>
      <c r="H326" s="183" t="s">
        <v>1004</v>
      </c>
      <c r="I326" s="157" t="s">
        <v>500</v>
      </c>
      <c r="J326" s="184">
        <v>100000000</v>
      </c>
      <c r="K326" s="54" t="s">
        <v>197</v>
      </c>
      <c r="L326" s="183">
        <v>3308094</v>
      </c>
      <c r="M326" s="157" t="s">
        <v>55</v>
      </c>
      <c r="N326" s="185" t="s">
        <v>500</v>
      </c>
      <c r="O326" s="184">
        <v>100000000</v>
      </c>
      <c r="P326" s="157" t="s">
        <v>986</v>
      </c>
      <c r="Q326" t="s">
        <v>3561</v>
      </c>
    </row>
    <row r="327" spans="1:17" ht="58" hidden="1" x14ac:dyDescent="0.35">
      <c r="A327" s="186">
        <f t="shared" si="6"/>
        <v>73</v>
      </c>
      <c r="B327" s="186" t="s">
        <v>71</v>
      </c>
      <c r="C327" s="186" t="s">
        <v>537</v>
      </c>
      <c r="D327" s="187" t="s">
        <v>808</v>
      </c>
      <c r="E327" s="140" t="s">
        <v>1006</v>
      </c>
      <c r="F327" s="140" t="s">
        <v>1007</v>
      </c>
      <c r="G327" s="155" t="s">
        <v>149</v>
      </c>
      <c r="H327" s="155" t="s">
        <v>721</v>
      </c>
      <c r="I327" s="155" t="s">
        <v>313</v>
      </c>
      <c r="J327" s="13">
        <v>20000000</v>
      </c>
      <c r="K327" s="54" t="s">
        <v>197</v>
      </c>
      <c r="L327" s="188"/>
      <c r="M327" s="189" t="s">
        <v>1008</v>
      </c>
      <c r="N327" s="155" t="s">
        <v>313</v>
      </c>
      <c r="O327" s="13">
        <v>20000000</v>
      </c>
      <c r="P327" s="186"/>
      <c r="Q327" t="s">
        <v>3561</v>
      </c>
    </row>
    <row r="328" spans="1:17" ht="72.5" hidden="1" x14ac:dyDescent="0.35">
      <c r="A328" s="186">
        <f t="shared" si="6"/>
        <v>74</v>
      </c>
      <c r="B328" s="186" t="s">
        <v>71</v>
      </c>
      <c r="C328" s="186" t="s">
        <v>537</v>
      </c>
      <c r="D328" s="187" t="s">
        <v>808</v>
      </c>
      <c r="E328" s="140" t="s">
        <v>1009</v>
      </c>
      <c r="F328" s="140" t="s">
        <v>1007</v>
      </c>
      <c r="G328" s="189" t="s">
        <v>1010</v>
      </c>
      <c r="H328" s="189" t="s">
        <v>729</v>
      </c>
      <c r="I328" s="155" t="s">
        <v>313</v>
      </c>
      <c r="J328" s="13">
        <v>40000000</v>
      </c>
      <c r="K328" s="54" t="s">
        <v>197</v>
      </c>
      <c r="L328" s="188"/>
      <c r="M328" s="189" t="s">
        <v>1008</v>
      </c>
      <c r="N328" s="155" t="s">
        <v>313</v>
      </c>
      <c r="O328" s="13">
        <v>40000000</v>
      </c>
      <c r="P328" s="186"/>
      <c r="Q328" t="s">
        <v>3561</v>
      </c>
    </row>
    <row r="329" spans="1:17" ht="46.5" hidden="1" x14ac:dyDescent="0.35">
      <c r="A329" s="186">
        <f t="shared" si="6"/>
        <v>75</v>
      </c>
      <c r="B329" s="186" t="s">
        <v>71</v>
      </c>
      <c r="C329" s="186" t="s">
        <v>537</v>
      </c>
      <c r="D329" s="187" t="s">
        <v>808</v>
      </c>
      <c r="E329" s="140" t="s">
        <v>1011</v>
      </c>
      <c r="F329" s="140" t="s">
        <v>1012</v>
      </c>
      <c r="G329" s="155" t="s">
        <v>496</v>
      </c>
      <c r="H329" s="155" t="s">
        <v>1013</v>
      </c>
      <c r="I329" s="155" t="s">
        <v>1014</v>
      </c>
      <c r="J329" s="190">
        <v>65000000</v>
      </c>
      <c r="K329" s="54" t="s">
        <v>197</v>
      </c>
      <c r="L329" s="188"/>
      <c r="M329" s="32" t="s">
        <v>97</v>
      </c>
      <c r="N329" s="155" t="s">
        <v>1014</v>
      </c>
      <c r="O329" s="13">
        <v>65000000</v>
      </c>
      <c r="P329" s="186"/>
      <c r="Q329" t="s">
        <v>3561</v>
      </c>
    </row>
    <row r="330" spans="1:17" ht="46.5" hidden="1" x14ac:dyDescent="0.35">
      <c r="A330" s="186">
        <f t="shared" si="6"/>
        <v>76</v>
      </c>
      <c r="B330" s="186" t="s">
        <v>71</v>
      </c>
      <c r="C330" s="186" t="s">
        <v>537</v>
      </c>
      <c r="D330" s="187" t="s">
        <v>808</v>
      </c>
      <c r="E330" s="140" t="s">
        <v>1015</v>
      </c>
      <c r="F330" s="140" t="s">
        <v>1016</v>
      </c>
      <c r="G330" s="155" t="s">
        <v>839</v>
      </c>
      <c r="H330" s="140" t="s">
        <v>1017</v>
      </c>
      <c r="I330" s="155" t="s">
        <v>35</v>
      </c>
      <c r="J330" s="191">
        <v>50000000</v>
      </c>
      <c r="K330" s="54" t="s">
        <v>197</v>
      </c>
      <c r="L330" s="188"/>
      <c r="M330" s="32" t="s">
        <v>97</v>
      </c>
      <c r="N330" s="155" t="s">
        <v>35</v>
      </c>
      <c r="O330" s="13">
        <v>50000000</v>
      </c>
      <c r="P330" s="186"/>
      <c r="Q330" t="s">
        <v>3561</v>
      </c>
    </row>
    <row r="331" spans="1:17" ht="31" hidden="1" x14ac:dyDescent="0.35">
      <c r="A331" s="186">
        <f t="shared" si="6"/>
        <v>77</v>
      </c>
      <c r="B331" s="186" t="s">
        <v>71</v>
      </c>
      <c r="C331" s="186" t="s">
        <v>537</v>
      </c>
      <c r="D331" s="187" t="s">
        <v>847</v>
      </c>
      <c r="E331" s="192" t="s">
        <v>889</v>
      </c>
      <c r="F331" s="192" t="s">
        <v>229</v>
      </c>
      <c r="G331" s="192" t="s">
        <v>234</v>
      </c>
      <c r="H331" s="192" t="s">
        <v>1018</v>
      </c>
      <c r="I331" s="192" t="s">
        <v>313</v>
      </c>
      <c r="J331" s="193">
        <v>10200000</v>
      </c>
      <c r="K331" s="54" t="s">
        <v>197</v>
      </c>
      <c r="L331" s="188"/>
      <c r="M331" s="189" t="s">
        <v>180</v>
      </c>
      <c r="N331" s="192" t="s">
        <v>313</v>
      </c>
      <c r="O331" s="10">
        <v>10200000</v>
      </c>
      <c r="P331" s="186"/>
      <c r="Q331" t="s">
        <v>3561</v>
      </c>
    </row>
    <row r="332" spans="1:17" ht="31" hidden="1" x14ac:dyDescent="0.35">
      <c r="A332" s="186">
        <f t="shared" si="6"/>
        <v>78</v>
      </c>
      <c r="B332" s="186" t="s">
        <v>71</v>
      </c>
      <c r="C332" s="186" t="s">
        <v>537</v>
      </c>
      <c r="D332" s="187" t="s">
        <v>847</v>
      </c>
      <c r="E332" s="140" t="s">
        <v>1019</v>
      </c>
      <c r="F332" s="192" t="s">
        <v>229</v>
      </c>
      <c r="G332" s="192" t="s">
        <v>545</v>
      </c>
      <c r="H332" s="192" t="s">
        <v>1020</v>
      </c>
      <c r="I332" s="192" t="s">
        <v>313</v>
      </c>
      <c r="J332" s="194">
        <v>45000000</v>
      </c>
      <c r="K332" s="54" t="s">
        <v>197</v>
      </c>
      <c r="L332" s="188"/>
      <c r="M332" s="189" t="s">
        <v>180</v>
      </c>
      <c r="N332" s="192" t="s">
        <v>313</v>
      </c>
      <c r="O332" s="10">
        <v>45000000</v>
      </c>
      <c r="P332" s="186"/>
      <c r="Q332" t="s">
        <v>3561</v>
      </c>
    </row>
    <row r="333" spans="1:17" ht="116" x14ac:dyDescent="0.35">
      <c r="A333" s="6">
        <v>1</v>
      </c>
      <c r="B333" s="7" t="s">
        <v>480</v>
      </c>
      <c r="C333" s="9" t="s">
        <v>481</v>
      </c>
      <c r="D333" s="9" t="s">
        <v>1021</v>
      </c>
      <c r="E333" s="9" t="s">
        <v>1022</v>
      </c>
      <c r="F333" s="9" t="s">
        <v>1023</v>
      </c>
      <c r="G333" s="6" t="s">
        <v>205</v>
      </c>
      <c r="H333" s="6" t="s">
        <v>1024</v>
      </c>
      <c r="I333" s="6"/>
      <c r="J333" s="195"/>
      <c r="K333" s="6" t="s">
        <v>1025</v>
      </c>
      <c r="L333" s="6">
        <v>2938559</v>
      </c>
      <c r="M333" s="6" t="s">
        <v>79</v>
      </c>
      <c r="N333" s="196" t="s">
        <v>1026</v>
      </c>
      <c r="O333" s="14">
        <v>117566500</v>
      </c>
      <c r="P333" s="197"/>
      <c r="Q333" t="s">
        <v>3561</v>
      </c>
    </row>
    <row r="334" spans="1:17" ht="58" x14ac:dyDescent="0.35">
      <c r="A334" s="6">
        <v>2</v>
      </c>
      <c r="B334" s="198" t="s">
        <v>480</v>
      </c>
      <c r="C334" s="79" t="s">
        <v>481</v>
      </c>
      <c r="D334" s="79" t="s">
        <v>1021</v>
      </c>
      <c r="E334" s="79" t="s">
        <v>1027</v>
      </c>
      <c r="F334" s="79" t="s">
        <v>1028</v>
      </c>
      <c r="G334" s="199" t="s">
        <v>1029</v>
      </c>
      <c r="H334" s="199" t="s">
        <v>1030</v>
      </c>
      <c r="I334" s="199" t="s">
        <v>1031</v>
      </c>
      <c r="J334" s="200">
        <v>100000000</v>
      </c>
      <c r="K334" s="199" t="s">
        <v>1025</v>
      </c>
      <c r="L334" s="199">
        <v>2968895</v>
      </c>
      <c r="M334" s="199" t="s">
        <v>79</v>
      </c>
      <c r="N334" s="201" t="s">
        <v>28</v>
      </c>
      <c r="O334" s="200"/>
      <c r="P334" s="198" t="s">
        <v>1032</v>
      </c>
      <c r="Q334" t="s">
        <v>3561</v>
      </c>
    </row>
    <row r="335" spans="1:17" ht="58" x14ac:dyDescent="0.35">
      <c r="A335" s="6">
        <v>3</v>
      </c>
      <c r="B335" s="7" t="s">
        <v>480</v>
      </c>
      <c r="C335" s="9" t="s">
        <v>481</v>
      </c>
      <c r="D335" s="9" t="s">
        <v>1021</v>
      </c>
      <c r="E335" s="9" t="s">
        <v>1033</v>
      </c>
      <c r="F335" s="9" t="s">
        <v>1034</v>
      </c>
      <c r="G335" s="6" t="s">
        <v>658</v>
      </c>
      <c r="H335" s="6" t="s">
        <v>1035</v>
      </c>
      <c r="I335" s="6" t="s">
        <v>1036</v>
      </c>
      <c r="J335" s="195">
        <v>95000000</v>
      </c>
      <c r="K335" s="6" t="s">
        <v>1025</v>
      </c>
      <c r="L335" s="6">
        <v>2792157</v>
      </c>
      <c r="M335" s="6" t="s">
        <v>79</v>
      </c>
      <c r="N335" s="202" t="s">
        <v>1037</v>
      </c>
      <c r="O335" s="14">
        <v>95000000</v>
      </c>
      <c r="P335" s="7" t="s">
        <v>1038</v>
      </c>
      <c r="Q335" t="s">
        <v>3561</v>
      </c>
    </row>
    <row r="336" spans="1:17" ht="58" x14ac:dyDescent="0.35">
      <c r="A336" s="6">
        <v>4</v>
      </c>
      <c r="B336" s="7" t="s">
        <v>480</v>
      </c>
      <c r="C336" s="9" t="s">
        <v>481</v>
      </c>
      <c r="D336" s="9" t="s">
        <v>1021</v>
      </c>
      <c r="E336" s="9" t="s">
        <v>1039</v>
      </c>
      <c r="F336" s="9" t="s">
        <v>1040</v>
      </c>
      <c r="G336" s="6" t="s">
        <v>658</v>
      </c>
      <c r="H336" s="6" t="s">
        <v>1041</v>
      </c>
      <c r="I336" s="6" t="s">
        <v>1042</v>
      </c>
      <c r="J336" s="195">
        <v>45000000</v>
      </c>
      <c r="K336" s="6" t="s">
        <v>1025</v>
      </c>
      <c r="L336" s="6">
        <v>2933626</v>
      </c>
      <c r="M336" s="6" t="s">
        <v>79</v>
      </c>
      <c r="N336" s="202" t="s">
        <v>1043</v>
      </c>
      <c r="O336" s="14">
        <v>50000000</v>
      </c>
      <c r="P336" s="203" t="s">
        <v>1044</v>
      </c>
      <c r="Q336" t="s">
        <v>3561</v>
      </c>
    </row>
    <row r="337" spans="1:17" ht="101.5" x14ac:dyDescent="0.35">
      <c r="A337" s="6">
        <v>5</v>
      </c>
      <c r="B337" s="7" t="s">
        <v>480</v>
      </c>
      <c r="C337" s="9" t="s">
        <v>481</v>
      </c>
      <c r="D337" s="9" t="s">
        <v>1021</v>
      </c>
      <c r="E337" s="9" t="s">
        <v>1045</v>
      </c>
      <c r="F337" s="9" t="s">
        <v>1046</v>
      </c>
      <c r="G337" s="6" t="s">
        <v>535</v>
      </c>
      <c r="H337" s="6" t="s">
        <v>1047</v>
      </c>
      <c r="I337" s="6" t="s">
        <v>1048</v>
      </c>
      <c r="J337" s="195" t="s">
        <v>1049</v>
      </c>
      <c r="K337" s="6" t="s">
        <v>1025</v>
      </c>
      <c r="L337" s="6">
        <v>2933518</v>
      </c>
      <c r="M337" s="6" t="s">
        <v>79</v>
      </c>
      <c r="N337" s="205" t="s">
        <v>1050</v>
      </c>
      <c r="O337" s="14">
        <v>50000000</v>
      </c>
      <c r="P337" s="197" t="s">
        <v>1051</v>
      </c>
      <c r="Q337" t="s">
        <v>3561</v>
      </c>
    </row>
    <row r="338" spans="1:17" ht="58" hidden="1" x14ac:dyDescent="0.35">
      <c r="A338" s="6">
        <v>6</v>
      </c>
      <c r="B338" s="7" t="s">
        <v>480</v>
      </c>
      <c r="C338" s="9" t="s">
        <v>481</v>
      </c>
      <c r="D338" s="9" t="s">
        <v>1021</v>
      </c>
      <c r="E338" s="9" t="s">
        <v>1052</v>
      </c>
      <c r="F338" s="9" t="s">
        <v>1053</v>
      </c>
      <c r="G338" s="6" t="s">
        <v>278</v>
      </c>
      <c r="H338" s="6" t="s">
        <v>1054</v>
      </c>
      <c r="I338" s="6" t="s">
        <v>35</v>
      </c>
      <c r="J338" s="14">
        <v>30000000</v>
      </c>
      <c r="K338" s="6" t="s">
        <v>1025</v>
      </c>
      <c r="L338" s="6">
        <v>2918008</v>
      </c>
      <c r="M338" s="32" t="s">
        <v>97</v>
      </c>
      <c r="N338" s="6" t="s">
        <v>1055</v>
      </c>
      <c r="O338" s="14">
        <v>30000000</v>
      </c>
      <c r="P338" s="7" t="s">
        <v>1056</v>
      </c>
      <c r="Q338" t="s">
        <v>3561</v>
      </c>
    </row>
    <row r="339" spans="1:17" ht="58" hidden="1" x14ac:dyDescent="0.35">
      <c r="A339" s="6">
        <v>7</v>
      </c>
      <c r="B339" s="7" t="s">
        <v>480</v>
      </c>
      <c r="C339" s="7" t="s">
        <v>481</v>
      </c>
      <c r="D339" s="206" t="s">
        <v>1021</v>
      </c>
      <c r="E339" s="7" t="s">
        <v>1057</v>
      </c>
      <c r="F339" s="7" t="s">
        <v>282</v>
      </c>
      <c r="G339" s="7" t="s">
        <v>278</v>
      </c>
      <c r="H339" s="7" t="s">
        <v>283</v>
      </c>
      <c r="I339" s="21" t="s">
        <v>35</v>
      </c>
      <c r="J339" s="207">
        <v>38800000</v>
      </c>
      <c r="K339" s="20" t="s">
        <v>1025</v>
      </c>
      <c r="L339" s="208">
        <v>2947322</v>
      </c>
      <c r="M339" s="32" t="s">
        <v>97</v>
      </c>
      <c r="N339" s="209" t="s">
        <v>1058</v>
      </c>
      <c r="O339" s="210">
        <v>28800000</v>
      </c>
      <c r="P339" s="140" t="s">
        <v>1059</v>
      </c>
      <c r="Q339" t="s">
        <v>3561</v>
      </c>
    </row>
    <row r="340" spans="1:17" ht="58" hidden="1" x14ac:dyDescent="0.35">
      <c r="A340" s="6">
        <v>8</v>
      </c>
      <c r="B340" s="7" t="s">
        <v>480</v>
      </c>
      <c r="C340" s="7" t="s">
        <v>481</v>
      </c>
      <c r="D340" s="206" t="s">
        <v>1021</v>
      </c>
      <c r="E340" s="7" t="s">
        <v>1057</v>
      </c>
      <c r="F340" s="7" t="s">
        <v>282</v>
      </c>
      <c r="G340" s="7" t="s">
        <v>278</v>
      </c>
      <c r="H340" s="7" t="s">
        <v>283</v>
      </c>
      <c r="I340" s="21" t="s">
        <v>35</v>
      </c>
      <c r="J340" s="207">
        <v>38800000</v>
      </c>
      <c r="K340" s="20" t="s">
        <v>1025</v>
      </c>
      <c r="L340" s="21"/>
      <c r="M340" s="32" t="s">
        <v>97</v>
      </c>
      <c r="N340" s="6" t="s">
        <v>164</v>
      </c>
      <c r="O340" s="14">
        <v>10000000</v>
      </c>
      <c r="P340" s="140" t="s">
        <v>1060</v>
      </c>
      <c r="Q340" t="s">
        <v>3561</v>
      </c>
    </row>
    <row r="341" spans="1:17" ht="58" hidden="1" x14ac:dyDescent="0.35">
      <c r="A341" s="6">
        <v>9</v>
      </c>
      <c r="B341" s="7" t="s">
        <v>480</v>
      </c>
      <c r="C341" s="9" t="s">
        <v>481</v>
      </c>
      <c r="D341" s="211" t="s">
        <v>1021</v>
      </c>
      <c r="E341" s="9" t="s">
        <v>1061</v>
      </c>
      <c r="F341" s="9" t="s">
        <v>1062</v>
      </c>
      <c r="G341" s="6" t="s">
        <v>1063</v>
      </c>
      <c r="H341" s="6" t="s">
        <v>1064</v>
      </c>
      <c r="I341" s="6" t="s">
        <v>1065</v>
      </c>
      <c r="J341" s="14">
        <v>100000000</v>
      </c>
      <c r="K341" s="6" t="s">
        <v>1025</v>
      </c>
      <c r="L341" s="6">
        <v>2908163</v>
      </c>
      <c r="M341" s="32" t="s">
        <v>97</v>
      </c>
      <c r="N341" s="6" t="s">
        <v>1066</v>
      </c>
      <c r="O341" s="14">
        <v>100000000</v>
      </c>
      <c r="P341" s="212" t="s">
        <v>1044</v>
      </c>
      <c r="Q341" t="s">
        <v>3561</v>
      </c>
    </row>
    <row r="342" spans="1:17" ht="72.5" hidden="1" x14ac:dyDescent="0.35">
      <c r="A342" s="6">
        <v>10</v>
      </c>
      <c r="B342" s="7" t="s">
        <v>480</v>
      </c>
      <c r="C342" s="9" t="s">
        <v>481</v>
      </c>
      <c r="D342" s="211" t="s">
        <v>1021</v>
      </c>
      <c r="E342" s="9" t="s">
        <v>1067</v>
      </c>
      <c r="F342" s="9" t="s">
        <v>1068</v>
      </c>
      <c r="G342" s="6" t="s">
        <v>1063</v>
      </c>
      <c r="H342" s="6" t="s">
        <v>1069</v>
      </c>
      <c r="I342" s="6" t="s">
        <v>1070</v>
      </c>
      <c r="J342" s="14">
        <v>100000000</v>
      </c>
      <c r="K342" s="6" t="s">
        <v>1025</v>
      </c>
      <c r="L342" s="6">
        <v>2908329</v>
      </c>
      <c r="M342" s="32" t="s">
        <v>97</v>
      </c>
      <c r="N342" s="6" t="s">
        <v>1071</v>
      </c>
      <c r="O342" s="14">
        <v>100000000</v>
      </c>
      <c r="P342" s="7"/>
      <c r="Q342" t="s">
        <v>3561</v>
      </c>
    </row>
    <row r="343" spans="1:17" ht="58" hidden="1" x14ac:dyDescent="0.35">
      <c r="A343" s="6">
        <v>11</v>
      </c>
      <c r="B343" s="7" t="s">
        <v>480</v>
      </c>
      <c r="C343" s="9" t="s">
        <v>481</v>
      </c>
      <c r="D343" s="211" t="s">
        <v>1021</v>
      </c>
      <c r="E343" s="9" t="s">
        <v>1072</v>
      </c>
      <c r="F343" s="9" t="s">
        <v>1073</v>
      </c>
      <c r="G343" s="84" t="s">
        <v>1074</v>
      </c>
      <c r="H343" s="84" t="s">
        <v>1075</v>
      </c>
      <c r="I343" s="84" t="s">
        <v>1076</v>
      </c>
      <c r="J343" s="14">
        <v>129865000</v>
      </c>
      <c r="K343" s="6" t="s">
        <v>1025</v>
      </c>
      <c r="L343" s="6">
        <v>2966419</v>
      </c>
      <c r="M343" s="32" t="s">
        <v>97</v>
      </c>
      <c r="N343" s="84" t="s">
        <v>1077</v>
      </c>
      <c r="O343" s="14">
        <v>102037000</v>
      </c>
      <c r="P343" s="212" t="s">
        <v>1044</v>
      </c>
      <c r="Q343" t="s">
        <v>3561</v>
      </c>
    </row>
    <row r="344" spans="1:17" ht="58" hidden="1" x14ac:dyDescent="0.35">
      <c r="A344" s="6">
        <v>12</v>
      </c>
      <c r="B344" s="7" t="s">
        <v>480</v>
      </c>
      <c r="C344" s="9" t="s">
        <v>481</v>
      </c>
      <c r="D344" s="211" t="s">
        <v>1021</v>
      </c>
      <c r="E344" s="9" t="s">
        <v>1078</v>
      </c>
      <c r="F344" s="9" t="s">
        <v>1079</v>
      </c>
      <c r="G344" s="84" t="s">
        <v>496</v>
      </c>
      <c r="H344" s="84" t="s">
        <v>496</v>
      </c>
      <c r="I344" s="84" t="s">
        <v>1080</v>
      </c>
      <c r="J344" s="14">
        <v>20000000</v>
      </c>
      <c r="K344" s="6" t="s">
        <v>1025</v>
      </c>
      <c r="L344" s="6">
        <v>2792313</v>
      </c>
      <c r="M344" s="32" t="s">
        <v>97</v>
      </c>
      <c r="N344" s="6" t="s">
        <v>122</v>
      </c>
      <c r="O344" s="14">
        <v>20000000</v>
      </c>
      <c r="P344" s="214" t="s">
        <v>1081</v>
      </c>
      <c r="Q344" t="s">
        <v>3561</v>
      </c>
    </row>
    <row r="345" spans="1:17" ht="58" hidden="1" x14ac:dyDescent="0.35">
      <c r="A345" s="6">
        <v>13</v>
      </c>
      <c r="B345" s="7" t="s">
        <v>480</v>
      </c>
      <c r="C345" s="9" t="s">
        <v>481</v>
      </c>
      <c r="D345" s="211" t="s">
        <v>1021</v>
      </c>
      <c r="E345" s="9" t="s">
        <v>992</v>
      </c>
      <c r="F345" s="9" t="s">
        <v>1082</v>
      </c>
      <c r="G345" s="84" t="s">
        <v>1083</v>
      </c>
      <c r="H345" s="84" t="s">
        <v>1083</v>
      </c>
      <c r="I345" s="84" t="s">
        <v>1084</v>
      </c>
      <c r="J345" s="14">
        <v>150000000</v>
      </c>
      <c r="K345" s="6" t="s">
        <v>1025</v>
      </c>
      <c r="L345" s="6">
        <v>2912570</v>
      </c>
      <c r="M345" s="32" t="s">
        <v>97</v>
      </c>
      <c r="N345" s="6" t="s">
        <v>1085</v>
      </c>
      <c r="O345" s="14">
        <v>150000000</v>
      </c>
      <c r="P345" s="212" t="s">
        <v>1044</v>
      </c>
      <c r="Q345" t="s">
        <v>3561</v>
      </c>
    </row>
    <row r="346" spans="1:17" ht="58" hidden="1" x14ac:dyDescent="0.35">
      <c r="A346" s="6">
        <v>14</v>
      </c>
      <c r="B346" s="7" t="s">
        <v>480</v>
      </c>
      <c r="C346" s="9" t="s">
        <v>481</v>
      </c>
      <c r="D346" s="9" t="s">
        <v>1021</v>
      </c>
      <c r="E346" s="9" t="s">
        <v>1086</v>
      </c>
      <c r="F346" s="9" t="s">
        <v>678</v>
      </c>
      <c r="G346" s="6" t="s">
        <v>670</v>
      </c>
      <c r="H346" s="6" t="s">
        <v>679</v>
      </c>
      <c r="I346" s="6"/>
      <c r="J346" s="14"/>
      <c r="K346" s="6" t="s">
        <v>1025</v>
      </c>
      <c r="L346" s="6"/>
      <c r="M346" s="32" t="s">
        <v>97</v>
      </c>
      <c r="N346" s="216" t="s">
        <v>1087</v>
      </c>
      <c r="O346" s="210">
        <v>84000000</v>
      </c>
      <c r="P346" s="140" t="s">
        <v>1088</v>
      </c>
      <c r="Q346" t="s">
        <v>3561</v>
      </c>
    </row>
    <row r="347" spans="1:17" ht="58" hidden="1" x14ac:dyDescent="0.35">
      <c r="A347" s="6">
        <v>15</v>
      </c>
      <c r="B347" s="7" t="s">
        <v>480</v>
      </c>
      <c r="C347" s="9" t="s">
        <v>481</v>
      </c>
      <c r="D347" s="211" t="s">
        <v>1021</v>
      </c>
      <c r="E347" s="9" t="s">
        <v>1089</v>
      </c>
      <c r="F347" s="9" t="s">
        <v>1090</v>
      </c>
      <c r="G347" s="6" t="s">
        <v>208</v>
      </c>
      <c r="H347" s="6" t="s">
        <v>1091</v>
      </c>
      <c r="I347" s="6" t="s">
        <v>1092</v>
      </c>
      <c r="J347" s="14">
        <v>100000000</v>
      </c>
      <c r="K347" s="6" t="s">
        <v>1025</v>
      </c>
      <c r="L347" s="6">
        <v>2791425</v>
      </c>
      <c r="M347" s="32" t="s">
        <v>97</v>
      </c>
      <c r="N347" s="6" t="s">
        <v>1066</v>
      </c>
      <c r="O347" s="14">
        <v>100000000</v>
      </c>
      <c r="P347" s="212" t="s">
        <v>1044</v>
      </c>
      <c r="Q347" t="s">
        <v>3561</v>
      </c>
    </row>
    <row r="348" spans="1:17" ht="174" hidden="1" x14ac:dyDescent="0.35">
      <c r="A348" s="6">
        <v>16</v>
      </c>
      <c r="B348" s="7" t="s">
        <v>480</v>
      </c>
      <c r="C348" s="9" t="s">
        <v>481</v>
      </c>
      <c r="D348" s="211" t="s">
        <v>1021</v>
      </c>
      <c r="E348" s="9" t="s">
        <v>1093</v>
      </c>
      <c r="F348" s="9" t="s">
        <v>1094</v>
      </c>
      <c r="G348" s="6" t="s">
        <v>208</v>
      </c>
      <c r="H348" s="6" t="s">
        <v>94</v>
      </c>
      <c r="I348" s="6" t="s">
        <v>1095</v>
      </c>
      <c r="J348" s="14">
        <v>200000000</v>
      </c>
      <c r="K348" s="6" t="s">
        <v>1025</v>
      </c>
      <c r="L348" s="6">
        <v>2961806</v>
      </c>
      <c r="M348" s="32" t="s">
        <v>97</v>
      </c>
      <c r="N348" s="6" t="s">
        <v>1096</v>
      </c>
      <c r="O348" s="14">
        <v>181610000</v>
      </c>
      <c r="P348" s="214" t="s">
        <v>1097</v>
      </c>
      <c r="Q348" t="s">
        <v>3561</v>
      </c>
    </row>
    <row r="349" spans="1:17" ht="72.5" hidden="1" x14ac:dyDescent="0.35">
      <c r="A349" s="6">
        <v>17</v>
      </c>
      <c r="B349" s="7" t="s">
        <v>480</v>
      </c>
      <c r="C349" s="9" t="s">
        <v>481</v>
      </c>
      <c r="D349" s="9" t="s">
        <v>1021</v>
      </c>
      <c r="E349" s="9" t="s">
        <v>1098</v>
      </c>
      <c r="F349" s="9" t="s">
        <v>1099</v>
      </c>
      <c r="G349" s="84" t="s">
        <v>504</v>
      </c>
      <c r="H349" s="84" t="s">
        <v>1100</v>
      </c>
      <c r="I349" s="6" t="s">
        <v>854</v>
      </c>
      <c r="J349" s="14">
        <v>15000000</v>
      </c>
      <c r="K349" s="6" t="s">
        <v>1025</v>
      </c>
      <c r="L349" s="6">
        <v>2816775</v>
      </c>
      <c r="M349" s="32" t="s">
        <v>97</v>
      </c>
      <c r="N349" s="6" t="s">
        <v>1101</v>
      </c>
      <c r="O349" s="14">
        <v>25000000</v>
      </c>
      <c r="P349" s="214" t="s">
        <v>1102</v>
      </c>
      <c r="Q349" t="s">
        <v>3561</v>
      </c>
    </row>
    <row r="350" spans="1:17" ht="145" hidden="1" x14ac:dyDescent="0.35">
      <c r="A350" s="6">
        <v>18</v>
      </c>
      <c r="B350" s="7" t="s">
        <v>480</v>
      </c>
      <c r="C350" s="9" t="s">
        <v>481</v>
      </c>
      <c r="D350" s="9" t="s">
        <v>1021</v>
      </c>
      <c r="E350" s="9" t="s">
        <v>1103</v>
      </c>
      <c r="F350" s="9" t="s">
        <v>1099</v>
      </c>
      <c r="G350" s="6" t="s">
        <v>504</v>
      </c>
      <c r="H350" s="6" t="s">
        <v>1104</v>
      </c>
      <c r="I350" s="6" t="s">
        <v>1105</v>
      </c>
      <c r="J350" s="14">
        <v>100000000</v>
      </c>
      <c r="K350" s="6" t="s">
        <v>1025</v>
      </c>
      <c r="L350" s="6" t="s">
        <v>273</v>
      </c>
      <c r="M350" s="32" t="s">
        <v>97</v>
      </c>
      <c r="N350" s="6" t="s">
        <v>1106</v>
      </c>
      <c r="O350" s="14">
        <v>100000000</v>
      </c>
      <c r="P350" s="7" t="s">
        <v>1107</v>
      </c>
      <c r="Q350" t="s">
        <v>3561</v>
      </c>
    </row>
    <row r="351" spans="1:17" ht="174" hidden="1" x14ac:dyDescent="0.35">
      <c r="A351" s="6">
        <v>19</v>
      </c>
      <c r="B351" s="7" t="s">
        <v>480</v>
      </c>
      <c r="C351" s="9" t="s">
        <v>481</v>
      </c>
      <c r="D351" s="9" t="s">
        <v>1021</v>
      </c>
      <c r="E351" s="9" t="s">
        <v>1108</v>
      </c>
      <c r="F351" s="9" t="s">
        <v>1109</v>
      </c>
      <c r="G351" s="6" t="s">
        <v>566</v>
      </c>
      <c r="H351" s="6" t="s">
        <v>567</v>
      </c>
      <c r="I351" s="84" t="s">
        <v>1110</v>
      </c>
      <c r="J351" s="105">
        <v>110170000</v>
      </c>
      <c r="K351" s="84" t="s">
        <v>1025</v>
      </c>
      <c r="L351" s="6">
        <v>2874168</v>
      </c>
      <c r="M351" s="32" t="s">
        <v>97</v>
      </c>
      <c r="N351" s="6" t="s">
        <v>1111</v>
      </c>
      <c r="O351" s="14">
        <v>81570000</v>
      </c>
      <c r="P351" s="7" t="s">
        <v>1112</v>
      </c>
      <c r="Q351" t="s">
        <v>3561</v>
      </c>
    </row>
    <row r="352" spans="1:17" ht="58" hidden="1" x14ac:dyDescent="0.35">
      <c r="A352" s="6">
        <v>20</v>
      </c>
      <c r="B352" s="7" t="s">
        <v>480</v>
      </c>
      <c r="C352" s="9" t="s">
        <v>481</v>
      </c>
      <c r="D352" s="9" t="s">
        <v>1021</v>
      </c>
      <c r="E352" s="9" t="s">
        <v>1113</v>
      </c>
      <c r="F352" s="9" t="s">
        <v>1109</v>
      </c>
      <c r="G352" s="6" t="s">
        <v>566</v>
      </c>
      <c r="H352" s="6" t="s">
        <v>567</v>
      </c>
      <c r="I352" s="84"/>
      <c r="J352" s="105"/>
      <c r="K352" s="84" t="s">
        <v>1025</v>
      </c>
      <c r="L352" s="126" t="s">
        <v>568</v>
      </c>
      <c r="M352" s="32" t="s">
        <v>97</v>
      </c>
      <c r="N352" s="6" t="s">
        <v>1114</v>
      </c>
      <c r="O352" s="14">
        <v>28600000</v>
      </c>
      <c r="P352" s="7" t="s">
        <v>1115</v>
      </c>
      <c r="Q352" t="s">
        <v>3561</v>
      </c>
    </row>
    <row r="353" spans="1:17" ht="174" hidden="1" x14ac:dyDescent="0.35">
      <c r="A353" s="6">
        <v>21</v>
      </c>
      <c r="B353" s="7" t="s">
        <v>480</v>
      </c>
      <c r="C353" s="9" t="s">
        <v>481</v>
      </c>
      <c r="D353" s="9" t="s">
        <v>1021</v>
      </c>
      <c r="E353" s="9" t="s">
        <v>1108</v>
      </c>
      <c r="F353" s="9" t="s">
        <v>1116</v>
      </c>
      <c r="G353" s="6" t="s">
        <v>566</v>
      </c>
      <c r="H353" s="6" t="s">
        <v>1117</v>
      </c>
      <c r="I353" s="84" t="s">
        <v>1110</v>
      </c>
      <c r="J353" s="105">
        <v>110170000</v>
      </c>
      <c r="K353" s="84" t="s">
        <v>1025</v>
      </c>
      <c r="L353" s="6">
        <v>2874071</v>
      </c>
      <c r="M353" s="32" t="s">
        <v>97</v>
      </c>
      <c r="N353" s="6" t="s">
        <v>1118</v>
      </c>
      <c r="O353" s="14">
        <v>81570000</v>
      </c>
      <c r="P353" s="7" t="s">
        <v>1112</v>
      </c>
      <c r="Q353" t="s">
        <v>3561</v>
      </c>
    </row>
    <row r="354" spans="1:17" ht="58" hidden="1" x14ac:dyDescent="0.35">
      <c r="A354" s="6">
        <v>22</v>
      </c>
      <c r="B354" s="7" t="s">
        <v>480</v>
      </c>
      <c r="C354" s="9" t="s">
        <v>481</v>
      </c>
      <c r="D354" s="9" t="s">
        <v>1021</v>
      </c>
      <c r="E354" s="9" t="s">
        <v>1113</v>
      </c>
      <c r="F354" s="9" t="s">
        <v>1116</v>
      </c>
      <c r="G354" s="6" t="s">
        <v>566</v>
      </c>
      <c r="H354" s="6" t="s">
        <v>1117</v>
      </c>
      <c r="I354" s="84"/>
      <c r="J354" s="105"/>
      <c r="K354" s="84" t="s">
        <v>1025</v>
      </c>
      <c r="L354" s="126" t="s">
        <v>568</v>
      </c>
      <c r="M354" s="32" t="s">
        <v>97</v>
      </c>
      <c r="N354" s="6" t="s">
        <v>1114</v>
      </c>
      <c r="O354" s="14">
        <v>28600000</v>
      </c>
      <c r="P354" s="7" t="s">
        <v>1115</v>
      </c>
      <c r="Q354" t="s">
        <v>3561</v>
      </c>
    </row>
    <row r="355" spans="1:17" ht="174" hidden="1" x14ac:dyDescent="0.35">
      <c r="A355" s="6">
        <v>23</v>
      </c>
      <c r="B355" s="7" t="s">
        <v>480</v>
      </c>
      <c r="C355" s="9" t="s">
        <v>481</v>
      </c>
      <c r="D355" s="9" t="s">
        <v>1021</v>
      </c>
      <c r="E355" s="9" t="s">
        <v>1108</v>
      </c>
      <c r="F355" s="9" t="s">
        <v>1119</v>
      </c>
      <c r="G355" s="6" t="s">
        <v>566</v>
      </c>
      <c r="H355" s="6" t="s">
        <v>1120</v>
      </c>
      <c r="I355" s="84" t="s">
        <v>1110</v>
      </c>
      <c r="J355" s="105">
        <v>110170000</v>
      </c>
      <c r="K355" s="84" t="s">
        <v>1025</v>
      </c>
      <c r="L355" s="6">
        <v>2958596</v>
      </c>
      <c r="M355" s="32" t="s">
        <v>97</v>
      </c>
      <c r="N355" s="6" t="s">
        <v>1121</v>
      </c>
      <c r="O355" s="14">
        <v>81570000</v>
      </c>
      <c r="P355" s="7" t="s">
        <v>1112</v>
      </c>
      <c r="Q355" t="s">
        <v>3561</v>
      </c>
    </row>
    <row r="356" spans="1:17" ht="58" hidden="1" x14ac:dyDescent="0.35">
      <c r="A356" s="6">
        <v>24</v>
      </c>
      <c r="B356" s="7" t="s">
        <v>480</v>
      </c>
      <c r="C356" s="9" t="s">
        <v>481</v>
      </c>
      <c r="D356" s="9" t="s">
        <v>1021</v>
      </c>
      <c r="E356" s="9" t="s">
        <v>1113</v>
      </c>
      <c r="F356" s="9" t="s">
        <v>1116</v>
      </c>
      <c r="G356" s="6" t="s">
        <v>566</v>
      </c>
      <c r="H356" s="6" t="s">
        <v>1120</v>
      </c>
      <c r="I356" s="84"/>
      <c r="J356" s="105"/>
      <c r="K356" s="84" t="s">
        <v>1025</v>
      </c>
      <c r="L356" s="126" t="s">
        <v>568</v>
      </c>
      <c r="M356" s="32" t="s">
        <v>97</v>
      </c>
      <c r="N356" s="6" t="s">
        <v>1114</v>
      </c>
      <c r="O356" s="14">
        <v>28600000</v>
      </c>
      <c r="P356" s="7" t="s">
        <v>1115</v>
      </c>
      <c r="Q356" t="s">
        <v>3561</v>
      </c>
    </row>
    <row r="357" spans="1:17" ht="174" hidden="1" x14ac:dyDescent="0.35">
      <c r="A357" s="6">
        <v>25</v>
      </c>
      <c r="B357" s="7" t="s">
        <v>480</v>
      </c>
      <c r="C357" s="9" t="s">
        <v>481</v>
      </c>
      <c r="D357" s="9" t="s">
        <v>1021</v>
      </c>
      <c r="E357" s="9" t="s">
        <v>1108</v>
      </c>
      <c r="F357" s="9" t="s">
        <v>1122</v>
      </c>
      <c r="G357" s="6" t="s">
        <v>566</v>
      </c>
      <c r="H357" s="6" t="s">
        <v>1123</v>
      </c>
      <c r="I357" s="84"/>
      <c r="J357" s="105"/>
      <c r="K357" s="84" t="s">
        <v>1025</v>
      </c>
      <c r="L357" s="126" t="s">
        <v>568</v>
      </c>
      <c r="M357" s="32" t="s">
        <v>97</v>
      </c>
      <c r="N357" s="6" t="s">
        <v>1124</v>
      </c>
      <c r="O357" s="14">
        <v>81570000</v>
      </c>
      <c r="P357" s="7" t="s">
        <v>1112</v>
      </c>
      <c r="Q357" t="s">
        <v>3561</v>
      </c>
    </row>
    <row r="358" spans="1:17" ht="58" hidden="1" x14ac:dyDescent="0.35">
      <c r="A358" s="6">
        <v>26</v>
      </c>
      <c r="B358" s="7" t="s">
        <v>480</v>
      </c>
      <c r="C358" s="9" t="s">
        <v>481</v>
      </c>
      <c r="D358" s="9" t="s">
        <v>1021</v>
      </c>
      <c r="E358" s="9" t="s">
        <v>1113</v>
      </c>
      <c r="F358" s="9" t="s">
        <v>1122</v>
      </c>
      <c r="G358" s="6" t="s">
        <v>566</v>
      </c>
      <c r="H358" s="6" t="s">
        <v>1123</v>
      </c>
      <c r="I358" s="84"/>
      <c r="J358" s="105"/>
      <c r="K358" s="84" t="s">
        <v>1025</v>
      </c>
      <c r="L358" s="126" t="s">
        <v>568</v>
      </c>
      <c r="M358" s="32" t="s">
        <v>97</v>
      </c>
      <c r="N358" s="6" t="s">
        <v>1114</v>
      </c>
      <c r="O358" s="14">
        <v>28600000</v>
      </c>
      <c r="P358" s="7" t="s">
        <v>1115</v>
      </c>
      <c r="Q358" t="s">
        <v>3561</v>
      </c>
    </row>
    <row r="359" spans="1:17" ht="58" hidden="1" x14ac:dyDescent="0.35">
      <c r="A359" s="6">
        <v>27</v>
      </c>
      <c r="B359" s="7" t="s">
        <v>480</v>
      </c>
      <c r="C359" s="9" t="s">
        <v>481</v>
      </c>
      <c r="D359" s="211" t="s">
        <v>1021</v>
      </c>
      <c r="E359" s="9" t="s">
        <v>1125</v>
      </c>
      <c r="F359" s="9" t="s">
        <v>1126</v>
      </c>
      <c r="G359" s="6" t="s">
        <v>1127</v>
      </c>
      <c r="H359" s="6" t="s">
        <v>1128</v>
      </c>
      <c r="I359" s="6" t="s">
        <v>1129</v>
      </c>
      <c r="J359" s="14">
        <v>196000000</v>
      </c>
      <c r="K359" s="6" t="s">
        <v>1025</v>
      </c>
      <c r="L359" s="6">
        <v>2843362</v>
      </c>
      <c r="M359" s="32" t="s">
        <v>97</v>
      </c>
      <c r="N359" s="6" t="s">
        <v>1130</v>
      </c>
      <c r="O359" s="14">
        <v>168000000</v>
      </c>
      <c r="P359" s="212" t="s">
        <v>1044</v>
      </c>
      <c r="Q359" t="s">
        <v>3561</v>
      </c>
    </row>
    <row r="360" spans="1:17" ht="116" hidden="1" x14ac:dyDescent="0.35">
      <c r="A360" s="6">
        <v>28</v>
      </c>
      <c r="B360" s="217" t="s">
        <v>480</v>
      </c>
      <c r="C360" s="218" t="s">
        <v>481</v>
      </c>
      <c r="D360" s="218" t="s">
        <v>1021</v>
      </c>
      <c r="E360" s="218" t="s">
        <v>1131</v>
      </c>
      <c r="F360" s="218" t="s">
        <v>1132</v>
      </c>
      <c r="G360" s="219" t="s">
        <v>334</v>
      </c>
      <c r="H360" s="219" t="s">
        <v>1133</v>
      </c>
      <c r="I360" s="219" t="s">
        <v>1134</v>
      </c>
      <c r="J360" s="220">
        <v>53856000</v>
      </c>
      <c r="K360" s="219" t="s">
        <v>1025</v>
      </c>
      <c r="L360" s="219">
        <v>2794673</v>
      </c>
      <c r="M360" s="219" t="s">
        <v>109</v>
      </c>
      <c r="N360" s="202" t="s">
        <v>1135</v>
      </c>
      <c r="O360" s="138">
        <v>95040000</v>
      </c>
      <c r="P360" s="212" t="s">
        <v>1044</v>
      </c>
      <c r="Q360" t="s">
        <v>3561</v>
      </c>
    </row>
    <row r="361" spans="1:17" ht="58" hidden="1" x14ac:dyDescent="0.35">
      <c r="A361" s="6">
        <v>29</v>
      </c>
      <c r="B361" s="217" t="s">
        <v>480</v>
      </c>
      <c r="C361" s="218" t="s">
        <v>481</v>
      </c>
      <c r="D361" s="218" t="s">
        <v>1021</v>
      </c>
      <c r="E361" s="218" t="s">
        <v>1039</v>
      </c>
      <c r="F361" s="218" t="s">
        <v>1136</v>
      </c>
      <c r="G361" s="219" t="s">
        <v>107</v>
      </c>
      <c r="H361" s="219" t="s">
        <v>1137</v>
      </c>
      <c r="I361" s="219" t="s">
        <v>1138</v>
      </c>
      <c r="J361" s="220">
        <v>99500000</v>
      </c>
      <c r="K361" s="219" t="s">
        <v>1025</v>
      </c>
      <c r="L361" s="219">
        <v>2791239</v>
      </c>
      <c r="M361" s="219" t="s">
        <v>109</v>
      </c>
      <c r="N361" s="202" t="s">
        <v>1139</v>
      </c>
      <c r="O361" s="138">
        <v>99500000</v>
      </c>
      <c r="P361" s="212" t="s">
        <v>1044</v>
      </c>
      <c r="Q361" t="s">
        <v>3561</v>
      </c>
    </row>
    <row r="362" spans="1:17" ht="72.5" hidden="1" x14ac:dyDescent="0.35">
      <c r="A362" s="6">
        <v>30</v>
      </c>
      <c r="B362" s="217" t="s">
        <v>480</v>
      </c>
      <c r="C362" s="218" t="s">
        <v>481</v>
      </c>
      <c r="D362" s="218" t="s">
        <v>1021</v>
      </c>
      <c r="E362" s="218" t="s">
        <v>1140</v>
      </c>
      <c r="F362" s="218" t="s">
        <v>1141</v>
      </c>
      <c r="G362" s="219" t="s">
        <v>334</v>
      </c>
      <c r="H362" s="219" t="s">
        <v>1142</v>
      </c>
      <c r="I362" s="219" t="s">
        <v>1143</v>
      </c>
      <c r="J362" s="220">
        <v>75000000</v>
      </c>
      <c r="K362" s="219" t="s">
        <v>1025</v>
      </c>
      <c r="L362" s="219">
        <v>2792740</v>
      </c>
      <c r="M362" s="219" t="s">
        <v>109</v>
      </c>
      <c r="N362" s="205" t="s">
        <v>1144</v>
      </c>
      <c r="O362" s="138">
        <v>75000000</v>
      </c>
      <c r="P362" s="212" t="s">
        <v>1045</v>
      </c>
      <c r="Q362" t="s">
        <v>3561</v>
      </c>
    </row>
    <row r="363" spans="1:17" ht="58" hidden="1" x14ac:dyDescent="0.35">
      <c r="A363" s="6">
        <v>31</v>
      </c>
      <c r="B363" s="217" t="s">
        <v>480</v>
      </c>
      <c r="C363" s="218" t="s">
        <v>481</v>
      </c>
      <c r="D363" s="218" t="s">
        <v>1021</v>
      </c>
      <c r="E363" s="218" t="s">
        <v>1145</v>
      </c>
      <c r="F363" s="218" t="s">
        <v>1146</v>
      </c>
      <c r="G363" s="219" t="s">
        <v>1147</v>
      </c>
      <c r="H363" s="219" t="s">
        <v>1148</v>
      </c>
      <c r="I363" s="219" t="s">
        <v>1149</v>
      </c>
      <c r="J363" s="220">
        <v>700000000</v>
      </c>
      <c r="K363" s="219" t="s">
        <v>1025</v>
      </c>
      <c r="L363" s="219">
        <v>2931700</v>
      </c>
      <c r="M363" s="219" t="s">
        <v>109</v>
      </c>
      <c r="N363" s="202" t="s">
        <v>1150</v>
      </c>
      <c r="O363" s="138">
        <v>200000000</v>
      </c>
      <c r="P363" s="212" t="s">
        <v>1044</v>
      </c>
      <c r="Q363" t="s">
        <v>3561</v>
      </c>
    </row>
    <row r="364" spans="1:17" ht="174" hidden="1" x14ac:dyDescent="0.35">
      <c r="A364" s="6">
        <v>32</v>
      </c>
      <c r="B364" s="217" t="s">
        <v>480</v>
      </c>
      <c r="C364" s="218" t="s">
        <v>481</v>
      </c>
      <c r="D364" s="218" t="s">
        <v>1021</v>
      </c>
      <c r="E364" s="218" t="s">
        <v>1151</v>
      </c>
      <c r="F364" s="218" t="s">
        <v>1152</v>
      </c>
      <c r="G364" s="219" t="s">
        <v>1147</v>
      </c>
      <c r="H364" s="219" t="s">
        <v>1153</v>
      </c>
      <c r="I364" s="219" t="s">
        <v>35</v>
      </c>
      <c r="J364" s="220">
        <v>100000000</v>
      </c>
      <c r="K364" s="219" t="s">
        <v>1025</v>
      </c>
      <c r="L364" s="219">
        <v>2939887</v>
      </c>
      <c r="M364" s="219" t="s">
        <v>109</v>
      </c>
      <c r="N364" s="6" t="s">
        <v>1154</v>
      </c>
      <c r="O364" s="138">
        <v>100000000</v>
      </c>
      <c r="P364" s="9"/>
      <c r="Q364" t="s">
        <v>3561</v>
      </c>
    </row>
    <row r="365" spans="1:17" ht="174" hidden="1" x14ac:dyDescent="0.35">
      <c r="A365" s="6">
        <v>33</v>
      </c>
      <c r="B365" s="217" t="s">
        <v>480</v>
      </c>
      <c r="C365" s="218" t="s">
        <v>481</v>
      </c>
      <c r="D365" s="218" t="s">
        <v>1021</v>
      </c>
      <c r="E365" s="218" t="s">
        <v>1151</v>
      </c>
      <c r="F365" s="218" t="s">
        <v>1155</v>
      </c>
      <c r="G365" s="219" t="s">
        <v>1147</v>
      </c>
      <c r="H365" s="219" t="s">
        <v>1156</v>
      </c>
      <c r="I365" s="219" t="s">
        <v>35</v>
      </c>
      <c r="J365" s="220">
        <v>100000000</v>
      </c>
      <c r="K365" s="219" t="s">
        <v>1025</v>
      </c>
      <c r="L365" s="219">
        <v>2940112</v>
      </c>
      <c r="M365" s="219" t="s">
        <v>109</v>
      </c>
      <c r="N365" s="6" t="s">
        <v>1154</v>
      </c>
      <c r="O365" s="138">
        <v>100000000</v>
      </c>
      <c r="P365" s="9"/>
      <c r="Q365" t="s">
        <v>3561</v>
      </c>
    </row>
    <row r="366" spans="1:17" ht="174" hidden="1" x14ac:dyDescent="0.35">
      <c r="A366" s="6">
        <v>34</v>
      </c>
      <c r="B366" s="217" t="s">
        <v>480</v>
      </c>
      <c r="C366" s="218" t="s">
        <v>481</v>
      </c>
      <c r="D366" s="218" t="s">
        <v>1021</v>
      </c>
      <c r="E366" s="218" t="s">
        <v>1151</v>
      </c>
      <c r="F366" s="218" t="s">
        <v>1157</v>
      </c>
      <c r="G366" s="219" t="s">
        <v>1147</v>
      </c>
      <c r="H366" s="219" t="s">
        <v>1158</v>
      </c>
      <c r="I366" s="219" t="s">
        <v>35</v>
      </c>
      <c r="J366" s="220">
        <v>100000000</v>
      </c>
      <c r="K366" s="219" t="s">
        <v>1025</v>
      </c>
      <c r="L366" s="219">
        <v>2939957</v>
      </c>
      <c r="M366" s="219" t="s">
        <v>109</v>
      </c>
      <c r="N366" s="6" t="s">
        <v>1154</v>
      </c>
      <c r="O366" s="138">
        <v>100000000</v>
      </c>
      <c r="P366" s="9"/>
      <c r="Q366" t="s">
        <v>3561</v>
      </c>
    </row>
    <row r="367" spans="1:17" ht="72.5" hidden="1" x14ac:dyDescent="0.35">
      <c r="A367" s="6">
        <v>35</v>
      </c>
      <c r="B367" s="217" t="s">
        <v>480</v>
      </c>
      <c r="C367" s="218" t="s">
        <v>481</v>
      </c>
      <c r="D367" s="218" t="s">
        <v>1021</v>
      </c>
      <c r="E367" s="218" t="s">
        <v>1159</v>
      </c>
      <c r="F367" s="218" t="s">
        <v>1160</v>
      </c>
      <c r="G367" s="219" t="s">
        <v>298</v>
      </c>
      <c r="H367" s="219" t="s">
        <v>701</v>
      </c>
      <c r="I367" s="219" t="s">
        <v>35</v>
      </c>
      <c r="J367" s="220">
        <v>85000000</v>
      </c>
      <c r="K367" s="219" t="s">
        <v>1025</v>
      </c>
      <c r="L367" s="219">
        <v>2943482</v>
      </c>
      <c r="M367" s="219" t="s">
        <v>109</v>
      </c>
      <c r="N367" s="202" t="s">
        <v>1161</v>
      </c>
      <c r="O367" s="138">
        <v>85000000</v>
      </c>
      <c r="P367" s="214" t="s">
        <v>1162</v>
      </c>
      <c r="Q367" t="s">
        <v>3561</v>
      </c>
    </row>
    <row r="368" spans="1:17" ht="58" hidden="1" x14ac:dyDescent="0.35">
      <c r="A368" s="6">
        <v>36</v>
      </c>
      <c r="B368" s="217" t="s">
        <v>480</v>
      </c>
      <c r="C368" s="218" t="s">
        <v>481</v>
      </c>
      <c r="D368" s="218" t="s">
        <v>1021</v>
      </c>
      <c r="E368" s="218" t="s">
        <v>1163</v>
      </c>
      <c r="F368" s="218" t="s">
        <v>1160</v>
      </c>
      <c r="G368" s="219" t="s">
        <v>298</v>
      </c>
      <c r="H368" s="219" t="s">
        <v>299</v>
      </c>
      <c r="I368" s="219" t="s">
        <v>1164</v>
      </c>
      <c r="J368" s="220">
        <v>150000000</v>
      </c>
      <c r="K368" s="219" t="s">
        <v>1025</v>
      </c>
      <c r="L368" s="219">
        <v>2968221</v>
      </c>
      <c r="M368" s="219" t="s">
        <v>109</v>
      </c>
      <c r="N368" s="202" t="s">
        <v>1085</v>
      </c>
      <c r="O368" s="138">
        <v>150000000</v>
      </c>
      <c r="P368" s="212" t="s">
        <v>1044</v>
      </c>
      <c r="Q368" t="s">
        <v>3561</v>
      </c>
    </row>
    <row r="369" spans="1:17" ht="174" hidden="1" x14ac:dyDescent="0.35">
      <c r="A369" s="6">
        <v>37</v>
      </c>
      <c r="B369" s="217" t="s">
        <v>480</v>
      </c>
      <c r="C369" s="218" t="s">
        <v>481</v>
      </c>
      <c r="D369" s="218" t="s">
        <v>1021</v>
      </c>
      <c r="E369" s="218" t="s">
        <v>1151</v>
      </c>
      <c r="F369" s="218" t="s">
        <v>1165</v>
      </c>
      <c r="G369" s="219" t="s">
        <v>298</v>
      </c>
      <c r="H369" s="219" t="s">
        <v>1166</v>
      </c>
      <c r="I369" s="219" t="s">
        <v>35</v>
      </c>
      <c r="J369" s="220">
        <v>75000000</v>
      </c>
      <c r="K369" s="219" t="s">
        <v>1025</v>
      </c>
      <c r="L369" s="219">
        <v>2969450</v>
      </c>
      <c r="M369" s="219" t="s">
        <v>109</v>
      </c>
      <c r="N369" s="6" t="s">
        <v>1167</v>
      </c>
      <c r="O369" s="138">
        <v>150000000</v>
      </c>
      <c r="P369" s="9"/>
      <c r="Q369" t="s">
        <v>3561</v>
      </c>
    </row>
    <row r="370" spans="1:17" ht="58" hidden="1" x14ac:dyDescent="0.35">
      <c r="A370" s="6">
        <v>38</v>
      </c>
      <c r="B370" s="217" t="s">
        <v>480</v>
      </c>
      <c r="C370" s="218" t="s">
        <v>481</v>
      </c>
      <c r="D370" s="218" t="s">
        <v>1021</v>
      </c>
      <c r="E370" s="218" t="s">
        <v>1039</v>
      </c>
      <c r="F370" s="218" t="s">
        <v>1168</v>
      </c>
      <c r="G370" s="219" t="s">
        <v>308</v>
      </c>
      <c r="H370" s="219" t="s">
        <v>1169</v>
      </c>
      <c r="I370" s="219" t="s">
        <v>1170</v>
      </c>
      <c r="J370" s="220">
        <v>200000000</v>
      </c>
      <c r="K370" s="219" t="s">
        <v>1025</v>
      </c>
      <c r="L370" s="219">
        <v>2907650</v>
      </c>
      <c r="M370" s="219" t="s">
        <v>109</v>
      </c>
      <c r="N370" s="202" t="s">
        <v>1150</v>
      </c>
      <c r="O370" s="138">
        <v>200000000</v>
      </c>
      <c r="P370" s="212" t="s">
        <v>1044</v>
      </c>
      <c r="Q370" t="s">
        <v>3561</v>
      </c>
    </row>
    <row r="371" spans="1:17" ht="58" hidden="1" x14ac:dyDescent="0.35">
      <c r="A371" s="6">
        <v>39</v>
      </c>
      <c r="B371" s="217" t="s">
        <v>480</v>
      </c>
      <c r="C371" s="218" t="s">
        <v>481</v>
      </c>
      <c r="D371" s="218" t="s">
        <v>1021</v>
      </c>
      <c r="E371" s="218" t="s">
        <v>1039</v>
      </c>
      <c r="F371" s="218" t="s">
        <v>1171</v>
      </c>
      <c r="G371" s="219" t="s">
        <v>308</v>
      </c>
      <c r="H371" s="219" t="s">
        <v>1172</v>
      </c>
      <c r="I371" s="219" t="s">
        <v>1173</v>
      </c>
      <c r="J371" s="220">
        <v>100000000</v>
      </c>
      <c r="K371" s="219" t="s">
        <v>1025</v>
      </c>
      <c r="L371" s="219">
        <v>2914824</v>
      </c>
      <c r="M371" s="219" t="s">
        <v>109</v>
      </c>
      <c r="N371" s="202" t="s">
        <v>1174</v>
      </c>
      <c r="O371" s="138">
        <v>50800000</v>
      </c>
      <c r="P371" s="212" t="s">
        <v>1044</v>
      </c>
      <c r="Q371" t="s">
        <v>3561</v>
      </c>
    </row>
    <row r="372" spans="1:17" ht="58" hidden="1" x14ac:dyDescent="0.35">
      <c r="A372" s="6">
        <v>40</v>
      </c>
      <c r="B372" s="217" t="s">
        <v>480</v>
      </c>
      <c r="C372" s="218" t="s">
        <v>481</v>
      </c>
      <c r="D372" s="218" t="s">
        <v>1021</v>
      </c>
      <c r="E372" s="218" t="s">
        <v>1175</v>
      </c>
      <c r="F372" s="218" t="s">
        <v>186</v>
      </c>
      <c r="G372" s="219" t="s">
        <v>116</v>
      </c>
      <c r="H372" s="219" t="s">
        <v>117</v>
      </c>
      <c r="I372" s="219" t="s">
        <v>431</v>
      </c>
      <c r="J372" s="220">
        <v>30000000</v>
      </c>
      <c r="K372" s="219" t="s">
        <v>1025</v>
      </c>
      <c r="L372" s="219">
        <v>2922467</v>
      </c>
      <c r="M372" s="219" t="s">
        <v>109</v>
      </c>
      <c r="N372" s="202" t="s">
        <v>1176</v>
      </c>
      <c r="O372" s="138">
        <v>30000000</v>
      </c>
      <c r="P372" s="214" t="s">
        <v>1177</v>
      </c>
      <c r="Q372" t="s">
        <v>3561</v>
      </c>
    </row>
    <row r="373" spans="1:17" ht="58" hidden="1" x14ac:dyDescent="0.35">
      <c r="A373" s="6">
        <v>41</v>
      </c>
      <c r="B373" s="217" t="s">
        <v>480</v>
      </c>
      <c r="C373" s="218" t="s">
        <v>481</v>
      </c>
      <c r="D373" s="218" t="s">
        <v>1021</v>
      </c>
      <c r="E373" s="218" t="s">
        <v>1178</v>
      </c>
      <c r="F373" s="218" t="s">
        <v>1160</v>
      </c>
      <c r="G373" s="219" t="s">
        <v>116</v>
      </c>
      <c r="H373" s="219" t="s">
        <v>120</v>
      </c>
      <c r="I373" s="219" t="s">
        <v>1179</v>
      </c>
      <c r="J373" s="220">
        <v>160000000</v>
      </c>
      <c r="K373" s="219" t="s">
        <v>1025</v>
      </c>
      <c r="L373" s="219">
        <v>2913532</v>
      </c>
      <c r="M373" s="219" t="s">
        <v>109</v>
      </c>
      <c r="N373" s="202" t="s">
        <v>1180</v>
      </c>
      <c r="O373" s="138">
        <v>160000000</v>
      </c>
      <c r="P373" s="212" t="s">
        <v>1044</v>
      </c>
      <c r="Q373" t="s">
        <v>3561</v>
      </c>
    </row>
    <row r="374" spans="1:17" ht="58" hidden="1" x14ac:dyDescent="0.35">
      <c r="A374" s="6">
        <v>42</v>
      </c>
      <c r="B374" s="217" t="s">
        <v>480</v>
      </c>
      <c r="C374" s="218" t="s">
        <v>481</v>
      </c>
      <c r="D374" s="218" t="s">
        <v>1021</v>
      </c>
      <c r="E374" s="218" t="s">
        <v>1178</v>
      </c>
      <c r="F374" s="218" t="s">
        <v>1160</v>
      </c>
      <c r="G374" s="219" t="s">
        <v>116</v>
      </c>
      <c r="H374" s="219" t="s">
        <v>1181</v>
      </c>
      <c r="I374" s="219" t="s">
        <v>431</v>
      </c>
      <c r="J374" s="220">
        <v>190000000</v>
      </c>
      <c r="K374" s="219" t="s">
        <v>1025</v>
      </c>
      <c r="L374" s="219">
        <v>2857065</v>
      </c>
      <c r="M374" s="219" t="s">
        <v>109</v>
      </c>
      <c r="N374" s="202" t="s">
        <v>1182</v>
      </c>
      <c r="O374" s="138">
        <v>190000000</v>
      </c>
      <c r="P374" s="212" t="s">
        <v>1044</v>
      </c>
      <c r="Q374" t="s">
        <v>3561</v>
      </c>
    </row>
    <row r="375" spans="1:17" ht="58" hidden="1" x14ac:dyDescent="0.35">
      <c r="A375" s="6">
        <v>43</v>
      </c>
      <c r="B375" s="217" t="s">
        <v>480</v>
      </c>
      <c r="C375" s="218" t="s">
        <v>481</v>
      </c>
      <c r="D375" s="218" t="s">
        <v>1021</v>
      </c>
      <c r="E375" s="218" t="s">
        <v>1183</v>
      </c>
      <c r="F375" s="218" t="s">
        <v>1184</v>
      </c>
      <c r="G375" s="219" t="s">
        <v>1185</v>
      </c>
      <c r="H375" s="219" t="s">
        <v>1186</v>
      </c>
      <c r="I375" s="219" t="s">
        <v>1187</v>
      </c>
      <c r="J375" s="220">
        <v>100000000</v>
      </c>
      <c r="K375" s="219" t="s">
        <v>1025</v>
      </c>
      <c r="L375" s="219">
        <v>2769780</v>
      </c>
      <c r="M375" s="219" t="s">
        <v>109</v>
      </c>
      <c r="N375" s="202" t="s">
        <v>1188</v>
      </c>
      <c r="O375" s="138">
        <v>135000000</v>
      </c>
      <c r="P375" s="212" t="s">
        <v>1044</v>
      </c>
      <c r="Q375" t="s">
        <v>3561</v>
      </c>
    </row>
    <row r="376" spans="1:17" ht="58" hidden="1" x14ac:dyDescent="0.35">
      <c r="A376" s="6">
        <v>44</v>
      </c>
      <c r="B376" s="217" t="s">
        <v>480</v>
      </c>
      <c r="C376" s="218" t="s">
        <v>481</v>
      </c>
      <c r="D376" s="218" t="s">
        <v>1021</v>
      </c>
      <c r="E376" s="218" t="s">
        <v>1189</v>
      </c>
      <c r="F376" s="218" t="s">
        <v>1190</v>
      </c>
      <c r="G376" s="219" t="s">
        <v>1185</v>
      </c>
      <c r="H376" s="219" t="s">
        <v>1191</v>
      </c>
      <c r="I376" s="219" t="s">
        <v>1187</v>
      </c>
      <c r="J376" s="220">
        <v>100000000</v>
      </c>
      <c r="K376" s="219" t="s">
        <v>1025</v>
      </c>
      <c r="L376" s="219">
        <v>2826541</v>
      </c>
      <c r="M376" s="219" t="s">
        <v>109</v>
      </c>
      <c r="N376" s="202" t="s">
        <v>1192</v>
      </c>
      <c r="O376" s="138">
        <v>130735000</v>
      </c>
      <c r="P376" s="203" t="s">
        <v>1193</v>
      </c>
      <c r="Q376" t="s">
        <v>3561</v>
      </c>
    </row>
    <row r="377" spans="1:17" ht="58" hidden="1" x14ac:dyDescent="0.35">
      <c r="A377" s="6">
        <v>45</v>
      </c>
      <c r="B377" s="7" t="s">
        <v>480</v>
      </c>
      <c r="C377" s="9" t="s">
        <v>481</v>
      </c>
      <c r="D377" s="9" t="s">
        <v>1021</v>
      </c>
      <c r="E377" s="9" t="s">
        <v>1194</v>
      </c>
      <c r="F377" s="9" t="s">
        <v>1195</v>
      </c>
      <c r="G377" s="6" t="s">
        <v>1196</v>
      </c>
      <c r="H377" s="6" t="s">
        <v>1197</v>
      </c>
      <c r="I377" s="6" t="s">
        <v>1198</v>
      </c>
      <c r="J377" s="195">
        <v>142000000</v>
      </c>
      <c r="K377" s="6" t="s">
        <v>1025</v>
      </c>
      <c r="L377" s="6">
        <v>2931494</v>
      </c>
      <c r="M377" s="6" t="s">
        <v>27</v>
      </c>
      <c r="N377" s="6" t="s">
        <v>1199</v>
      </c>
      <c r="O377" s="14">
        <v>142000000</v>
      </c>
      <c r="P377" s="203" t="s">
        <v>1193</v>
      </c>
      <c r="Q377" t="s">
        <v>3561</v>
      </c>
    </row>
    <row r="378" spans="1:17" ht="101.5" hidden="1" x14ac:dyDescent="0.35">
      <c r="A378" s="6">
        <v>46</v>
      </c>
      <c r="B378" s="7" t="s">
        <v>480</v>
      </c>
      <c r="C378" s="9" t="s">
        <v>481</v>
      </c>
      <c r="D378" s="9" t="s">
        <v>1021</v>
      </c>
      <c r="E378" s="9" t="s">
        <v>1200</v>
      </c>
      <c r="F378" s="9" t="s">
        <v>1201</v>
      </c>
      <c r="G378" s="6" t="s">
        <v>339</v>
      </c>
      <c r="H378" s="6" t="s">
        <v>1202</v>
      </c>
      <c r="I378" s="6" t="s">
        <v>556</v>
      </c>
      <c r="J378" s="138">
        <v>50000000</v>
      </c>
      <c r="K378" s="6" t="s">
        <v>1025</v>
      </c>
      <c r="L378" s="6">
        <v>2936878</v>
      </c>
      <c r="M378" s="6" t="s">
        <v>27</v>
      </c>
      <c r="N378" s="205" t="s">
        <v>1203</v>
      </c>
      <c r="O378" s="138">
        <v>50000000</v>
      </c>
      <c r="P378" s="212" t="s">
        <v>1045</v>
      </c>
      <c r="Q378" t="s">
        <v>3561</v>
      </c>
    </row>
    <row r="379" spans="1:17" ht="58" hidden="1" x14ac:dyDescent="0.35">
      <c r="A379" s="6">
        <v>47</v>
      </c>
      <c r="B379" s="27" t="s">
        <v>480</v>
      </c>
      <c r="C379" s="29" t="s">
        <v>481</v>
      </c>
      <c r="D379" s="29" t="s">
        <v>1021</v>
      </c>
      <c r="E379" s="29" t="s">
        <v>1204</v>
      </c>
      <c r="F379" s="29" t="s">
        <v>1205</v>
      </c>
      <c r="G379" s="126" t="s">
        <v>339</v>
      </c>
      <c r="H379" s="126" t="s">
        <v>1206</v>
      </c>
      <c r="I379" s="126" t="s">
        <v>1207</v>
      </c>
      <c r="J379" s="222">
        <v>250000000</v>
      </c>
      <c r="K379" s="126" t="s">
        <v>1025</v>
      </c>
      <c r="L379" s="126">
        <v>2935413</v>
      </c>
      <c r="M379" s="126" t="s">
        <v>27</v>
      </c>
      <c r="N379" s="126" t="s">
        <v>1208</v>
      </c>
      <c r="O379" s="222">
        <v>250000000</v>
      </c>
      <c r="P379" s="29" t="s">
        <v>1209</v>
      </c>
      <c r="Q379" t="s">
        <v>3561</v>
      </c>
    </row>
    <row r="380" spans="1:17" ht="58" hidden="1" x14ac:dyDescent="0.35">
      <c r="A380" s="6">
        <v>48</v>
      </c>
      <c r="B380" s="7" t="s">
        <v>480</v>
      </c>
      <c r="C380" s="9" t="s">
        <v>481</v>
      </c>
      <c r="D380" s="9" t="s">
        <v>1021</v>
      </c>
      <c r="E380" s="9" t="s">
        <v>1210</v>
      </c>
      <c r="F380" s="9" t="s">
        <v>338</v>
      </c>
      <c r="G380" s="6" t="s">
        <v>339</v>
      </c>
      <c r="H380" s="6" t="s">
        <v>340</v>
      </c>
      <c r="I380" s="6" t="s">
        <v>280</v>
      </c>
      <c r="J380" s="138">
        <v>100000000</v>
      </c>
      <c r="K380" s="6" t="s">
        <v>1025</v>
      </c>
      <c r="L380" s="6">
        <v>2937058</v>
      </c>
      <c r="M380" s="6" t="s">
        <v>27</v>
      </c>
      <c r="N380" s="6" t="s">
        <v>1211</v>
      </c>
      <c r="O380" s="138">
        <v>109000000</v>
      </c>
      <c r="P380" s="203" t="s">
        <v>1193</v>
      </c>
      <c r="Q380" t="s">
        <v>3561</v>
      </c>
    </row>
    <row r="381" spans="1:17" ht="58" hidden="1" x14ac:dyDescent="0.35">
      <c r="A381" s="6">
        <v>49</v>
      </c>
      <c r="B381" s="214" t="s">
        <v>480</v>
      </c>
      <c r="C381" s="223" t="s">
        <v>481</v>
      </c>
      <c r="D381" s="223" t="s">
        <v>1021</v>
      </c>
      <c r="E381" s="223" t="s">
        <v>1039</v>
      </c>
      <c r="F381" s="223" t="s">
        <v>338</v>
      </c>
      <c r="G381" s="209" t="s">
        <v>339</v>
      </c>
      <c r="H381" s="209" t="s">
        <v>1212</v>
      </c>
      <c r="I381" s="209" t="s">
        <v>1213</v>
      </c>
      <c r="J381" s="224">
        <v>250000000</v>
      </c>
      <c r="K381" s="209" t="s">
        <v>1025</v>
      </c>
      <c r="L381" s="209">
        <v>2932551</v>
      </c>
      <c r="M381" s="209" t="s">
        <v>27</v>
      </c>
      <c r="N381" s="209">
        <v>228</v>
      </c>
      <c r="O381" s="224">
        <v>250000000</v>
      </c>
      <c r="P381" s="212" t="s">
        <v>1193</v>
      </c>
      <c r="Q381" t="s">
        <v>3561</v>
      </c>
    </row>
    <row r="382" spans="1:17" ht="58" hidden="1" x14ac:dyDescent="0.35">
      <c r="A382" s="6">
        <v>50</v>
      </c>
      <c r="B382" s="7" t="s">
        <v>480</v>
      </c>
      <c r="C382" s="9" t="s">
        <v>481</v>
      </c>
      <c r="D382" s="9" t="s">
        <v>1021</v>
      </c>
      <c r="E382" s="9" t="s">
        <v>1061</v>
      </c>
      <c r="F382" s="9" t="s">
        <v>127</v>
      </c>
      <c r="G382" s="6" t="s">
        <v>23</v>
      </c>
      <c r="H382" s="6" t="s">
        <v>128</v>
      </c>
      <c r="I382" s="6" t="s">
        <v>1215</v>
      </c>
      <c r="J382" s="195">
        <v>190000000</v>
      </c>
      <c r="K382" s="6" t="s">
        <v>1025</v>
      </c>
      <c r="L382" s="6">
        <v>2798907</v>
      </c>
      <c r="M382" s="6" t="s">
        <v>27</v>
      </c>
      <c r="N382" s="6" t="s">
        <v>1182</v>
      </c>
      <c r="O382" s="14">
        <v>190000000</v>
      </c>
      <c r="P382" s="203" t="s">
        <v>1044</v>
      </c>
      <c r="Q382" t="s">
        <v>3561</v>
      </c>
    </row>
    <row r="383" spans="1:17" ht="58" hidden="1" x14ac:dyDescent="0.35">
      <c r="A383" s="6">
        <v>51</v>
      </c>
      <c r="B383" s="214" t="s">
        <v>480</v>
      </c>
      <c r="C383" s="223" t="s">
        <v>481</v>
      </c>
      <c r="D383" s="223" t="s">
        <v>1021</v>
      </c>
      <c r="E383" s="223" t="s">
        <v>1216</v>
      </c>
      <c r="F383" s="223" t="s">
        <v>1217</v>
      </c>
      <c r="G383" s="209" t="s">
        <v>345</v>
      </c>
      <c r="H383" s="209" t="s">
        <v>1218</v>
      </c>
      <c r="I383" s="209" t="s">
        <v>1219</v>
      </c>
      <c r="J383" s="224">
        <v>90000000</v>
      </c>
      <c r="K383" s="209" t="s">
        <v>1025</v>
      </c>
      <c r="L383" s="209">
        <v>2906082</v>
      </c>
      <c r="M383" s="209" t="s">
        <v>27</v>
      </c>
      <c r="N383" s="209" t="s">
        <v>1220</v>
      </c>
      <c r="O383" s="224">
        <v>90000000</v>
      </c>
      <c r="P383" s="203" t="s">
        <v>1193</v>
      </c>
      <c r="Q383" t="s">
        <v>3561</v>
      </c>
    </row>
    <row r="384" spans="1:17" ht="58" hidden="1" x14ac:dyDescent="0.35">
      <c r="A384" s="6">
        <v>52</v>
      </c>
      <c r="B384" s="7" t="s">
        <v>480</v>
      </c>
      <c r="C384" s="9" t="s">
        <v>481</v>
      </c>
      <c r="D384" s="9" t="s">
        <v>1021</v>
      </c>
      <c r="E384" s="226" t="s">
        <v>1221</v>
      </c>
      <c r="F384" s="227" t="s">
        <v>344</v>
      </c>
      <c r="G384" s="228" t="s">
        <v>345</v>
      </c>
      <c r="H384" s="228" t="s">
        <v>346</v>
      </c>
      <c r="I384" s="228" t="s">
        <v>1219</v>
      </c>
      <c r="J384" s="138">
        <v>60000000</v>
      </c>
      <c r="K384" s="6" t="s">
        <v>1025</v>
      </c>
      <c r="L384" s="6">
        <v>2962891</v>
      </c>
      <c r="M384" s="6" t="s">
        <v>27</v>
      </c>
      <c r="N384" s="6" t="s">
        <v>1222</v>
      </c>
      <c r="O384" s="138">
        <v>50000000</v>
      </c>
      <c r="P384" s="203" t="s">
        <v>1193</v>
      </c>
      <c r="Q384" t="s">
        <v>3561</v>
      </c>
    </row>
    <row r="385" spans="1:17" ht="58" hidden="1" x14ac:dyDescent="0.35">
      <c r="A385" s="6">
        <v>53</v>
      </c>
      <c r="B385" s="7" t="s">
        <v>480</v>
      </c>
      <c r="C385" s="9" t="s">
        <v>481</v>
      </c>
      <c r="D385" s="9" t="s">
        <v>1021</v>
      </c>
      <c r="E385" s="226" t="s">
        <v>1216</v>
      </c>
      <c r="F385" s="227" t="s">
        <v>1223</v>
      </c>
      <c r="G385" s="228" t="s">
        <v>345</v>
      </c>
      <c r="H385" s="228" t="s">
        <v>1224</v>
      </c>
      <c r="I385" s="228" t="s">
        <v>1225</v>
      </c>
      <c r="J385" s="138">
        <v>28000000</v>
      </c>
      <c r="K385" s="6" t="s">
        <v>1025</v>
      </c>
      <c r="L385" s="6">
        <v>2906082</v>
      </c>
      <c r="M385" s="6" t="s">
        <v>27</v>
      </c>
      <c r="N385" s="6" t="s">
        <v>1226</v>
      </c>
      <c r="O385" s="138">
        <v>50000000</v>
      </c>
      <c r="P385" s="203" t="s">
        <v>1193</v>
      </c>
      <c r="Q385" t="s">
        <v>3561</v>
      </c>
    </row>
    <row r="386" spans="1:17" ht="58" hidden="1" x14ac:dyDescent="0.35">
      <c r="A386" s="6">
        <v>54</v>
      </c>
      <c r="B386" s="7" t="s">
        <v>480</v>
      </c>
      <c r="C386" s="9" t="s">
        <v>481</v>
      </c>
      <c r="D386" s="9" t="s">
        <v>1021</v>
      </c>
      <c r="E386" s="226" t="s">
        <v>1227</v>
      </c>
      <c r="F386" s="9" t="s">
        <v>1223</v>
      </c>
      <c r="G386" s="228" t="s">
        <v>345</v>
      </c>
      <c r="H386" s="228" t="s">
        <v>1224</v>
      </c>
      <c r="I386" s="228" t="s">
        <v>725</v>
      </c>
      <c r="J386" s="138">
        <v>40000000</v>
      </c>
      <c r="K386" s="6" t="s">
        <v>1025</v>
      </c>
      <c r="L386" s="6">
        <v>2933194</v>
      </c>
      <c r="M386" s="6" t="s">
        <v>27</v>
      </c>
      <c r="N386" s="6" t="s">
        <v>280</v>
      </c>
      <c r="O386" s="138">
        <v>40000000</v>
      </c>
      <c r="P386" s="214" t="s">
        <v>1228</v>
      </c>
      <c r="Q386" t="s">
        <v>3561</v>
      </c>
    </row>
    <row r="387" spans="1:17" ht="58" hidden="1" x14ac:dyDescent="0.35">
      <c r="A387" s="6">
        <v>55</v>
      </c>
      <c r="B387" s="7" t="s">
        <v>480</v>
      </c>
      <c r="C387" s="9" t="s">
        <v>481</v>
      </c>
      <c r="D387" s="9" t="s">
        <v>1021</v>
      </c>
      <c r="E387" s="226" t="s">
        <v>1072</v>
      </c>
      <c r="F387" s="9"/>
      <c r="G387" s="228" t="s">
        <v>130</v>
      </c>
      <c r="H387" s="228" t="s">
        <v>1229</v>
      </c>
      <c r="I387" s="228" t="s">
        <v>1230</v>
      </c>
      <c r="J387" s="195">
        <v>35000000</v>
      </c>
      <c r="K387" s="6" t="s">
        <v>1025</v>
      </c>
      <c r="L387" s="126" t="s">
        <v>568</v>
      </c>
      <c r="M387" s="6" t="s">
        <v>27</v>
      </c>
      <c r="N387" s="6" t="s">
        <v>1174</v>
      </c>
      <c r="O387" s="14">
        <v>50000000</v>
      </c>
      <c r="P387" s="203" t="s">
        <v>1044</v>
      </c>
      <c r="Q387" t="s">
        <v>3561</v>
      </c>
    </row>
    <row r="388" spans="1:17" ht="58" hidden="1" x14ac:dyDescent="0.35">
      <c r="A388" s="6">
        <v>56</v>
      </c>
      <c r="B388" s="7" t="s">
        <v>480</v>
      </c>
      <c r="C388" s="9" t="s">
        <v>481</v>
      </c>
      <c r="D388" s="9" t="s">
        <v>1021</v>
      </c>
      <c r="E388" s="226" t="s">
        <v>1231</v>
      </c>
      <c r="F388" s="9"/>
      <c r="G388" s="228" t="s">
        <v>130</v>
      </c>
      <c r="H388" s="228" t="s">
        <v>1232</v>
      </c>
      <c r="I388" s="228" t="s">
        <v>1233</v>
      </c>
      <c r="J388" s="195">
        <v>125000000</v>
      </c>
      <c r="K388" s="6" t="s">
        <v>1025</v>
      </c>
      <c r="L388" s="126" t="s">
        <v>568</v>
      </c>
      <c r="M388" s="6" t="s">
        <v>27</v>
      </c>
      <c r="N388" s="6" t="s">
        <v>1234</v>
      </c>
      <c r="O388" s="14">
        <v>125000000</v>
      </c>
      <c r="P388" s="203" t="s">
        <v>1044</v>
      </c>
      <c r="Q388" t="s">
        <v>3561</v>
      </c>
    </row>
    <row r="389" spans="1:17" ht="58" hidden="1" x14ac:dyDescent="0.35">
      <c r="A389" s="6">
        <v>57</v>
      </c>
      <c r="B389" s="7" t="s">
        <v>480</v>
      </c>
      <c r="C389" s="9" t="s">
        <v>481</v>
      </c>
      <c r="D389" s="9" t="s">
        <v>1021</v>
      </c>
      <c r="E389" s="226" t="s">
        <v>1235</v>
      </c>
      <c r="F389" s="9"/>
      <c r="G389" s="228" t="s">
        <v>130</v>
      </c>
      <c r="H389" s="228" t="s">
        <v>1236</v>
      </c>
      <c r="I389" s="228" t="s">
        <v>1233</v>
      </c>
      <c r="J389" s="195">
        <v>125000000</v>
      </c>
      <c r="K389" s="6" t="s">
        <v>1025</v>
      </c>
      <c r="L389" s="126" t="s">
        <v>568</v>
      </c>
      <c r="M389" s="6" t="s">
        <v>27</v>
      </c>
      <c r="N389" s="6" t="s">
        <v>1234</v>
      </c>
      <c r="O389" s="14">
        <v>125000000</v>
      </c>
      <c r="P389" s="203" t="s">
        <v>1044</v>
      </c>
      <c r="Q389" t="s">
        <v>3561</v>
      </c>
    </row>
    <row r="390" spans="1:17" ht="159.5" hidden="1" x14ac:dyDescent="0.35">
      <c r="A390" s="6">
        <v>58</v>
      </c>
      <c r="B390" s="7" t="s">
        <v>480</v>
      </c>
      <c r="C390" s="9" t="s">
        <v>481</v>
      </c>
      <c r="D390" s="9" t="s">
        <v>1021</v>
      </c>
      <c r="E390" s="226" t="s">
        <v>1151</v>
      </c>
      <c r="F390" s="9" t="s">
        <v>1237</v>
      </c>
      <c r="G390" s="228" t="s">
        <v>1238</v>
      </c>
      <c r="H390" s="228" t="s">
        <v>1239</v>
      </c>
      <c r="I390" s="6"/>
      <c r="J390" s="195">
        <v>55000000</v>
      </c>
      <c r="K390" s="6" t="s">
        <v>1025</v>
      </c>
      <c r="L390" s="6">
        <v>2823430</v>
      </c>
      <c r="M390" s="6" t="s">
        <v>27</v>
      </c>
      <c r="N390" s="6" t="s">
        <v>1240</v>
      </c>
      <c r="O390" s="14">
        <v>55000000</v>
      </c>
      <c r="P390" s="7" t="s">
        <v>1241</v>
      </c>
      <c r="Q390" t="s">
        <v>3561</v>
      </c>
    </row>
    <row r="391" spans="1:17" ht="58" hidden="1" x14ac:dyDescent="0.35">
      <c r="A391" s="6">
        <v>59</v>
      </c>
      <c r="B391" s="7" t="s">
        <v>480</v>
      </c>
      <c r="C391" s="9" t="s">
        <v>481</v>
      </c>
      <c r="D391" s="9" t="s">
        <v>1021</v>
      </c>
      <c r="E391" s="9" t="s">
        <v>1159</v>
      </c>
      <c r="F391" s="9" t="s">
        <v>591</v>
      </c>
      <c r="G391" s="6" t="s">
        <v>135</v>
      </c>
      <c r="H391" s="6" t="s">
        <v>1242</v>
      </c>
      <c r="I391" s="6" t="s">
        <v>122</v>
      </c>
      <c r="J391" s="138">
        <v>100000000</v>
      </c>
      <c r="K391" s="6" t="s">
        <v>1025</v>
      </c>
      <c r="L391" s="6">
        <v>2906051</v>
      </c>
      <c r="M391" s="6" t="s">
        <v>27</v>
      </c>
      <c r="N391" s="6" t="s">
        <v>54</v>
      </c>
      <c r="O391" s="138">
        <v>100000000</v>
      </c>
      <c r="P391" s="214" t="s">
        <v>1243</v>
      </c>
      <c r="Q391" t="s">
        <v>3561</v>
      </c>
    </row>
    <row r="392" spans="1:17" ht="58" hidden="1" x14ac:dyDescent="0.35">
      <c r="A392" s="6">
        <v>60</v>
      </c>
      <c r="B392" s="198" t="s">
        <v>480</v>
      </c>
      <c r="C392" s="79" t="s">
        <v>481</v>
      </c>
      <c r="D392" s="79" t="s">
        <v>1021</v>
      </c>
      <c r="E392" s="79" t="s">
        <v>1244</v>
      </c>
      <c r="F392" s="79" t="s">
        <v>1245</v>
      </c>
      <c r="G392" s="199" t="s">
        <v>351</v>
      </c>
      <c r="H392" s="199" t="s">
        <v>1246</v>
      </c>
      <c r="I392" s="199" t="s">
        <v>1247</v>
      </c>
      <c r="J392" s="229">
        <v>100000000</v>
      </c>
      <c r="K392" s="199" t="s">
        <v>1025</v>
      </c>
      <c r="L392" s="199">
        <v>2959378</v>
      </c>
      <c r="M392" s="199" t="s">
        <v>27</v>
      </c>
      <c r="N392" s="199"/>
      <c r="O392" s="229"/>
      <c r="P392" s="198" t="s">
        <v>1248</v>
      </c>
      <c r="Q392" t="s">
        <v>3561</v>
      </c>
    </row>
    <row r="393" spans="1:17" ht="58" hidden="1" x14ac:dyDescent="0.35">
      <c r="A393" s="6">
        <v>61</v>
      </c>
      <c r="B393" s="7" t="s">
        <v>480</v>
      </c>
      <c r="C393" s="9" t="s">
        <v>481</v>
      </c>
      <c r="D393" s="9" t="s">
        <v>1021</v>
      </c>
      <c r="E393" s="9" t="s">
        <v>1249</v>
      </c>
      <c r="F393" s="9" t="s">
        <v>591</v>
      </c>
      <c r="G393" s="6" t="s">
        <v>135</v>
      </c>
      <c r="H393" s="6" t="s">
        <v>592</v>
      </c>
      <c r="I393" s="6" t="s">
        <v>1250</v>
      </c>
      <c r="J393" s="138">
        <v>100000000</v>
      </c>
      <c r="K393" s="6" t="s">
        <v>1025</v>
      </c>
      <c r="L393" s="126" t="s">
        <v>568</v>
      </c>
      <c r="M393" s="6" t="s">
        <v>27</v>
      </c>
      <c r="N393" s="6" t="s">
        <v>1251</v>
      </c>
      <c r="O393" s="138">
        <v>100000000</v>
      </c>
      <c r="P393" s="203" t="s">
        <v>1193</v>
      </c>
      <c r="Q393" t="s">
        <v>3561</v>
      </c>
    </row>
    <row r="394" spans="1:17" ht="58" hidden="1" x14ac:dyDescent="0.35">
      <c r="A394" s="6">
        <v>62</v>
      </c>
      <c r="B394" s="214" t="s">
        <v>480</v>
      </c>
      <c r="C394" s="223" t="s">
        <v>481</v>
      </c>
      <c r="D394" s="223" t="s">
        <v>1021</v>
      </c>
      <c r="E394" s="223" t="s">
        <v>1252</v>
      </c>
      <c r="F394" s="223" t="s">
        <v>591</v>
      </c>
      <c r="G394" s="209" t="s">
        <v>135</v>
      </c>
      <c r="H394" s="209" t="s">
        <v>595</v>
      </c>
      <c r="I394" s="209" t="s">
        <v>1253</v>
      </c>
      <c r="J394" s="224">
        <v>100000000</v>
      </c>
      <c r="K394" s="209" t="s">
        <v>1025</v>
      </c>
      <c r="L394" s="126" t="s">
        <v>568</v>
      </c>
      <c r="M394" s="209" t="s">
        <v>27</v>
      </c>
      <c r="N394" s="209" t="s">
        <v>1254</v>
      </c>
      <c r="O394" s="224">
        <v>287857165</v>
      </c>
      <c r="P394" s="212" t="s">
        <v>1044</v>
      </c>
      <c r="Q394" t="s">
        <v>3561</v>
      </c>
    </row>
    <row r="395" spans="1:17" ht="58" hidden="1" x14ac:dyDescent="0.35">
      <c r="A395" s="6">
        <v>63</v>
      </c>
      <c r="B395" s="7" t="s">
        <v>480</v>
      </c>
      <c r="C395" s="9" t="s">
        <v>481</v>
      </c>
      <c r="D395" s="9" t="s">
        <v>1021</v>
      </c>
      <c r="E395" s="9" t="s">
        <v>1256</v>
      </c>
      <c r="F395" s="9" t="s">
        <v>297</v>
      </c>
      <c r="G395" s="6" t="s">
        <v>1257</v>
      </c>
      <c r="H395" s="6" t="s">
        <v>1258</v>
      </c>
      <c r="I395" s="6" t="s">
        <v>1259</v>
      </c>
      <c r="J395" s="195">
        <v>100000000</v>
      </c>
      <c r="K395" s="6" t="s">
        <v>1025</v>
      </c>
      <c r="L395" s="126" t="s">
        <v>568</v>
      </c>
      <c r="M395" s="6" t="s">
        <v>27</v>
      </c>
      <c r="N395" s="6" t="s">
        <v>1260</v>
      </c>
      <c r="O395" s="14">
        <f>75*1098901</f>
        <v>82417575</v>
      </c>
      <c r="P395" s="203" t="s">
        <v>1193</v>
      </c>
      <c r="Q395" t="s">
        <v>3561</v>
      </c>
    </row>
    <row r="396" spans="1:17" ht="58" hidden="1" x14ac:dyDescent="0.35">
      <c r="A396" s="6">
        <v>64</v>
      </c>
      <c r="B396" s="7" t="s">
        <v>480</v>
      </c>
      <c r="C396" s="9" t="s">
        <v>481</v>
      </c>
      <c r="D396" s="9" t="s">
        <v>1021</v>
      </c>
      <c r="E396" s="9" t="s">
        <v>1256</v>
      </c>
      <c r="F396" s="9" t="s">
        <v>297</v>
      </c>
      <c r="G396" s="6" t="s">
        <v>1257</v>
      </c>
      <c r="H396" s="6" t="s">
        <v>1261</v>
      </c>
      <c r="I396" s="6" t="s">
        <v>1259</v>
      </c>
      <c r="J396" s="195">
        <v>100000000</v>
      </c>
      <c r="K396" s="6" t="s">
        <v>1025</v>
      </c>
      <c r="L396" s="126" t="s">
        <v>568</v>
      </c>
      <c r="M396" s="6" t="s">
        <v>27</v>
      </c>
      <c r="N396" s="6" t="s">
        <v>1260</v>
      </c>
      <c r="O396" s="14">
        <f>75*1098901</f>
        <v>82417575</v>
      </c>
      <c r="P396" s="203" t="s">
        <v>1193</v>
      </c>
      <c r="Q396" t="s">
        <v>3561</v>
      </c>
    </row>
    <row r="397" spans="1:17" ht="58" hidden="1" x14ac:dyDescent="0.35">
      <c r="A397" s="6">
        <v>65</v>
      </c>
      <c r="B397" s="7" t="s">
        <v>480</v>
      </c>
      <c r="C397" s="9" t="s">
        <v>481</v>
      </c>
      <c r="D397" s="9" t="s">
        <v>1021</v>
      </c>
      <c r="E397" s="9" t="s">
        <v>1262</v>
      </c>
      <c r="F397" s="9" t="s">
        <v>1263</v>
      </c>
      <c r="G397" s="6" t="s">
        <v>1264</v>
      </c>
      <c r="H397" s="6" t="s">
        <v>1265</v>
      </c>
      <c r="I397" s="6" t="s">
        <v>1266</v>
      </c>
      <c r="J397" s="195">
        <v>200000000</v>
      </c>
      <c r="K397" s="6" t="s">
        <v>1025</v>
      </c>
      <c r="L397" s="6">
        <v>2906609</v>
      </c>
      <c r="M397" s="6" t="s">
        <v>27</v>
      </c>
      <c r="N397" s="6" t="s">
        <v>1267</v>
      </c>
      <c r="O397" s="14">
        <v>200000000</v>
      </c>
      <c r="P397" s="203" t="s">
        <v>1044</v>
      </c>
      <c r="Q397" t="s">
        <v>3561</v>
      </c>
    </row>
    <row r="398" spans="1:17" ht="58" hidden="1" x14ac:dyDescent="0.35">
      <c r="A398" s="6">
        <v>66</v>
      </c>
      <c r="B398" s="7" t="s">
        <v>480</v>
      </c>
      <c r="C398" s="9" t="s">
        <v>481</v>
      </c>
      <c r="D398" s="9" t="s">
        <v>1021</v>
      </c>
      <c r="E398" s="9" t="s">
        <v>1268</v>
      </c>
      <c r="F398" s="9" t="s">
        <v>1269</v>
      </c>
      <c r="G398" s="228" t="s">
        <v>1270</v>
      </c>
      <c r="H398" s="6" t="s">
        <v>1271</v>
      </c>
      <c r="I398" s="6" t="s">
        <v>1272</v>
      </c>
      <c r="J398" s="138">
        <v>160000000</v>
      </c>
      <c r="K398" s="6" t="s">
        <v>1025</v>
      </c>
      <c r="L398" s="6">
        <v>2932127</v>
      </c>
      <c r="M398" s="6" t="s">
        <v>27</v>
      </c>
      <c r="N398" s="6" t="s">
        <v>1273</v>
      </c>
      <c r="O398" s="138">
        <v>197260274</v>
      </c>
      <c r="P398" s="212" t="s">
        <v>1044</v>
      </c>
      <c r="Q398" t="s">
        <v>3561</v>
      </c>
    </row>
    <row r="399" spans="1:17" ht="58" hidden="1" x14ac:dyDescent="0.35">
      <c r="A399" s="6">
        <v>67</v>
      </c>
      <c r="B399" s="7" t="s">
        <v>480</v>
      </c>
      <c r="C399" s="9" t="s">
        <v>481</v>
      </c>
      <c r="D399" s="9" t="s">
        <v>1021</v>
      </c>
      <c r="E399" s="9" t="s">
        <v>1274</v>
      </c>
      <c r="F399" s="9" t="s">
        <v>297</v>
      </c>
      <c r="G399" s="6" t="s">
        <v>1275</v>
      </c>
      <c r="H399" s="6" t="s">
        <v>1276</v>
      </c>
      <c r="I399" s="6" t="s">
        <v>1187</v>
      </c>
      <c r="J399" s="195">
        <v>200000000</v>
      </c>
      <c r="K399" s="6" t="s">
        <v>1025</v>
      </c>
      <c r="L399" s="6">
        <v>2935808</v>
      </c>
      <c r="M399" s="6" t="s">
        <v>27</v>
      </c>
      <c r="N399" s="6" t="s">
        <v>1277</v>
      </c>
      <c r="O399" s="14">
        <v>200000000</v>
      </c>
      <c r="P399" s="203" t="s">
        <v>1193</v>
      </c>
      <c r="Q399" t="s">
        <v>3561</v>
      </c>
    </row>
    <row r="400" spans="1:17" ht="58" hidden="1" x14ac:dyDescent="0.35">
      <c r="A400" s="6">
        <v>68</v>
      </c>
      <c r="B400" s="7" t="s">
        <v>480</v>
      </c>
      <c r="C400" s="9" t="s">
        <v>481</v>
      </c>
      <c r="D400" s="9" t="s">
        <v>1021</v>
      </c>
      <c r="E400" s="9" t="s">
        <v>1278</v>
      </c>
      <c r="F400" s="9" t="s">
        <v>1279</v>
      </c>
      <c r="G400" s="6" t="s">
        <v>361</v>
      </c>
      <c r="H400" s="6" t="s">
        <v>1280</v>
      </c>
      <c r="I400" s="6" t="s">
        <v>1281</v>
      </c>
      <c r="J400" s="138">
        <v>40000000</v>
      </c>
      <c r="K400" s="6" t="s">
        <v>1025</v>
      </c>
      <c r="L400" s="6">
        <v>2818396</v>
      </c>
      <c r="M400" s="6" t="s">
        <v>144</v>
      </c>
      <c r="N400" s="6" t="s">
        <v>1282</v>
      </c>
      <c r="O400" s="138">
        <v>70000000</v>
      </c>
      <c r="P400" s="203" t="s">
        <v>1193</v>
      </c>
      <c r="Q400" t="s">
        <v>3561</v>
      </c>
    </row>
    <row r="401" spans="1:17" ht="58" hidden="1" x14ac:dyDescent="0.35">
      <c r="A401" s="6">
        <v>69</v>
      </c>
      <c r="B401" s="7" t="s">
        <v>480</v>
      </c>
      <c r="C401" s="9" t="s">
        <v>481</v>
      </c>
      <c r="D401" s="9" t="s">
        <v>1021</v>
      </c>
      <c r="E401" s="9" t="s">
        <v>1283</v>
      </c>
      <c r="F401" s="9" t="s">
        <v>1279</v>
      </c>
      <c r="G401" s="6" t="s">
        <v>361</v>
      </c>
      <c r="H401" s="6" t="s">
        <v>1280</v>
      </c>
      <c r="I401" s="6">
        <v>1</v>
      </c>
      <c r="J401" s="138">
        <v>30000000</v>
      </c>
      <c r="K401" s="6" t="s">
        <v>1025</v>
      </c>
      <c r="L401" s="6">
        <v>2818712</v>
      </c>
      <c r="M401" s="6" t="s">
        <v>144</v>
      </c>
      <c r="N401" s="6" t="s">
        <v>274</v>
      </c>
      <c r="O401" s="138">
        <v>30000000</v>
      </c>
      <c r="P401" s="7" t="s">
        <v>1284</v>
      </c>
      <c r="Q401" t="s">
        <v>3561</v>
      </c>
    </row>
    <row r="402" spans="1:17" ht="72.5" hidden="1" x14ac:dyDescent="0.35">
      <c r="A402" s="6">
        <v>70</v>
      </c>
      <c r="B402" s="7" t="s">
        <v>480</v>
      </c>
      <c r="C402" s="9" t="s">
        <v>481</v>
      </c>
      <c r="D402" s="9" t="s">
        <v>1021</v>
      </c>
      <c r="E402" s="9" t="s">
        <v>1285</v>
      </c>
      <c r="F402" s="9" t="s">
        <v>1286</v>
      </c>
      <c r="G402" s="6" t="s">
        <v>154</v>
      </c>
      <c r="H402" s="6" t="s">
        <v>1287</v>
      </c>
      <c r="I402" s="6">
        <v>1</v>
      </c>
      <c r="J402" s="202">
        <v>50000000</v>
      </c>
      <c r="K402" s="6" t="s">
        <v>1025</v>
      </c>
      <c r="L402" s="6">
        <v>2826552</v>
      </c>
      <c r="M402" s="6" t="s">
        <v>144</v>
      </c>
      <c r="N402" s="6" t="s">
        <v>1288</v>
      </c>
      <c r="O402" s="138">
        <v>50000000</v>
      </c>
      <c r="P402" s="214" t="s">
        <v>1289</v>
      </c>
      <c r="Q402" t="s">
        <v>3561</v>
      </c>
    </row>
    <row r="403" spans="1:17" ht="72.5" hidden="1" x14ac:dyDescent="0.35">
      <c r="A403" s="6">
        <v>71</v>
      </c>
      <c r="B403" s="7" t="s">
        <v>480</v>
      </c>
      <c r="C403" s="9" t="s">
        <v>481</v>
      </c>
      <c r="D403" s="9" t="s">
        <v>1021</v>
      </c>
      <c r="E403" s="9" t="s">
        <v>1285</v>
      </c>
      <c r="F403" s="9" t="s">
        <v>1286</v>
      </c>
      <c r="G403" s="6" t="s">
        <v>154</v>
      </c>
      <c r="H403" s="6" t="s">
        <v>1290</v>
      </c>
      <c r="I403" s="6">
        <v>2</v>
      </c>
      <c r="J403" s="202">
        <v>100000000</v>
      </c>
      <c r="K403" s="6" t="s">
        <v>1025</v>
      </c>
      <c r="L403" s="6">
        <v>2930532</v>
      </c>
      <c r="M403" s="6" t="s">
        <v>144</v>
      </c>
      <c r="N403" s="6" t="s">
        <v>1291</v>
      </c>
      <c r="O403" s="138">
        <v>100000000</v>
      </c>
      <c r="P403" s="214" t="s">
        <v>1289</v>
      </c>
      <c r="Q403" t="s">
        <v>3561</v>
      </c>
    </row>
    <row r="404" spans="1:17" ht="72.5" hidden="1" x14ac:dyDescent="0.35">
      <c r="A404" s="6">
        <v>72</v>
      </c>
      <c r="B404" s="7" t="s">
        <v>480</v>
      </c>
      <c r="C404" s="9" t="s">
        <v>481</v>
      </c>
      <c r="D404" s="9" t="s">
        <v>1021</v>
      </c>
      <c r="E404" s="9" t="s">
        <v>1292</v>
      </c>
      <c r="F404" s="9" t="s">
        <v>1286</v>
      </c>
      <c r="G404" s="6" t="s">
        <v>154</v>
      </c>
      <c r="H404" s="6" t="s">
        <v>1293</v>
      </c>
      <c r="I404" s="6" t="s">
        <v>1294</v>
      </c>
      <c r="J404" s="202">
        <v>44785000</v>
      </c>
      <c r="K404" s="6" t="s">
        <v>1025</v>
      </c>
      <c r="L404" s="6">
        <v>2937380</v>
      </c>
      <c r="M404" s="6" t="s">
        <v>144</v>
      </c>
      <c r="N404" s="205" t="s">
        <v>1295</v>
      </c>
      <c r="O404" s="138">
        <v>44785000</v>
      </c>
      <c r="P404" s="212" t="s">
        <v>1045</v>
      </c>
      <c r="Q404" t="s">
        <v>3561</v>
      </c>
    </row>
    <row r="405" spans="1:17" ht="101.5" hidden="1" x14ac:dyDescent="0.35">
      <c r="A405" s="6">
        <v>73</v>
      </c>
      <c r="B405" s="7" t="s">
        <v>480</v>
      </c>
      <c r="C405" s="9" t="s">
        <v>481</v>
      </c>
      <c r="D405" s="9" t="s">
        <v>1021</v>
      </c>
      <c r="E405" s="9" t="s">
        <v>1296</v>
      </c>
      <c r="F405" s="9" t="s">
        <v>1286</v>
      </c>
      <c r="G405" s="6" t="s">
        <v>154</v>
      </c>
      <c r="H405" s="6" t="s">
        <v>1297</v>
      </c>
      <c r="I405" s="6" t="s">
        <v>883</v>
      </c>
      <c r="J405" s="202">
        <v>30000000</v>
      </c>
      <c r="K405" s="6" t="s">
        <v>1025</v>
      </c>
      <c r="L405" s="6">
        <v>2959492</v>
      </c>
      <c r="M405" s="6" t="s">
        <v>144</v>
      </c>
      <c r="N405" s="205" t="s">
        <v>1298</v>
      </c>
      <c r="O405" s="138">
        <v>57516000</v>
      </c>
      <c r="P405" s="212" t="s">
        <v>1045</v>
      </c>
      <c r="Q405" t="s">
        <v>3561</v>
      </c>
    </row>
    <row r="406" spans="1:17" ht="72.5" hidden="1" x14ac:dyDescent="0.35">
      <c r="A406" s="6">
        <v>74</v>
      </c>
      <c r="B406" s="7" t="s">
        <v>480</v>
      </c>
      <c r="C406" s="9" t="s">
        <v>481</v>
      </c>
      <c r="D406" s="9" t="s">
        <v>1021</v>
      </c>
      <c r="E406" s="9" t="s">
        <v>1299</v>
      </c>
      <c r="F406" s="9" t="s">
        <v>1286</v>
      </c>
      <c r="G406" s="6" t="s">
        <v>154</v>
      </c>
      <c r="H406" s="6" t="s">
        <v>155</v>
      </c>
      <c r="I406" s="6" t="s">
        <v>883</v>
      </c>
      <c r="J406" s="202">
        <v>20000000</v>
      </c>
      <c r="K406" s="6" t="s">
        <v>1025</v>
      </c>
      <c r="L406" s="6">
        <v>2959918</v>
      </c>
      <c r="M406" s="6" t="s">
        <v>144</v>
      </c>
      <c r="N406" s="205" t="s">
        <v>1300</v>
      </c>
      <c r="O406" s="138">
        <v>20000000</v>
      </c>
      <c r="P406" s="212" t="s">
        <v>1045</v>
      </c>
      <c r="Q406" t="s">
        <v>3561</v>
      </c>
    </row>
    <row r="407" spans="1:17" ht="58" hidden="1" x14ac:dyDescent="0.35">
      <c r="A407" s="6">
        <v>75</v>
      </c>
      <c r="B407" s="7" t="s">
        <v>480</v>
      </c>
      <c r="C407" s="9" t="s">
        <v>481</v>
      </c>
      <c r="D407" s="9" t="s">
        <v>1021</v>
      </c>
      <c r="E407" s="9" t="s">
        <v>1061</v>
      </c>
      <c r="F407" s="9" t="s">
        <v>140</v>
      </c>
      <c r="G407" s="6" t="s">
        <v>1301</v>
      </c>
      <c r="H407" s="6" t="s">
        <v>1302</v>
      </c>
      <c r="I407" s="6" t="s">
        <v>1303</v>
      </c>
      <c r="J407" s="138">
        <v>100000000</v>
      </c>
      <c r="K407" s="6" t="s">
        <v>1025</v>
      </c>
      <c r="L407" s="6">
        <v>2909573</v>
      </c>
      <c r="M407" s="6" t="s">
        <v>144</v>
      </c>
      <c r="N407" s="6" t="s">
        <v>1304</v>
      </c>
      <c r="O407" s="138">
        <v>80000000</v>
      </c>
      <c r="P407" s="203" t="s">
        <v>1044</v>
      </c>
      <c r="Q407" t="s">
        <v>3561</v>
      </c>
    </row>
    <row r="408" spans="1:17" ht="58" hidden="1" x14ac:dyDescent="0.35">
      <c r="A408" s="6">
        <v>76</v>
      </c>
      <c r="B408" s="7" t="s">
        <v>480</v>
      </c>
      <c r="C408" s="9" t="s">
        <v>481</v>
      </c>
      <c r="D408" s="9" t="s">
        <v>1021</v>
      </c>
      <c r="E408" s="9" t="s">
        <v>1305</v>
      </c>
      <c r="F408" s="9" t="s">
        <v>140</v>
      </c>
      <c r="G408" s="6" t="s">
        <v>1301</v>
      </c>
      <c r="H408" s="6" t="s">
        <v>1306</v>
      </c>
      <c r="I408" s="6" t="s">
        <v>1307</v>
      </c>
      <c r="J408" s="138">
        <v>100000000</v>
      </c>
      <c r="K408" s="6" t="s">
        <v>1025</v>
      </c>
      <c r="L408" s="6">
        <v>2967720</v>
      </c>
      <c r="M408" s="6" t="s">
        <v>144</v>
      </c>
      <c r="N408" s="6" t="s">
        <v>1308</v>
      </c>
      <c r="O408" s="138">
        <v>90000000</v>
      </c>
      <c r="P408" s="203" t="s">
        <v>1044</v>
      </c>
      <c r="Q408" t="s">
        <v>3561</v>
      </c>
    </row>
    <row r="409" spans="1:17" ht="58" hidden="1" x14ac:dyDescent="0.35">
      <c r="A409" s="6">
        <v>77</v>
      </c>
      <c r="B409" s="7" t="s">
        <v>480</v>
      </c>
      <c r="C409" s="9" t="s">
        <v>481</v>
      </c>
      <c r="D409" s="9" t="s">
        <v>1021</v>
      </c>
      <c r="E409" s="9" t="s">
        <v>1309</v>
      </c>
      <c r="F409" s="9" t="s">
        <v>140</v>
      </c>
      <c r="G409" s="6" t="s">
        <v>157</v>
      </c>
      <c r="H409" s="6" t="s">
        <v>1310</v>
      </c>
      <c r="I409" s="6" t="s">
        <v>1311</v>
      </c>
      <c r="J409" s="138">
        <v>85000000</v>
      </c>
      <c r="K409" s="6" t="s">
        <v>1025</v>
      </c>
      <c r="L409" s="6">
        <v>2870897</v>
      </c>
      <c r="M409" s="6" t="s">
        <v>144</v>
      </c>
      <c r="N409" s="6" t="s">
        <v>1312</v>
      </c>
      <c r="O409" s="138">
        <v>100000000</v>
      </c>
      <c r="P409" s="214" t="s">
        <v>1162</v>
      </c>
      <c r="Q409" t="s">
        <v>3561</v>
      </c>
    </row>
    <row r="410" spans="1:17" ht="58" hidden="1" x14ac:dyDescent="0.35">
      <c r="A410" s="6">
        <v>78</v>
      </c>
      <c r="B410" s="7" t="s">
        <v>480</v>
      </c>
      <c r="C410" s="9" t="s">
        <v>481</v>
      </c>
      <c r="D410" s="9" t="s">
        <v>1021</v>
      </c>
      <c r="E410" s="9" t="s">
        <v>1313</v>
      </c>
      <c r="F410" s="9" t="s">
        <v>140</v>
      </c>
      <c r="G410" s="6" t="s">
        <v>157</v>
      </c>
      <c r="H410" s="6" t="s">
        <v>1314</v>
      </c>
      <c r="I410" s="6" t="s">
        <v>1315</v>
      </c>
      <c r="J410" s="138">
        <v>75000000</v>
      </c>
      <c r="K410" s="6" t="s">
        <v>1025</v>
      </c>
      <c r="L410" s="6">
        <v>2870988</v>
      </c>
      <c r="M410" s="6" t="s">
        <v>144</v>
      </c>
      <c r="N410" s="6" t="s">
        <v>1251</v>
      </c>
      <c r="O410" s="138">
        <v>100000000</v>
      </c>
      <c r="P410" s="203" t="s">
        <v>1193</v>
      </c>
      <c r="Q410" t="s">
        <v>3561</v>
      </c>
    </row>
    <row r="411" spans="1:17" ht="58" hidden="1" x14ac:dyDescent="0.35">
      <c r="A411" s="6">
        <v>79</v>
      </c>
      <c r="B411" s="7" t="s">
        <v>480</v>
      </c>
      <c r="C411" s="9" t="s">
        <v>481</v>
      </c>
      <c r="D411" s="9" t="s">
        <v>1021</v>
      </c>
      <c r="E411" s="9" t="s">
        <v>1316</v>
      </c>
      <c r="F411" s="9" t="s">
        <v>140</v>
      </c>
      <c r="G411" s="6" t="s">
        <v>157</v>
      </c>
      <c r="H411" s="6" t="s">
        <v>732</v>
      </c>
      <c r="I411" s="6" t="s">
        <v>1317</v>
      </c>
      <c r="J411" s="138">
        <v>30000000</v>
      </c>
      <c r="K411" s="6" t="s">
        <v>1025</v>
      </c>
      <c r="L411" s="6">
        <v>2871022</v>
      </c>
      <c r="M411" s="6" t="s">
        <v>144</v>
      </c>
      <c r="N411" s="6" t="s">
        <v>274</v>
      </c>
      <c r="O411" s="138">
        <v>30000000</v>
      </c>
      <c r="P411" s="7" t="s">
        <v>1284</v>
      </c>
      <c r="Q411" t="s">
        <v>3561</v>
      </c>
    </row>
    <row r="412" spans="1:17" ht="58" hidden="1" x14ac:dyDescent="0.35">
      <c r="A412" s="6">
        <v>80</v>
      </c>
      <c r="B412" s="7" t="s">
        <v>480</v>
      </c>
      <c r="C412" s="9" t="s">
        <v>481</v>
      </c>
      <c r="D412" s="9" t="s">
        <v>1021</v>
      </c>
      <c r="E412" s="9" t="s">
        <v>1318</v>
      </c>
      <c r="F412" s="9" t="s">
        <v>1319</v>
      </c>
      <c r="G412" s="6" t="s">
        <v>1320</v>
      </c>
      <c r="H412" s="6" t="s">
        <v>1321</v>
      </c>
      <c r="I412" s="6">
        <v>1</v>
      </c>
      <c r="J412" s="138">
        <v>80000000</v>
      </c>
      <c r="K412" s="6" t="s">
        <v>1025</v>
      </c>
      <c r="L412" s="6">
        <v>2847490</v>
      </c>
      <c r="M412" s="6" t="s">
        <v>144</v>
      </c>
      <c r="N412" s="6" t="s">
        <v>1135</v>
      </c>
      <c r="O412" s="138">
        <v>100000000</v>
      </c>
      <c r="P412" s="212" t="s">
        <v>1322</v>
      </c>
      <c r="Q412" t="s">
        <v>3561</v>
      </c>
    </row>
    <row r="413" spans="1:17" ht="58" hidden="1" x14ac:dyDescent="0.35">
      <c r="A413" s="6">
        <v>81</v>
      </c>
      <c r="B413" s="7" t="s">
        <v>480</v>
      </c>
      <c r="C413" s="9" t="s">
        <v>481</v>
      </c>
      <c r="D413" s="9" t="s">
        <v>1021</v>
      </c>
      <c r="E413" s="9" t="s">
        <v>1061</v>
      </c>
      <c r="F413" s="9" t="s">
        <v>373</v>
      </c>
      <c r="G413" s="6" t="s">
        <v>374</v>
      </c>
      <c r="H413" s="6" t="s">
        <v>382</v>
      </c>
      <c r="I413" s="6" t="s">
        <v>35</v>
      </c>
      <c r="J413" s="195">
        <v>200000000</v>
      </c>
      <c r="K413" s="6" t="s">
        <v>1025</v>
      </c>
      <c r="L413" s="6">
        <v>2911955</v>
      </c>
      <c r="M413" s="6" t="s">
        <v>46</v>
      </c>
      <c r="N413" s="202" t="s">
        <v>1323</v>
      </c>
      <c r="O413" s="14">
        <v>200000000</v>
      </c>
      <c r="P413" s="203" t="s">
        <v>1044</v>
      </c>
      <c r="Q413" t="s">
        <v>3561</v>
      </c>
    </row>
    <row r="414" spans="1:17" ht="58" hidden="1" x14ac:dyDescent="0.35">
      <c r="A414" s="6">
        <v>82</v>
      </c>
      <c r="B414" s="7" t="s">
        <v>480</v>
      </c>
      <c r="C414" s="9" t="s">
        <v>481</v>
      </c>
      <c r="D414" s="9" t="s">
        <v>1021</v>
      </c>
      <c r="E414" s="9" t="s">
        <v>1324</v>
      </c>
      <c r="F414" s="9"/>
      <c r="G414" s="6" t="s">
        <v>44</v>
      </c>
      <c r="H414" s="6" t="s">
        <v>888</v>
      </c>
      <c r="I414" s="6" t="s">
        <v>28</v>
      </c>
      <c r="J414" s="195">
        <v>28000000</v>
      </c>
      <c r="K414" s="6" t="s">
        <v>1025</v>
      </c>
      <c r="L414" s="6">
        <v>2833551</v>
      </c>
      <c r="M414" s="6" t="s">
        <v>46</v>
      </c>
      <c r="N414" s="202" t="s">
        <v>1130</v>
      </c>
      <c r="O414" s="14">
        <v>168000000</v>
      </c>
      <c r="P414" s="203" t="s">
        <v>1044</v>
      </c>
      <c r="Q414" t="s">
        <v>3561</v>
      </c>
    </row>
    <row r="415" spans="1:17" ht="58" hidden="1" x14ac:dyDescent="0.35">
      <c r="A415" s="6">
        <v>83</v>
      </c>
      <c r="B415" s="7" t="s">
        <v>480</v>
      </c>
      <c r="C415" s="9" t="s">
        <v>481</v>
      </c>
      <c r="D415" s="9" t="s">
        <v>1325</v>
      </c>
      <c r="E415" s="9" t="s">
        <v>1326</v>
      </c>
      <c r="F415" s="9"/>
      <c r="G415" s="6" t="s">
        <v>44</v>
      </c>
      <c r="H415" s="6" t="s">
        <v>888</v>
      </c>
      <c r="I415" s="6" t="s">
        <v>35</v>
      </c>
      <c r="J415" s="195">
        <v>7000000</v>
      </c>
      <c r="K415" s="6" t="s">
        <v>1025</v>
      </c>
      <c r="L415" s="6">
        <v>3008923</v>
      </c>
      <c r="M415" s="6" t="s">
        <v>46</v>
      </c>
      <c r="N415" s="202" t="s">
        <v>35</v>
      </c>
      <c r="O415" s="14">
        <v>30000000</v>
      </c>
      <c r="P415" s="7"/>
      <c r="Q415" t="s">
        <v>3561</v>
      </c>
    </row>
    <row r="416" spans="1:17" ht="72.5" hidden="1" x14ac:dyDescent="0.35">
      <c r="A416" s="6">
        <v>84</v>
      </c>
      <c r="B416" s="7" t="s">
        <v>480</v>
      </c>
      <c r="C416" s="9" t="s">
        <v>481</v>
      </c>
      <c r="D416" s="9" t="s">
        <v>1021</v>
      </c>
      <c r="E416" s="9" t="s">
        <v>1151</v>
      </c>
      <c r="F416" s="9" t="s">
        <v>48</v>
      </c>
      <c r="G416" s="6" t="s">
        <v>49</v>
      </c>
      <c r="H416" s="6" t="s">
        <v>49</v>
      </c>
      <c r="I416" s="6" t="s">
        <v>1327</v>
      </c>
      <c r="J416" s="195">
        <v>7000000</v>
      </c>
      <c r="K416" s="6" t="s">
        <v>1025</v>
      </c>
      <c r="L416" s="6">
        <v>2818621</v>
      </c>
      <c r="M416" s="6" t="s">
        <v>46</v>
      </c>
      <c r="N416" s="6" t="s">
        <v>1328</v>
      </c>
      <c r="O416" s="14">
        <v>22500000</v>
      </c>
      <c r="P416" s="231" t="s">
        <v>1329</v>
      </c>
      <c r="Q416" t="s">
        <v>3561</v>
      </c>
    </row>
    <row r="417" spans="1:17" ht="58" hidden="1" x14ac:dyDescent="0.35">
      <c r="A417" s="6">
        <v>85</v>
      </c>
      <c r="B417" s="198" t="s">
        <v>480</v>
      </c>
      <c r="C417" s="79" t="s">
        <v>481</v>
      </c>
      <c r="D417" s="79" t="s">
        <v>1021</v>
      </c>
      <c r="E417" s="79" t="s">
        <v>1210</v>
      </c>
      <c r="F417" s="79" t="s">
        <v>48</v>
      </c>
      <c r="G417" s="199" t="s">
        <v>49</v>
      </c>
      <c r="H417" s="199" t="s">
        <v>49</v>
      </c>
      <c r="I417" s="199" t="s">
        <v>280</v>
      </c>
      <c r="J417" s="200">
        <v>10500000</v>
      </c>
      <c r="K417" s="199" t="s">
        <v>1025</v>
      </c>
      <c r="L417" s="199">
        <v>2818706</v>
      </c>
      <c r="M417" s="199" t="s">
        <v>46</v>
      </c>
      <c r="N417" s="201"/>
      <c r="O417" s="200">
        <v>0</v>
      </c>
      <c r="P417" s="198" t="s">
        <v>1330</v>
      </c>
      <c r="Q417" t="s">
        <v>3561</v>
      </c>
    </row>
    <row r="418" spans="1:17" ht="58" hidden="1" x14ac:dyDescent="0.35">
      <c r="A418" s="6">
        <v>86</v>
      </c>
      <c r="B418" s="7" t="s">
        <v>480</v>
      </c>
      <c r="C418" s="9" t="s">
        <v>481</v>
      </c>
      <c r="D418" s="9" t="s">
        <v>1021</v>
      </c>
      <c r="E418" s="9" t="s">
        <v>1332</v>
      </c>
      <c r="F418" s="9" t="s">
        <v>48</v>
      </c>
      <c r="G418" s="6" t="s">
        <v>49</v>
      </c>
      <c r="H418" s="6" t="s">
        <v>613</v>
      </c>
      <c r="I418" s="6" t="s">
        <v>895</v>
      </c>
      <c r="J418" s="195">
        <v>15000000</v>
      </c>
      <c r="K418" s="6" t="s">
        <v>1025</v>
      </c>
      <c r="L418" s="6">
        <v>2818784</v>
      </c>
      <c r="M418" s="6" t="s">
        <v>46</v>
      </c>
      <c r="N418" s="202" t="s">
        <v>25</v>
      </c>
      <c r="O418" s="14">
        <v>10000000</v>
      </c>
      <c r="P418" s="214" t="s">
        <v>1081</v>
      </c>
      <c r="Q418" t="s">
        <v>3561</v>
      </c>
    </row>
    <row r="419" spans="1:17" ht="58" hidden="1" x14ac:dyDescent="0.35">
      <c r="A419" s="6">
        <v>87</v>
      </c>
      <c r="B419" s="7" t="s">
        <v>480</v>
      </c>
      <c r="C419" s="9" t="s">
        <v>481</v>
      </c>
      <c r="D419" s="9" t="s">
        <v>1021</v>
      </c>
      <c r="E419" s="9" t="s">
        <v>1334</v>
      </c>
      <c r="F419" s="9" t="s">
        <v>48</v>
      </c>
      <c r="G419" s="6" t="s">
        <v>405</v>
      </c>
      <c r="H419" s="6" t="s">
        <v>406</v>
      </c>
      <c r="I419" s="6" t="s">
        <v>575</v>
      </c>
      <c r="J419" s="195">
        <v>70000000</v>
      </c>
      <c r="K419" s="6" t="s">
        <v>1025</v>
      </c>
      <c r="L419" s="6">
        <v>2797680</v>
      </c>
      <c r="M419" s="6" t="s">
        <v>46</v>
      </c>
      <c r="N419" s="202" t="s">
        <v>1335</v>
      </c>
      <c r="O419" s="14">
        <v>70000000</v>
      </c>
      <c r="P419" s="203" t="s">
        <v>1193</v>
      </c>
      <c r="Q419" t="s">
        <v>3561</v>
      </c>
    </row>
    <row r="420" spans="1:17" ht="72.5" hidden="1" x14ac:dyDescent="0.35">
      <c r="A420" s="6">
        <v>88</v>
      </c>
      <c r="B420" s="7" t="s">
        <v>480</v>
      </c>
      <c r="C420" s="9" t="s">
        <v>481</v>
      </c>
      <c r="D420" s="9" t="s">
        <v>1021</v>
      </c>
      <c r="E420" s="9" t="s">
        <v>1151</v>
      </c>
      <c r="F420" s="9" t="s">
        <v>48</v>
      </c>
      <c r="G420" s="6" t="s">
        <v>405</v>
      </c>
      <c r="H420" s="6" t="s">
        <v>1336</v>
      </c>
      <c r="I420" s="6" t="s">
        <v>826</v>
      </c>
      <c r="J420" s="195">
        <v>50000000</v>
      </c>
      <c r="K420" s="6" t="s">
        <v>1025</v>
      </c>
      <c r="L420" s="6">
        <v>2933595</v>
      </c>
      <c r="M420" s="6" t="s">
        <v>46</v>
      </c>
      <c r="N420" s="6" t="s">
        <v>1337</v>
      </c>
      <c r="O420" s="14">
        <v>50000000</v>
      </c>
      <c r="P420" s="214" t="s">
        <v>1338</v>
      </c>
      <c r="Q420" t="s">
        <v>3561</v>
      </c>
    </row>
    <row r="421" spans="1:17" ht="87" hidden="1" x14ac:dyDescent="0.35">
      <c r="A421" s="6">
        <v>89</v>
      </c>
      <c r="B421" s="7" t="s">
        <v>480</v>
      </c>
      <c r="C421" s="9" t="s">
        <v>481</v>
      </c>
      <c r="D421" s="9" t="s">
        <v>1021</v>
      </c>
      <c r="E421" s="9" t="s">
        <v>1045</v>
      </c>
      <c r="F421" s="9"/>
      <c r="G421" s="6" t="s">
        <v>410</v>
      </c>
      <c r="H421" s="6" t="s">
        <v>411</v>
      </c>
      <c r="I421" s="6" t="s">
        <v>1339</v>
      </c>
      <c r="J421" s="195">
        <v>15000000</v>
      </c>
      <c r="K421" s="6" t="s">
        <v>1025</v>
      </c>
      <c r="L421" s="6">
        <v>2800696</v>
      </c>
      <c r="M421" s="6" t="s">
        <v>46</v>
      </c>
      <c r="N421" s="196" t="s">
        <v>1340</v>
      </c>
      <c r="O421" s="210">
        <v>30000000</v>
      </c>
      <c r="P421" s="214"/>
      <c r="Q421" t="s">
        <v>3561</v>
      </c>
    </row>
    <row r="422" spans="1:17" ht="58" hidden="1" x14ac:dyDescent="0.35">
      <c r="A422" s="6">
        <v>90</v>
      </c>
      <c r="B422" s="7" t="s">
        <v>480</v>
      </c>
      <c r="C422" s="9" t="s">
        <v>481</v>
      </c>
      <c r="D422" s="9" t="s">
        <v>1021</v>
      </c>
      <c r="E422" s="9" t="s">
        <v>1039</v>
      </c>
      <c r="F422" s="9"/>
      <c r="G422" s="6" t="s">
        <v>410</v>
      </c>
      <c r="H422" s="6" t="s">
        <v>410</v>
      </c>
      <c r="I422" s="6" t="s">
        <v>1341</v>
      </c>
      <c r="J422" s="195">
        <v>140000000</v>
      </c>
      <c r="K422" s="6" t="s">
        <v>1025</v>
      </c>
      <c r="L422" s="6">
        <v>2798595</v>
      </c>
      <c r="M422" s="6" t="s">
        <v>46</v>
      </c>
      <c r="N422" s="202" t="s">
        <v>1260</v>
      </c>
      <c r="O422" s="14">
        <v>140000000</v>
      </c>
      <c r="P422" s="203" t="s">
        <v>1044</v>
      </c>
      <c r="Q422" t="s">
        <v>3561</v>
      </c>
    </row>
    <row r="423" spans="1:17" ht="58" hidden="1" x14ac:dyDescent="0.35">
      <c r="A423" s="6">
        <v>91</v>
      </c>
      <c r="B423" s="7" t="s">
        <v>480</v>
      </c>
      <c r="C423" s="9" t="s">
        <v>481</v>
      </c>
      <c r="D423" s="9" t="s">
        <v>1021</v>
      </c>
      <c r="E423" s="9" t="s">
        <v>1159</v>
      </c>
      <c r="F423" s="9"/>
      <c r="G423" s="6" t="s">
        <v>410</v>
      </c>
      <c r="H423" s="6" t="s">
        <v>410</v>
      </c>
      <c r="I423" s="6" t="s">
        <v>826</v>
      </c>
      <c r="J423" s="195">
        <v>50000000</v>
      </c>
      <c r="K423" s="6" t="s">
        <v>1025</v>
      </c>
      <c r="L423" s="6">
        <v>2920250</v>
      </c>
      <c r="M423" s="6" t="s">
        <v>46</v>
      </c>
      <c r="N423" s="202" t="s">
        <v>169</v>
      </c>
      <c r="O423" s="14">
        <v>50000000</v>
      </c>
      <c r="P423" s="214" t="s">
        <v>1081</v>
      </c>
      <c r="Q423" t="s">
        <v>3561</v>
      </c>
    </row>
    <row r="424" spans="1:17" ht="58" hidden="1" x14ac:dyDescent="0.35">
      <c r="A424" s="6">
        <v>92</v>
      </c>
      <c r="B424" s="7" t="s">
        <v>480</v>
      </c>
      <c r="C424" s="9" t="s">
        <v>481</v>
      </c>
      <c r="D424" s="9" t="s">
        <v>1021</v>
      </c>
      <c r="E424" s="9" t="s">
        <v>1334</v>
      </c>
      <c r="F424" s="9"/>
      <c r="G424" s="6" t="s">
        <v>167</v>
      </c>
      <c r="H424" s="6" t="s">
        <v>1342</v>
      </c>
      <c r="I424" s="6" t="s">
        <v>376</v>
      </c>
      <c r="J424" s="195">
        <v>65000000</v>
      </c>
      <c r="K424" s="6" t="s">
        <v>1025</v>
      </c>
      <c r="L424" s="6">
        <v>2872541</v>
      </c>
      <c r="M424" s="6" t="s">
        <v>46</v>
      </c>
      <c r="N424" s="202" t="s">
        <v>1343</v>
      </c>
      <c r="O424" s="14">
        <v>65000000</v>
      </c>
      <c r="P424" s="203" t="s">
        <v>1193</v>
      </c>
      <c r="Q424" t="s">
        <v>3561</v>
      </c>
    </row>
    <row r="425" spans="1:17" ht="58" hidden="1" x14ac:dyDescent="0.35">
      <c r="A425" s="6">
        <v>93</v>
      </c>
      <c r="B425" s="7" t="s">
        <v>480</v>
      </c>
      <c r="C425" s="9" t="s">
        <v>481</v>
      </c>
      <c r="D425" s="9" t="s">
        <v>1021</v>
      </c>
      <c r="E425" s="9" t="s">
        <v>1344</v>
      </c>
      <c r="F425" s="9" t="s">
        <v>373</v>
      </c>
      <c r="G425" s="6" t="s">
        <v>418</v>
      </c>
      <c r="H425" s="6" t="s">
        <v>421</v>
      </c>
      <c r="I425" s="6" t="s">
        <v>826</v>
      </c>
      <c r="J425" s="195">
        <v>35000000</v>
      </c>
      <c r="K425" s="6" t="s">
        <v>1025</v>
      </c>
      <c r="L425" s="6">
        <v>2938347</v>
      </c>
      <c r="M425" s="6" t="s">
        <v>46</v>
      </c>
      <c r="N425" s="202" t="s">
        <v>25</v>
      </c>
      <c r="O425" s="14">
        <v>45000000</v>
      </c>
      <c r="P425" s="214" t="s">
        <v>1345</v>
      </c>
      <c r="Q425" t="s">
        <v>3561</v>
      </c>
    </row>
    <row r="426" spans="1:17" ht="58" hidden="1" x14ac:dyDescent="0.35">
      <c r="A426" s="6">
        <v>94</v>
      </c>
      <c r="B426" s="7" t="s">
        <v>480</v>
      </c>
      <c r="C426" s="9" t="s">
        <v>481</v>
      </c>
      <c r="D426" s="9" t="s">
        <v>1021</v>
      </c>
      <c r="E426" s="9" t="s">
        <v>1346</v>
      </c>
      <c r="F426" s="9" t="s">
        <v>373</v>
      </c>
      <c r="G426" s="6" t="s">
        <v>418</v>
      </c>
      <c r="H426" s="6" t="s">
        <v>421</v>
      </c>
      <c r="I426" s="6" t="s">
        <v>826</v>
      </c>
      <c r="J426" s="195">
        <v>35000000</v>
      </c>
      <c r="K426" s="6" t="s">
        <v>1025</v>
      </c>
      <c r="L426" s="6">
        <v>2947314</v>
      </c>
      <c r="M426" s="6" t="s">
        <v>46</v>
      </c>
      <c r="N426" s="202" t="s">
        <v>25</v>
      </c>
      <c r="O426" s="14">
        <v>10000000</v>
      </c>
      <c r="P426" s="214" t="s">
        <v>1284</v>
      </c>
      <c r="Q426" t="s">
        <v>3561</v>
      </c>
    </row>
    <row r="427" spans="1:17" ht="58" hidden="1" x14ac:dyDescent="0.35">
      <c r="A427" s="6">
        <v>95</v>
      </c>
      <c r="B427" s="7" t="s">
        <v>480</v>
      </c>
      <c r="C427" s="9" t="s">
        <v>481</v>
      </c>
      <c r="D427" s="9" t="s">
        <v>1021</v>
      </c>
      <c r="E427" s="9" t="s">
        <v>1347</v>
      </c>
      <c r="F427" s="9" t="s">
        <v>1348</v>
      </c>
      <c r="G427" s="6" t="s">
        <v>171</v>
      </c>
      <c r="H427" s="6" t="s">
        <v>1349</v>
      </c>
      <c r="I427" s="6" t="s">
        <v>25</v>
      </c>
      <c r="J427" s="195">
        <v>100000000</v>
      </c>
      <c r="K427" s="6" t="s">
        <v>1025</v>
      </c>
      <c r="L427" s="6">
        <v>2921970</v>
      </c>
      <c r="M427" s="6" t="s">
        <v>173</v>
      </c>
      <c r="N427" s="202" t="s">
        <v>122</v>
      </c>
      <c r="O427" s="14">
        <v>90000000</v>
      </c>
      <c r="P427" s="214" t="s">
        <v>1350</v>
      </c>
      <c r="Q427" t="s">
        <v>3561</v>
      </c>
    </row>
    <row r="428" spans="1:17" ht="58" hidden="1" x14ac:dyDescent="0.35">
      <c r="A428" s="6">
        <v>96</v>
      </c>
      <c r="B428" s="27" t="s">
        <v>480</v>
      </c>
      <c r="C428" s="9" t="s">
        <v>481</v>
      </c>
      <c r="D428" s="9" t="s">
        <v>1021</v>
      </c>
      <c r="E428" s="9" t="s">
        <v>1183</v>
      </c>
      <c r="F428" s="9" t="s">
        <v>1351</v>
      </c>
      <c r="G428" s="6" t="s">
        <v>912</v>
      </c>
      <c r="H428" s="6" t="s">
        <v>1352</v>
      </c>
      <c r="I428" s="6" t="s">
        <v>1266</v>
      </c>
      <c r="J428" s="195">
        <v>65000000</v>
      </c>
      <c r="K428" s="6" t="s">
        <v>1025</v>
      </c>
      <c r="L428" s="6">
        <v>2790701</v>
      </c>
      <c r="M428" s="6" t="s">
        <v>173</v>
      </c>
      <c r="N428" s="234" t="s">
        <v>1353</v>
      </c>
      <c r="O428" s="210">
        <v>55000000</v>
      </c>
      <c r="P428" s="235" t="s">
        <v>1044</v>
      </c>
      <c r="Q428" t="s">
        <v>3561</v>
      </c>
    </row>
    <row r="429" spans="1:17" ht="58" hidden="1" x14ac:dyDescent="0.35">
      <c r="A429" s="6">
        <v>97</v>
      </c>
      <c r="B429" s="7" t="s">
        <v>480</v>
      </c>
      <c r="C429" s="9" t="s">
        <v>481</v>
      </c>
      <c r="D429" s="9" t="s">
        <v>1021</v>
      </c>
      <c r="E429" s="9" t="s">
        <v>1151</v>
      </c>
      <c r="F429" s="9" t="s">
        <v>1355</v>
      </c>
      <c r="G429" s="6" t="s">
        <v>749</v>
      </c>
      <c r="H429" s="6" t="s">
        <v>750</v>
      </c>
      <c r="I429" s="6" t="s">
        <v>1356</v>
      </c>
      <c r="J429" s="195">
        <v>40000000</v>
      </c>
      <c r="K429" s="6" t="s">
        <v>1025</v>
      </c>
      <c r="L429" s="6">
        <v>2905304</v>
      </c>
      <c r="M429" s="6" t="s">
        <v>173</v>
      </c>
      <c r="N429" s="202" t="s">
        <v>1357</v>
      </c>
      <c r="O429" s="14">
        <v>40000000</v>
      </c>
      <c r="P429" s="231" t="s">
        <v>1358</v>
      </c>
      <c r="Q429" t="s">
        <v>3561</v>
      </c>
    </row>
    <row r="430" spans="1:17" ht="58" hidden="1" x14ac:dyDescent="0.35">
      <c r="A430" s="6">
        <v>98</v>
      </c>
      <c r="B430" s="7" t="s">
        <v>480</v>
      </c>
      <c r="C430" s="9" t="s">
        <v>481</v>
      </c>
      <c r="D430" s="9" t="s">
        <v>1021</v>
      </c>
      <c r="E430" s="9" t="s">
        <v>1359</v>
      </c>
      <c r="F430" s="9" t="s">
        <v>1360</v>
      </c>
      <c r="G430" s="6" t="s">
        <v>749</v>
      </c>
      <c r="H430" s="6" t="s">
        <v>927</v>
      </c>
      <c r="I430" s="6" t="s">
        <v>498</v>
      </c>
      <c r="J430" s="195">
        <v>54000000</v>
      </c>
      <c r="K430" s="6" t="s">
        <v>1025</v>
      </c>
      <c r="L430" s="6">
        <v>2832072</v>
      </c>
      <c r="M430" s="6" t="s">
        <v>173</v>
      </c>
      <c r="N430" s="202" t="s">
        <v>25</v>
      </c>
      <c r="O430" s="14">
        <v>45000000</v>
      </c>
      <c r="P430" s="214" t="s">
        <v>1350</v>
      </c>
      <c r="Q430" t="s">
        <v>3561</v>
      </c>
    </row>
    <row r="431" spans="1:17" ht="58" hidden="1" x14ac:dyDescent="0.35">
      <c r="A431" s="6">
        <v>99</v>
      </c>
      <c r="B431" s="7" t="s">
        <v>480</v>
      </c>
      <c r="C431" s="9" t="s">
        <v>481</v>
      </c>
      <c r="D431" s="9" t="s">
        <v>1021</v>
      </c>
      <c r="E431" s="9" t="s">
        <v>1361</v>
      </c>
      <c r="F431" s="9" t="s">
        <v>1362</v>
      </c>
      <c r="G431" s="6" t="s">
        <v>749</v>
      </c>
      <c r="H431" s="6" t="s">
        <v>1363</v>
      </c>
      <c r="I431" s="6" t="s">
        <v>1364</v>
      </c>
      <c r="J431" s="195">
        <v>100000000</v>
      </c>
      <c r="K431" s="6" t="s">
        <v>1025</v>
      </c>
      <c r="L431" s="6">
        <v>3010551</v>
      </c>
      <c r="M431" s="6" t="s">
        <v>173</v>
      </c>
      <c r="N431" s="202" t="s">
        <v>1365</v>
      </c>
      <c r="O431" s="14">
        <v>100000000</v>
      </c>
      <c r="P431" s="231" t="s">
        <v>1366</v>
      </c>
      <c r="Q431" t="s">
        <v>3561</v>
      </c>
    </row>
    <row r="432" spans="1:17" ht="58" hidden="1" x14ac:dyDescent="0.35">
      <c r="A432" s="6">
        <v>100</v>
      </c>
      <c r="B432" s="7" t="s">
        <v>480</v>
      </c>
      <c r="C432" s="9" t="s">
        <v>481</v>
      </c>
      <c r="D432" s="9" t="s">
        <v>1021</v>
      </c>
      <c r="E432" s="9" t="s">
        <v>1151</v>
      </c>
      <c r="F432" s="9" t="s">
        <v>1367</v>
      </c>
      <c r="G432" s="6" t="s">
        <v>749</v>
      </c>
      <c r="H432" s="6" t="s">
        <v>1368</v>
      </c>
      <c r="I432" s="6" t="s">
        <v>1369</v>
      </c>
      <c r="J432" s="195">
        <v>100000000</v>
      </c>
      <c r="K432" s="6" t="s">
        <v>1025</v>
      </c>
      <c r="L432" s="6">
        <v>2936614</v>
      </c>
      <c r="M432" s="6" t="s">
        <v>173</v>
      </c>
      <c r="N432" s="202" t="s">
        <v>1365</v>
      </c>
      <c r="O432" s="14">
        <v>100000000</v>
      </c>
      <c r="P432" s="231" t="s">
        <v>1366</v>
      </c>
      <c r="Q432" t="s">
        <v>3561</v>
      </c>
    </row>
    <row r="433" spans="1:17" ht="58" hidden="1" x14ac:dyDescent="0.35">
      <c r="A433" s="6">
        <v>101</v>
      </c>
      <c r="B433" s="7" t="s">
        <v>480</v>
      </c>
      <c r="C433" s="9" t="s">
        <v>481</v>
      </c>
      <c r="D433" s="9" t="s">
        <v>1021</v>
      </c>
      <c r="E433" s="9" t="s">
        <v>1370</v>
      </c>
      <c r="F433" s="9" t="s">
        <v>1371</v>
      </c>
      <c r="G433" s="6" t="s">
        <v>1372</v>
      </c>
      <c r="H433" s="6" t="s">
        <v>1373</v>
      </c>
      <c r="I433" s="6" t="s">
        <v>1374</v>
      </c>
      <c r="J433" s="195">
        <v>200000000</v>
      </c>
      <c r="K433" s="6" t="s">
        <v>1025</v>
      </c>
      <c r="L433" s="6">
        <v>3011377</v>
      </c>
      <c r="M433" s="6" t="s">
        <v>226</v>
      </c>
      <c r="N433" s="202" t="s">
        <v>1150</v>
      </c>
      <c r="O433" s="14">
        <v>200000000</v>
      </c>
      <c r="P433" s="203" t="s">
        <v>1044</v>
      </c>
      <c r="Q433" t="s">
        <v>3561</v>
      </c>
    </row>
    <row r="434" spans="1:17" ht="58" hidden="1" x14ac:dyDescent="0.35">
      <c r="A434" s="6">
        <v>102</v>
      </c>
      <c r="B434" s="7" t="s">
        <v>480</v>
      </c>
      <c r="C434" s="9" t="s">
        <v>481</v>
      </c>
      <c r="D434" s="9" t="s">
        <v>1021</v>
      </c>
      <c r="E434" s="9" t="s">
        <v>1375</v>
      </c>
      <c r="F434" s="9" t="s">
        <v>1160</v>
      </c>
      <c r="G434" s="6" t="s">
        <v>1376</v>
      </c>
      <c r="H434" s="6" t="s">
        <v>1377</v>
      </c>
      <c r="I434" s="6" t="s">
        <v>1378</v>
      </c>
      <c r="J434" s="195">
        <v>100000000</v>
      </c>
      <c r="K434" s="6" t="s">
        <v>1025</v>
      </c>
      <c r="L434" s="6">
        <v>3174597</v>
      </c>
      <c r="M434" s="6" t="s">
        <v>226</v>
      </c>
      <c r="N434" s="202" t="s">
        <v>1234</v>
      </c>
      <c r="O434" s="14">
        <v>74000000</v>
      </c>
      <c r="P434" s="203" t="s">
        <v>1193</v>
      </c>
      <c r="Q434" t="s">
        <v>3561</v>
      </c>
    </row>
    <row r="435" spans="1:17" ht="58" hidden="1" x14ac:dyDescent="0.35">
      <c r="A435" s="6">
        <v>103</v>
      </c>
      <c r="B435" s="7" t="s">
        <v>480</v>
      </c>
      <c r="C435" s="9" t="s">
        <v>481</v>
      </c>
      <c r="D435" s="9" t="s">
        <v>1021</v>
      </c>
      <c r="E435" s="9" t="s">
        <v>1039</v>
      </c>
      <c r="F435" s="9" t="s">
        <v>1379</v>
      </c>
      <c r="G435" s="6" t="s">
        <v>429</v>
      </c>
      <c r="H435" s="6" t="s">
        <v>1380</v>
      </c>
      <c r="I435" s="6" t="s">
        <v>1381</v>
      </c>
      <c r="J435" s="195">
        <v>135000000</v>
      </c>
      <c r="K435" s="6" t="s">
        <v>1025</v>
      </c>
      <c r="L435" s="6">
        <v>2895634</v>
      </c>
      <c r="M435" s="6" t="s">
        <v>226</v>
      </c>
      <c r="N435" s="202" t="s">
        <v>1188</v>
      </c>
      <c r="O435" s="14">
        <v>135000000</v>
      </c>
      <c r="P435" s="203" t="s">
        <v>1044</v>
      </c>
      <c r="Q435" t="s">
        <v>3561</v>
      </c>
    </row>
    <row r="436" spans="1:17" ht="58" hidden="1" x14ac:dyDescent="0.35">
      <c r="A436" s="6">
        <v>104</v>
      </c>
      <c r="B436" s="7" t="s">
        <v>480</v>
      </c>
      <c r="C436" s="9" t="s">
        <v>481</v>
      </c>
      <c r="D436" s="9" t="s">
        <v>1021</v>
      </c>
      <c r="E436" s="9" t="s">
        <v>1382</v>
      </c>
      <c r="F436" s="9" t="s">
        <v>111</v>
      </c>
      <c r="G436" s="6" t="s">
        <v>765</v>
      </c>
      <c r="H436" s="6" t="s">
        <v>1383</v>
      </c>
      <c r="I436" s="6" t="s">
        <v>48</v>
      </c>
      <c r="J436" s="195">
        <v>71523000</v>
      </c>
      <c r="K436" s="6" t="s">
        <v>1025</v>
      </c>
      <c r="L436" s="6">
        <v>2936268</v>
      </c>
      <c r="M436" s="6" t="s">
        <v>226</v>
      </c>
      <c r="N436" s="202" t="s">
        <v>1384</v>
      </c>
      <c r="O436" s="14">
        <v>71523000</v>
      </c>
      <c r="P436" s="203" t="s">
        <v>1193</v>
      </c>
      <c r="Q436" t="s">
        <v>3561</v>
      </c>
    </row>
    <row r="437" spans="1:17" ht="58" hidden="1" x14ac:dyDescent="0.35">
      <c r="A437" s="126">
        <v>105</v>
      </c>
      <c r="B437" s="27" t="s">
        <v>480</v>
      </c>
      <c r="C437" s="29" t="s">
        <v>481</v>
      </c>
      <c r="D437" s="29" t="s">
        <v>1021</v>
      </c>
      <c r="E437" s="29" t="s">
        <v>1385</v>
      </c>
      <c r="F437" s="29" t="s">
        <v>1386</v>
      </c>
      <c r="G437" s="126" t="s">
        <v>1387</v>
      </c>
      <c r="H437" s="126" t="s">
        <v>1388</v>
      </c>
      <c r="I437" s="126" t="s">
        <v>1389</v>
      </c>
      <c r="J437" s="127">
        <v>1000000000</v>
      </c>
      <c r="K437" s="126" t="s">
        <v>1025</v>
      </c>
      <c r="L437" s="126" t="s">
        <v>1390</v>
      </c>
      <c r="M437" s="126" t="s">
        <v>226</v>
      </c>
      <c r="N437" s="238" t="s">
        <v>1389</v>
      </c>
      <c r="O437" s="127">
        <v>1000000000</v>
      </c>
      <c r="P437" s="27" t="s">
        <v>1391</v>
      </c>
      <c r="Q437" t="s">
        <v>3561</v>
      </c>
    </row>
    <row r="438" spans="1:17" ht="58" hidden="1" x14ac:dyDescent="0.35">
      <c r="A438" s="6">
        <v>106</v>
      </c>
      <c r="B438" s="7" t="s">
        <v>480</v>
      </c>
      <c r="C438" s="9" t="s">
        <v>481</v>
      </c>
      <c r="D438" s="9" t="s">
        <v>1021</v>
      </c>
      <c r="E438" s="9" t="s">
        <v>1385</v>
      </c>
      <c r="F438" s="9" t="s">
        <v>1392</v>
      </c>
      <c r="G438" s="6" t="s">
        <v>1393</v>
      </c>
      <c r="H438" s="6" t="s">
        <v>1394</v>
      </c>
      <c r="I438" s="6" t="s">
        <v>1395</v>
      </c>
      <c r="J438" s="195">
        <v>100000000</v>
      </c>
      <c r="K438" s="6" t="s">
        <v>1025</v>
      </c>
      <c r="L438" s="6">
        <v>2857488</v>
      </c>
      <c r="M438" s="6" t="s">
        <v>226</v>
      </c>
      <c r="N438" s="202" t="s">
        <v>1066</v>
      </c>
      <c r="O438" s="14">
        <v>100000000</v>
      </c>
      <c r="P438" s="203" t="s">
        <v>1044</v>
      </c>
      <c r="Q438" t="s">
        <v>3561</v>
      </c>
    </row>
    <row r="439" spans="1:17" ht="58" hidden="1" x14ac:dyDescent="0.35">
      <c r="A439" s="6">
        <v>107</v>
      </c>
      <c r="B439" s="7" t="s">
        <v>480</v>
      </c>
      <c r="C439" s="9" t="s">
        <v>481</v>
      </c>
      <c r="D439" s="9" t="s">
        <v>1021</v>
      </c>
      <c r="E439" s="9" t="s">
        <v>1385</v>
      </c>
      <c r="F439" s="9" t="s">
        <v>1396</v>
      </c>
      <c r="G439" s="6" t="s">
        <v>1393</v>
      </c>
      <c r="H439" s="6" t="s">
        <v>1397</v>
      </c>
      <c r="I439" s="6" t="s">
        <v>1398</v>
      </c>
      <c r="J439" s="195">
        <v>100000000</v>
      </c>
      <c r="K439" s="6" t="s">
        <v>1025</v>
      </c>
      <c r="L439" s="6">
        <v>2857451</v>
      </c>
      <c r="M439" s="6" t="s">
        <v>226</v>
      </c>
      <c r="N439" s="202" t="s">
        <v>1066</v>
      </c>
      <c r="O439" s="14">
        <v>100000000</v>
      </c>
      <c r="P439" s="203" t="s">
        <v>1044</v>
      </c>
      <c r="Q439" t="s">
        <v>3561</v>
      </c>
    </row>
    <row r="440" spans="1:17" ht="58" hidden="1" x14ac:dyDescent="0.35">
      <c r="A440" s="6">
        <v>108</v>
      </c>
      <c r="B440" s="7" t="s">
        <v>480</v>
      </c>
      <c r="C440" s="9" t="s">
        <v>481</v>
      </c>
      <c r="D440" s="9" t="s">
        <v>1021</v>
      </c>
      <c r="E440" s="9" t="s">
        <v>1399</v>
      </c>
      <c r="F440" s="9" t="s">
        <v>1400</v>
      </c>
      <c r="G440" s="6" t="s">
        <v>978</v>
      </c>
      <c r="H440" s="6" t="s">
        <v>1401</v>
      </c>
      <c r="I440" s="6">
        <v>1</v>
      </c>
      <c r="J440" s="195">
        <v>50000000</v>
      </c>
      <c r="K440" s="6" t="s">
        <v>1025</v>
      </c>
      <c r="L440" s="6">
        <v>3011314</v>
      </c>
      <c r="M440" s="6" t="s">
        <v>226</v>
      </c>
      <c r="N440" s="202" t="s">
        <v>1174</v>
      </c>
      <c r="O440" s="14">
        <v>50000000</v>
      </c>
      <c r="P440" s="203" t="s">
        <v>1044</v>
      </c>
      <c r="Q440" t="s">
        <v>3561</v>
      </c>
    </row>
    <row r="441" spans="1:17" ht="58" hidden="1" x14ac:dyDescent="0.35">
      <c r="A441" s="6">
        <v>109</v>
      </c>
      <c r="B441" s="7" t="s">
        <v>480</v>
      </c>
      <c r="C441" s="9" t="s">
        <v>481</v>
      </c>
      <c r="D441" s="9" t="s">
        <v>1021</v>
      </c>
      <c r="E441" s="9" t="s">
        <v>1402</v>
      </c>
      <c r="F441" s="9" t="s">
        <v>1403</v>
      </c>
      <c r="G441" s="6" t="s">
        <v>978</v>
      </c>
      <c r="H441" s="6" t="s">
        <v>1404</v>
      </c>
      <c r="I441" s="6">
        <v>1</v>
      </c>
      <c r="J441" s="195">
        <v>100000000</v>
      </c>
      <c r="K441" s="6" t="s">
        <v>1025</v>
      </c>
      <c r="L441" s="6">
        <v>3012328</v>
      </c>
      <c r="M441" s="6" t="s">
        <v>226</v>
      </c>
      <c r="N441" s="202" t="s">
        <v>1405</v>
      </c>
      <c r="O441" s="14">
        <v>90000000</v>
      </c>
      <c r="P441" s="203" t="s">
        <v>1406</v>
      </c>
      <c r="Q441" t="s">
        <v>3561</v>
      </c>
    </row>
    <row r="442" spans="1:17" ht="58" hidden="1" x14ac:dyDescent="0.35">
      <c r="A442" s="6">
        <v>110</v>
      </c>
      <c r="B442" s="7" t="s">
        <v>480</v>
      </c>
      <c r="C442" s="9" t="s">
        <v>481</v>
      </c>
      <c r="D442" s="9" t="s">
        <v>1021</v>
      </c>
      <c r="E442" s="9" t="s">
        <v>1407</v>
      </c>
      <c r="F442" s="9" t="s">
        <v>1408</v>
      </c>
      <c r="G442" s="6" t="s">
        <v>978</v>
      </c>
      <c r="H442" s="6" t="s">
        <v>1404</v>
      </c>
      <c r="I442" s="6">
        <v>1</v>
      </c>
      <c r="J442" s="195">
        <v>31300000</v>
      </c>
      <c r="K442" s="6" t="s">
        <v>1025</v>
      </c>
      <c r="L442" s="6">
        <v>2937946</v>
      </c>
      <c r="M442" s="6" t="s">
        <v>226</v>
      </c>
      <c r="N442" s="202" t="s">
        <v>1409</v>
      </c>
      <c r="O442" s="14">
        <v>31300000</v>
      </c>
      <c r="P442" s="203" t="s">
        <v>1044</v>
      </c>
      <c r="Q442" t="s">
        <v>3561</v>
      </c>
    </row>
    <row r="443" spans="1:17" ht="58" hidden="1" x14ac:dyDescent="0.35">
      <c r="A443" s="6">
        <v>111</v>
      </c>
      <c r="B443" s="7" t="s">
        <v>480</v>
      </c>
      <c r="C443" s="9" t="s">
        <v>481</v>
      </c>
      <c r="D443" s="9" t="s">
        <v>1021</v>
      </c>
      <c r="E443" s="9" t="s">
        <v>1399</v>
      </c>
      <c r="F443" s="9" t="s">
        <v>1410</v>
      </c>
      <c r="G443" s="6" t="s">
        <v>177</v>
      </c>
      <c r="H443" s="6" t="s">
        <v>1411</v>
      </c>
      <c r="I443" s="6" t="s">
        <v>1412</v>
      </c>
      <c r="J443" s="195">
        <v>35000000</v>
      </c>
      <c r="K443" s="6" t="s">
        <v>1025</v>
      </c>
      <c r="L443" s="6">
        <v>2946976</v>
      </c>
      <c r="M443" s="6" t="s">
        <v>180</v>
      </c>
      <c r="N443" s="202" t="s">
        <v>1135</v>
      </c>
      <c r="O443" s="14">
        <v>95000000</v>
      </c>
      <c r="P443" s="212" t="s">
        <v>1044</v>
      </c>
      <c r="Q443" t="s">
        <v>3561</v>
      </c>
    </row>
    <row r="444" spans="1:17" ht="58" hidden="1" x14ac:dyDescent="0.35">
      <c r="A444" s="6">
        <v>112</v>
      </c>
      <c r="B444" s="7" t="s">
        <v>480</v>
      </c>
      <c r="C444" s="9" t="s">
        <v>481</v>
      </c>
      <c r="D444" s="9" t="s">
        <v>1021</v>
      </c>
      <c r="E444" s="9" t="s">
        <v>1399</v>
      </c>
      <c r="F444" s="9" t="s">
        <v>1160</v>
      </c>
      <c r="G444" s="6" t="s">
        <v>177</v>
      </c>
      <c r="H444" s="6" t="s">
        <v>1413</v>
      </c>
      <c r="I444" s="6" t="s">
        <v>1259</v>
      </c>
      <c r="J444" s="195">
        <v>40000000</v>
      </c>
      <c r="K444" s="6" t="s">
        <v>1025</v>
      </c>
      <c r="L444" s="6">
        <v>2946976</v>
      </c>
      <c r="M444" s="6" t="s">
        <v>180</v>
      </c>
      <c r="N444" s="202" t="s">
        <v>1135</v>
      </c>
      <c r="O444" s="14">
        <v>95000000</v>
      </c>
      <c r="P444" s="212" t="s">
        <v>1044</v>
      </c>
      <c r="Q444" t="s">
        <v>3561</v>
      </c>
    </row>
    <row r="445" spans="1:17" ht="58" hidden="1" x14ac:dyDescent="0.35">
      <c r="A445" s="6">
        <v>113</v>
      </c>
      <c r="B445" s="7" t="s">
        <v>480</v>
      </c>
      <c r="C445" s="9" t="s">
        <v>481</v>
      </c>
      <c r="D445" s="9" t="s">
        <v>1021</v>
      </c>
      <c r="E445" s="9" t="s">
        <v>1399</v>
      </c>
      <c r="F445" s="9" t="s">
        <v>1160</v>
      </c>
      <c r="G445" s="6" t="s">
        <v>177</v>
      </c>
      <c r="H445" s="6" t="s">
        <v>1414</v>
      </c>
      <c r="I445" s="6" t="s">
        <v>1259</v>
      </c>
      <c r="J445" s="195">
        <v>40000000</v>
      </c>
      <c r="K445" s="6" t="s">
        <v>1025</v>
      </c>
      <c r="L445" s="6">
        <v>2946976</v>
      </c>
      <c r="M445" s="6" t="s">
        <v>180</v>
      </c>
      <c r="N445" s="202" t="s">
        <v>1135</v>
      </c>
      <c r="O445" s="14">
        <v>95000000</v>
      </c>
      <c r="P445" s="212" t="s">
        <v>1044</v>
      </c>
      <c r="Q445" t="s">
        <v>3561</v>
      </c>
    </row>
    <row r="446" spans="1:17" ht="58" hidden="1" x14ac:dyDescent="0.35">
      <c r="A446" s="6">
        <v>114</v>
      </c>
      <c r="B446" s="7" t="s">
        <v>480</v>
      </c>
      <c r="C446" s="9" t="s">
        <v>481</v>
      </c>
      <c r="D446" s="9" t="s">
        <v>1021</v>
      </c>
      <c r="E446" s="9" t="s">
        <v>1399</v>
      </c>
      <c r="F446" s="9" t="s">
        <v>1160</v>
      </c>
      <c r="G446" s="6" t="s">
        <v>177</v>
      </c>
      <c r="H446" s="6" t="s">
        <v>1415</v>
      </c>
      <c r="I446" s="6" t="s">
        <v>1259</v>
      </c>
      <c r="J446" s="195">
        <v>40000000</v>
      </c>
      <c r="K446" s="6" t="s">
        <v>1025</v>
      </c>
      <c r="L446" s="6">
        <v>2946976</v>
      </c>
      <c r="M446" s="6" t="s">
        <v>180</v>
      </c>
      <c r="N446" s="202" t="s">
        <v>1135</v>
      </c>
      <c r="O446" s="14">
        <v>95000000</v>
      </c>
      <c r="P446" s="212" t="s">
        <v>1044</v>
      </c>
      <c r="Q446" t="s">
        <v>3561</v>
      </c>
    </row>
    <row r="447" spans="1:17" ht="58" hidden="1" x14ac:dyDescent="0.35">
      <c r="A447" s="6">
        <v>115</v>
      </c>
      <c r="B447" s="7" t="s">
        <v>480</v>
      </c>
      <c r="C447" s="9" t="s">
        <v>481</v>
      </c>
      <c r="D447" s="9" t="s">
        <v>1021</v>
      </c>
      <c r="E447" s="9" t="s">
        <v>1416</v>
      </c>
      <c r="F447" s="9" t="s">
        <v>1165</v>
      </c>
      <c r="G447" s="6" t="s">
        <v>177</v>
      </c>
      <c r="H447" s="6" t="s">
        <v>178</v>
      </c>
      <c r="I447" s="6" t="s">
        <v>1417</v>
      </c>
      <c r="J447" s="195">
        <v>30000000</v>
      </c>
      <c r="K447" s="6" t="s">
        <v>1025</v>
      </c>
      <c r="L447" s="6">
        <v>2946477</v>
      </c>
      <c r="M447" s="6" t="s">
        <v>180</v>
      </c>
      <c r="N447" s="202" t="s">
        <v>1418</v>
      </c>
      <c r="O447" s="14">
        <v>30000000</v>
      </c>
      <c r="P447" s="231" t="s">
        <v>1419</v>
      </c>
      <c r="Q447" t="s">
        <v>3561</v>
      </c>
    </row>
    <row r="448" spans="1:17" ht="58" hidden="1" x14ac:dyDescent="0.35">
      <c r="A448" s="6">
        <v>116</v>
      </c>
      <c r="B448" s="7" t="s">
        <v>480</v>
      </c>
      <c r="C448" s="9" t="s">
        <v>481</v>
      </c>
      <c r="D448" s="9" t="s">
        <v>1021</v>
      </c>
      <c r="E448" s="9" t="s">
        <v>1334</v>
      </c>
      <c r="F448" s="9" t="s">
        <v>636</v>
      </c>
      <c r="G448" s="6" t="s">
        <v>182</v>
      </c>
      <c r="H448" s="6" t="s">
        <v>1420</v>
      </c>
      <c r="I448" s="6" t="s">
        <v>1421</v>
      </c>
      <c r="J448" s="195">
        <v>25000000</v>
      </c>
      <c r="K448" s="6" t="s">
        <v>1025</v>
      </c>
      <c r="L448" s="6">
        <v>2948057</v>
      </c>
      <c r="M448" s="6" t="s">
        <v>180</v>
      </c>
      <c r="N448" s="202" t="s">
        <v>1077</v>
      </c>
      <c r="O448" s="14">
        <v>60000000</v>
      </c>
      <c r="P448" s="203" t="s">
        <v>1193</v>
      </c>
      <c r="Q448" t="s">
        <v>3561</v>
      </c>
    </row>
    <row r="449" spans="1:17" ht="58" hidden="1" x14ac:dyDescent="0.35">
      <c r="A449" s="6">
        <v>117</v>
      </c>
      <c r="B449" s="7" t="s">
        <v>480</v>
      </c>
      <c r="C449" s="9" t="s">
        <v>481</v>
      </c>
      <c r="D449" s="9" t="s">
        <v>1021</v>
      </c>
      <c r="E449" s="9" t="s">
        <v>1422</v>
      </c>
      <c r="F449" s="9" t="s">
        <v>636</v>
      </c>
      <c r="G449" s="6" t="s">
        <v>182</v>
      </c>
      <c r="H449" s="6" t="s">
        <v>185</v>
      </c>
      <c r="I449" s="6" t="s">
        <v>1423</v>
      </c>
      <c r="J449" s="195">
        <v>50000000</v>
      </c>
      <c r="K449" s="6" t="s">
        <v>1025</v>
      </c>
      <c r="L449" s="6">
        <v>2952502</v>
      </c>
      <c r="M449" s="6" t="s">
        <v>180</v>
      </c>
      <c r="N449" s="202" t="s">
        <v>1222</v>
      </c>
      <c r="O449" s="14">
        <v>50000000</v>
      </c>
      <c r="P449" s="203" t="s">
        <v>1193</v>
      </c>
      <c r="Q449" t="s">
        <v>3561</v>
      </c>
    </row>
    <row r="450" spans="1:17" ht="58" hidden="1" x14ac:dyDescent="0.35">
      <c r="A450" s="6">
        <v>118</v>
      </c>
      <c r="B450" s="7" t="s">
        <v>480</v>
      </c>
      <c r="C450" s="9" t="s">
        <v>481</v>
      </c>
      <c r="D450" s="9" t="s">
        <v>1021</v>
      </c>
      <c r="E450" s="9" t="s">
        <v>1422</v>
      </c>
      <c r="F450" s="9" t="s">
        <v>1160</v>
      </c>
      <c r="G450" s="6" t="s">
        <v>1424</v>
      </c>
      <c r="H450" s="6" t="s">
        <v>1425</v>
      </c>
      <c r="I450" s="6" t="s">
        <v>1426</v>
      </c>
      <c r="J450" s="195">
        <v>100000000</v>
      </c>
      <c r="K450" s="6" t="s">
        <v>1025</v>
      </c>
      <c r="L450" s="6">
        <v>2764204</v>
      </c>
      <c r="M450" s="6" t="s">
        <v>180</v>
      </c>
      <c r="N450" s="202" t="s">
        <v>1427</v>
      </c>
      <c r="O450" s="14">
        <v>101945000</v>
      </c>
      <c r="P450" s="203" t="s">
        <v>1193</v>
      </c>
      <c r="Q450" t="s">
        <v>3561</v>
      </c>
    </row>
    <row r="451" spans="1:17" ht="58" hidden="1" x14ac:dyDescent="0.35">
      <c r="A451" s="6">
        <v>119</v>
      </c>
      <c r="B451" s="7" t="s">
        <v>480</v>
      </c>
      <c r="C451" s="9" t="s">
        <v>481</v>
      </c>
      <c r="D451" s="9" t="s">
        <v>1021</v>
      </c>
      <c r="E451" s="9" t="s">
        <v>1428</v>
      </c>
      <c r="F451" s="9" t="s">
        <v>441</v>
      </c>
      <c r="G451" s="6" t="s">
        <v>442</v>
      </c>
      <c r="H451" s="6" t="s">
        <v>1429</v>
      </c>
      <c r="I451" s="6"/>
      <c r="J451" s="195">
        <v>50000000</v>
      </c>
      <c r="K451" s="6" t="s">
        <v>1025</v>
      </c>
      <c r="L451" s="6">
        <v>3012204</v>
      </c>
      <c r="M451" s="6" t="s">
        <v>180</v>
      </c>
      <c r="N451" s="202" t="s">
        <v>1251</v>
      </c>
      <c r="O451" s="14">
        <v>100000000</v>
      </c>
      <c r="P451" s="203" t="s">
        <v>1193</v>
      </c>
      <c r="Q451" t="s">
        <v>3561</v>
      </c>
    </row>
    <row r="452" spans="1:17" ht="58" hidden="1" x14ac:dyDescent="0.35">
      <c r="A452" s="6">
        <v>120</v>
      </c>
      <c r="B452" s="7" t="s">
        <v>480</v>
      </c>
      <c r="C452" s="9" t="s">
        <v>481</v>
      </c>
      <c r="D452" s="9" t="s">
        <v>1021</v>
      </c>
      <c r="E452" s="9" t="s">
        <v>1175</v>
      </c>
      <c r="F452" s="9" t="s">
        <v>1160</v>
      </c>
      <c r="G452" s="6" t="s">
        <v>187</v>
      </c>
      <c r="H452" s="6" t="s">
        <v>1430</v>
      </c>
      <c r="I452" s="6" t="s">
        <v>1431</v>
      </c>
      <c r="J452" s="195">
        <v>5000000</v>
      </c>
      <c r="K452" s="6" t="s">
        <v>1025</v>
      </c>
      <c r="L452" s="6">
        <v>2934399</v>
      </c>
      <c r="M452" s="6" t="s">
        <v>180</v>
      </c>
      <c r="N452" s="202" t="s">
        <v>1432</v>
      </c>
      <c r="O452" s="14">
        <v>5000000</v>
      </c>
      <c r="P452" s="214" t="s">
        <v>1059</v>
      </c>
      <c r="Q452" t="s">
        <v>3561</v>
      </c>
    </row>
    <row r="453" spans="1:17" ht="58" hidden="1" x14ac:dyDescent="0.35">
      <c r="A453" s="6">
        <v>121</v>
      </c>
      <c r="B453" s="7" t="s">
        <v>480</v>
      </c>
      <c r="C453" s="9" t="s">
        <v>481</v>
      </c>
      <c r="D453" s="9" t="s">
        <v>1021</v>
      </c>
      <c r="E453" s="9" t="s">
        <v>1045</v>
      </c>
      <c r="F453" s="9" t="s">
        <v>1160</v>
      </c>
      <c r="G453" s="6" t="s">
        <v>187</v>
      </c>
      <c r="H453" s="6" t="s">
        <v>1430</v>
      </c>
      <c r="I453" s="6" t="s">
        <v>1433</v>
      </c>
      <c r="J453" s="195">
        <v>5000000</v>
      </c>
      <c r="K453" s="6" t="s">
        <v>1025</v>
      </c>
      <c r="L453" s="6">
        <v>2935235</v>
      </c>
      <c r="M453" s="6" t="s">
        <v>180</v>
      </c>
      <c r="N453" s="202" t="s">
        <v>1434</v>
      </c>
      <c r="O453" s="14">
        <v>5000000</v>
      </c>
      <c r="P453" s="7"/>
      <c r="Q453" t="s">
        <v>3561</v>
      </c>
    </row>
    <row r="454" spans="1:17" ht="58" hidden="1" x14ac:dyDescent="0.35">
      <c r="A454" s="6">
        <v>122</v>
      </c>
      <c r="B454" s="7" t="s">
        <v>480</v>
      </c>
      <c r="C454" s="9" t="s">
        <v>481</v>
      </c>
      <c r="D454" s="9" t="s">
        <v>1021</v>
      </c>
      <c r="E454" s="9" t="s">
        <v>1159</v>
      </c>
      <c r="F454" s="9" t="s">
        <v>1160</v>
      </c>
      <c r="G454" s="6" t="s">
        <v>187</v>
      </c>
      <c r="H454" s="6" t="s">
        <v>1430</v>
      </c>
      <c r="I454" s="6" t="s">
        <v>725</v>
      </c>
      <c r="J454" s="195">
        <v>50000000</v>
      </c>
      <c r="K454" s="6" t="s">
        <v>1025</v>
      </c>
      <c r="L454" s="6">
        <v>2938807</v>
      </c>
      <c r="M454" s="6" t="s">
        <v>180</v>
      </c>
      <c r="N454" s="202" t="s">
        <v>25</v>
      </c>
      <c r="O454" s="14">
        <v>45000000</v>
      </c>
      <c r="P454" s="214" t="s">
        <v>1243</v>
      </c>
      <c r="Q454" t="s">
        <v>3561</v>
      </c>
    </row>
    <row r="455" spans="1:17" ht="58" hidden="1" x14ac:dyDescent="0.35">
      <c r="A455" s="6">
        <v>123</v>
      </c>
      <c r="B455" s="7" t="s">
        <v>480</v>
      </c>
      <c r="C455" s="9" t="s">
        <v>481</v>
      </c>
      <c r="D455" s="9" t="s">
        <v>1021</v>
      </c>
      <c r="E455" s="9" t="s">
        <v>1151</v>
      </c>
      <c r="F455" s="9" t="s">
        <v>1165</v>
      </c>
      <c r="G455" s="6" t="s">
        <v>187</v>
      </c>
      <c r="H455" s="6" t="s">
        <v>446</v>
      </c>
      <c r="I455" s="6" t="s">
        <v>521</v>
      </c>
      <c r="J455" s="195">
        <v>5000000</v>
      </c>
      <c r="K455" s="6" t="s">
        <v>1025</v>
      </c>
      <c r="L455" s="6">
        <v>2974936</v>
      </c>
      <c r="M455" s="6" t="s">
        <v>180</v>
      </c>
      <c r="N455" s="202" t="s">
        <v>1435</v>
      </c>
      <c r="O455" s="14">
        <v>5000000</v>
      </c>
      <c r="P455" s="212" t="s">
        <v>1436</v>
      </c>
      <c r="Q455" t="s">
        <v>3561</v>
      </c>
    </row>
    <row r="456" spans="1:17" ht="58" hidden="1" x14ac:dyDescent="0.35">
      <c r="A456" s="6">
        <v>124</v>
      </c>
      <c r="B456" s="7" t="s">
        <v>480</v>
      </c>
      <c r="C456" s="9" t="s">
        <v>481</v>
      </c>
      <c r="D456" s="9" t="s">
        <v>1021</v>
      </c>
      <c r="E456" s="9" t="s">
        <v>1204</v>
      </c>
      <c r="F456" s="9" t="s">
        <v>1165</v>
      </c>
      <c r="G456" s="6" t="s">
        <v>187</v>
      </c>
      <c r="H456" s="6" t="s">
        <v>1437</v>
      </c>
      <c r="I456" s="6" t="s">
        <v>1438</v>
      </c>
      <c r="J456" s="195">
        <v>11000000</v>
      </c>
      <c r="K456" s="6" t="s">
        <v>1025</v>
      </c>
      <c r="L456" s="6">
        <v>2938971</v>
      </c>
      <c r="M456" s="6" t="s">
        <v>180</v>
      </c>
      <c r="N456" s="202" t="s">
        <v>1439</v>
      </c>
      <c r="O456" s="14">
        <v>11000000</v>
      </c>
      <c r="P456" s="212" t="s">
        <v>1406</v>
      </c>
      <c r="Q456" t="s">
        <v>3561</v>
      </c>
    </row>
    <row r="457" spans="1:17" ht="174" hidden="1" x14ac:dyDescent="0.35">
      <c r="A457" s="6">
        <v>125</v>
      </c>
      <c r="B457" s="7" t="s">
        <v>480</v>
      </c>
      <c r="C457" s="9" t="s">
        <v>481</v>
      </c>
      <c r="D457" s="9" t="s">
        <v>1021</v>
      </c>
      <c r="E457" s="9" t="s">
        <v>1151</v>
      </c>
      <c r="F457" s="9" t="s">
        <v>1165</v>
      </c>
      <c r="G457" s="6" t="s">
        <v>187</v>
      </c>
      <c r="H457" s="6" t="s">
        <v>1437</v>
      </c>
      <c r="I457" s="6" t="s">
        <v>1438</v>
      </c>
      <c r="J457" s="195">
        <v>30000000</v>
      </c>
      <c r="K457" s="6" t="s">
        <v>1025</v>
      </c>
      <c r="L457" s="6">
        <v>2933606</v>
      </c>
      <c r="M457" s="6" t="s">
        <v>180</v>
      </c>
      <c r="N457" s="6" t="s">
        <v>1440</v>
      </c>
      <c r="O457" s="14">
        <v>30000000</v>
      </c>
      <c r="P457" s="214" t="s">
        <v>1441</v>
      </c>
      <c r="Q457" t="s">
        <v>3561</v>
      </c>
    </row>
    <row r="458" spans="1:17" ht="58" hidden="1" x14ac:dyDescent="0.35">
      <c r="A458" s="6">
        <v>126</v>
      </c>
      <c r="B458" s="7" t="s">
        <v>480</v>
      </c>
      <c r="C458" s="9" t="s">
        <v>481</v>
      </c>
      <c r="D458" s="9" t="s">
        <v>1021</v>
      </c>
      <c r="E458" s="9" t="s">
        <v>1159</v>
      </c>
      <c r="F458" s="9" t="s">
        <v>1160</v>
      </c>
      <c r="G458" s="6" t="s">
        <v>187</v>
      </c>
      <c r="H458" s="6" t="s">
        <v>1442</v>
      </c>
      <c r="I458" s="6" t="s">
        <v>725</v>
      </c>
      <c r="J458" s="195">
        <v>50000000</v>
      </c>
      <c r="K458" s="6" t="s">
        <v>1025</v>
      </c>
      <c r="L458" s="6">
        <v>2761221</v>
      </c>
      <c r="M458" s="6" t="s">
        <v>180</v>
      </c>
      <c r="N458" s="202" t="s">
        <v>25</v>
      </c>
      <c r="O458" s="14">
        <v>45000000</v>
      </c>
      <c r="P458" s="214" t="s">
        <v>1243</v>
      </c>
      <c r="Q458" t="s">
        <v>3561</v>
      </c>
    </row>
    <row r="459" spans="1:17" ht="58" hidden="1" x14ac:dyDescent="0.35">
      <c r="A459" s="6">
        <v>127</v>
      </c>
      <c r="B459" s="7" t="s">
        <v>480</v>
      </c>
      <c r="C459" s="9" t="s">
        <v>481</v>
      </c>
      <c r="D459" s="9" t="s">
        <v>1021</v>
      </c>
      <c r="E459" s="9" t="s">
        <v>1175</v>
      </c>
      <c r="F459" s="9" t="s">
        <v>1160</v>
      </c>
      <c r="G459" s="6" t="s">
        <v>187</v>
      </c>
      <c r="H459" s="6" t="s">
        <v>1442</v>
      </c>
      <c r="I459" s="6" t="s">
        <v>1443</v>
      </c>
      <c r="J459" s="195">
        <v>15000000</v>
      </c>
      <c r="K459" s="6" t="s">
        <v>1025</v>
      </c>
      <c r="L459" s="6">
        <v>2762094</v>
      </c>
      <c r="M459" s="6" t="s">
        <v>180</v>
      </c>
      <c r="N459" s="202" t="s">
        <v>1444</v>
      </c>
      <c r="O459" s="14">
        <v>15000000</v>
      </c>
      <c r="P459" s="7" t="s">
        <v>1445</v>
      </c>
      <c r="Q459" t="s">
        <v>3561</v>
      </c>
    </row>
    <row r="460" spans="1:17" ht="58" hidden="1" x14ac:dyDescent="0.35">
      <c r="A460" s="6">
        <v>128</v>
      </c>
      <c r="B460" s="7" t="s">
        <v>480</v>
      </c>
      <c r="C460" s="9" t="s">
        <v>481</v>
      </c>
      <c r="D460" s="9" t="s">
        <v>1021</v>
      </c>
      <c r="E460" s="9" t="s">
        <v>1446</v>
      </c>
      <c r="F460" s="9" t="s">
        <v>1160</v>
      </c>
      <c r="G460" s="6" t="s">
        <v>187</v>
      </c>
      <c r="H460" s="6" t="s">
        <v>1447</v>
      </c>
      <c r="I460" s="6" t="s">
        <v>1448</v>
      </c>
      <c r="J460" s="195">
        <v>35000000</v>
      </c>
      <c r="K460" s="6" t="s">
        <v>1025</v>
      </c>
      <c r="L460" s="6">
        <v>2764371</v>
      </c>
      <c r="M460" s="6" t="s">
        <v>180</v>
      </c>
      <c r="N460" s="202" t="s">
        <v>28</v>
      </c>
      <c r="O460" s="14">
        <v>35000000</v>
      </c>
      <c r="P460" s="7"/>
      <c r="Q460" t="s">
        <v>3561</v>
      </c>
    </row>
    <row r="461" spans="1:17" ht="145" hidden="1" x14ac:dyDescent="0.35">
      <c r="A461" s="6">
        <v>129</v>
      </c>
      <c r="B461" s="7" t="s">
        <v>480</v>
      </c>
      <c r="C461" s="9" t="s">
        <v>481</v>
      </c>
      <c r="D461" s="9" t="s">
        <v>1021</v>
      </c>
      <c r="E461" s="9" t="s">
        <v>1449</v>
      </c>
      <c r="F461" s="9" t="s">
        <v>1160</v>
      </c>
      <c r="G461" s="6" t="s">
        <v>187</v>
      </c>
      <c r="H461" s="6" t="s">
        <v>1447</v>
      </c>
      <c r="I461" s="6" t="s">
        <v>1450</v>
      </c>
      <c r="J461" s="195">
        <v>15000000</v>
      </c>
      <c r="K461" s="6" t="s">
        <v>1025</v>
      </c>
      <c r="L461" s="6">
        <v>2938133</v>
      </c>
      <c r="M461" s="6" t="s">
        <v>180</v>
      </c>
      <c r="N461" s="239" t="s">
        <v>1451</v>
      </c>
      <c r="O461" s="240">
        <v>15000000</v>
      </c>
      <c r="P461" s="140"/>
      <c r="Q461" t="s">
        <v>3561</v>
      </c>
    </row>
    <row r="462" spans="1:17" ht="58" hidden="1" x14ac:dyDescent="0.35">
      <c r="A462" s="6">
        <v>130</v>
      </c>
      <c r="B462" s="7" t="s">
        <v>480</v>
      </c>
      <c r="C462" s="9" t="s">
        <v>481</v>
      </c>
      <c r="D462" s="9" t="s">
        <v>1021</v>
      </c>
      <c r="E462" s="9" t="s">
        <v>1039</v>
      </c>
      <c r="F462" s="9" t="s">
        <v>1160</v>
      </c>
      <c r="G462" s="6" t="s">
        <v>1452</v>
      </c>
      <c r="H462" s="6" t="s">
        <v>450</v>
      </c>
      <c r="I462" s="6" t="s">
        <v>341</v>
      </c>
      <c r="J462" s="195">
        <v>45000000</v>
      </c>
      <c r="K462" s="6" t="s">
        <v>1025</v>
      </c>
      <c r="L462" s="6">
        <v>2761457</v>
      </c>
      <c r="M462" s="6" t="s">
        <v>180</v>
      </c>
      <c r="N462" s="202" t="s">
        <v>1405</v>
      </c>
      <c r="O462" s="14">
        <v>75000000</v>
      </c>
      <c r="P462" s="212" t="s">
        <v>1044</v>
      </c>
      <c r="Q462" t="s">
        <v>3561</v>
      </c>
    </row>
    <row r="463" spans="1:17" ht="58" hidden="1" x14ac:dyDescent="0.35">
      <c r="A463" s="6">
        <v>131</v>
      </c>
      <c r="B463" s="7" t="s">
        <v>480</v>
      </c>
      <c r="C463" s="9" t="s">
        <v>481</v>
      </c>
      <c r="D463" s="9" t="s">
        <v>1021</v>
      </c>
      <c r="E463" s="9" t="s">
        <v>1039</v>
      </c>
      <c r="F463" s="9" t="s">
        <v>1160</v>
      </c>
      <c r="G463" s="6" t="s">
        <v>449</v>
      </c>
      <c r="H463" s="6" t="s">
        <v>1453</v>
      </c>
      <c r="I463" s="6" t="s">
        <v>1272</v>
      </c>
      <c r="J463" s="195">
        <v>60000000</v>
      </c>
      <c r="K463" s="6" t="s">
        <v>1025</v>
      </c>
      <c r="L463" s="6">
        <v>2761457</v>
      </c>
      <c r="M463" s="6" t="s">
        <v>180</v>
      </c>
      <c r="N463" s="202" t="s">
        <v>1454</v>
      </c>
      <c r="O463" s="14">
        <v>85000000</v>
      </c>
      <c r="P463" s="212" t="s">
        <v>1044</v>
      </c>
      <c r="Q463" t="s">
        <v>3561</v>
      </c>
    </row>
    <row r="464" spans="1:17" ht="58" hidden="1" x14ac:dyDescent="0.35">
      <c r="A464" s="6">
        <v>132</v>
      </c>
      <c r="B464" s="7" t="s">
        <v>480</v>
      </c>
      <c r="C464" s="9" t="s">
        <v>481</v>
      </c>
      <c r="D464" s="9" t="s">
        <v>1021</v>
      </c>
      <c r="E464" s="9" t="s">
        <v>1455</v>
      </c>
      <c r="F464" s="9" t="s">
        <v>1160</v>
      </c>
      <c r="G464" s="6" t="s">
        <v>449</v>
      </c>
      <c r="H464" s="6" t="s">
        <v>1456</v>
      </c>
      <c r="I464" s="6" t="s">
        <v>725</v>
      </c>
      <c r="J464" s="195">
        <v>50000000</v>
      </c>
      <c r="K464" s="6" t="s">
        <v>1025</v>
      </c>
      <c r="L464" s="6">
        <v>2761293</v>
      </c>
      <c r="M464" s="6" t="s">
        <v>180</v>
      </c>
      <c r="N464" s="202" t="s">
        <v>280</v>
      </c>
      <c r="O464" s="14">
        <v>120000000</v>
      </c>
      <c r="P464" s="7" t="s">
        <v>1457</v>
      </c>
      <c r="Q464" t="s">
        <v>3561</v>
      </c>
    </row>
    <row r="465" spans="1:17" ht="58" hidden="1" x14ac:dyDescent="0.35">
      <c r="A465" s="6">
        <v>133</v>
      </c>
      <c r="B465" s="7" t="s">
        <v>480</v>
      </c>
      <c r="C465" s="9" t="s">
        <v>481</v>
      </c>
      <c r="D465" s="9" t="s">
        <v>1021</v>
      </c>
      <c r="E465" s="9" t="s">
        <v>1332</v>
      </c>
      <c r="F465" s="9" t="s">
        <v>1160</v>
      </c>
      <c r="G465" s="6" t="s">
        <v>449</v>
      </c>
      <c r="H465" s="6" t="s">
        <v>1458</v>
      </c>
      <c r="I465" s="6" t="s">
        <v>725</v>
      </c>
      <c r="J465" s="195">
        <v>25000000</v>
      </c>
      <c r="K465" s="6" t="s">
        <v>1025</v>
      </c>
      <c r="L465" s="6">
        <v>2967478</v>
      </c>
      <c r="M465" s="6" t="s">
        <v>180</v>
      </c>
      <c r="N465" s="202" t="s">
        <v>25</v>
      </c>
      <c r="O465" s="14">
        <v>90000000</v>
      </c>
      <c r="P465" s="7" t="s">
        <v>1457</v>
      </c>
      <c r="Q465" t="s">
        <v>3561</v>
      </c>
    </row>
    <row r="466" spans="1:17" ht="58" hidden="1" x14ac:dyDescent="0.35">
      <c r="A466" s="6">
        <v>134</v>
      </c>
      <c r="B466" s="7" t="s">
        <v>480</v>
      </c>
      <c r="C466" s="9" t="s">
        <v>481</v>
      </c>
      <c r="D466" s="9" t="s">
        <v>1021</v>
      </c>
      <c r="E466" s="9" t="s">
        <v>1159</v>
      </c>
      <c r="F466" s="9" t="s">
        <v>1160</v>
      </c>
      <c r="G466" s="6" t="s">
        <v>452</v>
      </c>
      <c r="H466" s="6" t="s">
        <v>1459</v>
      </c>
      <c r="I466" s="6" t="s">
        <v>179</v>
      </c>
      <c r="J466" s="195">
        <v>30000000</v>
      </c>
      <c r="K466" s="6" t="s">
        <v>1025</v>
      </c>
      <c r="L466" s="6">
        <v>2772067</v>
      </c>
      <c r="M466" s="6" t="s">
        <v>180</v>
      </c>
      <c r="N466" s="202" t="s">
        <v>25</v>
      </c>
      <c r="O466" s="14">
        <v>45000000</v>
      </c>
      <c r="P466" s="214" t="s">
        <v>1243</v>
      </c>
      <c r="Q466" t="s">
        <v>3561</v>
      </c>
    </row>
    <row r="467" spans="1:17" ht="58" hidden="1" x14ac:dyDescent="0.35">
      <c r="A467" s="6">
        <v>135</v>
      </c>
      <c r="B467" s="7" t="s">
        <v>480</v>
      </c>
      <c r="C467" s="9" t="s">
        <v>481</v>
      </c>
      <c r="D467" s="9" t="s">
        <v>1021</v>
      </c>
      <c r="E467" s="9" t="s">
        <v>992</v>
      </c>
      <c r="F467" s="9" t="s">
        <v>1460</v>
      </c>
      <c r="G467" s="16" t="s">
        <v>457</v>
      </c>
      <c r="H467" s="6" t="s">
        <v>1461</v>
      </c>
      <c r="I467" s="16" t="s">
        <v>1272</v>
      </c>
      <c r="J467" s="241">
        <v>100000000</v>
      </c>
      <c r="K467" s="6" t="s">
        <v>1025</v>
      </c>
      <c r="L467" s="6">
        <v>2973279</v>
      </c>
      <c r="M467" s="6" t="s">
        <v>55</v>
      </c>
      <c r="N467" s="6" t="s">
        <v>1066</v>
      </c>
      <c r="O467" s="241">
        <v>100000000</v>
      </c>
      <c r="P467" s="203" t="s">
        <v>1462</v>
      </c>
      <c r="Q467" t="s">
        <v>3561</v>
      </c>
    </row>
    <row r="468" spans="1:17" ht="58" hidden="1" x14ac:dyDescent="0.35">
      <c r="A468" s="6">
        <v>136</v>
      </c>
      <c r="B468" s="7" t="s">
        <v>480</v>
      </c>
      <c r="C468" s="9" t="s">
        <v>481</v>
      </c>
      <c r="D468" s="9" t="s">
        <v>1021</v>
      </c>
      <c r="E468" s="9" t="s">
        <v>992</v>
      </c>
      <c r="F468" s="9" t="s">
        <v>1463</v>
      </c>
      <c r="G468" s="16" t="s">
        <v>457</v>
      </c>
      <c r="H468" s="9" t="s">
        <v>1463</v>
      </c>
      <c r="I468" s="16" t="s">
        <v>1272</v>
      </c>
      <c r="J468" s="241">
        <v>100000000</v>
      </c>
      <c r="K468" s="6" t="s">
        <v>1025</v>
      </c>
      <c r="L468" s="199"/>
      <c r="M468" s="6" t="s">
        <v>55</v>
      </c>
      <c r="N468" s="6" t="s">
        <v>1066</v>
      </c>
      <c r="O468" s="241">
        <v>100000000</v>
      </c>
      <c r="P468" s="242" t="s">
        <v>1464</v>
      </c>
      <c r="Q468" t="s">
        <v>3561</v>
      </c>
    </row>
    <row r="469" spans="1:17" ht="58" hidden="1" x14ac:dyDescent="0.35">
      <c r="A469" s="6">
        <v>137</v>
      </c>
      <c r="B469" s="7" t="s">
        <v>480</v>
      </c>
      <c r="C469" s="9" t="s">
        <v>481</v>
      </c>
      <c r="D469" s="9" t="s">
        <v>1021</v>
      </c>
      <c r="E469" s="9" t="s">
        <v>1039</v>
      </c>
      <c r="F469" s="9" t="s">
        <v>1465</v>
      </c>
      <c r="G469" s="16" t="s">
        <v>1466</v>
      </c>
      <c r="H469" s="9" t="s">
        <v>1465</v>
      </c>
      <c r="I469" s="243" t="s">
        <v>609</v>
      </c>
      <c r="J469" s="241">
        <v>75000000</v>
      </c>
      <c r="K469" s="6" t="s">
        <v>1025</v>
      </c>
      <c r="L469" s="78"/>
      <c r="M469" s="6" t="s">
        <v>46</v>
      </c>
      <c r="N469" s="243" t="s">
        <v>1467</v>
      </c>
      <c r="O469" s="241">
        <v>75000000</v>
      </c>
      <c r="P469" s="242" t="s">
        <v>1468</v>
      </c>
      <c r="Q469" t="s">
        <v>3561</v>
      </c>
    </row>
    <row r="470" spans="1:17" ht="58" hidden="1" x14ac:dyDescent="0.35">
      <c r="A470" s="6">
        <v>138</v>
      </c>
      <c r="B470" s="7" t="s">
        <v>480</v>
      </c>
      <c r="C470" s="9" t="s">
        <v>481</v>
      </c>
      <c r="D470" s="9" t="s">
        <v>1021</v>
      </c>
      <c r="E470" s="9" t="s">
        <v>1039</v>
      </c>
      <c r="F470" s="9" t="s">
        <v>1469</v>
      </c>
      <c r="G470" s="16" t="s">
        <v>1466</v>
      </c>
      <c r="H470" s="9" t="s">
        <v>1469</v>
      </c>
      <c r="I470" s="243" t="s">
        <v>609</v>
      </c>
      <c r="J470" s="241">
        <v>50000000</v>
      </c>
      <c r="K470" s="6" t="s">
        <v>1025</v>
      </c>
      <c r="L470" s="199"/>
      <c r="M470" s="6" t="s">
        <v>46</v>
      </c>
      <c r="N470" s="243" t="s">
        <v>1470</v>
      </c>
      <c r="O470" s="241">
        <v>50000000</v>
      </c>
      <c r="P470" s="242" t="s">
        <v>1471</v>
      </c>
      <c r="Q470" t="s">
        <v>3561</v>
      </c>
    </row>
    <row r="471" spans="1:17" ht="58" hidden="1" x14ac:dyDescent="0.35">
      <c r="A471" s="6">
        <v>139</v>
      </c>
      <c r="B471" s="7" t="s">
        <v>480</v>
      </c>
      <c r="C471" s="9" t="s">
        <v>481</v>
      </c>
      <c r="D471" s="9" t="s">
        <v>1021</v>
      </c>
      <c r="E471" s="9" t="s">
        <v>1039</v>
      </c>
      <c r="F471" s="9" t="s">
        <v>1472</v>
      </c>
      <c r="G471" s="16" t="s">
        <v>1466</v>
      </c>
      <c r="H471" s="9" t="s">
        <v>1472</v>
      </c>
      <c r="I471" s="243" t="s">
        <v>609</v>
      </c>
      <c r="J471" s="241">
        <v>150000000</v>
      </c>
      <c r="K471" s="6" t="s">
        <v>1025</v>
      </c>
      <c r="L471" s="78"/>
      <c r="M471" s="6" t="s">
        <v>46</v>
      </c>
      <c r="N471" s="243" t="s">
        <v>1473</v>
      </c>
      <c r="O471" s="241">
        <v>150000000</v>
      </c>
      <c r="P471" s="242" t="s">
        <v>1468</v>
      </c>
      <c r="Q471" t="s">
        <v>3561</v>
      </c>
    </row>
    <row r="472" spans="1:17" ht="58" hidden="1" x14ac:dyDescent="0.35">
      <c r="A472" s="6">
        <v>140</v>
      </c>
      <c r="B472" s="7" t="s">
        <v>480</v>
      </c>
      <c r="C472" s="9" t="s">
        <v>481</v>
      </c>
      <c r="D472" s="9" t="s">
        <v>1021</v>
      </c>
      <c r="E472" s="9" t="s">
        <v>1039</v>
      </c>
      <c r="F472" s="9" t="s">
        <v>1474</v>
      </c>
      <c r="G472" s="16" t="s">
        <v>1466</v>
      </c>
      <c r="H472" s="9" t="s">
        <v>1474</v>
      </c>
      <c r="I472" s="243" t="s">
        <v>609</v>
      </c>
      <c r="J472" s="241">
        <v>100000000</v>
      </c>
      <c r="K472" s="6" t="s">
        <v>1025</v>
      </c>
      <c r="L472" s="78"/>
      <c r="M472" s="6" t="s">
        <v>46</v>
      </c>
      <c r="N472" s="243" t="s">
        <v>1475</v>
      </c>
      <c r="O472" s="241">
        <v>100000000</v>
      </c>
      <c r="P472" s="242" t="s">
        <v>1468</v>
      </c>
      <c r="Q472" t="s">
        <v>3561</v>
      </c>
    </row>
    <row r="473" spans="1:17" ht="58" hidden="1" x14ac:dyDescent="0.35">
      <c r="A473" s="6">
        <v>141</v>
      </c>
      <c r="B473" s="7" t="s">
        <v>480</v>
      </c>
      <c r="C473" s="9" t="s">
        <v>481</v>
      </c>
      <c r="D473" s="9" t="s">
        <v>1021</v>
      </c>
      <c r="E473" s="9" t="s">
        <v>1039</v>
      </c>
      <c r="F473" s="9" t="s">
        <v>1476</v>
      </c>
      <c r="G473" s="16" t="s">
        <v>1466</v>
      </c>
      <c r="H473" s="9" t="s">
        <v>1476</v>
      </c>
      <c r="I473" s="243" t="s">
        <v>609</v>
      </c>
      <c r="J473" s="241">
        <v>100000000</v>
      </c>
      <c r="K473" s="6" t="s">
        <v>1025</v>
      </c>
      <c r="L473" s="78"/>
      <c r="M473" s="6" t="s">
        <v>46</v>
      </c>
      <c r="N473" s="243" t="s">
        <v>1475</v>
      </c>
      <c r="O473" s="241">
        <v>100000000</v>
      </c>
      <c r="P473" s="242" t="s">
        <v>1468</v>
      </c>
      <c r="Q473" t="s">
        <v>3561</v>
      </c>
    </row>
    <row r="474" spans="1:17" ht="58" hidden="1" x14ac:dyDescent="0.35">
      <c r="A474" s="6">
        <v>142</v>
      </c>
      <c r="B474" s="7" t="s">
        <v>480</v>
      </c>
      <c r="C474" s="9" t="s">
        <v>481</v>
      </c>
      <c r="D474" s="9" t="s">
        <v>1021</v>
      </c>
      <c r="E474" s="9" t="s">
        <v>1039</v>
      </c>
      <c r="F474" s="9" t="s">
        <v>1477</v>
      </c>
      <c r="G474" s="16" t="s">
        <v>1466</v>
      </c>
      <c r="H474" s="9" t="s">
        <v>1477</v>
      </c>
      <c r="I474" s="243" t="s">
        <v>609</v>
      </c>
      <c r="J474" s="241">
        <v>100000000</v>
      </c>
      <c r="K474" s="6" t="s">
        <v>1025</v>
      </c>
      <c r="L474" s="78"/>
      <c r="M474" s="6" t="s">
        <v>46</v>
      </c>
      <c r="N474" s="243" t="s">
        <v>1475</v>
      </c>
      <c r="O474" s="241">
        <v>100000000</v>
      </c>
      <c r="P474" s="242" t="s">
        <v>1468</v>
      </c>
      <c r="Q474" t="s">
        <v>3561</v>
      </c>
    </row>
    <row r="475" spans="1:17" ht="58" hidden="1" x14ac:dyDescent="0.35">
      <c r="A475" s="6">
        <v>143</v>
      </c>
      <c r="B475" s="7" t="s">
        <v>480</v>
      </c>
      <c r="C475" s="9" t="s">
        <v>481</v>
      </c>
      <c r="D475" s="9" t="s">
        <v>1021</v>
      </c>
      <c r="E475" s="9" t="s">
        <v>1039</v>
      </c>
      <c r="F475" s="9" t="s">
        <v>1478</v>
      </c>
      <c r="G475" s="16" t="s">
        <v>1466</v>
      </c>
      <c r="H475" s="9" t="s">
        <v>1478</v>
      </c>
      <c r="I475" s="243" t="s">
        <v>609</v>
      </c>
      <c r="J475" s="241">
        <v>100000000</v>
      </c>
      <c r="K475" s="6" t="s">
        <v>1025</v>
      </c>
      <c r="L475" s="78"/>
      <c r="M475" s="6" t="s">
        <v>46</v>
      </c>
      <c r="N475" s="243" t="s">
        <v>1475</v>
      </c>
      <c r="O475" s="241">
        <v>100000000</v>
      </c>
      <c r="P475" s="242" t="s">
        <v>1468</v>
      </c>
      <c r="Q475" t="s">
        <v>3561</v>
      </c>
    </row>
    <row r="476" spans="1:17" ht="58" hidden="1" x14ac:dyDescent="0.35">
      <c r="A476" s="6">
        <v>144</v>
      </c>
      <c r="B476" s="7" t="s">
        <v>480</v>
      </c>
      <c r="C476" s="9" t="s">
        <v>481</v>
      </c>
      <c r="D476" s="9" t="s">
        <v>1021</v>
      </c>
      <c r="E476" s="9" t="s">
        <v>1039</v>
      </c>
      <c r="F476" s="9" t="s">
        <v>1479</v>
      </c>
      <c r="G476" s="16" t="s">
        <v>1466</v>
      </c>
      <c r="H476" s="9" t="s">
        <v>1479</v>
      </c>
      <c r="I476" s="243" t="s">
        <v>609</v>
      </c>
      <c r="J476" s="241">
        <v>100000000</v>
      </c>
      <c r="K476" s="6" t="s">
        <v>1025</v>
      </c>
      <c r="L476" s="78"/>
      <c r="M476" s="6" t="s">
        <v>46</v>
      </c>
      <c r="N476" s="243" t="s">
        <v>1475</v>
      </c>
      <c r="O476" s="241">
        <v>100000000</v>
      </c>
      <c r="P476" s="242" t="s">
        <v>1468</v>
      </c>
      <c r="Q476" t="s">
        <v>3561</v>
      </c>
    </row>
    <row r="477" spans="1:17" ht="58" hidden="1" x14ac:dyDescent="0.35">
      <c r="A477" s="6">
        <v>145</v>
      </c>
      <c r="B477" s="7" t="s">
        <v>480</v>
      </c>
      <c r="C477" s="9" t="s">
        <v>481</v>
      </c>
      <c r="D477" s="9" t="s">
        <v>1021</v>
      </c>
      <c r="E477" s="9" t="s">
        <v>1480</v>
      </c>
      <c r="F477" s="9" t="s">
        <v>1481</v>
      </c>
      <c r="G477" s="6" t="s">
        <v>1482</v>
      </c>
      <c r="H477" s="6" t="s">
        <v>1483</v>
      </c>
      <c r="I477" s="6" t="s">
        <v>1484</v>
      </c>
      <c r="J477" s="195">
        <v>100000000</v>
      </c>
      <c r="K477" s="6" t="s">
        <v>1025</v>
      </c>
      <c r="L477" s="199"/>
      <c r="M477" s="32" t="s">
        <v>97</v>
      </c>
      <c r="N477" s="202" t="s">
        <v>1251</v>
      </c>
      <c r="O477" s="14">
        <v>100000000</v>
      </c>
      <c r="P477" s="242" t="s">
        <v>1485</v>
      </c>
      <c r="Q477" t="s">
        <v>3561</v>
      </c>
    </row>
    <row r="478" spans="1:17" ht="58" hidden="1" x14ac:dyDescent="0.35">
      <c r="A478" s="6">
        <v>146</v>
      </c>
      <c r="B478" s="7" t="s">
        <v>480</v>
      </c>
      <c r="C478" s="9" t="s">
        <v>481</v>
      </c>
      <c r="D478" s="9" t="s">
        <v>1021</v>
      </c>
      <c r="E478" s="9" t="s">
        <v>1486</v>
      </c>
      <c r="F478" s="9" t="s">
        <v>1012</v>
      </c>
      <c r="G478" s="6" t="s">
        <v>1487</v>
      </c>
      <c r="H478" s="6" t="s">
        <v>1488</v>
      </c>
      <c r="I478" s="6"/>
      <c r="J478" s="195">
        <v>65000000</v>
      </c>
      <c r="K478" s="6" t="s">
        <v>1025</v>
      </c>
      <c r="L478" s="199"/>
      <c r="M478" s="32" t="s">
        <v>97</v>
      </c>
      <c r="N478" s="202" t="s">
        <v>1489</v>
      </c>
      <c r="O478" s="14">
        <v>65000000</v>
      </c>
      <c r="P478" s="242" t="s">
        <v>1490</v>
      </c>
      <c r="Q478" t="s">
        <v>3561</v>
      </c>
    </row>
    <row r="479" spans="1:17" ht="93" hidden="1" x14ac:dyDescent="0.35">
      <c r="A479" s="244">
        <v>147</v>
      </c>
      <c r="B479" s="245" t="s">
        <v>480</v>
      </c>
      <c r="C479" s="246" t="s">
        <v>481</v>
      </c>
      <c r="D479" s="246" t="s">
        <v>1021</v>
      </c>
      <c r="E479" s="245" t="s">
        <v>1491</v>
      </c>
      <c r="F479" s="245" t="s">
        <v>1492</v>
      </c>
      <c r="G479" s="247" t="s">
        <v>230</v>
      </c>
      <c r="H479" s="247" t="s">
        <v>230</v>
      </c>
      <c r="I479" s="247" t="s">
        <v>313</v>
      </c>
      <c r="J479" s="248">
        <v>80000000</v>
      </c>
      <c r="K479" s="244" t="s">
        <v>1025</v>
      </c>
      <c r="L479" s="245">
        <v>2947016</v>
      </c>
      <c r="M479" s="244" t="s">
        <v>180</v>
      </c>
      <c r="N479" s="249" t="s">
        <v>1493</v>
      </c>
      <c r="O479" s="248">
        <v>80000000</v>
      </c>
      <c r="P479" s="250" t="s">
        <v>1494</v>
      </c>
      <c r="Q479" t="s">
        <v>3561</v>
      </c>
    </row>
    <row r="480" spans="1:17" ht="58" hidden="1" x14ac:dyDescent="0.35">
      <c r="A480" s="244">
        <v>148</v>
      </c>
      <c r="B480" s="245" t="s">
        <v>480</v>
      </c>
      <c r="C480" s="246" t="s">
        <v>481</v>
      </c>
      <c r="D480" s="246" t="s">
        <v>1021</v>
      </c>
      <c r="E480" s="245" t="s">
        <v>1496</v>
      </c>
      <c r="F480" s="245" t="s">
        <v>1492</v>
      </c>
      <c r="G480" s="247" t="s">
        <v>230</v>
      </c>
      <c r="H480" s="247" t="s">
        <v>1497</v>
      </c>
      <c r="I480" s="247" t="s">
        <v>313</v>
      </c>
      <c r="J480" s="248">
        <v>30000000</v>
      </c>
      <c r="K480" s="244" t="s">
        <v>1025</v>
      </c>
      <c r="L480" s="245">
        <v>2942106</v>
      </c>
      <c r="M480" s="244" t="s">
        <v>180</v>
      </c>
      <c r="N480" s="249" t="s">
        <v>274</v>
      </c>
      <c r="O480" s="248">
        <v>30000000</v>
      </c>
      <c r="P480" s="250" t="s">
        <v>1284</v>
      </c>
      <c r="Q480" t="s">
        <v>3561</v>
      </c>
    </row>
    <row r="481" spans="1:17" ht="77.5" hidden="1" x14ac:dyDescent="0.35">
      <c r="A481" s="244">
        <v>149</v>
      </c>
      <c r="B481" s="245" t="s">
        <v>480</v>
      </c>
      <c r="C481" s="246" t="s">
        <v>481</v>
      </c>
      <c r="D481" s="246" t="s">
        <v>1021</v>
      </c>
      <c r="E481" s="244" t="s">
        <v>1498</v>
      </c>
      <c r="F481" s="252"/>
      <c r="G481" s="253" t="s">
        <v>219</v>
      </c>
      <c r="H481" s="244" t="s">
        <v>1499</v>
      </c>
      <c r="I481" s="247" t="s">
        <v>660</v>
      </c>
      <c r="J481" s="254">
        <v>50000000</v>
      </c>
      <c r="K481" s="253" t="s">
        <v>1025</v>
      </c>
      <c r="L481" s="244"/>
      <c r="M481" s="244" t="s">
        <v>55</v>
      </c>
      <c r="N481" s="249" t="s">
        <v>1500</v>
      </c>
      <c r="O481" s="255">
        <v>61280000</v>
      </c>
      <c r="P481" s="256" t="s">
        <v>1329</v>
      </c>
      <c r="Q481" t="s">
        <v>3561</v>
      </c>
    </row>
    <row r="482" spans="1:17" ht="58" hidden="1" x14ac:dyDescent="0.35">
      <c r="A482" s="244">
        <v>150</v>
      </c>
      <c r="B482" s="245" t="s">
        <v>480</v>
      </c>
      <c r="C482" s="246" t="s">
        <v>481</v>
      </c>
      <c r="D482" s="246" t="s">
        <v>1021</v>
      </c>
      <c r="E482" s="244" t="s">
        <v>1501</v>
      </c>
      <c r="F482" s="252"/>
      <c r="G482" s="253" t="s">
        <v>219</v>
      </c>
      <c r="H482" s="244" t="s">
        <v>1499</v>
      </c>
      <c r="I482" s="247" t="s">
        <v>660</v>
      </c>
      <c r="J482" s="257">
        <v>111280000</v>
      </c>
      <c r="K482" s="253" t="s">
        <v>1025</v>
      </c>
      <c r="L482" s="244">
        <v>2974525</v>
      </c>
      <c r="M482" s="244" t="s">
        <v>55</v>
      </c>
      <c r="N482" s="258" t="s">
        <v>1502</v>
      </c>
      <c r="O482" s="259">
        <v>50000000</v>
      </c>
      <c r="P482" s="250" t="s">
        <v>1503</v>
      </c>
      <c r="Q482" t="s">
        <v>3561</v>
      </c>
    </row>
    <row r="483" spans="1:17" ht="58" hidden="1" x14ac:dyDescent="0.35">
      <c r="A483" s="244">
        <v>151</v>
      </c>
      <c r="B483" s="245" t="s">
        <v>480</v>
      </c>
      <c r="C483" s="246" t="s">
        <v>481</v>
      </c>
      <c r="D483" s="246" t="s">
        <v>1021</v>
      </c>
      <c r="E483" s="245" t="s">
        <v>1504</v>
      </c>
      <c r="F483" s="253" t="s">
        <v>1505</v>
      </c>
      <c r="G483" s="253" t="s">
        <v>219</v>
      </c>
      <c r="H483" s="253" t="s">
        <v>1506</v>
      </c>
      <c r="I483" s="247" t="s">
        <v>1507</v>
      </c>
      <c r="J483" s="257">
        <v>111280000</v>
      </c>
      <c r="K483" s="253" t="s">
        <v>1025</v>
      </c>
      <c r="L483" s="244">
        <v>2974570</v>
      </c>
      <c r="M483" s="244" t="s">
        <v>55</v>
      </c>
      <c r="N483" s="249" t="s">
        <v>1489</v>
      </c>
      <c r="O483" s="255">
        <v>111280000</v>
      </c>
      <c r="P483" s="260" t="s">
        <v>1468</v>
      </c>
      <c r="Q483" t="s">
        <v>3561</v>
      </c>
    </row>
    <row r="484" spans="1:17" ht="58" hidden="1" x14ac:dyDescent="0.35">
      <c r="A484" s="244">
        <v>152</v>
      </c>
      <c r="B484" s="245" t="s">
        <v>480</v>
      </c>
      <c r="C484" s="246" t="s">
        <v>481</v>
      </c>
      <c r="D484" s="246" t="s">
        <v>1021</v>
      </c>
      <c r="E484" s="245" t="s">
        <v>1504</v>
      </c>
      <c r="F484" s="253" t="s">
        <v>1508</v>
      </c>
      <c r="G484" s="253" t="s">
        <v>219</v>
      </c>
      <c r="H484" s="253" t="s">
        <v>1509</v>
      </c>
      <c r="I484" s="247" t="s">
        <v>1507</v>
      </c>
      <c r="J484" s="257">
        <v>111280000</v>
      </c>
      <c r="K484" s="253" t="s">
        <v>1025</v>
      </c>
      <c r="L484" s="244">
        <v>2974342</v>
      </c>
      <c r="M484" s="244" t="s">
        <v>55</v>
      </c>
      <c r="N484" s="249" t="s">
        <v>1489</v>
      </c>
      <c r="O484" s="255">
        <v>111280000</v>
      </c>
      <c r="P484" s="260" t="s">
        <v>1468</v>
      </c>
      <c r="Q484" t="s">
        <v>3561</v>
      </c>
    </row>
    <row r="485" spans="1:17" ht="58" hidden="1" x14ac:dyDescent="0.35">
      <c r="A485" s="244">
        <v>153</v>
      </c>
      <c r="B485" s="245" t="s">
        <v>480</v>
      </c>
      <c r="C485" s="246" t="s">
        <v>481</v>
      </c>
      <c r="D485" s="246" t="s">
        <v>1021</v>
      </c>
      <c r="E485" s="247" t="s">
        <v>1510</v>
      </c>
      <c r="F485" s="253" t="s">
        <v>1511</v>
      </c>
      <c r="G485" s="261" t="s">
        <v>1270</v>
      </c>
      <c r="H485" s="261" t="s">
        <v>1512</v>
      </c>
      <c r="I485" s="253" t="s">
        <v>1513</v>
      </c>
      <c r="J485" s="262">
        <v>167142870</v>
      </c>
      <c r="K485" s="253" t="s">
        <v>1025</v>
      </c>
      <c r="L485" s="261">
        <v>2931875</v>
      </c>
      <c r="M485" s="253" t="s">
        <v>27</v>
      </c>
      <c r="N485" s="249" t="s">
        <v>1514</v>
      </c>
      <c r="O485" s="255">
        <v>167142870</v>
      </c>
      <c r="P485" s="260" t="s">
        <v>1468</v>
      </c>
      <c r="Q485" t="s">
        <v>3561</v>
      </c>
    </row>
    <row r="486" spans="1:17" ht="43.5" hidden="1" x14ac:dyDescent="0.35">
      <c r="A486" s="126">
        <v>154</v>
      </c>
      <c r="B486" s="27" t="s">
        <v>18</v>
      </c>
      <c r="C486" s="27" t="s">
        <v>37</v>
      </c>
      <c r="D486" s="27" t="s">
        <v>1515</v>
      </c>
      <c r="E486" s="27" t="s">
        <v>1516</v>
      </c>
      <c r="F486" s="27" t="s">
        <v>1517</v>
      </c>
      <c r="G486" s="126" t="s">
        <v>82</v>
      </c>
      <c r="H486" s="126" t="s">
        <v>1518</v>
      </c>
      <c r="I486" s="126" t="s">
        <v>1519</v>
      </c>
      <c r="J486" s="27">
        <v>200000000</v>
      </c>
      <c r="K486" s="126" t="s">
        <v>221</v>
      </c>
      <c r="L486" s="27">
        <v>2817315</v>
      </c>
      <c r="M486" s="126" t="s">
        <v>79</v>
      </c>
      <c r="N486" s="127"/>
      <c r="O486" s="127">
        <v>200000000</v>
      </c>
      <c r="P486" s="27" t="s">
        <v>1520</v>
      </c>
      <c r="Q486" t="s">
        <v>3564</v>
      </c>
    </row>
    <row r="487" spans="1:17" ht="43.5" hidden="1" x14ac:dyDescent="0.35">
      <c r="A487" s="126">
        <v>155</v>
      </c>
      <c r="B487" s="27" t="s">
        <v>18</v>
      </c>
      <c r="C487" s="27" t="s">
        <v>37</v>
      </c>
      <c r="D487" s="263" t="s">
        <v>1521</v>
      </c>
      <c r="E487" s="27" t="s">
        <v>1522</v>
      </c>
      <c r="F487" s="27" t="s">
        <v>1481</v>
      </c>
      <c r="G487" s="126" t="s">
        <v>1063</v>
      </c>
      <c r="H487" s="126" t="s">
        <v>1523</v>
      </c>
      <c r="I487" s="126" t="s">
        <v>1524</v>
      </c>
      <c r="J487" s="264">
        <v>100000000</v>
      </c>
      <c r="K487" s="126" t="s">
        <v>221</v>
      </c>
      <c r="L487" s="27">
        <v>2908440</v>
      </c>
      <c r="M487" s="32" t="s">
        <v>97</v>
      </c>
      <c r="N487" s="27" t="s">
        <v>35</v>
      </c>
      <c r="O487" s="127">
        <v>100000000</v>
      </c>
      <c r="P487" s="27" t="s">
        <v>1525</v>
      </c>
      <c r="Q487" t="s">
        <v>3586</v>
      </c>
    </row>
    <row r="488" spans="1:17" ht="43.5" hidden="1" x14ac:dyDescent="0.35">
      <c r="A488" s="126">
        <v>156</v>
      </c>
      <c r="B488" s="27" t="s">
        <v>18</v>
      </c>
      <c r="C488" s="27" t="s">
        <v>37</v>
      </c>
      <c r="D488" s="27" t="s">
        <v>1515</v>
      </c>
      <c r="E488" s="27" t="s">
        <v>1526</v>
      </c>
      <c r="F488" s="27" t="s">
        <v>591</v>
      </c>
      <c r="G488" s="126" t="s">
        <v>135</v>
      </c>
      <c r="H488" s="126" t="s">
        <v>592</v>
      </c>
      <c r="I488" s="126" t="s">
        <v>1250</v>
      </c>
      <c r="J488" s="265">
        <v>100000000</v>
      </c>
      <c r="K488" s="126" t="s">
        <v>221</v>
      </c>
      <c r="L488" s="126">
        <v>2936951</v>
      </c>
      <c r="M488" s="126" t="s">
        <v>27</v>
      </c>
      <c r="N488" s="126">
        <v>18</v>
      </c>
      <c r="O488" s="222">
        <v>50080536</v>
      </c>
      <c r="P488" s="27" t="s">
        <v>1527</v>
      </c>
      <c r="Q488" t="s">
        <v>3564</v>
      </c>
    </row>
    <row r="489" spans="1:17" ht="43.5" hidden="1" x14ac:dyDescent="0.35">
      <c r="A489" s="266">
        <v>157</v>
      </c>
      <c r="B489" s="27" t="s">
        <v>18</v>
      </c>
      <c r="C489" s="27" t="s">
        <v>37</v>
      </c>
      <c r="D489" s="27" t="s">
        <v>1521</v>
      </c>
      <c r="E489" s="27" t="s">
        <v>1528</v>
      </c>
      <c r="F489" s="27" t="s">
        <v>140</v>
      </c>
      <c r="G489" s="126" t="s">
        <v>361</v>
      </c>
      <c r="H489" s="126" t="s">
        <v>362</v>
      </c>
      <c r="I489" s="126" t="s">
        <v>1529</v>
      </c>
      <c r="J489" s="267">
        <v>50000000</v>
      </c>
      <c r="K489" s="126" t="s">
        <v>221</v>
      </c>
      <c r="L489" s="126">
        <v>2819970</v>
      </c>
      <c r="M489" s="126" t="s">
        <v>144</v>
      </c>
      <c r="N489" s="126" t="s">
        <v>341</v>
      </c>
      <c r="O489" s="222">
        <v>70000000</v>
      </c>
      <c r="P489" s="29" t="s">
        <v>1530</v>
      </c>
      <c r="Q489" t="s">
        <v>3586</v>
      </c>
    </row>
    <row r="490" spans="1:17" ht="43.5" hidden="1" x14ac:dyDescent="0.35">
      <c r="A490" s="126">
        <v>158</v>
      </c>
      <c r="B490" s="27" t="s">
        <v>18</v>
      </c>
      <c r="C490" s="27" t="s">
        <v>37</v>
      </c>
      <c r="D490" s="27" t="s">
        <v>476</v>
      </c>
      <c r="E490" s="27" t="s">
        <v>1039</v>
      </c>
      <c r="F490" s="27" t="s">
        <v>388</v>
      </c>
      <c r="G490" s="126" t="s">
        <v>389</v>
      </c>
      <c r="H490" s="126" t="s">
        <v>390</v>
      </c>
      <c r="I490" s="126" t="s">
        <v>609</v>
      </c>
      <c r="J490" s="27">
        <v>75000000</v>
      </c>
      <c r="K490" s="126" t="s">
        <v>221</v>
      </c>
      <c r="L490" s="27">
        <v>2955493</v>
      </c>
      <c r="M490" s="126" t="s">
        <v>46</v>
      </c>
      <c r="N490" s="127"/>
      <c r="O490" s="127">
        <v>75000000</v>
      </c>
      <c r="P490" s="27" t="s">
        <v>1525</v>
      </c>
      <c r="Q490" t="s">
        <v>3586</v>
      </c>
    </row>
    <row r="491" spans="1:17" ht="43.5" hidden="1" x14ac:dyDescent="0.35">
      <c r="A491" s="126">
        <v>159</v>
      </c>
      <c r="B491" s="27" t="s">
        <v>18</v>
      </c>
      <c r="C491" s="27" t="s">
        <v>37</v>
      </c>
      <c r="D491" s="27" t="s">
        <v>476</v>
      </c>
      <c r="E491" s="27" t="s">
        <v>1039</v>
      </c>
      <c r="F491" s="27" t="s">
        <v>48</v>
      </c>
      <c r="G491" s="126" t="s">
        <v>389</v>
      </c>
      <c r="H491" s="126" t="s">
        <v>399</v>
      </c>
      <c r="I491" s="126" t="s">
        <v>609</v>
      </c>
      <c r="J491" s="27">
        <v>50000000</v>
      </c>
      <c r="K491" s="126" t="s">
        <v>221</v>
      </c>
      <c r="L491" s="27" t="s">
        <v>48</v>
      </c>
      <c r="M491" s="126" t="s">
        <v>46</v>
      </c>
      <c r="N491" s="127"/>
      <c r="O491" s="127">
        <v>50000000</v>
      </c>
      <c r="P491" s="27" t="s">
        <v>1525</v>
      </c>
      <c r="Q491" t="s">
        <v>3586</v>
      </c>
    </row>
    <row r="492" spans="1:17" ht="43.5" hidden="1" x14ac:dyDescent="0.35">
      <c r="A492" s="126">
        <v>160</v>
      </c>
      <c r="B492" s="27" t="s">
        <v>18</v>
      </c>
      <c r="C492" s="27" t="s">
        <v>37</v>
      </c>
      <c r="D492" s="27" t="s">
        <v>476</v>
      </c>
      <c r="E492" s="27" t="s">
        <v>1039</v>
      </c>
      <c r="F492" s="27" t="s">
        <v>1160</v>
      </c>
      <c r="G492" s="126" t="s">
        <v>1531</v>
      </c>
      <c r="H492" s="126" t="s">
        <v>1532</v>
      </c>
      <c r="I492" s="126" t="s">
        <v>609</v>
      </c>
      <c r="J492" s="27">
        <v>150000000</v>
      </c>
      <c r="K492" s="126" t="s">
        <v>221</v>
      </c>
      <c r="L492" s="27">
        <v>2950191</v>
      </c>
      <c r="M492" s="126" t="s">
        <v>46</v>
      </c>
      <c r="N492" s="127" t="s">
        <v>1533</v>
      </c>
      <c r="O492" s="127">
        <v>150000000</v>
      </c>
      <c r="P492" s="27" t="s">
        <v>1525</v>
      </c>
      <c r="Q492" t="s">
        <v>3586</v>
      </c>
    </row>
    <row r="493" spans="1:17" ht="43.5" hidden="1" x14ac:dyDescent="0.35">
      <c r="A493" s="126">
        <v>161</v>
      </c>
      <c r="B493" s="27" t="s">
        <v>18</v>
      </c>
      <c r="C493" s="27" t="s">
        <v>37</v>
      </c>
      <c r="D493" s="27" t="s">
        <v>476</v>
      </c>
      <c r="E493" s="27" t="s">
        <v>1039</v>
      </c>
      <c r="F493" s="27" t="s">
        <v>1160</v>
      </c>
      <c r="G493" s="126" t="s">
        <v>1531</v>
      </c>
      <c r="H493" s="126" t="s">
        <v>1534</v>
      </c>
      <c r="I493" s="126" t="s">
        <v>609</v>
      </c>
      <c r="J493" s="27">
        <v>100000000</v>
      </c>
      <c r="K493" s="126" t="s">
        <v>221</v>
      </c>
      <c r="L493" s="27">
        <v>2950136</v>
      </c>
      <c r="M493" s="126" t="s">
        <v>46</v>
      </c>
      <c r="N493" s="127" t="s">
        <v>1535</v>
      </c>
      <c r="O493" s="127">
        <v>100000000</v>
      </c>
      <c r="P493" s="27" t="s">
        <v>1536</v>
      </c>
      <c r="Q493" t="s">
        <v>3586</v>
      </c>
    </row>
    <row r="494" spans="1:17" ht="43.5" hidden="1" x14ac:dyDescent="0.35">
      <c r="A494" s="126">
        <v>162</v>
      </c>
      <c r="B494" s="27" t="s">
        <v>18</v>
      </c>
      <c r="C494" s="27" t="s">
        <v>37</v>
      </c>
      <c r="D494" s="27" t="s">
        <v>476</v>
      </c>
      <c r="E494" s="27" t="s">
        <v>1039</v>
      </c>
      <c r="F494" s="27" t="s">
        <v>1160</v>
      </c>
      <c r="G494" s="126" t="s">
        <v>1531</v>
      </c>
      <c r="H494" s="126" t="s">
        <v>1537</v>
      </c>
      <c r="I494" s="126" t="s">
        <v>609</v>
      </c>
      <c r="J494" s="27">
        <v>100000000</v>
      </c>
      <c r="K494" s="126" t="s">
        <v>221</v>
      </c>
      <c r="L494" s="27">
        <v>2950257</v>
      </c>
      <c r="M494" s="126" t="s">
        <v>46</v>
      </c>
      <c r="N494" s="127" t="s">
        <v>1535</v>
      </c>
      <c r="O494" s="127">
        <v>100000000</v>
      </c>
      <c r="P494" s="27" t="s">
        <v>1525</v>
      </c>
      <c r="Q494" t="s">
        <v>3586</v>
      </c>
    </row>
    <row r="495" spans="1:17" ht="43.5" hidden="1" x14ac:dyDescent="0.35">
      <c r="A495" s="126">
        <v>163</v>
      </c>
      <c r="B495" s="27" t="s">
        <v>18</v>
      </c>
      <c r="C495" s="27" t="s">
        <v>37</v>
      </c>
      <c r="D495" s="27" t="s">
        <v>476</v>
      </c>
      <c r="E495" s="27" t="s">
        <v>1039</v>
      </c>
      <c r="F495" s="27" t="s">
        <v>1160</v>
      </c>
      <c r="G495" s="126" t="s">
        <v>1531</v>
      </c>
      <c r="H495" s="126" t="s">
        <v>1538</v>
      </c>
      <c r="I495" s="126" t="s">
        <v>609</v>
      </c>
      <c r="J495" s="27">
        <v>100000000</v>
      </c>
      <c r="K495" s="126" t="s">
        <v>221</v>
      </c>
      <c r="L495" s="27">
        <v>2950283</v>
      </c>
      <c r="M495" s="126" t="s">
        <v>46</v>
      </c>
      <c r="N495" s="127" t="s">
        <v>1535</v>
      </c>
      <c r="O495" s="127">
        <v>100000000</v>
      </c>
      <c r="P495" s="27" t="s">
        <v>1525</v>
      </c>
      <c r="Q495" t="s">
        <v>3586</v>
      </c>
    </row>
    <row r="496" spans="1:17" ht="43.5" hidden="1" x14ac:dyDescent="0.35">
      <c r="A496" s="126">
        <v>164</v>
      </c>
      <c r="B496" s="27" t="s">
        <v>18</v>
      </c>
      <c r="C496" s="27" t="s">
        <v>37</v>
      </c>
      <c r="D496" s="27" t="s">
        <v>476</v>
      </c>
      <c r="E496" s="27" t="s">
        <v>1039</v>
      </c>
      <c r="F496" s="27" t="s">
        <v>1160</v>
      </c>
      <c r="G496" s="126" t="s">
        <v>1531</v>
      </c>
      <c r="H496" s="126" t="s">
        <v>1539</v>
      </c>
      <c r="I496" s="126" t="s">
        <v>609</v>
      </c>
      <c r="J496" s="27">
        <v>100000000</v>
      </c>
      <c r="K496" s="126" t="s">
        <v>221</v>
      </c>
      <c r="L496" s="27">
        <v>2950467</v>
      </c>
      <c r="M496" s="126" t="s">
        <v>46</v>
      </c>
      <c r="N496" s="127" t="s">
        <v>1535</v>
      </c>
      <c r="O496" s="127">
        <v>100000000</v>
      </c>
      <c r="P496" s="27" t="s">
        <v>1525</v>
      </c>
      <c r="Q496" t="s">
        <v>3586</v>
      </c>
    </row>
    <row r="497" spans="1:17" ht="43.5" hidden="1" x14ac:dyDescent="0.35">
      <c r="A497" s="126">
        <v>165</v>
      </c>
      <c r="B497" s="27" t="s">
        <v>18</v>
      </c>
      <c r="C497" s="27" t="s">
        <v>37</v>
      </c>
      <c r="D497" s="27" t="s">
        <v>476</v>
      </c>
      <c r="E497" s="27" t="s">
        <v>1039</v>
      </c>
      <c r="F497" s="27" t="s">
        <v>1160</v>
      </c>
      <c r="G497" s="126" t="s">
        <v>1531</v>
      </c>
      <c r="H497" s="126" t="s">
        <v>1540</v>
      </c>
      <c r="I497" s="126" t="s">
        <v>609</v>
      </c>
      <c r="J497" s="27">
        <v>100000000</v>
      </c>
      <c r="K497" s="126" t="s">
        <v>221</v>
      </c>
      <c r="L497" s="27">
        <v>2950446</v>
      </c>
      <c r="M497" s="126" t="s">
        <v>46</v>
      </c>
      <c r="N497" s="127" t="s">
        <v>1535</v>
      </c>
      <c r="O497" s="127">
        <v>100000000</v>
      </c>
      <c r="P497" s="27" t="s">
        <v>1525</v>
      </c>
      <c r="Q497" t="s">
        <v>3586</v>
      </c>
    </row>
    <row r="498" spans="1:17" ht="43.5" hidden="1" x14ac:dyDescent="0.35">
      <c r="A498" s="126">
        <v>166</v>
      </c>
      <c r="B498" s="27" t="s">
        <v>18</v>
      </c>
      <c r="C498" s="27" t="s">
        <v>37</v>
      </c>
      <c r="D498" s="27" t="s">
        <v>1515</v>
      </c>
      <c r="E498" s="27" t="s">
        <v>1541</v>
      </c>
      <c r="F498" s="27" t="s">
        <v>48</v>
      </c>
      <c r="G498" s="126" t="s">
        <v>240</v>
      </c>
      <c r="H498" s="126" t="s">
        <v>243</v>
      </c>
      <c r="I498" s="126" t="s">
        <v>1542</v>
      </c>
      <c r="J498" s="27">
        <v>70000000</v>
      </c>
      <c r="K498" s="126" t="s">
        <v>221</v>
      </c>
      <c r="L498" s="27">
        <v>2932947</v>
      </c>
      <c r="M498" s="126" t="s">
        <v>226</v>
      </c>
      <c r="N498" s="127">
        <v>100</v>
      </c>
      <c r="O498" s="127">
        <v>40000000</v>
      </c>
      <c r="P498" s="27" t="s">
        <v>1543</v>
      </c>
      <c r="Q498" t="s">
        <v>3564</v>
      </c>
    </row>
    <row r="499" spans="1:17" ht="43.5" hidden="1" x14ac:dyDescent="0.35">
      <c r="A499" s="126">
        <v>167</v>
      </c>
      <c r="B499" s="27" t="s">
        <v>18</v>
      </c>
      <c r="C499" s="27" t="s">
        <v>37</v>
      </c>
      <c r="D499" s="27" t="s">
        <v>1515</v>
      </c>
      <c r="E499" s="27" t="s">
        <v>1544</v>
      </c>
      <c r="F499" s="27" t="s">
        <v>48</v>
      </c>
      <c r="G499" s="126" t="s">
        <v>1545</v>
      </c>
      <c r="H499" s="126" t="s">
        <v>1546</v>
      </c>
      <c r="I499" s="126" t="s">
        <v>1547</v>
      </c>
      <c r="J499" s="27">
        <v>100000000</v>
      </c>
      <c r="K499" s="126" t="s">
        <v>221</v>
      </c>
      <c r="L499" s="27" t="s">
        <v>48</v>
      </c>
      <c r="M499" s="126" t="s">
        <v>226</v>
      </c>
      <c r="N499" s="127">
        <v>55</v>
      </c>
      <c r="O499" s="127">
        <v>100000000</v>
      </c>
      <c r="P499" s="27" t="s">
        <v>1527</v>
      </c>
      <c r="Q499" t="s">
        <v>3564</v>
      </c>
    </row>
    <row r="500" spans="1:17" ht="43.5" hidden="1" x14ac:dyDescent="0.35">
      <c r="A500" s="126">
        <v>168</v>
      </c>
      <c r="B500" s="27" t="s">
        <v>18</v>
      </c>
      <c r="C500" s="27" t="s">
        <v>37</v>
      </c>
      <c r="D500" s="27" t="s">
        <v>476</v>
      </c>
      <c r="E500" s="268" t="s">
        <v>992</v>
      </c>
      <c r="F500" s="268" t="s">
        <v>1548</v>
      </c>
      <c r="G500" s="126" t="s">
        <v>457</v>
      </c>
      <c r="H500" s="126" t="s">
        <v>1549</v>
      </c>
      <c r="I500" s="126" t="s">
        <v>1272</v>
      </c>
      <c r="J500" s="265">
        <v>100000000</v>
      </c>
      <c r="K500" s="126" t="s">
        <v>221</v>
      </c>
      <c r="L500" s="126" t="s">
        <v>62</v>
      </c>
      <c r="M500" s="126" t="s">
        <v>55</v>
      </c>
      <c r="N500" s="126"/>
      <c r="O500" s="222">
        <v>100000000</v>
      </c>
      <c r="P500" s="29" t="s">
        <v>1527</v>
      </c>
      <c r="Q500" t="s">
        <v>3586</v>
      </c>
    </row>
    <row r="501" spans="1:17" ht="43.5" hidden="1" x14ac:dyDescent="0.35">
      <c r="A501" s="155">
        <v>1</v>
      </c>
      <c r="B501" s="140" t="s">
        <v>18</v>
      </c>
      <c r="C501" s="140" t="s">
        <v>37</v>
      </c>
      <c r="D501" s="140" t="s">
        <v>1515</v>
      </c>
      <c r="E501" s="140" t="s">
        <v>1550</v>
      </c>
      <c r="F501" s="140" t="s">
        <v>1551</v>
      </c>
      <c r="G501" s="155" t="s">
        <v>1552</v>
      </c>
      <c r="H501" s="155" t="s">
        <v>1553</v>
      </c>
      <c r="I501" s="155" t="s">
        <v>1554</v>
      </c>
      <c r="J501" s="269">
        <v>70000000</v>
      </c>
      <c r="K501" s="155" t="s">
        <v>221</v>
      </c>
      <c r="L501" s="155">
        <v>2848515</v>
      </c>
      <c r="M501" s="155" t="s">
        <v>79</v>
      </c>
      <c r="N501" s="13">
        <v>25</v>
      </c>
      <c r="O501" s="13">
        <v>247525000</v>
      </c>
      <c r="P501" s="305" t="s">
        <v>1555</v>
      </c>
      <c r="Q501" t="s">
        <v>3564</v>
      </c>
    </row>
    <row r="502" spans="1:17" ht="43.5" hidden="1" x14ac:dyDescent="0.35">
      <c r="A502" s="155">
        <f>A501+1</f>
        <v>2</v>
      </c>
      <c r="B502" s="140" t="s">
        <v>18</v>
      </c>
      <c r="C502" s="140" t="s">
        <v>37</v>
      </c>
      <c r="D502" s="140" t="s">
        <v>1515</v>
      </c>
      <c r="E502" s="140" t="s">
        <v>1556</v>
      </c>
      <c r="F502" s="140" t="s">
        <v>1557</v>
      </c>
      <c r="G502" s="140" t="s">
        <v>1552</v>
      </c>
      <c r="H502" s="140" t="s">
        <v>1558</v>
      </c>
      <c r="I502" s="140" t="s">
        <v>1559</v>
      </c>
      <c r="J502" s="140">
        <v>175000000</v>
      </c>
      <c r="K502" s="155" t="s">
        <v>221</v>
      </c>
      <c r="L502" s="140">
        <v>2845123</v>
      </c>
      <c r="M502" s="155" t="s">
        <v>79</v>
      </c>
      <c r="N502" s="10">
        <v>385</v>
      </c>
      <c r="O502" s="10">
        <v>152257000</v>
      </c>
      <c r="P502" s="140"/>
      <c r="Q502" t="s">
        <v>3564</v>
      </c>
    </row>
    <row r="503" spans="1:17" ht="43.5" hidden="1" x14ac:dyDescent="0.35">
      <c r="A503" s="155">
        <f t="shared" ref="A503:A562" si="7">A502+1</f>
        <v>3</v>
      </c>
      <c r="B503" s="140" t="s">
        <v>18</v>
      </c>
      <c r="C503" s="140" t="s">
        <v>37</v>
      </c>
      <c r="D503" s="140" t="s">
        <v>1515</v>
      </c>
      <c r="E503" s="140" t="s">
        <v>1560</v>
      </c>
      <c r="F503" s="140" t="s">
        <v>1561</v>
      </c>
      <c r="G503" s="140" t="s">
        <v>1552</v>
      </c>
      <c r="H503" s="140" t="s">
        <v>1562</v>
      </c>
      <c r="I503" s="140" t="s">
        <v>1563</v>
      </c>
      <c r="J503" s="140">
        <v>70000000</v>
      </c>
      <c r="K503" s="155" t="s">
        <v>221</v>
      </c>
      <c r="L503" s="140">
        <v>2845326</v>
      </c>
      <c r="M503" s="155" t="s">
        <v>79</v>
      </c>
      <c r="N503" s="10">
        <v>75</v>
      </c>
      <c r="O503" s="10">
        <v>129150000</v>
      </c>
      <c r="P503" s="140" t="s">
        <v>1564</v>
      </c>
      <c r="Q503" t="s">
        <v>3564</v>
      </c>
    </row>
    <row r="504" spans="1:17" ht="43.5" hidden="1" x14ac:dyDescent="0.35">
      <c r="A504" s="155">
        <f t="shared" si="7"/>
        <v>4</v>
      </c>
      <c r="B504" s="140" t="s">
        <v>18</v>
      </c>
      <c r="C504" s="140" t="s">
        <v>37</v>
      </c>
      <c r="D504" s="140" t="s">
        <v>1515</v>
      </c>
      <c r="E504" s="140" t="s">
        <v>1565</v>
      </c>
      <c r="F504" s="140" t="s">
        <v>1566</v>
      </c>
      <c r="G504" s="140" t="s">
        <v>1552</v>
      </c>
      <c r="H504" s="140" t="s">
        <v>1567</v>
      </c>
      <c r="I504" s="140" t="s">
        <v>1568</v>
      </c>
      <c r="J504" s="140">
        <v>117000000</v>
      </c>
      <c r="K504" s="155" t="s">
        <v>221</v>
      </c>
      <c r="L504" s="140">
        <v>2843079</v>
      </c>
      <c r="M504" s="155" t="s">
        <v>79</v>
      </c>
      <c r="N504" s="10">
        <v>140</v>
      </c>
      <c r="O504" s="10">
        <v>41440000</v>
      </c>
      <c r="P504" s="140" t="s">
        <v>1555</v>
      </c>
      <c r="Q504" t="s">
        <v>3564</v>
      </c>
    </row>
    <row r="505" spans="1:17" ht="43.5" hidden="1" x14ac:dyDescent="0.35">
      <c r="A505" s="155">
        <f t="shared" si="7"/>
        <v>5</v>
      </c>
      <c r="B505" s="140" t="s">
        <v>18</v>
      </c>
      <c r="C505" s="140" t="s">
        <v>37</v>
      </c>
      <c r="D505" s="140" t="s">
        <v>1515</v>
      </c>
      <c r="E505" s="140" t="s">
        <v>1565</v>
      </c>
      <c r="F505" s="140" t="s">
        <v>1566</v>
      </c>
      <c r="G505" s="140" t="s">
        <v>1552</v>
      </c>
      <c r="H505" s="140" t="s">
        <v>1567</v>
      </c>
      <c r="I505" s="140" t="s">
        <v>1569</v>
      </c>
      <c r="J505" s="140">
        <v>48000000</v>
      </c>
      <c r="K505" s="155" t="s">
        <v>221</v>
      </c>
      <c r="L505" s="140">
        <v>2843079</v>
      </c>
      <c r="M505" s="155" t="s">
        <v>79</v>
      </c>
      <c r="N505" s="10">
        <v>309</v>
      </c>
      <c r="O505" s="10">
        <v>101352000</v>
      </c>
      <c r="P505" s="140"/>
      <c r="Q505" t="s">
        <v>3564</v>
      </c>
    </row>
    <row r="506" spans="1:17" ht="43.5" hidden="1" x14ac:dyDescent="0.35">
      <c r="A506" s="155">
        <f t="shared" si="7"/>
        <v>6</v>
      </c>
      <c r="B506" s="140" t="s">
        <v>18</v>
      </c>
      <c r="C506" s="140" t="s">
        <v>37</v>
      </c>
      <c r="D506" s="140" t="s">
        <v>1570</v>
      </c>
      <c r="E506" s="140" t="s">
        <v>1571</v>
      </c>
      <c r="F506" s="140" t="s">
        <v>1572</v>
      </c>
      <c r="G506" s="140" t="s">
        <v>1552</v>
      </c>
      <c r="H506" s="140" t="s">
        <v>1573</v>
      </c>
      <c r="I506" s="140" t="s">
        <v>1574</v>
      </c>
      <c r="J506" s="140">
        <v>185000000</v>
      </c>
      <c r="K506" s="155" t="s">
        <v>221</v>
      </c>
      <c r="L506" s="140">
        <v>2843176</v>
      </c>
      <c r="M506" s="155" t="s">
        <v>79</v>
      </c>
      <c r="N506" s="10">
        <v>58</v>
      </c>
      <c r="O506" s="10">
        <v>161356000</v>
      </c>
      <c r="P506" s="140"/>
      <c r="Q506" t="s">
        <v>3586</v>
      </c>
    </row>
    <row r="507" spans="1:17" ht="43.5" hidden="1" x14ac:dyDescent="0.35">
      <c r="A507" s="155">
        <f t="shared" si="7"/>
        <v>7</v>
      </c>
      <c r="B507" s="140" t="s">
        <v>18</v>
      </c>
      <c r="C507" s="140" t="s">
        <v>37</v>
      </c>
      <c r="D507" s="140" t="s">
        <v>1570</v>
      </c>
      <c r="E507" s="140" t="s">
        <v>1571</v>
      </c>
      <c r="F507" s="140" t="s">
        <v>1575</v>
      </c>
      <c r="G507" s="140" t="s">
        <v>1552</v>
      </c>
      <c r="H507" s="140" t="s">
        <v>1576</v>
      </c>
      <c r="I507" s="140" t="s">
        <v>1577</v>
      </c>
      <c r="J507" s="140">
        <v>155000000</v>
      </c>
      <c r="K507" s="155" t="s">
        <v>221</v>
      </c>
      <c r="L507" s="140">
        <v>2846436</v>
      </c>
      <c r="M507" s="155" t="s">
        <v>79</v>
      </c>
      <c r="N507" s="10">
        <v>60</v>
      </c>
      <c r="O507" s="10">
        <v>166920000</v>
      </c>
      <c r="P507" s="140"/>
      <c r="Q507" t="s">
        <v>3586</v>
      </c>
    </row>
    <row r="508" spans="1:17" ht="43.5" hidden="1" x14ac:dyDescent="0.35">
      <c r="A508" s="155">
        <f t="shared" si="7"/>
        <v>8</v>
      </c>
      <c r="B508" s="140" t="s">
        <v>18</v>
      </c>
      <c r="C508" s="140" t="s">
        <v>37</v>
      </c>
      <c r="D508" s="140" t="s">
        <v>1570</v>
      </c>
      <c r="E508" s="140" t="s">
        <v>1578</v>
      </c>
      <c r="F508" s="140" t="s">
        <v>1579</v>
      </c>
      <c r="G508" s="140" t="s">
        <v>205</v>
      </c>
      <c r="H508" s="140" t="s">
        <v>1580</v>
      </c>
      <c r="I508" s="140"/>
      <c r="J508" s="140">
        <v>250000000</v>
      </c>
      <c r="K508" s="155" t="s">
        <v>221</v>
      </c>
      <c r="L508" s="140">
        <v>2937837</v>
      </c>
      <c r="M508" s="155" t="s">
        <v>79</v>
      </c>
      <c r="N508" s="10">
        <v>26</v>
      </c>
      <c r="O508" s="10">
        <v>250000000</v>
      </c>
      <c r="P508" s="140"/>
      <c r="Q508" t="s">
        <v>3586</v>
      </c>
    </row>
    <row r="509" spans="1:17" ht="43.5" hidden="1" x14ac:dyDescent="0.35">
      <c r="A509" s="155">
        <f t="shared" si="7"/>
        <v>9</v>
      </c>
      <c r="B509" s="140" t="s">
        <v>18</v>
      </c>
      <c r="C509" s="140" t="s">
        <v>37</v>
      </c>
      <c r="D509" s="140" t="s">
        <v>476</v>
      </c>
      <c r="E509" s="140" t="s">
        <v>1581</v>
      </c>
      <c r="F509" s="140" t="s">
        <v>1582</v>
      </c>
      <c r="G509" s="140" t="s">
        <v>205</v>
      </c>
      <c r="H509" s="140" t="s">
        <v>1024</v>
      </c>
      <c r="I509" s="140"/>
      <c r="J509" s="140">
        <v>300000000</v>
      </c>
      <c r="K509" s="155" t="s">
        <v>221</v>
      </c>
      <c r="L509" s="140">
        <v>2816133</v>
      </c>
      <c r="M509" s="155" t="s">
        <v>79</v>
      </c>
      <c r="N509" s="10" t="s">
        <v>1583</v>
      </c>
      <c r="O509" s="10">
        <v>300000000</v>
      </c>
      <c r="P509" s="140" t="s">
        <v>1584</v>
      </c>
      <c r="Q509" t="s">
        <v>3586</v>
      </c>
    </row>
    <row r="510" spans="1:17" ht="43.5" hidden="1" x14ac:dyDescent="0.35">
      <c r="A510" s="155">
        <f t="shared" si="7"/>
        <v>10</v>
      </c>
      <c r="B510" s="140" t="s">
        <v>18</v>
      </c>
      <c r="C510" s="140" t="s">
        <v>37</v>
      </c>
      <c r="D510" s="140" t="s">
        <v>1515</v>
      </c>
      <c r="E510" s="140" t="s">
        <v>1585</v>
      </c>
      <c r="F510" s="140" t="s">
        <v>1586</v>
      </c>
      <c r="G510" s="140" t="s">
        <v>1029</v>
      </c>
      <c r="H510" s="140" t="s">
        <v>1587</v>
      </c>
      <c r="I510" s="140" t="s">
        <v>1588</v>
      </c>
      <c r="J510" s="140">
        <v>40000000</v>
      </c>
      <c r="K510" s="155" t="s">
        <v>221</v>
      </c>
      <c r="L510" s="140">
        <v>2969404</v>
      </c>
      <c r="M510" s="155" t="s">
        <v>79</v>
      </c>
      <c r="N510" s="10">
        <v>162.5</v>
      </c>
      <c r="O510" s="10">
        <v>41275000</v>
      </c>
      <c r="P510" s="140"/>
      <c r="Q510" t="s">
        <v>3564</v>
      </c>
    </row>
    <row r="511" spans="1:17" ht="43.5" hidden="1" x14ac:dyDescent="0.35">
      <c r="A511" s="155">
        <f t="shared" si="7"/>
        <v>11</v>
      </c>
      <c r="B511" s="140" t="s">
        <v>18</v>
      </c>
      <c r="C511" s="140" t="s">
        <v>37</v>
      </c>
      <c r="D511" s="140" t="s">
        <v>1515</v>
      </c>
      <c r="E511" s="140" t="s">
        <v>1589</v>
      </c>
      <c r="F511" s="140" t="s">
        <v>1590</v>
      </c>
      <c r="G511" s="140" t="s">
        <v>1029</v>
      </c>
      <c r="H511" s="140" t="s">
        <v>1591</v>
      </c>
      <c r="I511" s="140" t="s">
        <v>1592</v>
      </c>
      <c r="J511" s="140">
        <v>60000000</v>
      </c>
      <c r="K511" s="155" t="s">
        <v>221</v>
      </c>
      <c r="L511" s="140">
        <v>2969726</v>
      </c>
      <c r="M511" s="155" t="s">
        <v>79</v>
      </c>
      <c r="N511" s="10">
        <v>600</v>
      </c>
      <c r="O511" s="10">
        <v>240000000</v>
      </c>
      <c r="P511" s="140"/>
      <c r="Q511" t="s">
        <v>3564</v>
      </c>
    </row>
    <row r="512" spans="1:17" ht="43.5" hidden="1" x14ac:dyDescent="0.35">
      <c r="A512" s="155">
        <f t="shared" si="7"/>
        <v>12</v>
      </c>
      <c r="B512" s="140" t="s">
        <v>18</v>
      </c>
      <c r="C512" s="140" t="s">
        <v>37</v>
      </c>
      <c r="D512" s="140" t="s">
        <v>1515</v>
      </c>
      <c r="E512" s="140" t="s">
        <v>1593</v>
      </c>
      <c r="F512" s="140" t="s">
        <v>1594</v>
      </c>
      <c r="G512" s="140" t="s">
        <v>1029</v>
      </c>
      <c r="H512" s="140" t="s">
        <v>1595</v>
      </c>
      <c r="I512" s="140" t="s">
        <v>280</v>
      </c>
      <c r="J512" s="140">
        <v>100000000</v>
      </c>
      <c r="K512" s="155" t="s">
        <v>221</v>
      </c>
      <c r="L512" s="140">
        <v>2969943</v>
      </c>
      <c r="M512" s="155" t="s">
        <v>79</v>
      </c>
      <c r="N512" s="10">
        <v>250</v>
      </c>
      <c r="O512" s="10">
        <v>100000000</v>
      </c>
      <c r="P512" s="140"/>
      <c r="Q512" t="s">
        <v>3564</v>
      </c>
    </row>
    <row r="513" spans="1:17" ht="43.5" hidden="1" x14ac:dyDescent="0.35">
      <c r="A513" s="155">
        <f t="shared" si="7"/>
        <v>13</v>
      </c>
      <c r="B513" s="140" t="s">
        <v>18</v>
      </c>
      <c r="C513" s="140" t="s">
        <v>37</v>
      </c>
      <c r="D513" s="140" t="s">
        <v>1515</v>
      </c>
      <c r="E513" s="140" t="s">
        <v>1596</v>
      </c>
      <c r="F513" s="140" t="s">
        <v>1597</v>
      </c>
      <c r="G513" s="140" t="s">
        <v>1029</v>
      </c>
      <c r="H513" s="140" t="s">
        <v>1598</v>
      </c>
      <c r="I513" s="140" t="s">
        <v>1599</v>
      </c>
      <c r="J513" s="140">
        <v>60000000</v>
      </c>
      <c r="K513" s="155" t="s">
        <v>221</v>
      </c>
      <c r="L513" s="140">
        <v>2970020</v>
      </c>
      <c r="M513" s="155" t="s">
        <v>79</v>
      </c>
      <c r="N513" s="10" t="s">
        <v>561</v>
      </c>
      <c r="O513" s="10">
        <v>260587760</v>
      </c>
      <c r="P513" s="140" t="s">
        <v>1600</v>
      </c>
      <c r="Q513" t="s">
        <v>3564</v>
      </c>
    </row>
    <row r="514" spans="1:17" ht="43.5" hidden="1" x14ac:dyDescent="0.35">
      <c r="A514" s="155">
        <f t="shared" si="7"/>
        <v>14</v>
      </c>
      <c r="B514" s="140" t="s">
        <v>18</v>
      </c>
      <c r="C514" s="140" t="s">
        <v>37</v>
      </c>
      <c r="D514" s="140" t="s">
        <v>1515</v>
      </c>
      <c r="E514" s="140" t="s">
        <v>1601</v>
      </c>
      <c r="F514" s="140" t="s">
        <v>1602</v>
      </c>
      <c r="G514" s="140" t="s">
        <v>1029</v>
      </c>
      <c r="H514" s="140" t="s">
        <v>1603</v>
      </c>
      <c r="I514" s="140" t="s">
        <v>1031</v>
      </c>
      <c r="J514" s="140">
        <v>100000000</v>
      </c>
      <c r="K514" s="155" t="s">
        <v>221</v>
      </c>
      <c r="L514" s="140">
        <v>2969038</v>
      </c>
      <c r="M514" s="155" t="s">
        <v>535</v>
      </c>
      <c r="N514" s="10">
        <v>800</v>
      </c>
      <c r="O514" s="10">
        <v>203200000</v>
      </c>
      <c r="P514" s="140"/>
      <c r="Q514" t="s">
        <v>3564</v>
      </c>
    </row>
    <row r="515" spans="1:17" ht="43.5" hidden="1" x14ac:dyDescent="0.35">
      <c r="A515" s="155">
        <f t="shared" si="7"/>
        <v>15</v>
      </c>
      <c r="B515" s="140" t="s">
        <v>18</v>
      </c>
      <c r="C515" s="140" t="s">
        <v>37</v>
      </c>
      <c r="D515" s="140" t="s">
        <v>1515</v>
      </c>
      <c r="E515" s="140" t="s">
        <v>1604</v>
      </c>
      <c r="F515" s="140" t="s">
        <v>1605</v>
      </c>
      <c r="G515" s="140" t="s">
        <v>76</v>
      </c>
      <c r="H515" s="140" t="s">
        <v>1606</v>
      </c>
      <c r="I515" s="140" t="s">
        <v>1607</v>
      </c>
      <c r="J515" s="140">
        <v>300000000</v>
      </c>
      <c r="K515" s="155" t="s">
        <v>221</v>
      </c>
      <c r="L515" s="140">
        <v>2933422</v>
      </c>
      <c r="M515" s="155" t="s">
        <v>79</v>
      </c>
      <c r="N515" s="10">
        <v>340</v>
      </c>
      <c r="O515" s="10">
        <v>945880000</v>
      </c>
      <c r="P515" s="140"/>
      <c r="Q515" t="s">
        <v>3564</v>
      </c>
    </row>
    <row r="516" spans="1:17" ht="43.5" hidden="1" x14ac:dyDescent="0.35">
      <c r="A516" s="155">
        <f t="shared" si="7"/>
        <v>16</v>
      </c>
      <c r="B516" s="140" t="s">
        <v>18</v>
      </c>
      <c r="C516" s="140" t="s">
        <v>37</v>
      </c>
      <c r="D516" s="140" t="s">
        <v>1521</v>
      </c>
      <c r="E516" s="140" t="s">
        <v>1608</v>
      </c>
      <c r="F516" s="140" t="s">
        <v>1609</v>
      </c>
      <c r="G516" s="140" t="s">
        <v>82</v>
      </c>
      <c r="H516" s="140" t="s">
        <v>540</v>
      </c>
      <c r="I516" s="140" t="s">
        <v>1250</v>
      </c>
      <c r="J516" s="140">
        <v>100000000</v>
      </c>
      <c r="K516" s="155" t="s">
        <v>221</v>
      </c>
      <c r="L516" s="140">
        <v>2816891</v>
      </c>
      <c r="M516" s="155" t="s">
        <v>79</v>
      </c>
      <c r="N516" s="10" t="s">
        <v>1250</v>
      </c>
      <c r="O516" s="10">
        <v>100000000</v>
      </c>
      <c r="P516" s="140"/>
      <c r="Q516" t="s">
        <v>3586</v>
      </c>
    </row>
    <row r="517" spans="1:17" ht="43.5" hidden="1" x14ac:dyDescent="0.35">
      <c r="A517" s="155" t="e">
        <f>#REF!+1</f>
        <v>#REF!</v>
      </c>
      <c r="B517" s="140" t="s">
        <v>18</v>
      </c>
      <c r="C517" s="140" t="s">
        <v>37</v>
      </c>
      <c r="D517" s="140" t="s">
        <v>1515</v>
      </c>
      <c r="E517" s="140" t="s">
        <v>1610</v>
      </c>
      <c r="F517" s="140"/>
      <c r="G517" s="140" t="s">
        <v>82</v>
      </c>
      <c r="H517" s="140" t="s">
        <v>534</v>
      </c>
      <c r="I517" s="140"/>
      <c r="J517" s="140"/>
      <c r="K517" s="155" t="s">
        <v>221</v>
      </c>
      <c r="L517" s="140"/>
      <c r="M517" s="155" t="s">
        <v>79</v>
      </c>
      <c r="N517" s="10" t="s">
        <v>1611</v>
      </c>
      <c r="O517" s="10">
        <v>96000000</v>
      </c>
      <c r="P517" s="140" t="s">
        <v>275</v>
      </c>
      <c r="Q517" t="s">
        <v>3564</v>
      </c>
    </row>
    <row r="518" spans="1:17" ht="43.5" hidden="1" x14ac:dyDescent="0.35">
      <c r="A518" s="155" t="e">
        <f t="shared" si="7"/>
        <v>#REF!</v>
      </c>
      <c r="B518" s="140" t="s">
        <v>18</v>
      </c>
      <c r="C518" s="140" t="s">
        <v>37</v>
      </c>
      <c r="D518" s="140" t="s">
        <v>1515</v>
      </c>
      <c r="E518" s="140" t="s">
        <v>1612</v>
      </c>
      <c r="F518" s="140"/>
      <c r="G518" s="140" t="s">
        <v>82</v>
      </c>
      <c r="H518" s="140" t="s">
        <v>1613</v>
      </c>
      <c r="I518" s="140"/>
      <c r="J518" s="140"/>
      <c r="K518" s="155" t="s">
        <v>221</v>
      </c>
      <c r="L518" s="140"/>
      <c r="M518" s="155" t="s">
        <v>79</v>
      </c>
      <c r="N518" s="10" t="s">
        <v>1614</v>
      </c>
      <c r="O518" s="10">
        <v>264800000</v>
      </c>
      <c r="P518" s="140" t="s">
        <v>275</v>
      </c>
      <c r="Q518" t="s">
        <v>3564</v>
      </c>
    </row>
    <row r="519" spans="1:17" ht="43.5" hidden="1" x14ac:dyDescent="0.35">
      <c r="A519" s="155" t="e">
        <f t="shared" si="7"/>
        <v>#REF!</v>
      </c>
      <c r="B519" s="140" t="s">
        <v>18</v>
      </c>
      <c r="C519" s="140" t="s">
        <v>37</v>
      </c>
      <c r="D519" s="140" t="s">
        <v>1515</v>
      </c>
      <c r="E519" s="140" t="s">
        <v>1615</v>
      </c>
      <c r="F519" s="140" t="s">
        <v>1616</v>
      </c>
      <c r="G519" s="140" t="s">
        <v>266</v>
      </c>
      <c r="H519" s="140" t="s">
        <v>1617</v>
      </c>
      <c r="I519" s="140"/>
      <c r="J519" s="140">
        <v>31500000</v>
      </c>
      <c r="K519" s="155" t="s">
        <v>221</v>
      </c>
      <c r="L519" s="140">
        <v>2924126</v>
      </c>
      <c r="M519" s="155" t="s">
        <v>79</v>
      </c>
      <c r="N519" s="10">
        <v>250</v>
      </c>
      <c r="O519" s="10">
        <v>74000000</v>
      </c>
      <c r="P519" s="140"/>
      <c r="Q519" t="s">
        <v>3564</v>
      </c>
    </row>
    <row r="520" spans="1:17" ht="43.5" hidden="1" x14ac:dyDescent="0.35">
      <c r="A520" s="155" t="e">
        <f t="shared" si="7"/>
        <v>#REF!</v>
      </c>
      <c r="B520" s="140" t="s">
        <v>18</v>
      </c>
      <c r="C520" s="140" t="s">
        <v>37</v>
      </c>
      <c r="D520" s="140" t="s">
        <v>1515</v>
      </c>
      <c r="E520" s="140" t="s">
        <v>1618</v>
      </c>
      <c r="F520" s="140" t="s">
        <v>1616</v>
      </c>
      <c r="G520" s="140" t="s">
        <v>266</v>
      </c>
      <c r="H520" s="140" t="s">
        <v>1617</v>
      </c>
      <c r="I520" s="140"/>
      <c r="J520" s="140">
        <v>28500000</v>
      </c>
      <c r="K520" s="155" t="s">
        <v>221</v>
      </c>
      <c r="L520" s="140">
        <v>2847463</v>
      </c>
      <c r="M520" s="155" t="s">
        <v>79</v>
      </c>
      <c r="N520" s="10">
        <v>250</v>
      </c>
      <c r="O520" s="10">
        <v>63500000</v>
      </c>
      <c r="P520" s="140"/>
      <c r="Q520" t="s">
        <v>3564</v>
      </c>
    </row>
    <row r="521" spans="1:17" ht="43.5" hidden="1" x14ac:dyDescent="0.35">
      <c r="A521" s="155" t="e">
        <f t="shared" si="7"/>
        <v>#REF!</v>
      </c>
      <c r="B521" s="140" t="s">
        <v>18</v>
      </c>
      <c r="C521" s="140" t="s">
        <v>37</v>
      </c>
      <c r="D521" s="140" t="s">
        <v>1570</v>
      </c>
      <c r="E521" s="140" t="s">
        <v>1619</v>
      </c>
      <c r="F521" s="140" t="s">
        <v>1620</v>
      </c>
      <c r="G521" s="140" t="s">
        <v>266</v>
      </c>
      <c r="H521" s="140" t="s">
        <v>1621</v>
      </c>
      <c r="I521" s="140"/>
      <c r="J521" s="140">
        <v>130750000</v>
      </c>
      <c r="K521" s="155" t="s">
        <v>221</v>
      </c>
      <c r="L521" s="140">
        <v>2908560</v>
      </c>
      <c r="M521" s="155" t="s">
        <v>79</v>
      </c>
      <c r="N521" s="10">
        <v>77</v>
      </c>
      <c r="O521" s="10">
        <v>214214000</v>
      </c>
      <c r="P521" s="140"/>
      <c r="Q521" t="s">
        <v>3586</v>
      </c>
    </row>
    <row r="522" spans="1:17" ht="43.5" hidden="1" x14ac:dyDescent="0.35">
      <c r="A522" s="155" t="e">
        <f t="shared" si="7"/>
        <v>#REF!</v>
      </c>
      <c r="B522" s="140" t="s">
        <v>18</v>
      </c>
      <c r="C522" s="140" t="s">
        <v>37</v>
      </c>
      <c r="D522" s="140" t="s">
        <v>1515</v>
      </c>
      <c r="E522" s="140" t="s">
        <v>1622</v>
      </c>
      <c r="F522" s="140" t="s">
        <v>1623</v>
      </c>
      <c r="G522" s="140" t="s">
        <v>266</v>
      </c>
      <c r="H522" s="140" t="s">
        <v>1624</v>
      </c>
      <c r="I522" s="140"/>
      <c r="J522" s="140">
        <v>64000000</v>
      </c>
      <c r="K522" s="155" t="s">
        <v>221</v>
      </c>
      <c r="L522" s="140">
        <v>2935887</v>
      </c>
      <c r="M522" s="155" t="s">
        <v>79</v>
      </c>
      <c r="N522" s="10">
        <v>250</v>
      </c>
      <c r="O522" s="10">
        <v>74000000</v>
      </c>
      <c r="P522" s="140"/>
      <c r="Q522" t="s">
        <v>3564</v>
      </c>
    </row>
    <row r="523" spans="1:17" ht="43.5" hidden="1" x14ac:dyDescent="0.35">
      <c r="A523" s="155" t="e">
        <f t="shared" si="7"/>
        <v>#REF!</v>
      </c>
      <c r="B523" s="140" t="s">
        <v>18</v>
      </c>
      <c r="C523" s="140" t="s">
        <v>37</v>
      </c>
      <c r="D523" s="140" t="s">
        <v>1515</v>
      </c>
      <c r="E523" s="140" t="s">
        <v>1625</v>
      </c>
      <c r="F523" s="140" t="s">
        <v>265</v>
      </c>
      <c r="G523" s="140" t="s">
        <v>266</v>
      </c>
      <c r="H523" s="140" t="s">
        <v>266</v>
      </c>
      <c r="I523" s="140"/>
      <c r="J523" s="140">
        <v>40000000</v>
      </c>
      <c r="K523" s="155" t="s">
        <v>221</v>
      </c>
      <c r="L523" s="140">
        <v>2845714</v>
      </c>
      <c r="M523" s="155" t="s">
        <v>79</v>
      </c>
      <c r="N523" s="10">
        <v>250</v>
      </c>
      <c r="O523" s="10">
        <v>63500000</v>
      </c>
      <c r="P523" s="140"/>
      <c r="Q523" t="s">
        <v>3564</v>
      </c>
    </row>
    <row r="524" spans="1:17" ht="43.5" hidden="1" x14ac:dyDescent="0.35">
      <c r="A524" s="155" t="e">
        <f t="shared" si="7"/>
        <v>#REF!</v>
      </c>
      <c r="B524" s="140" t="s">
        <v>18</v>
      </c>
      <c r="C524" s="140" t="s">
        <v>37</v>
      </c>
      <c r="D524" s="140" t="s">
        <v>1515</v>
      </c>
      <c r="E524" s="140" t="s">
        <v>1626</v>
      </c>
      <c r="F524" s="140" t="s">
        <v>1627</v>
      </c>
      <c r="G524" s="140" t="s">
        <v>266</v>
      </c>
      <c r="H524" s="140" t="s">
        <v>1628</v>
      </c>
      <c r="I524" s="140"/>
      <c r="J524" s="140">
        <v>20500000</v>
      </c>
      <c r="K524" s="155" t="s">
        <v>221</v>
      </c>
      <c r="L524" s="140">
        <v>2953134</v>
      </c>
      <c r="M524" s="155" t="s">
        <v>79</v>
      </c>
      <c r="N524" s="10">
        <v>250</v>
      </c>
      <c r="O524" s="10">
        <v>63500000</v>
      </c>
      <c r="P524" s="140"/>
      <c r="Q524" t="s">
        <v>3564</v>
      </c>
    </row>
    <row r="525" spans="1:17" ht="43.5" hidden="1" x14ac:dyDescent="0.35">
      <c r="A525" s="155" t="e">
        <f t="shared" si="7"/>
        <v>#REF!</v>
      </c>
      <c r="B525" s="140" t="s">
        <v>18</v>
      </c>
      <c r="C525" s="140" t="s">
        <v>37</v>
      </c>
      <c r="D525" s="140" t="s">
        <v>1570</v>
      </c>
      <c r="E525" s="140" t="s">
        <v>1629</v>
      </c>
      <c r="F525" s="140" t="s">
        <v>1630</v>
      </c>
      <c r="G525" s="140" t="s">
        <v>266</v>
      </c>
      <c r="H525" s="140" t="s">
        <v>1628</v>
      </c>
      <c r="I525" s="140"/>
      <c r="J525" s="140">
        <v>110500000</v>
      </c>
      <c r="K525" s="155" t="s">
        <v>221</v>
      </c>
      <c r="L525" s="140">
        <v>2952488</v>
      </c>
      <c r="M525" s="155" t="s">
        <v>79</v>
      </c>
      <c r="N525" s="10">
        <v>60</v>
      </c>
      <c r="O525" s="10">
        <v>166920000</v>
      </c>
      <c r="P525" s="140"/>
      <c r="Q525" t="s">
        <v>3586</v>
      </c>
    </row>
    <row r="526" spans="1:17" ht="43.5" hidden="1" x14ac:dyDescent="0.35">
      <c r="A526" s="155" t="e">
        <f t="shared" si="7"/>
        <v>#REF!</v>
      </c>
      <c r="B526" s="140" t="s">
        <v>18</v>
      </c>
      <c r="C526" s="140" t="s">
        <v>37</v>
      </c>
      <c r="D526" s="140" t="s">
        <v>1515</v>
      </c>
      <c r="E526" s="140" t="s">
        <v>1631</v>
      </c>
      <c r="F526" s="140" t="s">
        <v>1632</v>
      </c>
      <c r="G526" s="140" t="s">
        <v>266</v>
      </c>
      <c r="H526" s="140" t="s">
        <v>1633</v>
      </c>
      <c r="I526" s="140"/>
      <c r="J526" s="140">
        <v>65000000</v>
      </c>
      <c r="K526" s="155" t="s">
        <v>221</v>
      </c>
      <c r="L526" s="140">
        <v>2851251</v>
      </c>
      <c r="M526" s="155" t="s">
        <v>79</v>
      </c>
      <c r="N526" s="10">
        <v>250</v>
      </c>
      <c r="O526" s="10">
        <v>74000000</v>
      </c>
      <c r="P526" s="140"/>
      <c r="Q526" t="s">
        <v>3564</v>
      </c>
    </row>
    <row r="527" spans="1:17" ht="43.5" hidden="1" x14ac:dyDescent="0.35">
      <c r="A527" s="155" t="e">
        <f t="shared" si="7"/>
        <v>#REF!</v>
      </c>
      <c r="B527" s="140" t="s">
        <v>18</v>
      </c>
      <c r="C527" s="140" t="s">
        <v>37</v>
      </c>
      <c r="D527" s="140" t="s">
        <v>1634</v>
      </c>
      <c r="E527" s="140" t="s">
        <v>1635</v>
      </c>
      <c r="F527" s="140" t="s">
        <v>1636</v>
      </c>
      <c r="G527" s="140" t="s">
        <v>658</v>
      </c>
      <c r="H527" s="140" t="s">
        <v>1637</v>
      </c>
      <c r="I527" s="140" t="s">
        <v>25</v>
      </c>
      <c r="J527" s="140">
        <v>25000000</v>
      </c>
      <c r="K527" s="155" t="s">
        <v>221</v>
      </c>
      <c r="L527" s="140">
        <v>2947206</v>
      </c>
      <c r="M527" s="155" t="s">
        <v>79</v>
      </c>
      <c r="N527" s="10">
        <v>1</v>
      </c>
      <c r="O527" s="10">
        <v>25000000</v>
      </c>
      <c r="P527" s="140"/>
      <c r="Q527" t="s">
        <v>3564</v>
      </c>
    </row>
    <row r="528" spans="1:17" ht="43.5" hidden="1" x14ac:dyDescent="0.35">
      <c r="A528" s="155" t="e">
        <f t="shared" si="7"/>
        <v>#REF!</v>
      </c>
      <c r="B528" s="140" t="s">
        <v>18</v>
      </c>
      <c r="C528" s="140" t="s">
        <v>37</v>
      </c>
      <c r="D528" s="140" t="s">
        <v>1515</v>
      </c>
      <c r="E528" s="140" t="s">
        <v>1638</v>
      </c>
      <c r="F528" s="140" t="s">
        <v>1639</v>
      </c>
      <c r="G528" s="140" t="s">
        <v>658</v>
      </c>
      <c r="H528" s="140" t="s">
        <v>1640</v>
      </c>
      <c r="I528" s="140" t="s">
        <v>1641</v>
      </c>
      <c r="J528" s="140">
        <v>70400000</v>
      </c>
      <c r="K528" s="155" t="s">
        <v>221</v>
      </c>
      <c r="L528" s="140">
        <v>2935100</v>
      </c>
      <c r="M528" s="155" t="s">
        <v>79</v>
      </c>
      <c r="N528" s="10">
        <v>250</v>
      </c>
      <c r="O528" s="10">
        <v>99000000</v>
      </c>
      <c r="P528" s="140"/>
      <c r="Q528" t="s">
        <v>3564</v>
      </c>
    </row>
    <row r="529" spans="1:17" ht="43.5" hidden="1" x14ac:dyDescent="0.35">
      <c r="A529" s="155" t="e">
        <f t="shared" si="7"/>
        <v>#REF!</v>
      </c>
      <c r="B529" s="140" t="s">
        <v>18</v>
      </c>
      <c r="C529" s="140" t="s">
        <v>37</v>
      </c>
      <c r="D529" s="140" t="s">
        <v>1515</v>
      </c>
      <c r="E529" s="140" t="s">
        <v>1642</v>
      </c>
      <c r="F529" s="140" t="s">
        <v>1643</v>
      </c>
      <c r="G529" s="140" t="s">
        <v>658</v>
      </c>
      <c r="H529" s="140" t="s">
        <v>1644</v>
      </c>
      <c r="I529" s="140" t="s">
        <v>1645</v>
      </c>
      <c r="J529" s="140">
        <v>52000000</v>
      </c>
      <c r="K529" s="155" t="s">
        <v>221</v>
      </c>
      <c r="L529" s="140">
        <v>2935204</v>
      </c>
      <c r="M529" s="155" t="s">
        <v>79</v>
      </c>
      <c r="N529" s="10">
        <v>250</v>
      </c>
      <c r="O529" s="10">
        <v>99000000</v>
      </c>
      <c r="P529" s="140"/>
      <c r="Q529" t="s">
        <v>3564</v>
      </c>
    </row>
    <row r="530" spans="1:17" ht="43.5" hidden="1" x14ac:dyDescent="0.35">
      <c r="A530" s="155" t="e">
        <f t="shared" si="7"/>
        <v>#REF!</v>
      </c>
      <c r="B530" s="140" t="s">
        <v>18</v>
      </c>
      <c r="C530" s="140" t="s">
        <v>37</v>
      </c>
      <c r="D530" s="140" t="s">
        <v>1515</v>
      </c>
      <c r="E530" s="140" t="s">
        <v>1646</v>
      </c>
      <c r="F530" s="140" t="s">
        <v>1647</v>
      </c>
      <c r="G530" s="140" t="s">
        <v>658</v>
      </c>
      <c r="H530" s="140" t="s">
        <v>1648</v>
      </c>
      <c r="I530" s="140" t="s">
        <v>1649</v>
      </c>
      <c r="J530" s="140">
        <v>75000000</v>
      </c>
      <c r="K530" s="155" t="s">
        <v>221</v>
      </c>
      <c r="L530" s="140">
        <v>2935482</v>
      </c>
      <c r="M530" s="155" t="s">
        <v>79</v>
      </c>
      <c r="N530" s="10">
        <v>300</v>
      </c>
      <c r="O530" s="10">
        <v>118800000</v>
      </c>
      <c r="P530" s="140"/>
      <c r="Q530" t="s">
        <v>3564</v>
      </c>
    </row>
    <row r="531" spans="1:17" ht="43.5" hidden="1" x14ac:dyDescent="0.35">
      <c r="A531" s="155" t="e">
        <f t="shared" si="7"/>
        <v>#REF!</v>
      </c>
      <c r="B531" s="140" t="s">
        <v>18</v>
      </c>
      <c r="C531" s="140" t="s">
        <v>37</v>
      </c>
      <c r="D531" s="140" t="s">
        <v>1515</v>
      </c>
      <c r="E531" s="140" t="s">
        <v>1650</v>
      </c>
      <c r="F531" s="140" t="s">
        <v>1651</v>
      </c>
      <c r="G531" s="140" t="s">
        <v>658</v>
      </c>
      <c r="H531" s="140" t="s">
        <v>1652</v>
      </c>
      <c r="I531" s="140" t="s">
        <v>1653</v>
      </c>
      <c r="J531" s="140">
        <v>54000000</v>
      </c>
      <c r="K531" s="155" t="s">
        <v>221</v>
      </c>
      <c r="L531" s="140">
        <v>2935797</v>
      </c>
      <c r="M531" s="155" t="s">
        <v>79</v>
      </c>
      <c r="N531" s="10">
        <v>450</v>
      </c>
      <c r="O531" s="10">
        <v>133200000</v>
      </c>
      <c r="P531" s="140"/>
      <c r="Q531" t="s">
        <v>3564</v>
      </c>
    </row>
    <row r="532" spans="1:17" ht="43.5" hidden="1" x14ac:dyDescent="0.35">
      <c r="A532" s="155" t="e">
        <f t="shared" si="7"/>
        <v>#REF!</v>
      </c>
      <c r="B532" s="140" t="s">
        <v>18</v>
      </c>
      <c r="C532" s="140" t="s">
        <v>37</v>
      </c>
      <c r="D532" s="140" t="s">
        <v>1515</v>
      </c>
      <c r="E532" s="140" t="s">
        <v>1654</v>
      </c>
      <c r="F532" s="140" t="s">
        <v>1655</v>
      </c>
      <c r="G532" s="140" t="s">
        <v>658</v>
      </c>
      <c r="H532" s="140" t="s">
        <v>1656</v>
      </c>
      <c r="I532" s="140" t="s">
        <v>1657</v>
      </c>
      <c r="J532" s="140">
        <v>100000000</v>
      </c>
      <c r="K532" s="155" t="s">
        <v>221</v>
      </c>
      <c r="L532" s="140">
        <v>2934549</v>
      </c>
      <c r="M532" s="155" t="s">
        <v>79</v>
      </c>
      <c r="N532" s="10">
        <v>400</v>
      </c>
      <c r="O532" s="10">
        <v>118400000</v>
      </c>
      <c r="P532" s="140"/>
      <c r="Q532" t="s">
        <v>3564</v>
      </c>
    </row>
    <row r="533" spans="1:17" ht="43.5" hidden="1" x14ac:dyDescent="0.35">
      <c r="A533" s="155" t="e">
        <f t="shared" si="7"/>
        <v>#REF!</v>
      </c>
      <c r="B533" s="140" t="s">
        <v>18</v>
      </c>
      <c r="C533" s="140" t="s">
        <v>37</v>
      </c>
      <c r="D533" s="140" t="s">
        <v>1570</v>
      </c>
      <c r="E533" s="140" t="s">
        <v>1658</v>
      </c>
      <c r="F533" s="140" t="s">
        <v>1659</v>
      </c>
      <c r="G533" s="140" t="s">
        <v>658</v>
      </c>
      <c r="H533" s="140" t="s">
        <v>1660</v>
      </c>
      <c r="I533" s="140" t="s">
        <v>1661</v>
      </c>
      <c r="J533" s="140">
        <v>70400000</v>
      </c>
      <c r="K533" s="155" t="s">
        <v>221</v>
      </c>
      <c r="L533" s="140">
        <v>2936104</v>
      </c>
      <c r="M533" s="155" t="s">
        <v>79</v>
      </c>
      <c r="N533" s="10">
        <v>230</v>
      </c>
      <c r="O533" s="10">
        <v>195500000</v>
      </c>
      <c r="P533" s="140"/>
      <c r="Q533" t="s">
        <v>3586</v>
      </c>
    </row>
    <row r="534" spans="1:17" ht="43.5" hidden="1" x14ac:dyDescent="0.35">
      <c r="A534" s="155" t="e">
        <f t="shared" si="7"/>
        <v>#REF!</v>
      </c>
      <c r="B534" s="140" t="s">
        <v>18</v>
      </c>
      <c r="C534" s="140" t="s">
        <v>37</v>
      </c>
      <c r="D534" s="140" t="s">
        <v>1515</v>
      </c>
      <c r="E534" s="140" t="s">
        <v>1662</v>
      </c>
      <c r="F534" s="140" t="s">
        <v>1663</v>
      </c>
      <c r="G534" s="140" t="s">
        <v>658</v>
      </c>
      <c r="H534" s="140" t="s">
        <v>1664</v>
      </c>
      <c r="I534" s="140" t="s">
        <v>1250</v>
      </c>
      <c r="J534" s="140">
        <v>65000000</v>
      </c>
      <c r="K534" s="155" t="s">
        <v>221</v>
      </c>
      <c r="L534" s="140">
        <v>2934955</v>
      </c>
      <c r="M534" s="155" t="s">
        <v>79</v>
      </c>
      <c r="N534" s="10">
        <v>400</v>
      </c>
      <c r="O534" s="10">
        <v>158400000</v>
      </c>
      <c r="P534" s="140"/>
      <c r="Q534" t="s">
        <v>3564</v>
      </c>
    </row>
    <row r="535" spans="1:17" ht="43.5" hidden="1" x14ac:dyDescent="0.35">
      <c r="A535" s="155" t="e">
        <f t="shared" si="7"/>
        <v>#REF!</v>
      </c>
      <c r="B535" s="140" t="s">
        <v>18</v>
      </c>
      <c r="C535" s="140" t="s">
        <v>37</v>
      </c>
      <c r="D535" s="140" t="s">
        <v>1515</v>
      </c>
      <c r="E535" s="140" t="s">
        <v>1646</v>
      </c>
      <c r="F535" s="140" t="s">
        <v>1665</v>
      </c>
      <c r="G535" s="140" t="s">
        <v>658</v>
      </c>
      <c r="H535" s="140" t="s">
        <v>1666</v>
      </c>
      <c r="I535" s="140" t="s">
        <v>1250</v>
      </c>
      <c r="J535" s="140">
        <v>65000000</v>
      </c>
      <c r="K535" s="155" t="s">
        <v>221</v>
      </c>
      <c r="L535" s="140">
        <v>2934221</v>
      </c>
      <c r="M535" s="155" t="s">
        <v>79</v>
      </c>
      <c r="N535" s="10">
        <v>400</v>
      </c>
      <c r="O535" s="10">
        <v>198000000</v>
      </c>
      <c r="P535" s="140"/>
      <c r="Q535" t="s">
        <v>3564</v>
      </c>
    </row>
    <row r="536" spans="1:17" ht="43.5" hidden="1" x14ac:dyDescent="0.35">
      <c r="A536" s="155" t="e">
        <f t="shared" si="7"/>
        <v>#REF!</v>
      </c>
      <c r="B536" s="140" t="s">
        <v>18</v>
      </c>
      <c r="C536" s="140" t="s">
        <v>37</v>
      </c>
      <c r="D536" s="140" t="s">
        <v>1515</v>
      </c>
      <c r="E536" s="140" t="s">
        <v>1667</v>
      </c>
      <c r="F536" s="140" t="s">
        <v>1668</v>
      </c>
      <c r="G536" s="140" t="s">
        <v>658</v>
      </c>
      <c r="H536" s="140" t="s">
        <v>1669</v>
      </c>
      <c r="I536" s="140" t="s">
        <v>1250</v>
      </c>
      <c r="J536" s="140">
        <v>75000000</v>
      </c>
      <c r="K536" s="155" t="s">
        <v>221</v>
      </c>
      <c r="L536" s="140">
        <v>2934069</v>
      </c>
      <c r="M536" s="155" t="s">
        <v>79</v>
      </c>
      <c r="N536" s="10">
        <v>500</v>
      </c>
      <c r="O536" s="10">
        <v>127000000</v>
      </c>
      <c r="P536" s="140"/>
      <c r="Q536" t="s">
        <v>3564</v>
      </c>
    </row>
    <row r="537" spans="1:17" ht="43.5" hidden="1" x14ac:dyDescent="0.35">
      <c r="A537" s="155" t="e">
        <f t="shared" si="7"/>
        <v>#REF!</v>
      </c>
      <c r="B537" s="140" t="s">
        <v>18</v>
      </c>
      <c r="C537" s="140" t="s">
        <v>37</v>
      </c>
      <c r="D537" s="140" t="s">
        <v>1634</v>
      </c>
      <c r="E537" s="140" t="s">
        <v>1670</v>
      </c>
      <c r="F537" s="140" t="s">
        <v>1671</v>
      </c>
      <c r="G537" s="140" t="s">
        <v>658</v>
      </c>
      <c r="H537" s="140" t="s">
        <v>1672</v>
      </c>
      <c r="I537" s="140" t="s">
        <v>35</v>
      </c>
      <c r="J537" s="140">
        <v>25000000</v>
      </c>
      <c r="K537" s="155" t="s">
        <v>221</v>
      </c>
      <c r="L537" s="140">
        <v>2823037</v>
      </c>
      <c r="M537" s="155" t="s">
        <v>79</v>
      </c>
      <c r="N537" s="10">
        <v>1</v>
      </c>
      <c r="O537" s="10">
        <v>25000000</v>
      </c>
      <c r="P537" s="140"/>
      <c r="Q537" t="s">
        <v>3564</v>
      </c>
    </row>
    <row r="538" spans="1:17" ht="43.5" hidden="1" x14ac:dyDescent="0.35">
      <c r="A538" s="155" t="e">
        <f t="shared" si="7"/>
        <v>#REF!</v>
      </c>
      <c r="B538" s="140" t="s">
        <v>18</v>
      </c>
      <c r="C538" s="140" t="s">
        <v>37</v>
      </c>
      <c r="D538" s="140" t="s">
        <v>1515</v>
      </c>
      <c r="E538" s="140" t="s">
        <v>1673</v>
      </c>
      <c r="F538" s="140" t="s">
        <v>1674</v>
      </c>
      <c r="G538" s="140" t="s">
        <v>816</v>
      </c>
      <c r="H538" s="140" t="s">
        <v>817</v>
      </c>
      <c r="I538" s="140" t="s">
        <v>1675</v>
      </c>
      <c r="J538" s="140">
        <v>20000000</v>
      </c>
      <c r="K538" s="155" t="s">
        <v>221</v>
      </c>
      <c r="L538" s="140">
        <v>2931915</v>
      </c>
      <c r="M538" s="155" t="s">
        <v>79</v>
      </c>
      <c r="N538" s="10">
        <v>513.38</v>
      </c>
      <c r="O538" s="10">
        <v>151960480</v>
      </c>
      <c r="P538" s="140"/>
      <c r="Q538" t="s">
        <v>3564</v>
      </c>
    </row>
    <row r="539" spans="1:17" ht="43.5" hidden="1" x14ac:dyDescent="0.35">
      <c r="A539" s="155" t="e">
        <f t="shared" si="7"/>
        <v>#REF!</v>
      </c>
      <c r="B539" s="140" t="s">
        <v>18</v>
      </c>
      <c r="C539" s="140" t="s">
        <v>37</v>
      </c>
      <c r="D539" s="140" t="s">
        <v>476</v>
      </c>
      <c r="E539" s="140" t="s">
        <v>1676</v>
      </c>
      <c r="F539" s="140" t="s">
        <v>1677</v>
      </c>
      <c r="G539" s="140" t="s">
        <v>816</v>
      </c>
      <c r="H539" s="140" t="s">
        <v>820</v>
      </c>
      <c r="I539" s="140">
        <v>800</v>
      </c>
      <c r="J539" s="140">
        <v>374000000</v>
      </c>
      <c r="K539" s="155" t="s">
        <v>221</v>
      </c>
      <c r="L539" s="140">
        <v>2842548</v>
      </c>
      <c r="M539" s="155" t="s">
        <v>79</v>
      </c>
      <c r="N539" s="10">
        <v>500</v>
      </c>
      <c r="O539" s="10">
        <v>524817920</v>
      </c>
      <c r="P539" s="140" t="s">
        <v>1678</v>
      </c>
      <c r="Q539" t="s">
        <v>3586</v>
      </c>
    </row>
    <row r="540" spans="1:17" ht="43.5" hidden="1" x14ac:dyDescent="0.35">
      <c r="A540" s="155" t="e">
        <f t="shared" si="7"/>
        <v>#REF!</v>
      </c>
      <c r="B540" s="140" t="s">
        <v>18</v>
      </c>
      <c r="C540" s="140" t="s">
        <v>37</v>
      </c>
      <c r="D540" s="140" t="s">
        <v>1515</v>
      </c>
      <c r="E540" s="140" t="s">
        <v>1679</v>
      </c>
      <c r="F540" s="140" t="s">
        <v>1680</v>
      </c>
      <c r="G540" s="140" t="s">
        <v>816</v>
      </c>
      <c r="H540" s="140" t="s">
        <v>822</v>
      </c>
      <c r="I540" s="140">
        <v>200</v>
      </c>
      <c r="J540" s="140">
        <v>45000000</v>
      </c>
      <c r="K540" s="155" t="s">
        <v>221</v>
      </c>
      <c r="L540" s="140">
        <v>2932294</v>
      </c>
      <c r="M540" s="155" t="s">
        <v>79</v>
      </c>
      <c r="N540" s="10">
        <v>400</v>
      </c>
      <c r="O540" s="10">
        <v>101600000</v>
      </c>
      <c r="P540" s="140"/>
      <c r="Q540" t="s">
        <v>3564</v>
      </c>
    </row>
    <row r="541" spans="1:17" ht="43.5" hidden="1" x14ac:dyDescent="0.35">
      <c r="A541" s="155" t="e">
        <f t="shared" si="7"/>
        <v>#REF!</v>
      </c>
      <c r="B541" s="140" t="s">
        <v>18</v>
      </c>
      <c r="C541" s="140" t="s">
        <v>37</v>
      </c>
      <c r="D541" s="140" t="s">
        <v>1515</v>
      </c>
      <c r="E541" s="140" t="s">
        <v>1681</v>
      </c>
      <c r="F541" s="140" t="s">
        <v>1682</v>
      </c>
      <c r="G541" s="140" t="s">
        <v>816</v>
      </c>
      <c r="H541" s="140" t="s">
        <v>824</v>
      </c>
      <c r="I541" s="140">
        <v>166.13</v>
      </c>
      <c r="J541" s="140">
        <v>40000000</v>
      </c>
      <c r="K541" s="155" t="s">
        <v>221</v>
      </c>
      <c r="L541" s="140">
        <v>2933090</v>
      </c>
      <c r="M541" s="155" t="s">
        <v>79</v>
      </c>
      <c r="N541" s="10">
        <v>332.26</v>
      </c>
      <c r="O541" s="10">
        <v>98348960</v>
      </c>
      <c r="P541" s="140"/>
      <c r="Q541" t="s">
        <v>3564</v>
      </c>
    </row>
    <row r="542" spans="1:17" ht="43.5" hidden="1" x14ac:dyDescent="0.35">
      <c r="A542" s="155" t="e">
        <f t="shared" si="7"/>
        <v>#REF!</v>
      </c>
      <c r="B542" s="140" t="s">
        <v>18</v>
      </c>
      <c r="C542" s="140" t="s">
        <v>37</v>
      </c>
      <c r="D542" s="140" t="s">
        <v>1515</v>
      </c>
      <c r="E542" s="140" t="s">
        <v>1683</v>
      </c>
      <c r="F542" s="140" t="s">
        <v>1684</v>
      </c>
      <c r="G542" s="140" t="s">
        <v>816</v>
      </c>
      <c r="H542" s="140" t="s">
        <v>1685</v>
      </c>
      <c r="I542" s="140" t="s">
        <v>1686</v>
      </c>
      <c r="J542" s="140">
        <v>22000000</v>
      </c>
      <c r="K542" s="155" t="s">
        <v>221</v>
      </c>
      <c r="L542" s="140">
        <v>2933564</v>
      </c>
      <c r="M542" s="155" t="s">
        <v>79</v>
      </c>
      <c r="N542" s="10">
        <v>294.84000000000003</v>
      </c>
      <c r="O542" s="10">
        <v>87272640.000000015</v>
      </c>
      <c r="P542" s="140"/>
      <c r="Q542" t="s">
        <v>3564</v>
      </c>
    </row>
    <row r="543" spans="1:17" ht="43.5" hidden="1" x14ac:dyDescent="0.35">
      <c r="A543" s="155" t="e">
        <f t="shared" si="7"/>
        <v>#REF!</v>
      </c>
      <c r="B543" s="140" t="s">
        <v>18</v>
      </c>
      <c r="C543" s="140" t="s">
        <v>37</v>
      </c>
      <c r="D543" s="140" t="s">
        <v>476</v>
      </c>
      <c r="E543" s="140" t="s">
        <v>1687</v>
      </c>
      <c r="F543" s="140" t="s">
        <v>1688</v>
      </c>
      <c r="G543" s="140" t="s">
        <v>535</v>
      </c>
      <c r="H543" s="140" t="s">
        <v>1689</v>
      </c>
      <c r="I543" s="140" t="s">
        <v>561</v>
      </c>
      <c r="J543" s="140">
        <v>100000000</v>
      </c>
      <c r="K543" s="155" t="s">
        <v>221</v>
      </c>
      <c r="L543" s="140">
        <v>2933068</v>
      </c>
      <c r="M543" s="155" t="s">
        <v>79</v>
      </c>
      <c r="N543" s="10">
        <v>100</v>
      </c>
      <c r="O543" s="10">
        <v>172200000</v>
      </c>
      <c r="P543" s="140"/>
      <c r="Q543" t="s">
        <v>3586</v>
      </c>
    </row>
    <row r="544" spans="1:17" ht="43.5" hidden="1" x14ac:dyDescent="0.35">
      <c r="A544" s="155" t="e">
        <f t="shared" si="7"/>
        <v>#REF!</v>
      </c>
      <c r="B544" s="140" t="s">
        <v>18</v>
      </c>
      <c r="C544" s="140" t="s">
        <v>37</v>
      </c>
      <c r="D544" s="140" t="s">
        <v>1570</v>
      </c>
      <c r="E544" s="140" t="s">
        <v>1571</v>
      </c>
      <c r="F544" s="140" t="s">
        <v>1690</v>
      </c>
      <c r="G544" s="140" t="s">
        <v>535</v>
      </c>
      <c r="H544" s="140" t="s">
        <v>1691</v>
      </c>
      <c r="I544" s="140" t="s">
        <v>1266</v>
      </c>
      <c r="J544" s="140">
        <v>100000000</v>
      </c>
      <c r="K544" s="155" t="s">
        <v>221</v>
      </c>
      <c r="L544" s="140">
        <v>2932669</v>
      </c>
      <c r="M544" s="155" t="s">
        <v>79</v>
      </c>
      <c r="N544" s="10">
        <v>59</v>
      </c>
      <c r="O544" s="10">
        <v>164138000</v>
      </c>
      <c r="P544" s="140"/>
      <c r="Q544" t="s">
        <v>3586</v>
      </c>
    </row>
    <row r="545" spans="1:17" ht="43.5" hidden="1" x14ac:dyDescent="0.35">
      <c r="A545" s="155" t="e">
        <f t="shared" si="7"/>
        <v>#REF!</v>
      </c>
      <c r="B545" s="140" t="s">
        <v>18</v>
      </c>
      <c r="C545" s="140" t="s">
        <v>37</v>
      </c>
      <c r="D545" s="140" t="s">
        <v>476</v>
      </c>
      <c r="E545" s="140" t="s">
        <v>1687</v>
      </c>
      <c r="F545" s="140" t="s">
        <v>1692</v>
      </c>
      <c r="G545" s="140" t="s">
        <v>535</v>
      </c>
      <c r="H545" s="140" t="s">
        <v>1693</v>
      </c>
      <c r="I545" s="140" t="s">
        <v>561</v>
      </c>
      <c r="J545" s="140">
        <v>100000000</v>
      </c>
      <c r="K545" s="155" t="s">
        <v>221</v>
      </c>
      <c r="L545" s="140">
        <v>2933008</v>
      </c>
      <c r="M545" s="155" t="s">
        <v>79</v>
      </c>
      <c r="N545" s="10">
        <v>90</v>
      </c>
      <c r="O545" s="10">
        <v>154980000</v>
      </c>
      <c r="P545" s="140"/>
      <c r="Q545" t="s">
        <v>3586</v>
      </c>
    </row>
    <row r="546" spans="1:17" ht="43.5" hidden="1" x14ac:dyDescent="0.35">
      <c r="A546" s="155" t="e">
        <f t="shared" si="7"/>
        <v>#REF!</v>
      </c>
      <c r="B546" s="140" t="s">
        <v>18</v>
      </c>
      <c r="C546" s="140" t="s">
        <v>37</v>
      </c>
      <c r="D546" s="140" t="s">
        <v>1570</v>
      </c>
      <c r="E546" s="140" t="s">
        <v>1694</v>
      </c>
      <c r="F546" s="140" t="s">
        <v>1695</v>
      </c>
      <c r="G546" s="140" t="s">
        <v>535</v>
      </c>
      <c r="H546" s="140" t="s">
        <v>1696</v>
      </c>
      <c r="I546" s="140" t="s">
        <v>1080</v>
      </c>
      <c r="J546" s="140">
        <v>100000000</v>
      </c>
      <c r="K546" s="155" t="s">
        <v>221</v>
      </c>
      <c r="L546" s="140">
        <v>2932611</v>
      </c>
      <c r="M546" s="155" t="s">
        <v>79</v>
      </c>
      <c r="N546" s="10" t="s">
        <v>1080</v>
      </c>
      <c r="O546" s="10">
        <v>130293880</v>
      </c>
      <c r="P546" s="140"/>
      <c r="Q546" t="s">
        <v>3586</v>
      </c>
    </row>
    <row r="547" spans="1:17" ht="43.5" hidden="1" x14ac:dyDescent="0.35">
      <c r="A547" s="155" t="e">
        <f t="shared" si="7"/>
        <v>#REF!</v>
      </c>
      <c r="B547" s="140" t="s">
        <v>18</v>
      </c>
      <c r="C547" s="140" t="s">
        <v>37</v>
      </c>
      <c r="D547" s="140" t="s">
        <v>476</v>
      </c>
      <c r="E547" s="140" t="s">
        <v>1697</v>
      </c>
      <c r="F547" s="140" t="s">
        <v>1698</v>
      </c>
      <c r="G547" s="140" t="s">
        <v>535</v>
      </c>
      <c r="H547" s="140" t="s">
        <v>1699</v>
      </c>
      <c r="I547" s="140" t="s">
        <v>1700</v>
      </c>
      <c r="J547" s="140">
        <v>100000000</v>
      </c>
      <c r="K547" s="155" t="s">
        <v>221</v>
      </c>
      <c r="L547" s="140">
        <v>2932780</v>
      </c>
      <c r="M547" s="155" t="s">
        <v>79</v>
      </c>
      <c r="N547" s="10" t="s">
        <v>1701</v>
      </c>
      <c r="O547" s="10">
        <v>278388120</v>
      </c>
      <c r="P547" s="140" t="s">
        <v>1702</v>
      </c>
      <c r="Q547" t="s">
        <v>3586</v>
      </c>
    </row>
    <row r="548" spans="1:17" ht="43.5" hidden="1" x14ac:dyDescent="0.35">
      <c r="A548" s="155" t="e">
        <f t="shared" si="7"/>
        <v>#REF!</v>
      </c>
      <c r="B548" s="140" t="s">
        <v>18</v>
      </c>
      <c r="C548" s="140" t="s">
        <v>37</v>
      </c>
      <c r="D548" s="140" t="s">
        <v>1515</v>
      </c>
      <c r="E548" s="140" t="s">
        <v>992</v>
      </c>
      <c r="F548" s="140" t="s">
        <v>1703</v>
      </c>
      <c r="G548" s="144" t="s">
        <v>271</v>
      </c>
      <c r="H548" s="144" t="s">
        <v>1704</v>
      </c>
      <c r="I548" s="144" t="s">
        <v>1705</v>
      </c>
      <c r="J548" s="270">
        <v>100000000</v>
      </c>
      <c r="K548" s="155" t="s">
        <v>221</v>
      </c>
      <c r="L548" s="140">
        <v>2935129</v>
      </c>
      <c r="M548" s="32" t="s">
        <v>97</v>
      </c>
      <c r="N548" s="140">
        <v>400</v>
      </c>
      <c r="O548" s="10">
        <v>101600000</v>
      </c>
      <c r="P548" s="271"/>
      <c r="Q548" t="s">
        <v>3564</v>
      </c>
    </row>
    <row r="549" spans="1:17" ht="43.5" hidden="1" x14ac:dyDescent="0.35">
      <c r="A549" s="155" t="e">
        <f t="shared" si="7"/>
        <v>#REF!</v>
      </c>
      <c r="B549" s="140" t="s">
        <v>18</v>
      </c>
      <c r="C549" s="140" t="s">
        <v>37</v>
      </c>
      <c r="D549" s="140" t="s">
        <v>1515</v>
      </c>
      <c r="E549" s="140" t="s">
        <v>1706</v>
      </c>
      <c r="F549" s="140" t="s">
        <v>1707</v>
      </c>
      <c r="G549" s="144" t="s">
        <v>271</v>
      </c>
      <c r="H549" s="144" t="s">
        <v>1708</v>
      </c>
      <c r="I549" s="144"/>
      <c r="J549" s="270"/>
      <c r="K549" s="155" t="s">
        <v>221</v>
      </c>
      <c r="L549" s="140" t="s">
        <v>273</v>
      </c>
      <c r="M549" s="32" t="s">
        <v>97</v>
      </c>
      <c r="N549" s="140">
        <v>260</v>
      </c>
      <c r="O549" s="10">
        <v>102960000</v>
      </c>
      <c r="P549" s="140" t="s">
        <v>1709</v>
      </c>
      <c r="Q549" t="s">
        <v>3564</v>
      </c>
    </row>
    <row r="550" spans="1:17" ht="43.5" hidden="1" x14ac:dyDescent="0.35">
      <c r="A550" s="155" t="e">
        <f t="shared" si="7"/>
        <v>#REF!</v>
      </c>
      <c r="B550" s="140" t="s">
        <v>18</v>
      </c>
      <c r="C550" s="140" t="s">
        <v>37</v>
      </c>
      <c r="D550" s="140" t="s">
        <v>1515</v>
      </c>
      <c r="E550" s="140" t="s">
        <v>1710</v>
      </c>
      <c r="F550" s="140" t="s">
        <v>1711</v>
      </c>
      <c r="G550" s="144" t="s">
        <v>271</v>
      </c>
      <c r="H550" s="144" t="s">
        <v>1712</v>
      </c>
      <c r="I550" s="144"/>
      <c r="J550" s="270"/>
      <c r="K550" s="155" t="s">
        <v>221</v>
      </c>
      <c r="L550" s="140" t="s">
        <v>273</v>
      </c>
      <c r="M550" s="32" t="s">
        <v>97</v>
      </c>
      <c r="N550" s="140">
        <f>25*1.5</f>
        <v>37.5</v>
      </c>
      <c r="O550" s="10">
        <v>102960000</v>
      </c>
      <c r="P550" s="140" t="s">
        <v>1713</v>
      </c>
      <c r="Q550" t="s">
        <v>3564</v>
      </c>
    </row>
    <row r="551" spans="1:17" ht="43.5" hidden="1" x14ac:dyDescent="0.35">
      <c r="A551" s="155" t="e">
        <f t="shared" si="7"/>
        <v>#REF!</v>
      </c>
      <c r="B551" s="140" t="s">
        <v>18</v>
      </c>
      <c r="C551" s="140" t="s">
        <v>37</v>
      </c>
      <c r="D551" s="140" t="s">
        <v>1515</v>
      </c>
      <c r="E551" s="140" t="s">
        <v>1714</v>
      </c>
      <c r="F551" s="140" t="s">
        <v>1715</v>
      </c>
      <c r="G551" s="144" t="s">
        <v>271</v>
      </c>
      <c r="H551" s="144" t="s">
        <v>663</v>
      </c>
      <c r="I551" s="144" t="s">
        <v>1716</v>
      </c>
      <c r="J551" s="270">
        <v>50000000</v>
      </c>
      <c r="K551" s="155" t="s">
        <v>221</v>
      </c>
      <c r="L551" s="140">
        <v>2934745</v>
      </c>
      <c r="M551" s="32" t="s">
        <v>97</v>
      </c>
      <c r="N551" s="272">
        <v>85</v>
      </c>
      <c r="O551" s="10">
        <v>59670000</v>
      </c>
      <c r="P551" s="140" t="s">
        <v>1717</v>
      </c>
      <c r="Q551" t="s">
        <v>3564</v>
      </c>
    </row>
    <row r="552" spans="1:17" ht="43.5" hidden="1" x14ac:dyDescent="0.35">
      <c r="A552" s="155" t="e">
        <f t="shared" si="7"/>
        <v>#REF!</v>
      </c>
      <c r="B552" s="140" t="s">
        <v>18</v>
      </c>
      <c r="C552" s="140" t="s">
        <v>37</v>
      </c>
      <c r="D552" s="140" t="s">
        <v>1515</v>
      </c>
      <c r="E552" s="140" t="s">
        <v>1718</v>
      </c>
      <c r="F552" s="140" t="s">
        <v>1719</v>
      </c>
      <c r="G552" s="144" t="s">
        <v>271</v>
      </c>
      <c r="H552" s="144" t="s">
        <v>1720</v>
      </c>
      <c r="I552" s="144"/>
      <c r="J552" s="270"/>
      <c r="K552" s="155" t="s">
        <v>221</v>
      </c>
      <c r="L552" s="140" t="s">
        <v>273</v>
      </c>
      <c r="M552" s="32" t="s">
        <v>97</v>
      </c>
      <c r="N552" s="140">
        <v>400</v>
      </c>
      <c r="O552" s="10">
        <v>131147539.99999999</v>
      </c>
      <c r="P552" s="140" t="s">
        <v>1721</v>
      </c>
      <c r="Q552" t="s">
        <v>3564</v>
      </c>
    </row>
    <row r="553" spans="1:17" ht="43.5" hidden="1" x14ac:dyDescent="0.35">
      <c r="A553" s="155" t="e">
        <f t="shared" si="7"/>
        <v>#REF!</v>
      </c>
      <c r="B553" s="140" t="s">
        <v>18</v>
      </c>
      <c r="C553" s="140" t="s">
        <v>37</v>
      </c>
      <c r="D553" s="140" t="s">
        <v>1570</v>
      </c>
      <c r="E553" s="140" t="s">
        <v>1221</v>
      </c>
      <c r="F553" s="140" t="s">
        <v>1722</v>
      </c>
      <c r="G553" s="144" t="s">
        <v>271</v>
      </c>
      <c r="H553" s="144" t="s">
        <v>1723</v>
      </c>
      <c r="I553" s="144" t="s">
        <v>1645</v>
      </c>
      <c r="J553" s="270">
        <v>70000000</v>
      </c>
      <c r="K553" s="155" t="s">
        <v>221</v>
      </c>
      <c r="L553" s="140">
        <v>2933058</v>
      </c>
      <c r="M553" s="32" t="s">
        <v>97</v>
      </c>
      <c r="N553" s="140">
        <v>50</v>
      </c>
      <c r="O553" s="10">
        <v>139100000</v>
      </c>
      <c r="P553" s="140" t="s">
        <v>1724</v>
      </c>
      <c r="Q553" t="s">
        <v>3586</v>
      </c>
    </row>
    <row r="554" spans="1:17" ht="43.5" hidden="1" x14ac:dyDescent="0.35">
      <c r="A554" s="155" t="e">
        <f t="shared" si="7"/>
        <v>#REF!</v>
      </c>
      <c r="B554" s="140" t="s">
        <v>18</v>
      </c>
      <c r="C554" s="140" t="s">
        <v>37</v>
      </c>
      <c r="D554" s="140" t="s">
        <v>1570</v>
      </c>
      <c r="E554" s="140" t="s">
        <v>1221</v>
      </c>
      <c r="F554" s="140" t="s">
        <v>1725</v>
      </c>
      <c r="G554" s="144" t="s">
        <v>271</v>
      </c>
      <c r="H554" s="144" t="s">
        <v>1726</v>
      </c>
      <c r="I554" s="144" t="s">
        <v>1727</v>
      </c>
      <c r="J554" s="270">
        <v>100000000</v>
      </c>
      <c r="K554" s="155" t="s">
        <v>221</v>
      </c>
      <c r="L554" s="140">
        <v>2932560</v>
      </c>
      <c r="M554" s="32" t="s">
        <v>97</v>
      </c>
      <c r="N554" s="140">
        <v>50</v>
      </c>
      <c r="O554" s="10">
        <v>139100000</v>
      </c>
      <c r="P554" s="140" t="s">
        <v>1728</v>
      </c>
      <c r="Q554" t="s">
        <v>3586</v>
      </c>
    </row>
    <row r="555" spans="1:17" ht="43.5" hidden="1" x14ac:dyDescent="0.35">
      <c r="A555" s="155" t="e">
        <f t="shared" si="7"/>
        <v>#REF!</v>
      </c>
      <c r="B555" s="140" t="s">
        <v>18</v>
      </c>
      <c r="C555" s="140" t="s">
        <v>37</v>
      </c>
      <c r="D555" s="140" t="s">
        <v>1515</v>
      </c>
      <c r="E555" s="140" t="s">
        <v>1729</v>
      </c>
      <c r="F555" s="140" t="s">
        <v>1053</v>
      </c>
      <c r="G555" s="140" t="s">
        <v>278</v>
      </c>
      <c r="H555" s="140" t="s">
        <v>1054</v>
      </c>
      <c r="I555" s="140" t="s">
        <v>1730</v>
      </c>
      <c r="J555" s="270">
        <v>40000000</v>
      </c>
      <c r="K555" s="155" t="s">
        <v>221</v>
      </c>
      <c r="L555" s="140">
        <v>2969493</v>
      </c>
      <c r="M555" s="32" t="s">
        <v>97</v>
      </c>
      <c r="N555" s="140">
        <v>225</v>
      </c>
      <c r="O555" s="10">
        <v>89100000</v>
      </c>
      <c r="P555" s="140"/>
      <c r="Q555" t="s">
        <v>3564</v>
      </c>
    </row>
    <row r="556" spans="1:17" ht="43.5" hidden="1" x14ac:dyDescent="0.35">
      <c r="A556" s="155" t="e">
        <f t="shared" si="7"/>
        <v>#REF!</v>
      </c>
      <c r="B556" s="140" t="s">
        <v>18</v>
      </c>
      <c r="C556" s="140" t="s">
        <v>37</v>
      </c>
      <c r="D556" s="140" t="s">
        <v>1515</v>
      </c>
      <c r="E556" s="140" t="s">
        <v>1731</v>
      </c>
      <c r="F556" s="140" t="s">
        <v>1732</v>
      </c>
      <c r="G556" s="140" t="s">
        <v>278</v>
      </c>
      <c r="H556" s="140" t="s">
        <v>1733</v>
      </c>
      <c r="I556" s="140" t="s">
        <v>1187</v>
      </c>
      <c r="J556" s="270">
        <v>10000000</v>
      </c>
      <c r="K556" s="155" t="s">
        <v>221</v>
      </c>
      <c r="L556" s="140">
        <v>2969599</v>
      </c>
      <c r="M556" s="32" t="s">
        <v>97</v>
      </c>
      <c r="N556" s="140">
        <v>385.32</v>
      </c>
      <c r="O556" s="10">
        <v>60000000</v>
      </c>
      <c r="P556" s="271"/>
      <c r="Q556" t="s">
        <v>3564</v>
      </c>
    </row>
    <row r="557" spans="1:17" ht="43.5" hidden="1" x14ac:dyDescent="0.35">
      <c r="A557" s="155" t="e">
        <f>#REF!+1</f>
        <v>#REF!</v>
      </c>
      <c r="B557" s="140" t="s">
        <v>18</v>
      </c>
      <c r="C557" s="140" t="s">
        <v>37</v>
      </c>
      <c r="D557" s="140" t="s">
        <v>1515</v>
      </c>
      <c r="E557" s="140" t="s">
        <v>1734</v>
      </c>
      <c r="F557" s="140" t="s">
        <v>1732</v>
      </c>
      <c r="G557" s="140" t="s">
        <v>278</v>
      </c>
      <c r="H557" s="140" t="s">
        <v>1733</v>
      </c>
      <c r="I557" s="140" t="s">
        <v>1735</v>
      </c>
      <c r="J557" s="270">
        <v>35000000</v>
      </c>
      <c r="K557" s="155" t="s">
        <v>221</v>
      </c>
      <c r="L557" s="140">
        <v>2970033</v>
      </c>
      <c r="M557" s="32" t="s">
        <v>97</v>
      </c>
      <c r="N557" s="140">
        <v>20</v>
      </c>
      <c r="O557" s="10">
        <v>198020000</v>
      </c>
      <c r="P557" s="140" t="s">
        <v>1736</v>
      </c>
      <c r="Q557" t="s">
        <v>3564</v>
      </c>
    </row>
    <row r="558" spans="1:17" ht="43.5" hidden="1" x14ac:dyDescent="0.35">
      <c r="A558" s="155" t="e">
        <f t="shared" si="7"/>
        <v>#REF!</v>
      </c>
      <c r="B558" s="140" t="s">
        <v>18</v>
      </c>
      <c r="C558" s="140" t="s">
        <v>37</v>
      </c>
      <c r="D558" s="140" t="s">
        <v>1515</v>
      </c>
      <c r="E558" s="140" t="s">
        <v>1737</v>
      </c>
      <c r="F558" s="140" t="s">
        <v>1738</v>
      </c>
      <c r="G558" s="140" t="s">
        <v>278</v>
      </c>
      <c r="H558" s="140" t="s">
        <v>1739</v>
      </c>
      <c r="I558" s="140" t="s">
        <v>1065</v>
      </c>
      <c r="J558" s="270">
        <v>60000000</v>
      </c>
      <c r="K558" s="155" t="s">
        <v>221</v>
      </c>
      <c r="L558" s="140">
        <v>2970303</v>
      </c>
      <c r="M558" s="32" t="s">
        <v>97</v>
      </c>
      <c r="N558" s="140">
        <v>300</v>
      </c>
      <c r="O558" s="10">
        <v>98360655</v>
      </c>
      <c r="P558" s="140"/>
      <c r="Q558" t="s">
        <v>3564</v>
      </c>
    </row>
    <row r="559" spans="1:17" ht="43.5" hidden="1" x14ac:dyDescent="0.35">
      <c r="A559" s="155" t="e">
        <f>#REF!+1</f>
        <v>#REF!</v>
      </c>
      <c r="B559" s="140" t="s">
        <v>18</v>
      </c>
      <c r="C559" s="140" t="s">
        <v>37</v>
      </c>
      <c r="D559" s="140" t="s">
        <v>1515</v>
      </c>
      <c r="E559" s="140" t="s">
        <v>1740</v>
      </c>
      <c r="F559" s="140" t="s">
        <v>282</v>
      </c>
      <c r="G559" s="140" t="s">
        <v>278</v>
      </c>
      <c r="H559" s="140" t="s">
        <v>1741</v>
      </c>
      <c r="I559" s="140" t="s">
        <v>1742</v>
      </c>
      <c r="J559" s="270">
        <v>50000000</v>
      </c>
      <c r="K559" s="155" t="s">
        <v>221</v>
      </c>
      <c r="L559" s="140">
        <v>2971078</v>
      </c>
      <c r="M559" s="32" t="s">
        <v>97</v>
      </c>
      <c r="N559" s="140">
        <v>75</v>
      </c>
      <c r="O559" s="10">
        <v>75000000</v>
      </c>
      <c r="P559" s="140" t="s">
        <v>1743</v>
      </c>
      <c r="Q559" t="s">
        <v>3564</v>
      </c>
    </row>
    <row r="560" spans="1:17" ht="43.5" hidden="1" x14ac:dyDescent="0.35">
      <c r="A560" s="155" t="e">
        <f t="shared" si="7"/>
        <v>#REF!</v>
      </c>
      <c r="B560" s="140" t="s">
        <v>18</v>
      </c>
      <c r="C560" s="140" t="s">
        <v>37</v>
      </c>
      <c r="D560" s="140" t="s">
        <v>1515</v>
      </c>
      <c r="E560" s="140" t="s">
        <v>1744</v>
      </c>
      <c r="F560" s="140" t="s">
        <v>1745</v>
      </c>
      <c r="G560" s="140" t="s">
        <v>1063</v>
      </c>
      <c r="H560" s="140" t="s">
        <v>1746</v>
      </c>
      <c r="I560" s="140" t="s">
        <v>1398</v>
      </c>
      <c r="J560" s="270">
        <v>100000000</v>
      </c>
      <c r="K560" s="155" t="s">
        <v>221</v>
      </c>
      <c r="L560" s="140">
        <v>2908292</v>
      </c>
      <c r="M560" s="32" t="s">
        <v>97</v>
      </c>
      <c r="N560" s="273">
        <v>0.58563267361812654</v>
      </c>
      <c r="O560" s="10">
        <v>100000000</v>
      </c>
      <c r="P560" s="274" t="s">
        <v>1747</v>
      </c>
      <c r="Q560" t="s">
        <v>3564</v>
      </c>
    </row>
    <row r="561" spans="1:17" ht="43.5" hidden="1" x14ac:dyDescent="0.35">
      <c r="A561" s="155" t="e">
        <f t="shared" si="7"/>
        <v>#REF!</v>
      </c>
      <c r="B561" s="140" t="s">
        <v>18</v>
      </c>
      <c r="C561" s="140" t="s">
        <v>37</v>
      </c>
      <c r="D561" s="140" t="s">
        <v>1515</v>
      </c>
      <c r="E561" s="140" t="s">
        <v>1748</v>
      </c>
      <c r="F561" s="140" t="s">
        <v>1749</v>
      </c>
      <c r="G561" s="140" t="s">
        <v>1063</v>
      </c>
      <c r="H561" s="140" t="s">
        <v>1750</v>
      </c>
      <c r="I561" s="140" t="s">
        <v>1219</v>
      </c>
      <c r="J561" s="270">
        <v>100000000</v>
      </c>
      <c r="K561" s="155" t="s">
        <v>221</v>
      </c>
      <c r="L561" s="140">
        <v>2907947</v>
      </c>
      <c r="M561" s="32" t="s">
        <v>97</v>
      </c>
      <c r="N561" s="272">
        <v>305.00000228750002</v>
      </c>
      <c r="O561" s="10">
        <v>100000000</v>
      </c>
      <c r="P561" s="271"/>
      <c r="Q561" t="s">
        <v>3564</v>
      </c>
    </row>
    <row r="562" spans="1:17" ht="43.5" hidden="1" x14ac:dyDescent="0.35">
      <c r="A562" s="155" t="e">
        <f t="shared" si="7"/>
        <v>#REF!</v>
      </c>
      <c r="B562" s="140" t="s">
        <v>18</v>
      </c>
      <c r="C562" s="140" t="s">
        <v>37</v>
      </c>
      <c r="D562" s="140" t="s">
        <v>1515</v>
      </c>
      <c r="E562" s="140" t="s">
        <v>1718</v>
      </c>
      <c r="F562" s="140" t="s">
        <v>1751</v>
      </c>
      <c r="G562" s="140" t="s">
        <v>1063</v>
      </c>
      <c r="H562" s="140" t="s">
        <v>1752</v>
      </c>
      <c r="I562" s="140"/>
      <c r="J562" s="270"/>
      <c r="K562" s="155" t="s">
        <v>221</v>
      </c>
      <c r="L562" s="140" t="s">
        <v>273</v>
      </c>
      <c r="M562" s="32" t="s">
        <v>97</v>
      </c>
      <c r="N562" s="272">
        <v>333.66700033366698</v>
      </c>
      <c r="O562" s="10">
        <v>100000000</v>
      </c>
      <c r="P562" s="271" t="s">
        <v>275</v>
      </c>
      <c r="Q562" t="s">
        <v>3564</v>
      </c>
    </row>
    <row r="563" spans="1:17" ht="43.5" hidden="1" x14ac:dyDescent="0.35">
      <c r="A563" s="155" t="e">
        <f>#REF!+1</f>
        <v>#REF!</v>
      </c>
      <c r="B563" s="140" t="s">
        <v>18</v>
      </c>
      <c r="C563" s="140" t="s">
        <v>37</v>
      </c>
      <c r="D563" s="140" t="s">
        <v>1515</v>
      </c>
      <c r="E563" s="140" t="s">
        <v>1744</v>
      </c>
      <c r="F563" s="140" t="s">
        <v>1753</v>
      </c>
      <c r="G563" s="140" t="s">
        <v>1063</v>
      </c>
      <c r="H563" s="140" t="s">
        <v>1754</v>
      </c>
      <c r="I563" s="140" t="s">
        <v>1398</v>
      </c>
      <c r="J563" s="270">
        <v>100000000</v>
      </c>
      <c r="K563" s="155" t="s">
        <v>221</v>
      </c>
      <c r="L563" s="140" t="s">
        <v>273</v>
      </c>
      <c r="M563" s="32" t="s">
        <v>97</v>
      </c>
      <c r="N563" s="140" t="s">
        <v>61</v>
      </c>
      <c r="O563" s="10">
        <v>100000000</v>
      </c>
      <c r="P563" s="271" t="s">
        <v>275</v>
      </c>
      <c r="Q563" t="s">
        <v>3564</v>
      </c>
    </row>
    <row r="564" spans="1:17" ht="43.5" hidden="1" x14ac:dyDescent="0.35">
      <c r="A564" s="155" t="e">
        <f t="shared" ref="A564:A627" si="8">A563+1</f>
        <v>#REF!</v>
      </c>
      <c r="B564" s="140" t="s">
        <v>18</v>
      </c>
      <c r="C564" s="140" t="s">
        <v>37</v>
      </c>
      <c r="D564" s="140" t="s">
        <v>1515</v>
      </c>
      <c r="E564" s="140" t="s">
        <v>1744</v>
      </c>
      <c r="F564" s="140" t="s">
        <v>1755</v>
      </c>
      <c r="G564" s="140" t="s">
        <v>1063</v>
      </c>
      <c r="H564" s="140" t="s">
        <v>1756</v>
      </c>
      <c r="I564" s="140" t="s">
        <v>1398</v>
      </c>
      <c r="J564" s="270">
        <v>100000000</v>
      </c>
      <c r="K564" s="155" t="s">
        <v>221</v>
      </c>
      <c r="L564" s="140">
        <v>2887772</v>
      </c>
      <c r="M564" s="32" t="s">
        <v>97</v>
      </c>
      <c r="N564" s="140" t="s">
        <v>35</v>
      </c>
      <c r="O564" s="10">
        <v>100000000</v>
      </c>
      <c r="P564" s="140" t="s">
        <v>1747</v>
      </c>
      <c r="Q564" t="s">
        <v>3564</v>
      </c>
    </row>
    <row r="565" spans="1:17" ht="43.5" hidden="1" x14ac:dyDescent="0.35">
      <c r="A565" s="155" t="e">
        <f t="shared" si="8"/>
        <v>#REF!</v>
      </c>
      <c r="B565" s="140" t="s">
        <v>18</v>
      </c>
      <c r="C565" s="140" t="s">
        <v>37</v>
      </c>
      <c r="D565" s="140" t="s">
        <v>1515</v>
      </c>
      <c r="E565" s="140" t="s">
        <v>1744</v>
      </c>
      <c r="F565" s="140" t="s">
        <v>1757</v>
      </c>
      <c r="G565" s="140" t="s">
        <v>1063</v>
      </c>
      <c r="H565" s="140" t="s">
        <v>1758</v>
      </c>
      <c r="I565" s="140" t="s">
        <v>1398</v>
      </c>
      <c r="J565" s="270">
        <v>100000000</v>
      </c>
      <c r="K565" s="155" t="s">
        <v>221</v>
      </c>
      <c r="L565" s="140">
        <v>2908292</v>
      </c>
      <c r="M565" s="32" t="s">
        <v>97</v>
      </c>
      <c r="N565" s="140" t="s">
        <v>35</v>
      </c>
      <c r="O565" s="10">
        <v>100000000</v>
      </c>
      <c r="P565" s="274" t="s">
        <v>1747</v>
      </c>
      <c r="Q565" t="s">
        <v>3564</v>
      </c>
    </row>
    <row r="566" spans="1:17" ht="43.5" hidden="1" x14ac:dyDescent="0.35">
      <c r="A566" s="155" t="e">
        <f t="shared" si="8"/>
        <v>#REF!</v>
      </c>
      <c r="B566" s="140" t="s">
        <v>18</v>
      </c>
      <c r="C566" s="140" t="s">
        <v>37</v>
      </c>
      <c r="D566" s="140" t="s">
        <v>1570</v>
      </c>
      <c r="E566" s="140" t="s">
        <v>1744</v>
      </c>
      <c r="F566" s="140" t="s">
        <v>1759</v>
      </c>
      <c r="G566" s="140" t="s">
        <v>1063</v>
      </c>
      <c r="H566" s="140" t="s">
        <v>1760</v>
      </c>
      <c r="I566" s="140" t="s">
        <v>1233</v>
      </c>
      <c r="J566" s="270">
        <v>100000000</v>
      </c>
      <c r="K566" s="155" t="s">
        <v>221</v>
      </c>
      <c r="L566" s="140">
        <v>2908037</v>
      </c>
      <c r="M566" s="32" t="s">
        <v>97</v>
      </c>
      <c r="N566" s="140" t="s">
        <v>1761</v>
      </c>
      <c r="O566" s="10">
        <v>100000000</v>
      </c>
      <c r="P566" s="271"/>
      <c r="Q566" t="s">
        <v>3586</v>
      </c>
    </row>
    <row r="567" spans="1:17" ht="43.5" hidden="1" x14ac:dyDescent="0.35">
      <c r="A567" s="155" t="e">
        <f t="shared" si="8"/>
        <v>#REF!</v>
      </c>
      <c r="B567" s="140" t="s">
        <v>18</v>
      </c>
      <c r="C567" s="140" t="s">
        <v>37</v>
      </c>
      <c r="D567" s="140" t="s">
        <v>1515</v>
      </c>
      <c r="E567" s="140" t="s">
        <v>1762</v>
      </c>
      <c r="F567" s="140" t="s">
        <v>1763</v>
      </c>
      <c r="G567" s="144" t="s">
        <v>1074</v>
      </c>
      <c r="H567" s="144" t="s">
        <v>1764</v>
      </c>
      <c r="I567" s="144" t="s">
        <v>561</v>
      </c>
      <c r="J567" s="270">
        <v>62439000</v>
      </c>
      <c r="K567" s="155" t="s">
        <v>221</v>
      </c>
      <c r="L567" s="140">
        <v>2958704</v>
      </c>
      <c r="M567" s="32" t="s">
        <v>97</v>
      </c>
      <c r="N567" s="144">
        <v>120</v>
      </c>
      <c r="O567" s="10">
        <v>110240000</v>
      </c>
      <c r="P567" s="271" t="s">
        <v>1765</v>
      </c>
      <c r="Q567" t="s">
        <v>3564</v>
      </c>
    </row>
    <row r="568" spans="1:17" ht="43.5" hidden="1" x14ac:dyDescent="0.35">
      <c r="A568" s="155" t="e">
        <f t="shared" si="8"/>
        <v>#REF!</v>
      </c>
      <c r="B568" s="140" t="s">
        <v>18</v>
      </c>
      <c r="C568" s="140" t="s">
        <v>37</v>
      </c>
      <c r="D568" s="140" t="s">
        <v>1515</v>
      </c>
      <c r="E568" s="140" t="s">
        <v>1766</v>
      </c>
      <c r="F568" s="140" t="s">
        <v>1767</v>
      </c>
      <c r="G568" s="144" t="s">
        <v>1074</v>
      </c>
      <c r="H568" s="144" t="s">
        <v>1768</v>
      </c>
      <c r="I568" s="144" t="s">
        <v>1769</v>
      </c>
      <c r="J568" s="270">
        <v>20073000</v>
      </c>
      <c r="K568" s="155" t="s">
        <v>221</v>
      </c>
      <c r="L568" s="140">
        <v>2959326</v>
      </c>
      <c r="M568" s="32" t="s">
        <v>97</v>
      </c>
      <c r="N568" s="144">
        <v>200</v>
      </c>
      <c r="O568" s="10">
        <v>65574000</v>
      </c>
      <c r="P568" s="140" t="s">
        <v>1770</v>
      </c>
      <c r="Q568" t="s">
        <v>3564</v>
      </c>
    </row>
    <row r="569" spans="1:17" ht="43.5" hidden="1" x14ac:dyDescent="0.35">
      <c r="A569" s="155" t="e">
        <f t="shared" si="8"/>
        <v>#REF!</v>
      </c>
      <c r="B569" s="140" t="s">
        <v>18</v>
      </c>
      <c r="C569" s="140" t="s">
        <v>37</v>
      </c>
      <c r="D569" s="140" t="s">
        <v>1515</v>
      </c>
      <c r="E569" s="140" t="s">
        <v>1762</v>
      </c>
      <c r="F569" s="140" t="s">
        <v>1771</v>
      </c>
      <c r="G569" s="144" t="s">
        <v>1074</v>
      </c>
      <c r="H569" s="144" t="s">
        <v>1772</v>
      </c>
      <c r="I569" s="144" t="s">
        <v>561</v>
      </c>
      <c r="J569" s="270">
        <v>43464000</v>
      </c>
      <c r="K569" s="155" t="s">
        <v>221</v>
      </c>
      <c r="L569" s="140">
        <v>2967032</v>
      </c>
      <c r="M569" s="32" t="s">
        <v>97</v>
      </c>
      <c r="N569" s="144">
        <v>120</v>
      </c>
      <c r="O569" s="10">
        <v>110240000</v>
      </c>
      <c r="P569" s="140" t="s">
        <v>1765</v>
      </c>
      <c r="Q569" t="s">
        <v>3564</v>
      </c>
    </row>
    <row r="570" spans="1:17" ht="43.5" hidden="1" x14ac:dyDescent="0.35">
      <c r="A570" s="155" t="e">
        <f t="shared" si="8"/>
        <v>#REF!</v>
      </c>
      <c r="B570" s="140" t="s">
        <v>18</v>
      </c>
      <c r="C570" s="140" t="s">
        <v>37</v>
      </c>
      <c r="D570" s="140" t="s">
        <v>1515</v>
      </c>
      <c r="E570" s="140" t="s">
        <v>1762</v>
      </c>
      <c r="F570" s="140" t="s">
        <v>1773</v>
      </c>
      <c r="G570" s="144" t="s">
        <v>1074</v>
      </c>
      <c r="H570" s="144" t="s">
        <v>1774</v>
      </c>
      <c r="I570" s="144" t="s">
        <v>1484</v>
      </c>
      <c r="J570" s="270">
        <v>65121000</v>
      </c>
      <c r="K570" s="155" t="s">
        <v>221</v>
      </c>
      <c r="L570" s="140">
        <v>2966933</v>
      </c>
      <c r="M570" s="32" t="s">
        <v>97</v>
      </c>
      <c r="N570" s="144">
        <v>40</v>
      </c>
      <c r="O570" s="10">
        <v>222560000</v>
      </c>
      <c r="P570" s="140" t="s">
        <v>1775</v>
      </c>
      <c r="Q570" t="s">
        <v>3564</v>
      </c>
    </row>
    <row r="571" spans="1:17" ht="43.5" hidden="1" x14ac:dyDescent="0.35">
      <c r="A571" s="155" t="e">
        <f t="shared" si="8"/>
        <v>#REF!</v>
      </c>
      <c r="B571" s="140" t="s">
        <v>18</v>
      </c>
      <c r="C571" s="140" t="s">
        <v>37</v>
      </c>
      <c r="D571" s="140" t="s">
        <v>1515</v>
      </c>
      <c r="E571" s="140" t="s">
        <v>1776</v>
      </c>
      <c r="F571" s="140" t="s">
        <v>1777</v>
      </c>
      <c r="G571" s="144" t="s">
        <v>1074</v>
      </c>
      <c r="H571" s="144" t="s">
        <v>1778</v>
      </c>
      <c r="I571" s="144" t="s">
        <v>1769</v>
      </c>
      <c r="J571" s="270">
        <v>20687000</v>
      </c>
      <c r="K571" s="155" t="s">
        <v>221</v>
      </c>
      <c r="L571" s="140">
        <v>2958899</v>
      </c>
      <c r="M571" s="32" t="s">
        <v>97</v>
      </c>
      <c r="N571" s="275">
        <v>333.66700033366698</v>
      </c>
      <c r="O571" s="10">
        <v>73493333</v>
      </c>
      <c r="P571" s="144" t="s">
        <v>1779</v>
      </c>
      <c r="Q571" t="s">
        <v>3564</v>
      </c>
    </row>
    <row r="572" spans="1:17" ht="43.5" hidden="1" x14ac:dyDescent="0.35">
      <c r="A572" s="155" t="e">
        <f t="shared" si="8"/>
        <v>#REF!</v>
      </c>
      <c r="B572" s="140" t="s">
        <v>18</v>
      </c>
      <c r="C572" s="140" t="s">
        <v>37</v>
      </c>
      <c r="D572" s="140" t="s">
        <v>1515</v>
      </c>
      <c r="E572" s="140" t="s">
        <v>1762</v>
      </c>
      <c r="F572" s="140" t="s">
        <v>1780</v>
      </c>
      <c r="G572" s="144" t="s">
        <v>1074</v>
      </c>
      <c r="H572" s="144" t="s">
        <v>1781</v>
      </c>
      <c r="I572" s="144" t="s">
        <v>1782</v>
      </c>
      <c r="J572" s="270">
        <v>67422000</v>
      </c>
      <c r="K572" s="155" t="s">
        <v>221</v>
      </c>
      <c r="L572" s="140">
        <v>2958814</v>
      </c>
      <c r="M572" s="32" t="s">
        <v>97</v>
      </c>
      <c r="N572" s="275">
        <v>689.65517241379314</v>
      </c>
      <c r="O572" s="10">
        <v>100000000</v>
      </c>
      <c r="P572" s="140" t="s">
        <v>1783</v>
      </c>
      <c r="Q572" t="s">
        <v>3564</v>
      </c>
    </row>
    <row r="573" spans="1:17" ht="43.5" hidden="1" x14ac:dyDescent="0.35">
      <c r="A573" s="155" t="e">
        <f t="shared" si="8"/>
        <v>#REF!</v>
      </c>
      <c r="B573" s="140" t="s">
        <v>18</v>
      </c>
      <c r="C573" s="140" t="s">
        <v>37</v>
      </c>
      <c r="D573" s="140" t="s">
        <v>1515</v>
      </c>
      <c r="E573" s="140" t="s">
        <v>1784</v>
      </c>
      <c r="F573" s="140" t="s">
        <v>1785</v>
      </c>
      <c r="G573" s="144" t="s">
        <v>1074</v>
      </c>
      <c r="H573" s="144" t="s">
        <v>1786</v>
      </c>
      <c r="I573" s="144"/>
      <c r="J573" s="270"/>
      <c r="K573" s="155" t="s">
        <v>221</v>
      </c>
      <c r="L573" s="140" t="s">
        <v>841</v>
      </c>
      <c r="M573" s="32" t="s">
        <v>97</v>
      </c>
      <c r="N573" s="144">
        <v>300</v>
      </c>
      <c r="O573" s="10">
        <v>100000000</v>
      </c>
      <c r="P573" s="140" t="s">
        <v>1787</v>
      </c>
      <c r="Q573" t="s">
        <v>3564</v>
      </c>
    </row>
    <row r="574" spans="1:17" ht="43.5" hidden="1" x14ac:dyDescent="0.35">
      <c r="A574" s="155" t="e">
        <f t="shared" si="8"/>
        <v>#REF!</v>
      </c>
      <c r="B574" s="140" t="s">
        <v>18</v>
      </c>
      <c r="C574" s="140" t="s">
        <v>37</v>
      </c>
      <c r="D574" s="140" t="s">
        <v>1515</v>
      </c>
      <c r="E574" s="140" t="s">
        <v>1762</v>
      </c>
      <c r="F574" s="140" t="s">
        <v>1788</v>
      </c>
      <c r="G574" s="144" t="s">
        <v>1074</v>
      </c>
      <c r="H574" s="144" t="s">
        <v>1789</v>
      </c>
      <c r="I574" s="144" t="s">
        <v>561</v>
      </c>
      <c r="J574" s="270">
        <v>52952000</v>
      </c>
      <c r="K574" s="155" t="s">
        <v>221</v>
      </c>
      <c r="L574" s="140">
        <v>2959141</v>
      </c>
      <c r="M574" s="32" t="s">
        <v>97</v>
      </c>
      <c r="N574" s="275">
        <v>333.66700033366698</v>
      </c>
      <c r="O574" s="10">
        <v>110240000</v>
      </c>
      <c r="P574" s="140" t="s">
        <v>1765</v>
      </c>
      <c r="Q574" t="s">
        <v>3564</v>
      </c>
    </row>
    <row r="575" spans="1:17" ht="43.5" hidden="1" x14ac:dyDescent="0.35">
      <c r="A575" s="155" t="e">
        <f>#REF!+1</f>
        <v>#REF!</v>
      </c>
      <c r="B575" s="140" t="s">
        <v>18</v>
      </c>
      <c r="C575" s="140" t="s">
        <v>37</v>
      </c>
      <c r="D575" s="140" t="s">
        <v>1515</v>
      </c>
      <c r="E575" s="140" t="s">
        <v>1790</v>
      </c>
      <c r="F575" s="140" t="s">
        <v>1012</v>
      </c>
      <c r="G575" s="144" t="s">
        <v>496</v>
      </c>
      <c r="H575" s="144" t="s">
        <v>1013</v>
      </c>
      <c r="I575" s="144" t="s">
        <v>561</v>
      </c>
      <c r="J575" s="270">
        <v>50000000</v>
      </c>
      <c r="K575" s="155" t="s">
        <v>221</v>
      </c>
      <c r="L575" s="140">
        <v>2906952</v>
      </c>
      <c r="M575" s="32" t="s">
        <v>97</v>
      </c>
      <c r="N575" s="140">
        <v>150</v>
      </c>
      <c r="O575" s="10">
        <v>49180327.5</v>
      </c>
      <c r="P575" s="140"/>
      <c r="Q575" t="s">
        <v>3564</v>
      </c>
    </row>
    <row r="576" spans="1:17" ht="43.5" hidden="1" x14ac:dyDescent="0.35">
      <c r="A576" s="155" t="e">
        <f t="shared" si="8"/>
        <v>#REF!</v>
      </c>
      <c r="B576" s="140" t="s">
        <v>18</v>
      </c>
      <c r="C576" s="140" t="s">
        <v>37</v>
      </c>
      <c r="D576" s="140" t="s">
        <v>1515</v>
      </c>
      <c r="E576" s="140" t="s">
        <v>992</v>
      </c>
      <c r="F576" s="140" t="s">
        <v>1791</v>
      </c>
      <c r="G576" s="144" t="s">
        <v>1083</v>
      </c>
      <c r="H576" s="144" t="s">
        <v>1792</v>
      </c>
      <c r="I576" s="144" t="s">
        <v>1793</v>
      </c>
      <c r="J576" s="270">
        <v>300000000</v>
      </c>
      <c r="K576" s="155" t="s">
        <v>221</v>
      </c>
      <c r="L576" s="140">
        <v>2792235</v>
      </c>
      <c r="M576" s="32" t="s">
        <v>97</v>
      </c>
      <c r="N576" s="140">
        <v>1500</v>
      </c>
      <c r="O576" s="10">
        <v>381000000</v>
      </c>
      <c r="P576" s="271"/>
      <c r="Q576" t="s">
        <v>3564</v>
      </c>
    </row>
    <row r="577" spans="1:17" ht="43.5" hidden="1" x14ac:dyDescent="0.35">
      <c r="A577" s="155" t="e">
        <f t="shared" si="8"/>
        <v>#REF!</v>
      </c>
      <c r="B577" s="140" t="s">
        <v>18</v>
      </c>
      <c r="C577" s="140" t="s">
        <v>37</v>
      </c>
      <c r="D577" s="140" t="s">
        <v>1515</v>
      </c>
      <c r="E577" s="140" t="s">
        <v>1610</v>
      </c>
      <c r="F577" s="140" t="s">
        <v>1794</v>
      </c>
      <c r="G577" s="140" t="s">
        <v>1083</v>
      </c>
      <c r="H577" s="140" t="s">
        <v>1795</v>
      </c>
      <c r="I577" s="140"/>
      <c r="J577" s="276"/>
      <c r="K577" s="155" t="s">
        <v>221</v>
      </c>
      <c r="L577" s="140" t="s">
        <v>273</v>
      </c>
      <c r="M577" s="32" t="s">
        <v>97</v>
      </c>
      <c r="N577" s="140">
        <v>397.5</v>
      </c>
      <c r="O577" s="10">
        <v>100965000</v>
      </c>
      <c r="P577" s="140" t="s">
        <v>1796</v>
      </c>
      <c r="Q577" t="s">
        <v>3564</v>
      </c>
    </row>
    <row r="578" spans="1:17" ht="43.5" hidden="1" x14ac:dyDescent="0.35">
      <c r="A578" s="155" t="e">
        <f t="shared" si="8"/>
        <v>#REF!</v>
      </c>
      <c r="B578" s="140" t="s">
        <v>18</v>
      </c>
      <c r="C578" s="140" t="s">
        <v>37</v>
      </c>
      <c r="D578" s="140" t="s">
        <v>1515</v>
      </c>
      <c r="E578" s="140" t="s">
        <v>992</v>
      </c>
      <c r="F578" s="140" t="s">
        <v>1797</v>
      </c>
      <c r="G578" s="144" t="s">
        <v>1083</v>
      </c>
      <c r="H578" s="144" t="s">
        <v>1798</v>
      </c>
      <c r="I578" s="144" t="s">
        <v>1799</v>
      </c>
      <c r="J578" s="270">
        <v>125000000</v>
      </c>
      <c r="K578" s="155" t="s">
        <v>221</v>
      </c>
      <c r="L578" s="140">
        <v>2912696</v>
      </c>
      <c r="M578" s="32" t="s">
        <v>97</v>
      </c>
      <c r="N578" s="140">
        <v>1000</v>
      </c>
      <c r="O578" s="10">
        <v>254000000</v>
      </c>
      <c r="P578" s="140"/>
      <c r="Q578" t="s">
        <v>3564</v>
      </c>
    </row>
    <row r="579" spans="1:17" ht="43.5" hidden="1" x14ac:dyDescent="0.35">
      <c r="A579" s="155" t="e">
        <f t="shared" si="8"/>
        <v>#REF!</v>
      </c>
      <c r="B579" s="140" t="s">
        <v>18</v>
      </c>
      <c r="C579" s="140" t="s">
        <v>37</v>
      </c>
      <c r="D579" s="140" t="s">
        <v>1515</v>
      </c>
      <c r="E579" s="140" t="s">
        <v>1784</v>
      </c>
      <c r="F579" s="140" t="s">
        <v>1800</v>
      </c>
      <c r="G579" s="140" t="s">
        <v>1083</v>
      </c>
      <c r="H579" s="140" t="s">
        <v>1801</v>
      </c>
      <c r="I579" s="140"/>
      <c r="J579" s="276"/>
      <c r="K579" s="155" t="s">
        <v>221</v>
      </c>
      <c r="L579" s="140" t="s">
        <v>273</v>
      </c>
      <c r="M579" s="32" t="s">
        <v>97</v>
      </c>
      <c r="N579" s="140">
        <v>165.6</v>
      </c>
      <c r="O579" s="10">
        <v>116251200</v>
      </c>
      <c r="P579" s="140" t="s">
        <v>1802</v>
      </c>
      <c r="Q579" t="s">
        <v>3564</v>
      </c>
    </row>
    <row r="580" spans="1:17" ht="43.5" hidden="1" x14ac:dyDescent="0.35">
      <c r="A580" s="155" t="e">
        <f t="shared" si="8"/>
        <v>#REF!</v>
      </c>
      <c r="B580" s="140" t="s">
        <v>18</v>
      </c>
      <c r="C580" s="140" t="s">
        <v>37</v>
      </c>
      <c r="D580" s="140" t="s">
        <v>1803</v>
      </c>
      <c r="E580" s="140" t="s">
        <v>1804</v>
      </c>
      <c r="F580" s="140" t="s">
        <v>673</v>
      </c>
      <c r="G580" s="140" t="s">
        <v>670</v>
      </c>
      <c r="H580" s="140" t="s">
        <v>674</v>
      </c>
      <c r="I580" s="140" t="s">
        <v>1805</v>
      </c>
      <c r="J580" s="270">
        <v>100000000</v>
      </c>
      <c r="K580" s="155" t="s">
        <v>221</v>
      </c>
      <c r="L580" s="140"/>
      <c r="M580" s="32" t="s">
        <v>97</v>
      </c>
      <c r="N580" s="140"/>
      <c r="O580" s="10">
        <v>150000000</v>
      </c>
      <c r="P580" s="140" t="s">
        <v>275</v>
      </c>
      <c r="Q580" t="s">
        <v>3564</v>
      </c>
    </row>
    <row r="581" spans="1:17" ht="43.5" hidden="1" x14ac:dyDescent="0.35">
      <c r="A581" s="155" t="e">
        <f t="shared" si="8"/>
        <v>#REF!</v>
      </c>
      <c r="B581" s="140" t="s">
        <v>18</v>
      </c>
      <c r="C581" s="140" t="s">
        <v>37</v>
      </c>
      <c r="D581" s="140" t="s">
        <v>1515</v>
      </c>
      <c r="E581" s="140" t="s">
        <v>1806</v>
      </c>
      <c r="F581" s="140" t="s">
        <v>669</v>
      </c>
      <c r="G581" s="144" t="s">
        <v>670</v>
      </c>
      <c r="H581" s="144" t="s">
        <v>671</v>
      </c>
      <c r="I581" s="144" t="s">
        <v>1341</v>
      </c>
      <c r="J581" s="270">
        <v>140000000</v>
      </c>
      <c r="K581" s="155" t="s">
        <v>221</v>
      </c>
      <c r="L581" s="140">
        <v>2917028</v>
      </c>
      <c r="M581" s="32" t="s">
        <v>97</v>
      </c>
      <c r="N581" s="273">
        <v>502.00000000000006</v>
      </c>
      <c r="O581" s="10">
        <v>127508000.00000001</v>
      </c>
      <c r="P581" s="140"/>
      <c r="Q581" t="s">
        <v>3564</v>
      </c>
    </row>
    <row r="582" spans="1:17" ht="43.5" hidden="1" x14ac:dyDescent="0.35">
      <c r="A582" s="155" t="e">
        <f t="shared" si="8"/>
        <v>#REF!</v>
      </c>
      <c r="B582" s="140" t="s">
        <v>18</v>
      </c>
      <c r="C582" s="140" t="s">
        <v>37</v>
      </c>
      <c r="D582" s="140" t="s">
        <v>1515</v>
      </c>
      <c r="E582" s="140" t="s">
        <v>1807</v>
      </c>
      <c r="F582" s="140" t="s">
        <v>673</v>
      </c>
      <c r="G582" s="144" t="s">
        <v>670</v>
      </c>
      <c r="H582" s="144" t="s">
        <v>674</v>
      </c>
      <c r="I582" s="144" t="s">
        <v>609</v>
      </c>
      <c r="J582" s="270">
        <v>48000000</v>
      </c>
      <c r="K582" s="155" t="s">
        <v>221</v>
      </c>
      <c r="L582" s="140">
        <v>2917185</v>
      </c>
      <c r="M582" s="32" t="s">
        <v>97</v>
      </c>
      <c r="N582" s="273">
        <v>256</v>
      </c>
      <c r="O582" s="10">
        <v>101376000</v>
      </c>
      <c r="P582" s="140"/>
      <c r="Q582" t="s">
        <v>3564</v>
      </c>
    </row>
    <row r="583" spans="1:17" ht="43.5" hidden="1" x14ac:dyDescent="0.35">
      <c r="A583" s="155" t="e">
        <f t="shared" si="8"/>
        <v>#REF!</v>
      </c>
      <c r="B583" s="140" t="s">
        <v>18</v>
      </c>
      <c r="C583" s="140" t="s">
        <v>37</v>
      </c>
      <c r="D583" s="140" t="s">
        <v>1515</v>
      </c>
      <c r="E583" s="140" t="s">
        <v>1808</v>
      </c>
      <c r="F583" s="140" t="s">
        <v>676</v>
      </c>
      <c r="G583" s="144" t="s">
        <v>670</v>
      </c>
      <c r="H583" s="144" t="s">
        <v>677</v>
      </c>
      <c r="I583" s="144" t="s">
        <v>1809</v>
      </c>
      <c r="J583" s="270">
        <v>100000000</v>
      </c>
      <c r="K583" s="155" t="s">
        <v>221</v>
      </c>
      <c r="L583" s="140">
        <v>2916963</v>
      </c>
      <c r="M583" s="32" t="s">
        <v>97</v>
      </c>
      <c r="N583" s="273">
        <v>216</v>
      </c>
      <c r="O583" s="10">
        <v>54864000</v>
      </c>
      <c r="P583" s="273" t="s">
        <v>1810</v>
      </c>
      <c r="Q583" t="s">
        <v>3564</v>
      </c>
    </row>
    <row r="584" spans="1:17" ht="43.5" hidden="1" x14ac:dyDescent="0.35">
      <c r="A584" s="155" t="e">
        <f t="shared" si="8"/>
        <v>#REF!</v>
      </c>
      <c r="B584" s="140" t="s">
        <v>18</v>
      </c>
      <c r="C584" s="140" t="s">
        <v>37</v>
      </c>
      <c r="D584" s="277" t="s">
        <v>1521</v>
      </c>
      <c r="E584" s="140" t="s">
        <v>1811</v>
      </c>
      <c r="F584" s="140" t="s">
        <v>1812</v>
      </c>
      <c r="G584" s="140" t="s">
        <v>208</v>
      </c>
      <c r="H584" s="140" t="s">
        <v>1813</v>
      </c>
      <c r="I584" s="140" t="s">
        <v>1814</v>
      </c>
      <c r="J584" s="270">
        <v>98000000</v>
      </c>
      <c r="K584" s="155" t="s">
        <v>221</v>
      </c>
      <c r="L584" s="140">
        <v>2932623</v>
      </c>
      <c r="M584" s="32" t="s">
        <v>97</v>
      </c>
      <c r="N584" s="273">
        <v>56.91056910569106</v>
      </c>
      <c r="O584" s="10">
        <v>98000000</v>
      </c>
      <c r="P584" s="278"/>
      <c r="Q584" t="s">
        <v>3586</v>
      </c>
    </row>
    <row r="585" spans="1:17" ht="43.5" hidden="1" x14ac:dyDescent="0.35">
      <c r="A585" s="155" t="e">
        <f t="shared" si="8"/>
        <v>#REF!</v>
      </c>
      <c r="B585" s="140" t="s">
        <v>18</v>
      </c>
      <c r="C585" s="140" t="s">
        <v>37</v>
      </c>
      <c r="D585" s="140" t="s">
        <v>1634</v>
      </c>
      <c r="E585" s="140" t="s">
        <v>1811</v>
      </c>
      <c r="F585" s="140" t="s">
        <v>1815</v>
      </c>
      <c r="G585" s="140" t="s">
        <v>208</v>
      </c>
      <c r="H585" s="140" t="s">
        <v>1816</v>
      </c>
      <c r="I585" s="140" t="s">
        <v>1817</v>
      </c>
      <c r="J585" s="270">
        <v>100000000</v>
      </c>
      <c r="K585" s="155" t="s">
        <v>221</v>
      </c>
      <c r="L585" s="140">
        <v>2935457</v>
      </c>
      <c r="M585" s="32" t="s">
        <v>97</v>
      </c>
      <c r="N585" s="273">
        <v>58.072009291521489</v>
      </c>
      <c r="O585" s="10">
        <v>100000000</v>
      </c>
      <c r="P585" s="140"/>
      <c r="Q585" t="s">
        <v>3564</v>
      </c>
    </row>
    <row r="586" spans="1:17" ht="43.5" hidden="1" x14ac:dyDescent="0.35">
      <c r="A586" s="155" t="e">
        <f t="shared" si="8"/>
        <v>#REF!</v>
      </c>
      <c r="B586" s="140" t="s">
        <v>18</v>
      </c>
      <c r="C586" s="140" t="s">
        <v>37</v>
      </c>
      <c r="D586" s="140" t="s">
        <v>1570</v>
      </c>
      <c r="E586" s="140" t="s">
        <v>1818</v>
      </c>
      <c r="F586" s="140" t="s">
        <v>92</v>
      </c>
      <c r="G586" s="140" t="s">
        <v>208</v>
      </c>
      <c r="H586" s="140" t="s">
        <v>94</v>
      </c>
      <c r="I586" s="140" t="s">
        <v>1819</v>
      </c>
      <c r="J586" s="270">
        <v>32000000</v>
      </c>
      <c r="K586" s="155" t="s">
        <v>221</v>
      </c>
      <c r="L586" s="140">
        <v>2959491</v>
      </c>
      <c r="M586" s="32" t="s">
        <v>97</v>
      </c>
      <c r="N586" s="273">
        <v>33.10104529616725</v>
      </c>
      <c r="O586" s="10">
        <v>57000000</v>
      </c>
      <c r="P586" s="278"/>
      <c r="Q586" t="s">
        <v>3586</v>
      </c>
    </row>
    <row r="587" spans="1:17" ht="43.5" hidden="1" x14ac:dyDescent="0.35">
      <c r="A587" s="155" t="e">
        <f t="shared" si="8"/>
        <v>#REF!</v>
      </c>
      <c r="B587" s="140" t="s">
        <v>18</v>
      </c>
      <c r="C587" s="140" t="s">
        <v>37</v>
      </c>
      <c r="D587" s="140" t="s">
        <v>1515</v>
      </c>
      <c r="E587" s="140" t="s">
        <v>1820</v>
      </c>
      <c r="F587" s="140" t="s">
        <v>92</v>
      </c>
      <c r="G587" s="140" t="s">
        <v>208</v>
      </c>
      <c r="H587" s="140" t="s">
        <v>94</v>
      </c>
      <c r="I587" s="140" t="s">
        <v>1821</v>
      </c>
      <c r="J587" s="270">
        <v>32000000</v>
      </c>
      <c r="K587" s="155" t="s">
        <v>221</v>
      </c>
      <c r="L587" s="140">
        <v>2959651</v>
      </c>
      <c r="M587" s="32" t="s">
        <v>97</v>
      </c>
      <c r="N587" s="273" t="s">
        <v>35</v>
      </c>
      <c r="O587" s="10">
        <v>32000000</v>
      </c>
      <c r="P587" s="140"/>
      <c r="Q587" t="s">
        <v>3564</v>
      </c>
    </row>
    <row r="588" spans="1:17" ht="43.5" hidden="1" x14ac:dyDescent="0.35">
      <c r="A588" s="155" t="e">
        <f t="shared" si="8"/>
        <v>#REF!</v>
      </c>
      <c r="B588" s="140" t="s">
        <v>18</v>
      </c>
      <c r="C588" s="140" t="s">
        <v>37</v>
      </c>
      <c r="D588" s="140" t="s">
        <v>1515</v>
      </c>
      <c r="E588" s="140" t="s">
        <v>1811</v>
      </c>
      <c r="F588" s="140" t="s">
        <v>92</v>
      </c>
      <c r="G588" s="140" t="s">
        <v>208</v>
      </c>
      <c r="H588" s="140" t="s">
        <v>94</v>
      </c>
      <c r="I588" s="140" t="s">
        <v>1822</v>
      </c>
      <c r="J588" s="270">
        <v>33600000</v>
      </c>
      <c r="K588" s="155" t="s">
        <v>221</v>
      </c>
      <c r="L588" s="140">
        <v>2962816</v>
      </c>
      <c r="M588" s="32" t="s">
        <v>97</v>
      </c>
      <c r="N588" s="273">
        <v>19.512195121951219</v>
      </c>
      <c r="O588" s="10">
        <v>33600000</v>
      </c>
      <c r="P588" s="140">
        <f>O588/N588</f>
        <v>1722000</v>
      </c>
      <c r="Q588" t="s">
        <v>3564</v>
      </c>
    </row>
    <row r="589" spans="1:17" ht="43.5" hidden="1" x14ac:dyDescent="0.35">
      <c r="A589" s="155" t="e">
        <f t="shared" si="8"/>
        <v>#REF!</v>
      </c>
      <c r="B589" s="140" t="s">
        <v>18</v>
      </c>
      <c r="C589" s="140" t="s">
        <v>37</v>
      </c>
      <c r="D589" s="140" t="s">
        <v>1515</v>
      </c>
      <c r="E589" s="140" t="s">
        <v>1823</v>
      </c>
      <c r="F589" s="140" t="s">
        <v>554</v>
      </c>
      <c r="G589" s="140" t="s">
        <v>208</v>
      </c>
      <c r="H589" s="140" t="s">
        <v>555</v>
      </c>
      <c r="I589" s="140"/>
      <c r="J589" s="270"/>
      <c r="K589" s="155" t="s">
        <v>221</v>
      </c>
      <c r="L589" s="140" t="s">
        <v>273</v>
      </c>
      <c r="M589" s="32" t="s">
        <v>97</v>
      </c>
      <c r="N589" s="140">
        <v>260</v>
      </c>
      <c r="O589" s="10">
        <v>102960000</v>
      </c>
      <c r="P589" s="140" t="s">
        <v>1824</v>
      </c>
      <c r="Q589" t="s">
        <v>3564</v>
      </c>
    </row>
    <row r="590" spans="1:17" ht="43.5" hidden="1" x14ac:dyDescent="0.35">
      <c r="A590" s="155" t="e">
        <f t="shared" si="8"/>
        <v>#REF!</v>
      </c>
      <c r="B590" s="140" t="s">
        <v>18</v>
      </c>
      <c r="C590" s="140" t="s">
        <v>37</v>
      </c>
      <c r="D590" s="140" t="s">
        <v>1515</v>
      </c>
      <c r="E590" s="140" t="s">
        <v>1825</v>
      </c>
      <c r="F590" s="140" t="s">
        <v>1826</v>
      </c>
      <c r="G590" s="140" t="s">
        <v>208</v>
      </c>
      <c r="H590" s="140" t="s">
        <v>1827</v>
      </c>
      <c r="I590" s="140" t="s">
        <v>1828</v>
      </c>
      <c r="J590" s="270">
        <v>100000000</v>
      </c>
      <c r="K590" s="155" t="s">
        <v>221</v>
      </c>
      <c r="L590" s="140">
        <v>2959939</v>
      </c>
      <c r="M590" s="32" t="s">
        <v>97</v>
      </c>
      <c r="N590" s="273">
        <v>58.072009291521489</v>
      </c>
      <c r="O590" s="10">
        <v>100000000</v>
      </c>
      <c r="P590" s="140"/>
      <c r="Q590" t="s">
        <v>3564</v>
      </c>
    </row>
    <row r="591" spans="1:17" ht="43.5" hidden="1" x14ac:dyDescent="0.35">
      <c r="A591" s="155" t="e">
        <f t="shared" si="8"/>
        <v>#REF!</v>
      </c>
      <c r="B591" s="140" t="s">
        <v>18</v>
      </c>
      <c r="C591" s="140" t="s">
        <v>37</v>
      </c>
      <c r="D591" s="140" t="s">
        <v>1515</v>
      </c>
      <c r="E591" s="140" t="s">
        <v>1089</v>
      </c>
      <c r="F591" s="140" t="s">
        <v>1829</v>
      </c>
      <c r="G591" s="140" t="s">
        <v>208</v>
      </c>
      <c r="H591" s="140" t="s">
        <v>1830</v>
      </c>
      <c r="I591" s="140" t="s">
        <v>1831</v>
      </c>
      <c r="J591" s="270">
        <v>100000000</v>
      </c>
      <c r="K591" s="155" t="s">
        <v>221</v>
      </c>
      <c r="L591" s="140">
        <v>2959721</v>
      </c>
      <c r="M591" s="32" t="s">
        <v>97</v>
      </c>
      <c r="N591" s="273">
        <v>333.66700033366698</v>
      </c>
      <c r="O591" s="10">
        <v>100000000</v>
      </c>
      <c r="P591" s="278"/>
      <c r="Q591" t="s">
        <v>3564</v>
      </c>
    </row>
    <row r="592" spans="1:17" ht="43.5" hidden="1" x14ac:dyDescent="0.35">
      <c r="A592" s="155" t="e">
        <f t="shared" si="8"/>
        <v>#REF!</v>
      </c>
      <c r="B592" s="140" t="s">
        <v>18</v>
      </c>
      <c r="C592" s="140" t="s">
        <v>37</v>
      </c>
      <c r="D592" s="140" t="s">
        <v>1515</v>
      </c>
      <c r="E592" s="279" t="s">
        <v>1832</v>
      </c>
      <c r="F592" s="279" t="s">
        <v>1833</v>
      </c>
      <c r="G592" s="140" t="s">
        <v>839</v>
      </c>
      <c r="H592" s="140" t="s">
        <v>1834</v>
      </c>
      <c r="I592" s="140" t="s">
        <v>35</v>
      </c>
      <c r="J592" s="270">
        <v>50000000</v>
      </c>
      <c r="K592" s="155" t="s">
        <v>221</v>
      </c>
      <c r="L592" s="140">
        <v>2871193</v>
      </c>
      <c r="M592" s="32" t="s">
        <v>97</v>
      </c>
      <c r="N592" s="272">
        <v>196.85039370078741</v>
      </c>
      <c r="O592" s="10">
        <v>50000000</v>
      </c>
      <c r="P592" s="140"/>
      <c r="Q592" t="s">
        <v>3564</v>
      </c>
    </row>
    <row r="593" spans="1:17" ht="43.5" hidden="1" x14ac:dyDescent="0.35">
      <c r="A593" s="155" t="e">
        <f t="shared" si="8"/>
        <v>#REF!</v>
      </c>
      <c r="B593" s="140" t="s">
        <v>18</v>
      </c>
      <c r="C593" s="140" t="s">
        <v>37</v>
      </c>
      <c r="D593" s="140" t="s">
        <v>1515</v>
      </c>
      <c r="E593" s="279" t="s">
        <v>1835</v>
      </c>
      <c r="F593" s="279" t="s">
        <v>1833</v>
      </c>
      <c r="G593" s="140" t="s">
        <v>839</v>
      </c>
      <c r="H593" s="140" t="s">
        <v>1834</v>
      </c>
      <c r="I593" s="140" t="s">
        <v>35</v>
      </c>
      <c r="J593" s="270">
        <v>50000000</v>
      </c>
      <c r="K593" s="155" t="s">
        <v>221</v>
      </c>
      <c r="L593" s="140">
        <v>2871225</v>
      </c>
      <c r="M593" s="32" t="s">
        <v>97</v>
      </c>
      <c r="N593" s="272">
        <v>54.426705370101601</v>
      </c>
      <c r="O593" s="10">
        <v>50000000</v>
      </c>
      <c r="P593" s="140" t="s">
        <v>1836</v>
      </c>
      <c r="Q593" t="s">
        <v>3564</v>
      </c>
    </row>
    <row r="594" spans="1:17" ht="43.5" hidden="1" x14ac:dyDescent="0.35">
      <c r="A594" s="155" t="e">
        <f t="shared" si="8"/>
        <v>#REF!</v>
      </c>
      <c r="B594" s="140" t="s">
        <v>18</v>
      </c>
      <c r="C594" s="140" t="s">
        <v>37</v>
      </c>
      <c r="D594" s="277" t="s">
        <v>1521</v>
      </c>
      <c r="E594" s="279" t="s">
        <v>1550</v>
      </c>
      <c r="F594" s="279" t="s">
        <v>1837</v>
      </c>
      <c r="G594" s="140" t="s">
        <v>839</v>
      </c>
      <c r="H594" s="140" t="s">
        <v>1838</v>
      </c>
      <c r="I594" s="140"/>
      <c r="J594" s="270"/>
      <c r="K594" s="155" t="s">
        <v>221</v>
      </c>
      <c r="L594" s="140" t="s">
        <v>841</v>
      </c>
      <c r="M594" s="32" t="s">
        <v>97</v>
      </c>
      <c r="N594" s="272">
        <v>58.072009291521489</v>
      </c>
      <c r="O594" s="10">
        <v>100000000</v>
      </c>
      <c r="P594" s="140" t="s">
        <v>1839</v>
      </c>
      <c r="Q594" t="s">
        <v>3586</v>
      </c>
    </row>
    <row r="595" spans="1:17" ht="43.5" hidden="1" x14ac:dyDescent="0.35">
      <c r="A595" s="155" t="e">
        <f t="shared" si="8"/>
        <v>#REF!</v>
      </c>
      <c r="B595" s="140" t="s">
        <v>18</v>
      </c>
      <c r="C595" s="140" t="s">
        <v>37</v>
      </c>
      <c r="D595" s="140" t="s">
        <v>1515</v>
      </c>
      <c r="E595" s="279" t="s">
        <v>1840</v>
      </c>
      <c r="F595" s="279" t="s">
        <v>1841</v>
      </c>
      <c r="G595" s="140" t="s">
        <v>839</v>
      </c>
      <c r="H595" s="140" t="s">
        <v>1842</v>
      </c>
      <c r="I595" s="140" t="s">
        <v>35</v>
      </c>
      <c r="J595" s="270">
        <v>100000000</v>
      </c>
      <c r="K595" s="155" t="s">
        <v>221</v>
      </c>
      <c r="L595" s="140">
        <v>2906719</v>
      </c>
      <c r="M595" s="32" t="s">
        <v>97</v>
      </c>
      <c r="N595" s="272">
        <v>305.00000228750002</v>
      </c>
      <c r="O595" s="10">
        <v>100000000</v>
      </c>
      <c r="P595" s="140"/>
      <c r="Q595" t="s">
        <v>3564</v>
      </c>
    </row>
    <row r="596" spans="1:17" ht="43.5" hidden="1" x14ac:dyDescent="0.35">
      <c r="A596" s="155" t="e">
        <f t="shared" si="8"/>
        <v>#REF!</v>
      </c>
      <c r="B596" s="140" t="s">
        <v>18</v>
      </c>
      <c r="C596" s="140" t="s">
        <v>37</v>
      </c>
      <c r="D596" s="140" t="s">
        <v>1515</v>
      </c>
      <c r="E596" s="279" t="s">
        <v>1843</v>
      </c>
      <c r="F596" s="279" t="s">
        <v>1844</v>
      </c>
      <c r="G596" s="140" t="s">
        <v>839</v>
      </c>
      <c r="H596" s="140" t="s">
        <v>1845</v>
      </c>
      <c r="I596" s="140" t="s">
        <v>35</v>
      </c>
      <c r="J596" s="270">
        <v>20000000</v>
      </c>
      <c r="K596" s="155" t="s">
        <v>221</v>
      </c>
      <c r="L596" s="140" t="s">
        <v>841</v>
      </c>
      <c r="M596" s="32" t="s">
        <v>97</v>
      </c>
      <c r="N596" s="272">
        <v>305.00000228750002</v>
      </c>
      <c r="O596" s="10">
        <v>100000000</v>
      </c>
      <c r="P596" s="140" t="s">
        <v>1846</v>
      </c>
      <c r="Q596" t="s">
        <v>3564</v>
      </c>
    </row>
    <row r="597" spans="1:17" ht="43.5" hidden="1" x14ac:dyDescent="0.35">
      <c r="A597" s="155" t="e">
        <f t="shared" si="8"/>
        <v>#REF!</v>
      </c>
      <c r="B597" s="140" t="s">
        <v>18</v>
      </c>
      <c r="C597" s="140" t="s">
        <v>37</v>
      </c>
      <c r="D597" s="277" t="s">
        <v>476</v>
      </c>
      <c r="E597" s="279" t="s">
        <v>1840</v>
      </c>
      <c r="F597" s="279" t="s">
        <v>1847</v>
      </c>
      <c r="G597" s="140" t="s">
        <v>839</v>
      </c>
      <c r="H597" s="140" t="s">
        <v>1848</v>
      </c>
      <c r="I597" s="140" t="s">
        <v>35</v>
      </c>
      <c r="J597" s="270">
        <v>100000000</v>
      </c>
      <c r="K597" s="155" t="s">
        <v>221</v>
      </c>
      <c r="L597" s="140" t="s">
        <v>841</v>
      </c>
      <c r="M597" s="32" t="s">
        <v>97</v>
      </c>
      <c r="N597" s="272">
        <v>305.00000228750002</v>
      </c>
      <c r="O597" s="10">
        <v>100000000</v>
      </c>
      <c r="P597" s="140" t="s">
        <v>1839</v>
      </c>
      <c r="Q597" t="s">
        <v>3586</v>
      </c>
    </row>
    <row r="598" spans="1:17" ht="43.5" hidden="1" x14ac:dyDescent="0.35">
      <c r="A598" s="155" t="e">
        <f t="shared" si="8"/>
        <v>#REF!</v>
      </c>
      <c r="B598" s="140" t="s">
        <v>18</v>
      </c>
      <c r="C598" s="140" t="s">
        <v>37</v>
      </c>
      <c r="D598" s="140" t="s">
        <v>1515</v>
      </c>
      <c r="E598" s="279" t="s">
        <v>1849</v>
      </c>
      <c r="F598" s="279" t="s">
        <v>1850</v>
      </c>
      <c r="G598" s="140" t="s">
        <v>839</v>
      </c>
      <c r="H598" s="140" t="s">
        <v>1851</v>
      </c>
      <c r="I598" s="140" t="s">
        <v>35</v>
      </c>
      <c r="J598" s="270">
        <v>100000000</v>
      </c>
      <c r="K598" s="155" t="s">
        <v>221</v>
      </c>
      <c r="L598" s="140">
        <v>2871063</v>
      </c>
      <c r="M598" s="32" t="s">
        <v>97</v>
      </c>
      <c r="N598" s="272">
        <v>82.372322899505761</v>
      </c>
      <c r="O598" s="10">
        <v>100000000</v>
      </c>
      <c r="P598" s="140"/>
      <c r="Q598" t="s">
        <v>3564</v>
      </c>
    </row>
    <row r="599" spans="1:17" ht="43.5" hidden="1" x14ac:dyDescent="0.35">
      <c r="A599" s="155" t="e">
        <f t="shared" si="8"/>
        <v>#REF!</v>
      </c>
      <c r="B599" s="140" t="s">
        <v>18</v>
      </c>
      <c r="C599" s="140" t="s">
        <v>37</v>
      </c>
      <c r="D599" s="140" t="s">
        <v>1515</v>
      </c>
      <c r="E599" s="279" t="s">
        <v>1852</v>
      </c>
      <c r="F599" s="279" t="s">
        <v>1853</v>
      </c>
      <c r="G599" s="140" t="s">
        <v>839</v>
      </c>
      <c r="H599" s="140" t="s">
        <v>1854</v>
      </c>
      <c r="I599" s="140" t="s">
        <v>35</v>
      </c>
      <c r="J599" s="270">
        <v>100000000</v>
      </c>
      <c r="K599" s="155" t="s">
        <v>221</v>
      </c>
      <c r="L599" s="140">
        <v>2870787</v>
      </c>
      <c r="M599" s="32" t="s">
        <v>97</v>
      </c>
      <c r="N599" s="272">
        <v>160.427807486631</v>
      </c>
      <c r="O599" s="10">
        <v>100000000</v>
      </c>
      <c r="P599" s="140"/>
      <c r="Q599" t="s">
        <v>3564</v>
      </c>
    </row>
    <row r="600" spans="1:17" ht="43.5" hidden="1" x14ac:dyDescent="0.35">
      <c r="A600" s="155" t="e">
        <f t="shared" si="8"/>
        <v>#REF!</v>
      </c>
      <c r="B600" s="140" t="s">
        <v>18</v>
      </c>
      <c r="C600" s="140" t="s">
        <v>37</v>
      </c>
      <c r="D600" s="277" t="s">
        <v>1521</v>
      </c>
      <c r="E600" s="279" t="s">
        <v>1855</v>
      </c>
      <c r="F600" s="279" t="s">
        <v>1856</v>
      </c>
      <c r="G600" s="140" t="s">
        <v>839</v>
      </c>
      <c r="H600" s="140" t="s">
        <v>1857</v>
      </c>
      <c r="I600" s="140" t="s">
        <v>35</v>
      </c>
      <c r="J600" s="270">
        <v>100000000</v>
      </c>
      <c r="K600" s="155" t="s">
        <v>221</v>
      </c>
      <c r="L600" s="140" t="s">
        <v>841</v>
      </c>
      <c r="M600" s="32" t="s">
        <v>97</v>
      </c>
      <c r="N600" s="273">
        <v>58.072009291521489</v>
      </c>
      <c r="O600" s="10">
        <v>100000000</v>
      </c>
      <c r="P600" s="140" t="s">
        <v>275</v>
      </c>
      <c r="Q600" t="s">
        <v>3586</v>
      </c>
    </row>
    <row r="601" spans="1:17" ht="43.5" hidden="1" x14ac:dyDescent="0.35">
      <c r="A601" s="155" t="e">
        <f>#REF!+1</f>
        <v>#REF!</v>
      </c>
      <c r="B601" s="140" t="s">
        <v>18</v>
      </c>
      <c r="C601" s="140" t="s">
        <v>37</v>
      </c>
      <c r="D601" s="140" t="s">
        <v>1515</v>
      </c>
      <c r="E601" s="279" t="s">
        <v>1852</v>
      </c>
      <c r="F601" s="279" t="s">
        <v>1016</v>
      </c>
      <c r="G601" s="140" t="s">
        <v>839</v>
      </c>
      <c r="H601" s="140" t="s">
        <v>1017</v>
      </c>
      <c r="I601" s="140" t="s">
        <v>35</v>
      </c>
      <c r="J601" s="270">
        <v>50000000</v>
      </c>
      <c r="K601" s="155" t="s">
        <v>221</v>
      </c>
      <c r="L601" s="140">
        <v>2871012</v>
      </c>
      <c r="M601" s="32" t="s">
        <v>97</v>
      </c>
      <c r="N601" s="272">
        <v>64.850843060959789</v>
      </c>
      <c r="O601" s="10">
        <v>50000000</v>
      </c>
      <c r="P601" s="140"/>
      <c r="Q601" t="s">
        <v>3564</v>
      </c>
    </row>
    <row r="602" spans="1:17" ht="43.5" hidden="1" x14ac:dyDescent="0.35">
      <c r="A602" s="155" t="e">
        <f t="shared" si="8"/>
        <v>#REF!</v>
      </c>
      <c r="B602" s="140" t="s">
        <v>18</v>
      </c>
      <c r="C602" s="140" t="s">
        <v>37</v>
      </c>
      <c r="D602" s="140" t="s">
        <v>1515</v>
      </c>
      <c r="E602" s="279" t="s">
        <v>1852</v>
      </c>
      <c r="F602" s="279" t="s">
        <v>852</v>
      </c>
      <c r="G602" s="140" t="s">
        <v>839</v>
      </c>
      <c r="H602" s="140" t="s">
        <v>1858</v>
      </c>
      <c r="I602" s="140" t="s">
        <v>35</v>
      </c>
      <c r="J602" s="270">
        <v>100000000</v>
      </c>
      <c r="K602" s="155" t="s">
        <v>221</v>
      </c>
      <c r="L602" s="140">
        <v>2906777</v>
      </c>
      <c r="M602" s="32" t="s">
        <v>97</v>
      </c>
      <c r="N602" s="272">
        <v>108.8534107402032</v>
      </c>
      <c r="O602" s="10">
        <v>100000000</v>
      </c>
      <c r="P602" s="140"/>
      <c r="Q602" t="s">
        <v>3564</v>
      </c>
    </row>
    <row r="603" spans="1:17" ht="43.5" hidden="1" x14ac:dyDescent="0.35">
      <c r="A603" s="155" t="e">
        <f t="shared" si="8"/>
        <v>#REF!</v>
      </c>
      <c r="B603" s="140" t="s">
        <v>18</v>
      </c>
      <c r="C603" s="140" t="s">
        <v>37</v>
      </c>
      <c r="D603" s="140" t="s">
        <v>1515</v>
      </c>
      <c r="E603" s="279" t="s">
        <v>1859</v>
      </c>
      <c r="F603" s="279" t="s">
        <v>1860</v>
      </c>
      <c r="G603" s="140" t="s">
        <v>839</v>
      </c>
      <c r="H603" s="140" t="s">
        <v>1861</v>
      </c>
      <c r="I603" s="140" t="s">
        <v>35</v>
      </c>
      <c r="J603" s="270">
        <v>100000000</v>
      </c>
      <c r="K603" s="155" t="s">
        <v>221</v>
      </c>
      <c r="L603" s="140">
        <v>2906741</v>
      </c>
      <c r="M603" s="32" t="s">
        <v>97</v>
      </c>
      <c r="N603" s="272">
        <v>249.44568180589096</v>
      </c>
      <c r="O603" s="10">
        <v>100000000</v>
      </c>
      <c r="P603" s="140"/>
      <c r="Q603" t="s">
        <v>3564</v>
      </c>
    </row>
    <row r="604" spans="1:17" ht="43.5" hidden="1" x14ac:dyDescent="0.35">
      <c r="A604" s="155" t="e">
        <f t="shared" si="8"/>
        <v>#REF!</v>
      </c>
      <c r="B604" s="140" t="s">
        <v>18</v>
      </c>
      <c r="C604" s="140" t="s">
        <v>37</v>
      </c>
      <c r="D604" s="277" t="s">
        <v>1521</v>
      </c>
      <c r="E604" s="279" t="s">
        <v>1550</v>
      </c>
      <c r="F604" s="279" t="s">
        <v>1862</v>
      </c>
      <c r="G604" s="140" t="s">
        <v>839</v>
      </c>
      <c r="H604" s="140" t="s">
        <v>1863</v>
      </c>
      <c r="I604" s="140" t="s">
        <v>35</v>
      </c>
      <c r="J604" s="270">
        <v>100000000</v>
      </c>
      <c r="K604" s="155" t="s">
        <v>221</v>
      </c>
      <c r="L604" s="140" t="s">
        <v>841</v>
      </c>
      <c r="M604" s="32" t="s">
        <v>97</v>
      </c>
      <c r="N604" s="280">
        <v>142.45014245014244</v>
      </c>
      <c r="O604" s="10">
        <v>99999999.999999985</v>
      </c>
      <c r="P604" s="140" t="s">
        <v>275</v>
      </c>
      <c r="Q604" t="s">
        <v>3586</v>
      </c>
    </row>
    <row r="605" spans="1:17" ht="43.5" hidden="1" x14ac:dyDescent="0.35">
      <c r="A605" s="155" t="e">
        <f t="shared" si="8"/>
        <v>#REF!</v>
      </c>
      <c r="B605" s="140" t="s">
        <v>18</v>
      </c>
      <c r="C605" s="140" t="s">
        <v>37</v>
      </c>
      <c r="D605" s="140" t="s">
        <v>1515</v>
      </c>
      <c r="E605" s="279" t="s">
        <v>1864</v>
      </c>
      <c r="F605" s="279" t="s">
        <v>1865</v>
      </c>
      <c r="G605" s="140" t="s">
        <v>839</v>
      </c>
      <c r="H605" s="140" t="s">
        <v>271</v>
      </c>
      <c r="I605" s="140" t="s">
        <v>35</v>
      </c>
      <c r="J605" s="270">
        <v>100000000</v>
      </c>
      <c r="K605" s="155" t="s">
        <v>221</v>
      </c>
      <c r="L605" s="140" t="s">
        <v>841</v>
      </c>
      <c r="M605" s="32" t="s">
        <v>97</v>
      </c>
      <c r="N605" s="272">
        <v>305.00000228750002</v>
      </c>
      <c r="O605" s="10">
        <v>100000000</v>
      </c>
      <c r="P605" s="140" t="s">
        <v>275</v>
      </c>
      <c r="Q605" t="s">
        <v>3564</v>
      </c>
    </row>
    <row r="606" spans="1:17" ht="43.5" hidden="1" x14ac:dyDescent="0.35">
      <c r="A606" s="155" t="e">
        <f>#REF!+1</f>
        <v>#REF!</v>
      </c>
      <c r="B606" s="140" t="s">
        <v>18</v>
      </c>
      <c r="C606" s="140" t="s">
        <v>37</v>
      </c>
      <c r="D606" s="140" t="s">
        <v>1515</v>
      </c>
      <c r="E606" s="140" t="s">
        <v>1866</v>
      </c>
      <c r="F606" s="140" t="s">
        <v>236</v>
      </c>
      <c r="G606" s="140" t="s">
        <v>238</v>
      </c>
      <c r="H606" s="144" t="s">
        <v>682</v>
      </c>
      <c r="I606" s="140" t="s">
        <v>1272</v>
      </c>
      <c r="J606" s="270">
        <v>45000000</v>
      </c>
      <c r="K606" s="155" t="s">
        <v>221</v>
      </c>
      <c r="L606" s="140">
        <v>2969127</v>
      </c>
      <c r="M606" s="32" t="s">
        <v>97</v>
      </c>
      <c r="N606" s="140">
        <v>300</v>
      </c>
      <c r="O606" s="10">
        <v>98360655</v>
      </c>
      <c r="P606" s="140"/>
      <c r="Q606" t="s">
        <v>3564</v>
      </c>
    </row>
    <row r="607" spans="1:17" ht="43.5" hidden="1" x14ac:dyDescent="0.35">
      <c r="A607" s="155" t="e">
        <f t="shared" si="8"/>
        <v>#REF!</v>
      </c>
      <c r="B607" s="140" t="s">
        <v>18</v>
      </c>
      <c r="C607" s="140" t="s">
        <v>37</v>
      </c>
      <c r="D607" s="140" t="s">
        <v>1515</v>
      </c>
      <c r="E607" s="140" t="s">
        <v>1867</v>
      </c>
      <c r="F607" s="140" t="s">
        <v>559</v>
      </c>
      <c r="G607" s="140" t="s">
        <v>238</v>
      </c>
      <c r="H607" s="144" t="s">
        <v>560</v>
      </c>
      <c r="I607" s="140" t="s">
        <v>1868</v>
      </c>
      <c r="J607" s="270">
        <v>45000000</v>
      </c>
      <c r="K607" s="155" t="s">
        <v>221</v>
      </c>
      <c r="L607" s="140">
        <v>2970211</v>
      </c>
      <c r="M607" s="32" t="s">
        <v>97</v>
      </c>
      <c r="N607" s="140">
        <v>300</v>
      </c>
      <c r="O607" s="10">
        <v>98360655</v>
      </c>
      <c r="P607" s="140"/>
      <c r="Q607" t="s">
        <v>3564</v>
      </c>
    </row>
    <row r="608" spans="1:17" ht="43.5" hidden="1" x14ac:dyDescent="0.35">
      <c r="A608" s="155" t="e">
        <f t="shared" si="8"/>
        <v>#REF!</v>
      </c>
      <c r="B608" s="140" t="s">
        <v>18</v>
      </c>
      <c r="C608" s="140" t="s">
        <v>37</v>
      </c>
      <c r="D608" s="140" t="s">
        <v>1515</v>
      </c>
      <c r="E608" s="140" t="s">
        <v>1869</v>
      </c>
      <c r="F608" s="140" t="s">
        <v>687</v>
      </c>
      <c r="G608" s="140" t="s">
        <v>238</v>
      </c>
      <c r="H608" s="144" t="s">
        <v>688</v>
      </c>
      <c r="I608" s="140" t="s">
        <v>1870</v>
      </c>
      <c r="J608" s="270">
        <v>60000000</v>
      </c>
      <c r="K608" s="155" t="s">
        <v>221</v>
      </c>
      <c r="L608" s="140">
        <v>2932176</v>
      </c>
      <c r="M608" s="32" t="s">
        <v>97</v>
      </c>
      <c r="N608" s="140">
        <v>400</v>
      </c>
      <c r="O608" s="10">
        <v>131147539.99999999</v>
      </c>
      <c r="P608" s="140"/>
      <c r="Q608" t="s">
        <v>3564</v>
      </c>
    </row>
    <row r="609" spans="1:17" ht="43.5" hidden="1" x14ac:dyDescent="0.35">
      <c r="A609" s="155" t="e">
        <f t="shared" si="8"/>
        <v>#REF!</v>
      </c>
      <c r="B609" s="140" t="s">
        <v>18</v>
      </c>
      <c r="C609" s="140" t="s">
        <v>37</v>
      </c>
      <c r="D609" s="140" t="s">
        <v>1515</v>
      </c>
      <c r="E609" s="140" t="s">
        <v>1871</v>
      </c>
      <c r="F609" s="140" t="s">
        <v>563</v>
      </c>
      <c r="G609" s="140" t="s">
        <v>238</v>
      </c>
      <c r="H609" s="144" t="s">
        <v>286</v>
      </c>
      <c r="I609" s="140" t="s">
        <v>1542</v>
      </c>
      <c r="J609" s="270">
        <v>30000000</v>
      </c>
      <c r="K609" s="155" t="s">
        <v>221</v>
      </c>
      <c r="L609" s="140">
        <v>2970211</v>
      </c>
      <c r="M609" s="32" t="s">
        <v>97</v>
      </c>
      <c r="N609" s="140">
        <v>200</v>
      </c>
      <c r="O609" s="10">
        <v>65573769.999999993</v>
      </c>
      <c r="P609" s="140"/>
      <c r="Q609" t="s">
        <v>3564</v>
      </c>
    </row>
    <row r="610" spans="1:17" ht="43.5" hidden="1" x14ac:dyDescent="0.35">
      <c r="A610" s="155" t="e">
        <f t="shared" si="8"/>
        <v>#REF!</v>
      </c>
      <c r="B610" s="140" t="s">
        <v>18</v>
      </c>
      <c r="C610" s="140" t="s">
        <v>37</v>
      </c>
      <c r="D610" s="277" t="s">
        <v>476</v>
      </c>
      <c r="E610" s="140" t="s">
        <v>1872</v>
      </c>
      <c r="F610" s="140" t="s">
        <v>844</v>
      </c>
      <c r="G610" s="140" t="s">
        <v>504</v>
      </c>
      <c r="H610" s="140" t="s">
        <v>845</v>
      </c>
      <c r="I610" s="140"/>
      <c r="J610" s="270"/>
      <c r="K610" s="155" t="s">
        <v>221</v>
      </c>
      <c r="L610" s="140" t="s">
        <v>273</v>
      </c>
      <c r="M610" s="32" t="s">
        <v>97</v>
      </c>
      <c r="N610" s="140" t="s">
        <v>1873</v>
      </c>
      <c r="O610" s="10">
        <v>120000000</v>
      </c>
      <c r="P610" s="140" t="s">
        <v>1839</v>
      </c>
      <c r="Q610" t="s">
        <v>3586</v>
      </c>
    </row>
    <row r="611" spans="1:17" ht="43.5" hidden="1" x14ac:dyDescent="0.35">
      <c r="A611" s="155" t="e">
        <f t="shared" si="8"/>
        <v>#REF!</v>
      </c>
      <c r="B611" s="140" t="s">
        <v>18</v>
      </c>
      <c r="C611" s="140" t="s">
        <v>37</v>
      </c>
      <c r="D611" s="277" t="s">
        <v>476</v>
      </c>
      <c r="E611" s="140" t="s">
        <v>1874</v>
      </c>
      <c r="F611" s="140" t="s">
        <v>849</v>
      </c>
      <c r="G611" s="140" t="s">
        <v>504</v>
      </c>
      <c r="H611" s="140" t="s">
        <v>1875</v>
      </c>
      <c r="I611" s="140"/>
      <c r="J611" s="270"/>
      <c r="K611" s="155" t="s">
        <v>221</v>
      </c>
      <c r="L611" s="140" t="s">
        <v>273</v>
      </c>
      <c r="M611" s="32" t="s">
        <v>97</v>
      </c>
      <c r="N611" s="140" t="s">
        <v>1876</v>
      </c>
      <c r="O611" s="10">
        <v>150000000</v>
      </c>
      <c r="P611" s="140" t="s">
        <v>1839</v>
      </c>
      <c r="Q611" t="s">
        <v>3586</v>
      </c>
    </row>
    <row r="612" spans="1:17" ht="43.5" hidden="1" x14ac:dyDescent="0.35">
      <c r="A612" s="155" t="e">
        <f t="shared" si="8"/>
        <v>#REF!</v>
      </c>
      <c r="B612" s="140" t="s">
        <v>18</v>
      </c>
      <c r="C612" s="140" t="s">
        <v>37</v>
      </c>
      <c r="D612" s="140" t="s">
        <v>1515</v>
      </c>
      <c r="E612" s="140" t="s">
        <v>1877</v>
      </c>
      <c r="F612" s="140" t="s">
        <v>852</v>
      </c>
      <c r="G612" s="144" t="s">
        <v>504</v>
      </c>
      <c r="H612" s="144" t="s">
        <v>853</v>
      </c>
      <c r="I612" s="140" t="s">
        <v>1878</v>
      </c>
      <c r="J612" s="270">
        <v>105000000</v>
      </c>
      <c r="K612" s="155" t="s">
        <v>221</v>
      </c>
      <c r="L612" s="140">
        <v>2933817</v>
      </c>
      <c r="M612" s="32" t="s">
        <v>97</v>
      </c>
      <c r="N612" s="140" t="s">
        <v>1873</v>
      </c>
      <c r="O612" s="10">
        <v>110000000</v>
      </c>
      <c r="P612" s="140" t="s">
        <v>1879</v>
      </c>
      <c r="Q612" t="s">
        <v>3564</v>
      </c>
    </row>
    <row r="613" spans="1:17" ht="43.5" hidden="1" x14ac:dyDescent="0.35">
      <c r="A613" s="155" t="e">
        <f t="shared" si="8"/>
        <v>#REF!</v>
      </c>
      <c r="B613" s="140" t="s">
        <v>18</v>
      </c>
      <c r="C613" s="140" t="s">
        <v>37</v>
      </c>
      <c r="D613" s="140" t="s">
        <v>1515</v>
      </c>
      <c r="E613" s="140" t="s">
        <v>992</v>
      </c>
      <c r="F613" s="140" t="s">
        <v>503</v>
      </c>
      <c r="G613" s="144" t="s">
        <v>504</v>
      </c>
      <c r="H613" s="144" t="s">
        <v>505</v>
      </c>
      <c r="I613" s="140" t="s">
        <v>35</v>
      </c>
      <c r="J613" s="270">
        <v>15000000</v>
      </c>
      <c r="K613" s="155" t="s">
        <v>221</v>
      </c>
      <c r="L613" s="140">
        <v>2870301</v>
      </c>
      <c r="M613" s="32" t="s">
        <v>97</v>
      </c>
      <c r="N613" s="140" t="s">
        <v>1880</v>
      </c>
      <c r="O613" s="10">
        <v>50000000</v>
      </c>
      <c r="P613" s="140"/>
      <c r="Q613" t="s">
        <v>3564</v>
      </c>
    </row>
    <row r="614" spans="1:17" ht="43.5" hidden="1" x14ac:dyDescent="0.35">
      <c r="A614" s="155" t="e">
        <f t="shared" si="8"/>
        <v>#REF!</v>
      </c>
      <c r="B614" s="144" t="s">
        <v>18</v>
      </c>
      <c r="C614" s="144" t="s">
        <v>37</v>
      </c>
      <c r="D614" s="140" t="s">
        <v>1515</v>
      </c>
      <c r="E614" s="144" t="s">
        <v>992</v>
      </c>
      <c r="F614" s="144" t="s">
        <v>503</v>
      </c>
      <c r="G614" s="144" t="s">
        <v>504</v>
      </c>
      <c r="H614" s="144" t="s">
        <v>505</v>
      </c>
      <c r="I614" s="144" t="s">
        <v>1881</v>
      </c>
      <c r="J614" s="281">
        <v>100000000</v>
      </c>
      <c r="K614" s="143" t="s">
        <v>221</v>
      </c>
      <c r="L614" s="140" t="s">
        <v>273</v>
      </c>
      <c r="M614" s="32" t="s">
        <v>97</v>
      </c>
      <c r="N614" s="144" t="s">
        <v>1881</v>
      </c>
      <c r="O614" s="282">
        <v>100000000</v>
      </c>
      <c r="P614" s="140" t="s">
        <v>275</v>
      </c>
      <c r="Q614" t="s">
        <v>3564</v>
      </c>
    </row>
    <row r="615" spans="1:17" ht="43.5" hidden="1" x14ac:dyDescent="0.35">
      <c r="A615" s="155" t="e">
        <f t="shared" si="8"/>
        <v>#REF!</v>
      </c>
      <c r="B615" s="140" t="s">
        <v>18</v>
      </c>
      <c r="C615" s="140" t="s">
        <v>37</v>
      </c>
      <c r="D615" s="277" t="s">
        <v>476</v>
      </c>
      <c r="E615" s="140" t="s">
        <v>1714</v>
      </c>
      <c r="F615" s="140" t="s">
        <v>508</v>
      </c>
      <c r="G615" s="144" t="s">
        <v>504</v>
      </c>
      <c r="H615" s="144" t="s">
        <v>509</v>
      </c>
      <c r="I615" s="140" t="s">
        <v>35</v>
      </c>
      <c r="J615" s="270">
        <v>25000000</v>
      </c>
      <c r="K615" s="155" t="s">
        <v>221</v>
      </c>
      <c r="L615" s="140">
        <v>2847887</v>
      </c>
      <c r="M615" s="32" t="s">
        <v>97</v>
      </c>
      <c r="N615" s="140">
        <v>13</v>
      </c>
      <c r="O615" s="10">
        <v>45000000</v>
      </c>
      <c r="P615" s="140" t="s">
        <v>1839</v>
      </c>
      <c r="Q615" t="s">
        <v>3586</v>
      </c>
    </row>
    <row r="616" spans="1:17" ht="43.5" hidden="1" x14ac:dyDescent="0.35">
      <c r="A616" s="155" t="e">
        <f t="shared" si="8"/>
        <v>#REF!</v>
      </c>
      <c r="B616" s="140" t="s">
        <v>18</v>
      </c>
      <c r="C616" s="140" t="s">
        <v>37</v>
      </c>
      <c r="D616" s="277" t="s">
        <v>476</v>
      </c>
      <c r="E616" s="140" t="s">
        <v>1882</v>
      </c>
      <c r="F616" s="140" t="s">
        <v>508</v>
      </c>
      <c r="G616" s="144" t="s">
        <v>504</v>
      </c>
      <c r="H616" s="144" t="s">
        <v>509</v>
      </c>
      <c r="I616" s="140" t="s">
        <v>35</v>
      </c>
      <c r="J616" s="270">
        <v>100000000</v>
      </c>
      <c r="K616" s="155" t="s">
        <v>221</v>
      </c>
      <c r="L616" s="140">
        <v>2849227</v>
      </c>
      <c r="M616" s="32" t="s">
        <v>97</v>
      </c>
      <c r="N616" s="140" t="s">
        <v>1883</v>
      </c>
      <c r="O616" s="10">
        <v>100000000</v>
      </c>
      <c r="P616" s="140" t="s">
        <v>1839</v>
      </c>
      <c r="Q616" t="s">
        <v>3586</v>
      </c>
    </row>
    <row r="617" spans="1:17" ht="43.5" hidden="1" x14ac:dyDescent="0.35">
      <c r="A617" s="155" t="e">
        <f t="shared" si="8"/>
        <v>#REF!</v>
      </c>
      <c r="B617" s="140" t="s">
        <v>18</v>
      </c>
      <c r="C617" s="140" t="s">
        <v>37</v>
      </c>
      <c r="D617" s="277" t="s">
        <v>476</v>
      </c>
      <c r="E617" s="140" t="s">
        <v>992</v>
      </c>
      <c r="F617" s="140" t="s">
        <v>513</v>
      </c>
      <c r="G617" s="144" t="s">
        <v>504</v>
      </c>
      <c r="H617" s="144" t="s">
        <v>514</v>
      </c>
      <c r="I617" s="140" t="s">
        <v>35</v>
      </c>
      <c r="J617" s="270">
        <v>15000000</v>
      </c>
      <c r="K617" s="155" t="s">
        <v>221</v>
      </c>
      <c r="L617" s="140">
        <v>2847887</v>
      </c>
      <c r="M617" s="32" t="s">
        <v>97</v>
      </c>
      <c r="N617" s="140">
        <v>200</v>
      </c>
      <c r="O617" s="10">
        <v>40000000</v>
      </c>
      <c r="P617" s="140" t="s">
        <v>1839</v>
      </c>
      <c r="Q617" t="s">
        <v>3586</v>
      </c>
    </row>
    <row r="618" spans="1:17" ht="43.5" hidden="1" x14ac:dyDescent="0.35">
      <c r="A618" s="155" t="e">
        <f t="shared" si="8"/>
        <v>#REF!</v>
      </c>
      <c r="B618" s="140" t="s">
        <v>18</v>
      </c>
      <c r="C618" s="140" t="s">
        <v>37</v>
      </c>
      <c r="D618" s="277" t="s">
        <v>476</v>
      </c>
      <c r="E618" s="140" t="s">
        <v>1882</v>
      </c>
      <c r="F618" s="140" t="s">
        <v>513</v>
      </c>
      <c r="G618" s="144" t="s">
        <v>504</v>
      </c>
      <c r="H618" s="144" t="s">
        <v>514</v>
      </c>
      <c r="I618" s="140" t="s">
        <v>35</v>
      </c>
      <c r="J618" s="270">
        <v>100000000</v>
      </c>
      <c r="K618" s="155" t="s">
        <v>221</v>
      </c>
      <c r="L618" s="140">
        <v>2849227</v>
      </c>
      <c r="M618" s="32" t="s">
        <v>97</v>
      </c>
      <c r="N618" s="140" t="s">
        <v>1884</v>
      </c>
      <c r="O618" s="10">
        <v>100000000</v>
      </c>
      <c r="P618" s="140" t="s">
        <v>1839</v>
      </c>
      <c r="Q618" t="s">
        <v>3586</v>
      </c>
    </row>
    <row r="619" spans="1:17" ht="43.5" hidden="1" x14ac:dyDescent="0.35">
      <c r="A619" s="155" t="e">
        <f t="shared" si="8"/>
        <v>#REF!</v>
      </c>
      <c r="B619" s="140" t="s">
        <v>18</v>
      </c>
      <c r="C619" s="140" t="s">
        <v>37</v>
      </c>
      <c r="D619" s="140" t="s">
        <v>1515</v>
      </c>
      <c r="E619" s="140" t="s">
        <v>1885</v>
      </c>
      <c r="F619" s="140" t="s">
        <v>1886</v>
      </c>
      <c r="G619" s="140" t="s">
        <v>1887</v>
      </c>
      <c r="H619" s="140" t="s">
        <v>1888</v>
      </c>
      <c r="I619" s="140" t="s">
        <v>1889</v>
      </c>
      <c r="J619" s="270">
        <v>100000000</v>
      </c>
      <c r="K619" s="155" t="s">
        <v>221</v>
      </c>
      <c r="L619" s="140">
        <v>2932693</v>
      </c>
      <c r="M619" s="32" t="s">
        <v>97</v>
      </c>
      <c r="N619" s="272">
        <v>450</v>
      </c>
      <c r="O619" s="10">
        <v>114300000</v>
      </c>
      <c r="P619" s="271"/>
      <c r="Q619" t="s">
        <v>3564</v>
      </c>
    </row>
    <row r="620" spans="1:17" ht="43.5" hidden="1" x14ac:dyDescent="0.35">
      <c r="A620" s="155" t="e">
        <f t="shared" si="8"/>
        <v>#REF!</v>
      </c>
      <c r="B620" s="140" t="s">
        <v>18</v>
      </c>
      <c r="C620" s="140" t="s">
        <v>37</v>
      </c>
      <c r="D620" s="140" t="s">
        <v>1515</v>
      </c>
      <c r="E620" s="140" t="s">
        <v>1885</v>
      </c>
      <c r="F620" s="140" t="s">
        <v>1890</v>
      </c>
      <c r="G620" s="140" t="s">
        <v>1887</v>
      </c>
      <c r="H620" s="140" t="s">
        <v>1891</v>
      </c>
      <c r="I620" s="140" t="s">
        <v>1892</v>
      </c>
      <c r="J620" s="270">
        <v>50000000</v>
      </c>
      <c r="K620" s="155" t="s">
        <v>221</v>
      </c>
      <c r="L620" s="140">
        <v>2862955</v>
      </c>
      <c r="M620" s="32" t="s">
        <v>97</v>
      </c>
      <c r="N620" s="272">
        <v>450</v>
      </c>
      <c r="O620" s="10">
        <v>114300000</v>
      </c>
      <c r="P620" s="271"/>
      <c r="Q620" t="s">
        <v>3564</v>
      </c>
    </row>
    <row r="621" spans="1:17" ht="43.5" hidden="1" x14ac:dyDescent="0.35">
      <c r="A621" s="155" t="e">
        <f t="shared" si="8"/>
        <v>#REF!</v>
      </c>
      <c r="B621" s="140" t="s">
        <v>18</v>
      </c>
      <c r="C621" s="140" t="s">
        <v>37</v>
      </c>
      <c r="D621" s="140" t="s">
        <v>1515</v>
      </c>
      <c r="E621" s="140" t="s">
        <v>1885</v>
      </c>
      <c r="F621" s="140" t="s">
        <v>1893</v>
      </c>
      <c r="G621" s="140" t="s">
        <v>1887</v>
      </c>
      <c r="H621" s="140" t="s">
        <v>1894</v>
      </c>
      <c r="I621" s="140" t="s">
        <v>1895</v>
      </c>
      <c r="J621" s="270">
        <v>100000000</v>
      </c>
      <c r="K621" s="155" t="s">
        <v>221</v>
      </c>
      <c r="L621" s="140">
        <v>2862405</v>
      </c>
      <c r="M621" s="32" t="s">
        <v>97</v>
      </c>
      <c r="N621" s="140">
        <v>462.5</v>
      </c>
      <c r="O621" s="10">
        <v>117475000</v>
      </c>
      <c r="P621" s="140"/>
      <c r="Q621" t="s">
        <v>3564</v>
      </c>
    </row>
    <row r="622" spans="1:17" ht="43.5" hidden="1" x14ac:dyDescent="0.35">
      <c r="A622" s="155" t="e">
        <f t="shared" si="8"/>
        <v>#REF!</v>
      </c>
      <c r="B622" s="140" t="s">
        <v>18</v>
      </c>
      <c r="C622" s="140" t="s">
        <v>37</v>
      </c>
      <c r="D622" s="140" t="s">
        <v>1515</v>
      </c>
      <c r="E622" s="140" t="s">
        <v>1885</v>
      </c>
      <c r="F622" s="140" t="s">
        <v>1896</v>
      </c>
      <c r="G622" s="140" t="s">
        <v>1887</v>
      </c>
      <c r="H622" s="140" t="s">
        <v>1897</v>
      </c>
      <c r="I622" s="140" t="s">
        <v>1898</v>
      </c>
      <c r="J622" s="270">
        <v>50000000</v>
      </c>
      <c r="K622" s="155" t="s">
        <v>221</v>
      </c>
      <c r="L622" s="140">
        <v>2950748</v>
      </c>
      <c r="M622" s="32" t="s">
        <v>97</v>
      </c>
      <c r="N622" s="140">
        <v>450</v>
      </c>
      <c r="O622" s="10">
        <v>114300000</v>
      </c>
      <c r="P622" s="140"/>
      <c r="Q622" t="s">
        <v>3564</v>
      </c>
    </row>
    <row r="623" spans="1:17" ht="43.5" hidden="1" x14ac:dyDescent="0.35">
      <c r="A623" s="155" t="e">
        <f t="shared" si="8"/>
        <v>#REF!</v>
      </c>
      <c r="B623" s="140" t="s">
        <v>18</v>
      </c>
      <c r="C623" s="140" t="s">
        <v>37</v>
      </c>
      <c r="D623" s="140" t="s">
        <v>1515</v>
      </c>
      <c r="E623" s="140" t="s">
        <v>1885</v>
      </c>
      <c r="F623" s="140" t="s">
        <v>1899</v>
      </c>
      <c r="G623" s="140" t="s">
        <v>1887</v>
      </c>
      <c r="H623" s="140" t="s">
        <v>1900</v>
      </c>
      <c r="I623" s="140" t="s">
        <v>1901</v>
      </c>
      <c r="J623" s="270">
        <v>200000000</v>
      </c>
      <c r="K623" s="155" t="s">
        <v>221</v>
      </c>
      <c r="L623" s="140">
        <v>2862216</v>
      </c>
      <c r="M623" s="32" t="s">
        <v>97</v>
      </c>
      <c r="N623" s="140">
        <v>860</v>
      </c>
      <c r="O623" s="10">
        <v>218440000</v>
      </c>
      <c r="P623" s="271"/>
      <c r="Q623" t="s">
        <v>3564</v>
      </c>
    </row>
    <row r="624" spans="1:17" ht="43.5" hidden="1" x14ac:dyDescent="0.35">
      <c r="A624" s="155" t="e">
        <f t="shared" si="8"/>
        <v>#REF!</v>
      </c>
      <c r="B624" s="140" t="s">
        <v>18</v>
      </c>
      <c r="C624" s="140" t="s">
        <v>37</v>
      </c>
      <c r="D624" s="140" t="s">
        <v>1515</v>
      </c>
      <c r="E624" s="140" t="s">
        <v>1885</v>
      </c>
      <c r="F624" s="140" t="s">
        <v>1902</v>
      </c>
      <c r="G624" s="140" t="s">
        <v>1887</v>
      </c>
      <c r="H624" s="140" t="s">
        <v>1903</v>
      </c>
      <c r="I624" s="140" t="s">
        <v>1904</v>
      </c>
      <c r="J624" s="270">
        <v>100000000</v>
      </c>
      <c r="K624" s="155" t="s">
        <v>221</v>
      </c>
      <c r="L624" s="140">
        <v>2862569</v>
      </c>
      <c r="M624" s="32" t="s">
        <v>97</v>
      </c>
      <c r="N624" s="140">
        <v>450</v>
      </c>
      <c r="O624" s="10">
        <v>114300000</v>
      </c>
      <c r="P624" s="140"/>
      <c r="Q624" t="s">
        <v>3564</v>
      </c>
    </row>
    <row r="625" spans="1:17" ht="43.5" hidden="1" x14ac:dyDescent="0.35">
      <c r="A625" s="155" t="e">
        <f t="shared" si="8"/>
        <v>#REF!</v>
      </c>
      <c r="B625" s="140" t="s">
        <v>18</v>
      </c>
      <c r="C625" s="140" t="s">
        <v>37</v>
      </c>
      <c r="D625" s="140" t="s">
        <v>1515</v>
      </c>
      <c r="E625" s="140" t="s">
        <v>1885</v>
      </c>
      <c r="F625" s="140" t="s">
        <v>1905</v>
      </c>
      <c r="G625" s="140" t="s">
        <v>1887</v>
      </c>
      <c r="H625" s="140" t="s">
        <v>1906</v>
      </c>
      <c r="I625" s="140" t="s">
        <v>1904</v>
      </c>
      <c r="J625" s="270">
        <v>100000000</v>
      </c>
      <c r="K625" s="155" t="s">
        <v>221</v>
      </c>
      <c r="L625" s="140">
        <v>2862311</v>
      </c>
      <c r="M625" s="32" t="s">
        <v>97</v>
      </c>
      <c r="N625" s="140">
        <v>860</v>
      </c>
      <c r="O625" s="10">
        <v>218440000</v>
      </c>
      <c r="P625" s="140"/>
      <c r="Q625" t="s">
        <v>3564</v>
      </c>
    </row>
    <row r="626" spans="1:17" ht="43.5" hidden="1" x14ac:dyDescent="0.35">
      <c r="A626" s="155" t="e">
        <f t="shared" si="8"/>
        <v>#REF!</v>
      </c>
      <c r="B626" s="140" t="s">
        <v>18</v>
      </c>
      <c r="C626" s="140" t="s">
        <v>37</v>
      </c>
      <c r="D626" s="277" t="s">
        <v>476</v>
      </c>
      <c r="E626" s="140" t="s">
        <v>1907</v>
      </c>
      <c r="F626" s="140" t="s">
        <v>1116</v>
      </c>
      <c r="G626" s="140" t="s">
        <v>566</v>
      </c>
      <c r="H626" s="140" t="s">
        <v>1117</v>
      </c>
      <c r="I626" s="144" t="s">
        <v>1423</v>
      </c>
      <c r="J626" s="283">
        <v>52000000</v>
      </c>
      <c r="K626" s="143" t="s">
        <v>221</v>
      </c>
      <c r="L626" s="140">
        <v>2878332</v>
      </c>
      <c r="M626" s="32" t="s">
        <v>97</v>
      </c>
      <c r="N626" s="140">
        <v>50</v>
      </c>
      <c r="O626" s="10">
        <v>24811100</v>
      </c>
      <c r="P626" s="140" t="s">
        <v>1908</v>
      </c>
      <c r="Q626" t="s">
        <v>3586</v>
      </c>
    </row>
    <row r="627" spans="1:17" ht="43.5" hidden="1" x14ac:dyDescent="0.35">
      <c r="A627" s="155" t="e">
        <f t="shared" si="8"/>
        <v>#REF!</v>
      </c>
      <c r="B627" s="140" t="s">
        <v>18</v>
      </c>
      <c r="C627" s="140" t="s">
        <v>37</v>
      </c>
      <c r="D627" s="277" t="s">
        <v>476</v>
      </c>
      <c r="E627" s="140" t="s">
        <v>1907</v>
      </c>
      <c r="F627" s="140" t="s">
        <v>1116</v>
      </c>
      <c r="G627" s="140" t="s">
        <v>566</v>
      </c>
      <c r="H627" s="140" t="s">
        <v>1117</v>
      </c>
      <c r="I627" s="144" t="s">
        <v>1423</v>
      </c>
      <c r="J627" s="284">
        <v>52000000</v>
      </c>
      <c r="K627" s="143" t="s">
        <v>221</v>
      </c>
      <c r="L627" s="140">
        <v>2878332</v>
      </c>
      <c r="M627" s="32" t="s">
        <v>97</v>
      </c>
      <c r="N627" s="140">
        <v>50</v>
      </c>
      <c r="O627" s="10">
        <v>24811100</v>
      </c>
      <c r="P627" s="140" t="s">
        <v>1909</v>
      </c>
      <c r="Q627" t="s">
        <v>3586</v>
      </c>
    </row>
    <row r="628" spans="1:17" ht="43.5" hidden="1" x14ac:dyDescent="0.35">
      <c r="A628" s="155" t="e">
        <f>#REF!+1</f>
        <v>#REF!</v>
      </c>
      <c r="B628" s="140" t="s">
        <v>18</v>
      </c>
      <c r="C628" s="140" t="s">
        <v>37</v>
      </c>
      <c r="D628" s="140" t="s">
        <v>1515</v>
      </c>
      <c r="E628" s="140" t="s">
        <v>1910</v>
      </c>
      <c r="F628" s="140" t="s">
        <v>1119</v>
      </c>
      <c r="G628" s="140" t="s">
        <v>566</v>
      </c>
      <c r="H628" s="140" t="s">
        <v>1120</v>
      </c>
      <c r="I628" s="144" t="s">
        <v>1911</v>
      </c>
      <c r="J628" s="284">
        <v>200000000</v>
      </c>
      <c r="K628" s="143" t="s">
        <v>221</v>
      </c>
      <c r="L628" s="140">
        <v>2959017</v>
      </c>
      <c r="M628" s="32" t="s">
        <v>97</v>
      </c>
      <c r="N628" s="140">
        <v>636</v>
      </c>
      <c r="O628" s="10">
        <v>208524590</v>
      </c>
      <c r="P628" s="140" t="s">
        <v>1909</v>
      </c>
      <c r="Q628" t="s">
        <v>3564</v>
      </c>
    </row>
    <row r="629" spans="1:17" ht="43.5" hidden="1" x14ac:dyDescent="0.35">
      <c r="A629" s="155" t="e">
        <f t="shared" ref="A629:A692" si="9">A628+1</f>
        <v>#REF!</v>
      </c>
      <c r="B629" s="140" t="s">
        <v>18</v>
      </c>
      <c r="C629" s="140" t="s">
        <v>37</v>
      </c>
      <c r="D629" s="140" t="s">
        <v>1515</v>
      </c>
      <c r="E629" s="140" t="s">
        <v>1912</v>
      </c>
      <c r="F629" s="140" t="s">
        <v>849</v>
      </c>
      <c r="G629" s="140" t="s">
        <v>1913</v>
      </c>
      <c r="H629" s="140" t="s">
        <v>1875</v>
      </c>
      <c r="I629" s="140"/>
      <c r="J629" s="276"/>
      <c r="K629" s="155" t="s">
        <v>221</v>
      </c>
      <c r="L629" s="140" t="s">
        <v>273</v>
      </c>
      <c r="M629" s="32" t="s">
        <v>97</v>
      </c>
      <c r="N629" s="140">
        <v>450</v>
      </c>
      <c r="O629" s="10">
        <v>114300000</v>
      </c>
      <c r="P629" s="140" t="s">
        <v>1914</v>
      </c>
      <c r="Q629" t="s">
        <v>3564</v>
      </c>
    </row>
    <row r="630" spans="1:17" ht="43.5" hidden="1" x14ac:dyDescent="0.35">
      <c r="A630" s="155" t="e">
        <f t="shared" si="9"/>
        <v>#REF!</v>
      </c>
      <c r="B630" s="140" t="s">
        <v>18</v>
      </c>
      <c r="C630" s="140" t="s">
        <v>37</v>
      </c>
      <c r="D630" s="140" t="s">
        <v>1515</v>
      </c>
      <c r="E630" s="140" t="s">
        <v>1912</v>
      </c>
      <c r="F630" s="140" t="s">
        <v>1915</v>
      </c>
      <c r="G630" s="144" t="s">
        <v>1913</v>
      </c>
      <c r="H630" s="144" t="s">
        <v>1916</v>
      </c>
      <c r="I630" s="144" t="s">
        <v>1917</v>
      </c>
      <c r="J630" s="270">
        <v>170000000</v>
      </c>
      <c r="K630" s="155" t="s">
        <v>221</v>
      </c>
      <c r="L630" s="140">
        <v>2899612</v>
      </c>
      <c r="M630" s="32" t="s">
        <v>97</v>
      </c>
      <c r="N630" s="140">
        <v>808</v>
      </c>
      <c r="O630" s="10">
        <v>205232000</v>
      </c>
      <c r="P630" s="271"/>
      <c r="Q630" t="s">
        <v>3564</v>
      </c>
    </row>
    <row r="631" spans="1:17" ht="43.5" hidden="1" x14ac:dyDescent="0.35">
      <c r="A631" s="155" t="e">
        <f t="shared" si="9"/>
        <v>#REF!</v>
      </c>
      <c r="B631" s="140" t="s">
        <v>18</v>
      </c>
      <c r="C631" s="140" t="s">
        <v>37</v>
      </c>
      <c r="D631" s="140" t="s">
        <v>1515</v>
      </c>
      <c r="E631" s="140" t="s">
        <v>1912</v>
      </c>
      <c r="F631" s="140" t="s">
        <v>1918</v>
      </c>
      <c r="G631" s="144" t="s">
        <v>1913</v>
      </c>
      <c r="H631" s="144" t="s">
        <v>1919</v>
      </c>
      <c r="I631" s="144" t="s">
        <v>1920</v>
      </c>
      <c r="J631" s="270">
        <v>170000000</v>
      </c>
      <c r="K631" s="155" t="s">
        <v>221</v>
      </c>
      <c r="L631" s="140">
        <v>2899737</v>
      </c>
      <c r="M631" s="32" t="s">
        <v>97</v>
      </c>
      <c r="N631" s="140">
        <v>750</v>
      </c>
      <c r="O631" s="10">
        <v>190500000</v>
      </c>
      <c r="P631" s="140"/>
      <c r="Q631" t="s">
        <v>3564</v>
      </c>
    </row>
    <row r="632" spans="1:17" ht="43.5" hidden="1" x14ac:dyDescent="0.35">
      <c r="A632" s="155" t="e">
        <f t="shared" si="9"/>
        <v>#REF!</v>
      </c>
      <c r="B632" s="140" t="s">
        <v>18</v>
      </c>
      <c r="C632" s="140" t="s">
        <v>37</v>
      </c>
      <c r="D632" s="277" t="s">
        <v>476</v>
      </c>
      <c r="E632" s="140" t="s">
        <v>1714</v>
      </c>
      <c r="F632" s="140" t="s">
        <v>1921</v>
      </c>
      <c r="G632" s="140" t="s">
        <v>1913</v>
      </c>
      <c r="H632" s="140" t="s">
        <v>1922</v>
      </c>
      <c r="I632" s="140"/>
      <c r="J632" s="276"/>
      <c r="K632" s="155" t="s">
        <v>221</v>
      </c>
      <c r="L632" s="140" t="s">
        <v>273</v>
      </c>
      <c r="M632" s="32" t="s">
        <v>97</v>
      </c>
      <c r="N632" s="140">
        <v>170</v>
      </c>
      <c r="O632" s="10">
        <v>119340000</v>
      </c>
      <c r="P632" s="140" t="s">
        <v>1923</v>
      </c>
      <c r="Q632" t="s">
        <v>3586</v>
      </c>
    </row>
    <row r="633" spans="1:17" ht="43.5" hidden="1" x14ac:dyDescent="0.35">
      <c r="A633" s="155" t="e">
        <f t="shared" si="9"/>
        <v>#REF!</v>
      </c>
      <c r="B633" s="140" t="s">
        <v>18</v>
      </c>
      <c r="C633" s="140" t="s">
        <v>37</v>
      </c>
      <c r="D633" s="140" t="s">
        <v>1515</v>
      </c>
      <c r="E633" s="140" t="s">
        <v>1912</v>
      </c>
      <c r="F633" s="140" t="s">
        <v>1924</v>
      </c>
      <c r="G633" s="144" t="s">
        <v>1913</v>
      </c>
      <c r="H633" s="144" t="s">
        <v>1913</v>
      </c>
      <c r="I633" s="144" t="s">
        <v>1925</v>
      </c>
      <c r="J633" s="270">
        <v>170000000</v>
      </c>
      <c r="K633" s="155" t="s">
        <v>221</v>
      </c>
      <c r="L633" s="140">
        <v>2899553</v>
      </c>
      <c r="M633" s="32" t="s">
        <v>97</v>
      </c>
      <c r="N633" s="140">
        <v>800</v>
      </c>
      <c r="O633" s="10">
        <v>203200000</v>
      </c>
      <c r="P633" s="140"/>
      <c r="Q633" t="s">
        <v>3564</v>
      </c>
    </row>
    <row r="634" spans="1:17" ht="43.5" hidden="1" x14ac:dyDescent="0.35">
      <c r="A634" s="155" t="e">
        <f t="shared" si="9"/>
        <v>#REF!</v>
      </c>
      <c r="B634" s="140" t="s">
        <v>18</v>
      </c>
      <c r="C634" s="140" t="s">
        <v>37</v>
      </c>
      <c r="D634" s="140" t="s">
        <v>1515</v>
      </c>
      <c r="E634" s="140" t="s">
        <v>1912</v>
      </c>
      <c r="F634" s="140" t="s">
        <v>1926</v>
      </c>
      <c r="G634" s="144" t="s">
        <v>1913</v>
      </c>
      <c r="H634" s="144" t="s">
        <v>1927</v>
      </c>
      <c r="I634" s="144" t="s">
        <v>1928</v>
      </c>
      <c r="J634" s="270">
        <v>170000000</v>
      </c>
      <c r="K634" s="155" t="s">
        <v>221</v>
      </c>
      <c r="L634" s="140">
        <v>2899698</v>
      </c>
      <c r="M634" s="32" t="s">
        <v>97</v>
      </c>
      <c r="N634" s="140">
        <v>810</v>
      </c>
      <c r="O634" s="10">
        <v>205740000</v>
      </c>
      <c r="P634" s="140"/>
      <c r="Q634" t="s">
        <v>3564</v>
      </c>
    </row>
    <row r="635" spans="1:17" ht="43.5" hidden="1" x14ac:dyDescent="0.35">
      <c r="A635" s="155" t="e">
        <f t="shared" si="9"/>
        <v>#REF!</v>
      </c>
      <c r="B635" s="140" t="s">
        <v>18</v>
      </c>
      <c r="C635" s="140" t="s">
        <v>37</v>
      </c>
      <c r="D635" s="277" t="s">
        <v>476</v>
      </c>
      <c r="E635" s="140" t="s">
        <v>1929</v>
      </c>
      <c r="F635" s="140" t="s">
        <v>1930</v>
      </c>
      <c r="G635" s="140" t="s">
        <v>1127</v>
      </c>
      <c r="H635" s="140" t="s">
        <v>1931</v>
      </c>
      <c r="I635" s="140" t="s">
        <v>1932</v>
      </c>
      <c r="J635" s="270">
        <v>139000000</v>
      </c>
      <c r="K635" s="155" t="s">
        <v>221</v>
      </c>
      <c r="L635" s="140">
        <v>2960625</v>
      </c>
      <c r="M635" s="32" t="s">
        <v>97</v>
      </c>
      <c r="N635" s="273" t="s">
        <v>1933</v>
      </c>
      <c r="O635" s="10">
        <v>100163554</v>
      </c>
      <c r="P635" s="140" t="s">
        <v>1839</v>
      </c>
      <c r="Q635" t="s">
        <v>3586</v>
      </c>
    </row>
    <row r="636" spans="1:17" ht="43.5" hidden="1" x14ac:dyDescent="0.35">
      <c r="A636" s="155" t="e">
        <f t="shared" si="9"/>
        <v>#REF!</v>
      </c>
      <c r="B636" s="140" t="s">
        <v>18</v>
      </c>
      <c r="C636" s="140" t="s">
        <v>37</v>
      </c>
      <c r="D636" s="140" t="s">
        <v>1515</v>
      </c>
      <c r="E636" s="140" t="s">
        <v>1718</v>
      </c>
      <c r="F636" s="140" t="s">
        <v>1126</v>
      </c>
      <c r="G636" s="140" t="s">
        <v>1127</v>
      </c>
      <c r="H636" s="140" t="s">
        <v>1128</v>
      </c>
      <c r="I636" s="140" t="s">
        <v>1934</v>
      </c>
      <c r="J636" s="270">
        <v>197853000</v>
      </c>
      <c r="K636" s="155" t="s">
        <v>221</v>
      </c>
      <c r="L636" s="140">
        <v>2870926</v>
      </c>
      <c r="M636" s="32" t="s">
        <v>97</v>
      </c>
      <c r="N636" s="273">
        <v>789</v>
      </c>
      <c r="O636" s="10">
        <v>258688522.64999998</v>
      </c>
      <c r="P636" s="140"/>
      <c r="Q636" t="s">
        <v>3564</v>
      </c>
    </row>
    <row r="637" spans="1:17" ht="43.5" hidden="1" x14ac:dyDescent="0.35">
      <c r="A637" s="155" t="e">
        <f t="shared" si="9"/>
        <v>#REF!</v>
      </c>
      <c r="B637" s="140" t="s">
        <v>18</v>
      </c>
      <c r="C637" s="140" t="s">
        <v>37</v>
      </c>
      <c r="D637" s="140" t="s">
        <v>1515</v>
      </c>
      <c r="E637" s="140" t="s">
        <v>1718</v>
      </c>
      <c r="F637" s="140" t="s">
        <v>1935</v>
      </c>
      <c r="G637" s="140" t="s">
        <v>1127</v>
      </c>
      <c r="H637" s="140" t="s">
        <v>1936</v>
      </c>
      <c r="I637" s="140" t="s">
        <v>1937</v>
      </c>
      <c r="J637" s="270">
        <v>147145000</v>
      </c>
      <c r="K637" s="155" t="s">
        <v>221</v>
      </c>
      <c r="L637" s="140">
        <v>2843287</v>
      </c>
      <c r="M637" s="32" t="s">
        <v>97</v>
      </c>
      <c r="N637" s="273">
        <v>649</v>
      </c>
      <c r="O637" s="10">
        <v>212786883.64999998</v>
      </c>
      <c r="P637" s="140"/>
      <c r="Q637" t="s">
        <v>3564</v>
      </c>
    </row>
    <row r="638" spans="1:17" ht="43.5" hidden="1" x14ac:dyDescent="0.35">
      <c r="A638" s="155" t="e">
        <f t="shared" si="9"/>
        <v>#REF!</v>
      </c>
      <c r="B638" s="140" t="s">
        <v>18</v>
      </c>
      <c r="C638" s="140" t="s">
        <v>37</v>
      </c>
      <c r="D638" s="140" t="s">
        <v>1515</v>
      </c>
      <c r="E638" s="140" t="s">
        <v>1938</v>
      </c>
      <c r="F638" s="140" t="s">
        <v>1939</v>
      </c>
      <c r="G638" s="140" t="s">
        <v>1127</v>
      </c>
      <c r="H638" s="140" t="s">
        <v>1940</v>
      </c>
      <c r="I638" s="140" t="s">
        <v>1941</v>
      </c>
      <c r="J638" s="270">
        <v>77000000</v>
      </c>
      <c r="K638" s="155" t="s">
        <v>221</v>
      </c>
      <c r="L638" s="140">
        <v>2894929</v>
      </c>
      <c r="M638" s="32" t="s">
        <v>97</v>
      </c>
      <c r="N638" s="273">
        <v>51</v>
      </c>
      <c r="O638" s="10">
        <v>74249268</v>
      </c>
      <c r="P638" s="140"/>
      <c r="Q638" t="s">
        <v>3564</v>
      </c>
    </row>
    <row r="639" spans="1:17" ht="43.5" hidden="1" x14ac:dyDescent="0.35">
      <c r="A639" s="155" t="e">
        <f t="shared" si="9"/>
        <v>#REF!</v>
      </c>
      <c r="B639" s="140" t="s">
        <v>18</v>
      </c>
      <c r="C639" s="140" t="s">
        <v>37</v>
      </c>
      <c r="D639" s="140" t="s">
        <v>1515</v>
      </c>
      <c r="E639" s="140" t="s">
        <v>1718</v>
      </c>
      <c r="F639" s="140" t="s">
        <v>1939</v>
      </c>
      <c r="G639" s="140" t="s">
        <v>1127</v>
      </c>
      <c r="H639" s="140" t="s">
        <v>1940</v>
      </c>
      <c r="I639" s="140" t="s">
        <v>1942</v>
      </c>
      <c r="J639" s="270">
        <v>23000000</v>
      </c>
      <c r="K639" s="155" t="s">
        <v>221</v>
      </c>
      <c r="L639" s="140">
        <v>2799074</v>
      </c>
      <c r="M639" s="32" t="s">
        <v>97</v>
      </c>
      <c r="N639" s="273">
        <v>84</v>
      </c>
      <c r="O639" s="10">
        <v>27540983</v>
      </c>
      <c r="P639" s="140" t="s">
        <v>1943</v>
      </c>
      <c r="Q639" t="s">
        <v>3564</v>
      </c>
    </row>
    <row r="640" spans="1:17" ht="43.5" hidden="1" x14ac:dyDescent="0.35">
      <c r="A640" s="155" t="e">
        <f t="shared" si="9"/>
        <v>#REF!</v>
      </c>
      <c r="B640" s="140" t="s">
        <v>18</v>
      </c>
      <c r="C640" s="140" t="s">
        <v>37</v>
      </c>
      <c r="D640" s="140" t="s">
        <v>1515</v>
      </c>
      <c r="E640" s="140" t="s">
        <v>1944</v>
      </c>
      <c r="F640" s="140" t="s">
        <v>1945</v>
      </c>
      <c r="G640" s="140" t="s">
        <v>1127</v>
      </c>
      <c r="H640" s="140" t="s">
        <v>1946</v>
      </c>
      <c r="I640" s="140" t="s">
        <v>1947</v>
      </c>
      <c r="J640" s="270">
        <v>24908000</v>
      </c>
      <c r="K640" s="155" t="s">
        <v>221</v>
      </c>
      <c r="L640" s="140">
        <v>2964762</v>
      </c>
      <c r="M640" s="32" t="s">
        <v>97</v>
      </c>
      <c r="N640" s="273" t="s">
        <v>1948</v>
      </c>
      <c r="O640" s="10">
        <v>55674666</v>
      </c>
      <c r="P640" s="140" t="s">
        <v>992</v>
      </c>
      <c r="Q640" t="s">
        <v>3564</v>
      </c>
    </row>
    <row r="641" spans="1:17" ht="58" hidden="1" x14ac:dyDescent="0.35">
      <c r="A641" s="155" t="e">
        <f t="shared" si="9"/>
        <v>#REF!</v>
      </c>
      <c r="B641" s="140" t="s">
        <v>18</v>
      </c>
      <c r="C641" s="140" t="s">
        <v>37</v>
      </c>
      <c r="D641" s="277" t="s">
        <v>1570</v>
      </c>
      <c r="E641" s="140" t="s">
        <v>1949</v>
      </c>
      <c r="F641" s="140" t="s">
        <v>1945</v>
      </c>
      <c r="G641" s="140" t="s">
        <v>1127</v>
      </c>
      <c r="H641" s="140" t="s">
        <v>1946</v>
      </c>
      <c r="I641" s="140" t="s">
        <v>1950</v>
      </c>
      <c r="J641" s="270">
        <v>33300000</v>
      </c>
      <c r="K641" s="155" t="s">
        <v>221</v>
      </c>
      <c r="L641" s="140">
        <v>2913784</v>
      </c>
      <c r="M641" s="32" t="s">
        <v>97</v>
      </c>
      <c r="N641" s="273" t="s">
        <v>1951</v>
      </c>
      <c r="O641" s="10">
        <v>119074216</v>
      </c>
      <c r="P641" s="140"/>
      <c r="Q641" t="s">
        <v>3586</v>
      </c>
    </row>
    <row r="642" spans="1:17" ht="43.5" hidden="1" x14ac:dyDescent="0.35">
      <c r="A642" s="155" t="e">
        <f t="shared" si="9"/>
        <v>#REF!</v>
      </c>
      <c r="B642" s="140" t="s">
        <v>18</v>
      </c>
      <c r="C642" s="140" t="s">
        <v>37</v>
      </c>
      <c r="D642" s="277" t="s">
        <v>1570</v>
      </c>
      <c r="E642" s="140" t="s">
        <v>1952</v>
      </c>
      <c r="F642" s="140" t="s">
        <v>1953</v>
      </c>
      <c r="G642" s="144" t="s">
        <v>101</v>
      </c>
      <c r="H642" s="144" t="s">
        <v>1954</v>
      </c>
      <c r="I642" s="144" t="s">
        <v>1215</v>
      </c>
      <c r="J642" s="270">
        <v>150000000</v>
      </c>
      <c r="K642" s="155" t="s">
        <v>221</v>
      </c>
      <c r="L642" s="140">
        <v>2965468</v>
      </c>
      <c r="M642" s="32" t="s">
        <v>97</v>
      </c>
      <c r="N642" s="140">
        <v>200</v>
      </c>
      <c r="O642" s="10">
        <v>177200000</v>
      </c>
      <c r="P642" s="140" t="s">
        <v>1955</v>
      </c>
      <c r="Q642" t="s">
        <v>3586</v>
      </c>
    </row>
    <row r="643" spans="1:17" ht="72.5" hidden="1" x14ac:dyDescent="0.35">
      <c r="A643" s="155" t="e">
        <f t="shared" si="9"/>
        <v>#REF!</v>
      </c>
      <c r="B643" s="140" t="s">
        <v>18</v>
      </c>
      <c r="C643" s="140" t="s">
        <v>37</v>
      </c>
      <c r="D643" s="140" t="s">
        <v>1515</v>
      </c>
      <c r="E643" s="140" t="s">
        <v>1956</v>
      </c>
      <c r="F643" s="140" t="s">
        <v>100</v>
      </c>
      <c r="G643" s="144" t="s">
        <v>101</v>
      </c>
      <c r="H643" s="144" t="s">
        <v>102</v>
      </c>
      <c r="I643" s="144" t="s">
        <v>1957</v>
      </c>
      <c r="J643" s="270">
        <v>98000000</v>
      </c>
      <c r="K643" s="155" t="s">
        <v>221</v>
      </c>
      <c r="L643" s="140">
        <v>2820271</v>
      </c>
      <c r="M643" s="32" t="s">
        <v>97</v>
      </c>
      <c r="N643" s="140" t="s">
        <v>1958</v>
      </c>
      <c r="O643" s="10">
        <v>273390000</v>
      </c>
      <c r="P643" s="140" t="s">
        <v>1955</v>
      </c>
      <c r="Q643" t="s">
        <v>3564</v>
      </c>
    </row>
    <row r="644" spans="1:17" ht="43.5" hidden="1" x14ac:dyDescent="0.35">
      <c r="A644" s="155" t="e">
        <f t="shared" si="9"/>
        <v>#REF!</v>
      </c>
      <c r="B644" s="140" t="s">
        <v>18</v>
      </c>
      <c r="C644" s="140" t="s">
        <v>37</v>
      </c>
      <c r="D644" s="277" t="s">
        <v>1570</v>
      </c>
      <c r="E644" s="140" t="s">
        <v>1952</v>
      </c>
      <c r="F644" s="140" t="s">
        <v>292</v>
      </c>
      <c r="G644" s="144" t="s">
        <v>101</v>
      </c>
      <c r="H644" s="144" t="s">
        <v>293</v>
      </c>
      <c r="I644" s="144" t="s">
        <v>1959</v>
      </c>
      <c r="J644" s="270">
        <v>187000000</v>
      </c>
      <c r="K644" s="155" t="s">
        <v>221</v>
      </c>
      <c r="L644" s="140">
        <v>2821211</v>
      </c>
      <c r="M644" s="32" t="s">
        <v>97</v>
      </c>
      <c r="N644" s="140">
        <v>200</v>
      </c>
      <c r="O644" s="10">
        <v>177200000</v>
      </c>
      <c r="P644" s="140" t="s">
        <v>1960</v>
      </c>
      <c r="Q644" t="s">
        <v>3586</v>
      </c>
    </row>
    <row r="645" spans="1:17" ht="78" hidden="1" x14ac:dyDescent="0.35">
      <c r="A645" s="145" t="e">
        <f t="shared" si="9"/>
        <v>#REF!</v>
      </c>
      <c r="B645" s="146" t="s">
        <v>18</v>
      </c>
      <c r="C645" s="146" t="s">
        <v>37</v>
      </c>
      <c r="D645" s="140" t="s">
        <v>1515</v>
      </c>
      <c r="E645" s="146" t="s">
        <v>1961</v>
      </c>
      <c r="F645" s="146" t="s">
        <v>1962</v>
      </c>
      <c r="G645" s="145" t="s">
        <v>334</v>
      </c>
      <c r="H645" s="145" t="s">
        <v>335</v>
      </c>
      <c r="I645" s="145" t="s">
        <v>1963</v>
      </c>
      <c r="J645" s="285">
        <v>134825000</v>
      </c>
      <c r="K645" s="145" t="s">
        <v>221</v>
      </c>
      <c r="L645" s="145">
        <v>2847693</v>
      </c>
      <c r="M645" s="145" t="s">
        <v>109</v>
      </c>
      <c r="N645" s="13">
        <v>264</v>
      </c>
      <c r="O645" s="13">
        <v>105600000</v>
      </c>
      <c r="P645" s="305"/>
      <c r="Q645" t="s">
        <v>3564</v>
      </c>
    </row>
    <row r="646" spans="1:17" ht="52" hidden="1" x14ac:dyDescent="0.35">
      <c r="A646" s="145" t="e">
        <f t="shared" si="9"/>
        <v>#REF!</v>
      </c>
      <c r="B646" s="146" t="s">
        <v>18</v>
      </c>
      <c r="C646" s="146" t="s">
        <v>37</v>
      </c>
      <c r="D646" s="146" t="s">
        <v>1570</v>
      </c>
      <c r="E646" s="146" t="s">
        <v>1964</v>
      </c>
      <c r="F646" s="146" t="s">
        <v>1962</v>
      </c>
      <c r="G646" s="145" t="s">
        <v>334</v>
      </c>
      <c r="H646" s="145" t="s">
        <v>335</v>
      </c>
      <c r="I646" s="145" t="s">
        <v>1965</v>
      </c>
      <c r="J646" s="285">
        <v>30000000</v>
      </c>
      <c r="K646" s="145" t="s">
        <v>221</v>
      </c>
      <c r="L646" s="145">
        <v>2852312</v>
      </c>
      <c r="M646" s="145" t="s">
        <v>109</v>
      </c>
      <c r="N646" s="13">
        <v>50</v>
      </c>
      <c r="O646" s="13">
        <v>139100000</v>
      </c>
      <c r="P646" s="305"/>
      <c r="Q646" t="s">
        <v>3586</v>
      </c>
    </row>
    <row r="647" spans="1:17" ht="39" hidden="1" x14ac:dyDescent="0.35">
      <c r="A647" s="145" t="e">
        <f t="shared" si="9"/>
        <v>#REF!</v>
      </c>
      <c r="B647" s="146" t="s">
        <v>18</v>
      </c>
      <c r="C647" s="146" t="s">
        <v>37</v>
      </c>
      <c r="D647" s="140" t="s">
        <v>1515</v>
      </c>
      <c r="E647" s="146"/>
      <c r="F647" s="146"/>
      <c r="G647" s="145" t="s">
        <v>334</v>
      </c>
      <c r="H647" s="145" t="s">
        <v>1966</v>
      </c>
      <c r="I647" s="145" t="s">
        <v>1967</v>
      </c>
      <c r="J647" s="285">
        <v>37500000</v>
      </c>
      <c r="K647" s="145" t="s">
        <v>221</v>
      </c>
      <c r="L647" s="145">
        <v>2871772</v>
      </c>
      <c r="M647" s="145" t="s">
        <v>109</v>
      </c>
      <c r="N647" s="13">
        <v>200</v>
      </c>
      <c r="O647" s="13">
        <v>50800000</v>
      </c>
      <c r="P647" s="305"/>
      <c r="Q647" t="s">
        <v>3564</v>
      </c>
    </row>
    <row r="648" spans="1:17" ht="104" hidden="1" x14ac:dyDescent="0.35">
      <c r="A648" s="145" t="e">
        <f t="shared" si="9"/>
        <v>#REF!</v>
      </c>
      <c r="B648" s="146" t="s">
        <v>18</v>
      </c>
      <c r="C648" s="146" t="s">
        <v>37</v>
      </c>
      <c r="D648" s="140" t="s">
        <v>1515</v>
      </c>
      <c r="E648" s="146" t="s">
        <v>1968</v>
      </c>
      <c r="F648" s="146" t="s">
        <v>297</v>
      </c>
      <c r="G648" s="145" t="s">
        <v>1969</v>
      </c>
      <c r="H648" s="145" t="s">
        <v>1970</v>
      </c>
      <c r="I648" s="145" t="s">
        <v>1971</v>
      </c>
      <c r="J648" s="285">
        <v>150000000</v>
      </c>
      <c r="K648" s="145" t="s">
        <v>221</v>
      </c>
      <c r="L648" s="145">
        <v>2906992</v>
      </c>
      <c r="M648" s="145" t="s">
        <v>109</v>
      </c>
      <c r="N648" s="13">
        <v>1000</v>
      </c>
      <c r="O648" s="13">
        <v>396000000</v>
      </c>
      <c r="P648" s="305"/>
      <c r="Q648" t="s">
        <v>3564</v>
      </c>
    </row>
    <row r="649" spans="1:17" ht="39" hidden="1" x14ac:dyDescent="0.35">
      <c r="A649" s="145" t="e">
        <f t="shared" si="9"/>
        <v>#REF!</v>
      </c>
      <c r="B649" s="146" t="s">
        <v>18</v>
      </c>
      <c r="C649" s="146" t="s">
        <v>37</v>
      </c>
      <c r="D649" s="146" t="s">
        <v>1570</v>
      </c>
      <c r="E649" s="146" t="s">
        <v>1972</v>
      </c>
      <c r="F649" s="146" t="s">
        <v>373</v>
      </c>
      <c r="G649" s="145" t="s">
        <v>1969</v>
      </c>
      <c r="H649" s="145" t="s">
        <v>1973</v>
      </c>
      <c r="I649" s="145" t="s">
        <v>1374</v>
      </c>
      <c r="J649" s="285">
        <v>674588000</v>
      </c>
      <c r="K649" s="145" t="s">
        <v>221</v>
      </c>
      <c r="L649" s="145">
        <v>2907115</v>
      </c>
      <c r="M649" s="145" t="s">
        <v>109</v>
      </c>
      <c r="N649" s="13" t="s">
        <v>1974</v>
      </c>
      <c r="O649" s="13">
        <v>139100000</v>
      </c>
      <c r="P649" s="305"/>
      <c r="Q649" t="s">
        <v>3586</v>
      </c>
    </row>
    <row r="650" spans="1:17" ht="91" hidden="1" x14ac:dyDescent="0.35">
      <c r="A650" s="145" t="e">
        <f t="shared" si="9"/>
        <v>#REF!</v>
      </c>
      <c r="B650" s="146" t="s">
        <v>18</v>
      </c>
      <c r="C650" s="146" t="s">
        <v>37</v>
      </c>
      <c r="D650" s="146" t="s">
        <v>1570</v>
      </c>
      <c r="E650" s="146" t="s">
        <v>1975</v>
      </c>
      <c r="F650" s="146" t="s">
        <v>373</v>
      </c>
      <c r="G650" s="145" t="s">
        <v>1969</v>
      </c>
      <c r="H650" s="145" t="s">
        <v>1976</v>
      </c>
      <c r="I650" s="145" t="s">
        <v>1977</v>
      </c>
      <c r="J650" s="285">
        <v>202500000</v>
      </c>
      <c r="K650" s="145" t="s">
        <v>221</v>
      </c>
      <c r="L650" s="145">
        <v>2907171</v>
      </c>
      <c r="M650" s="145" t="s">
        <v>109</v>
      </c>
      <c r="N650" s="13" t="s">
        <v>1211</v>
      </c>
      <c r="O650" s="13">
        <v>278200000</v>
      </c>
      <c r="P650" s="305"/>
      <c r="Q650" t="s">
        <v>3586</v>
      </c>
    </row>
    <row r="651" spans="1:17" ht="104" hidden="1" x14ac:dyDescent="0.35">
      <c r="A651" s="145" t="e">
        <f t="shared" si="9"/>
        <v>#REF!</v>
      </c>
      <c r="B651" s="146" t="s">
        <v>18</v>
      </c>
      <c r="C651" s="146" t="s">
        <v>37</v>
      </c>
      <c r="D651" s="140" t="s">
        <v>1515</v>
      </c>
      <c r="E651" s="146" t="s">
        <v>1968</v>
      </c>
      <c r="F651" s="146" t="s">
        <v>373</v>
      </c>
      <c r="G651" s="145" t="s">
        <v>1969</v>
      </c>
      <c r="H651" s="145" t="s">
        <v>1978</v>
      </c>
      <c r="I651" s="145" t="s">
        <v>1971</v>
      </c>
      <c r="J651" s="285">
        <v>150000000</v>
      </c>
      <c r="K651" s="145" t="s">
        <v>221</v>
      </c>
      <c r="L651" s="145">
        <v>2907217</v>
      </c>
      <c r="M651" s="145" t="s">
        <v>109</v>
      </c>
      <c r="N651" s="13">
        <v>1000</v>
      </c>
      <c r="O651" s="13">
        <v>254000000</v>
      </c>
      <c r="P651" s="305"/>
      <c r="Q651" t="s">
        <v>3564</v>
      </c>
    </row>
    <row r="652" spans="1:17" ht="91" hidden="1" x14ac:dyDescent="0.35">
      <c r="A652" s="145" t="e">
        <f t="shared" si="9"/>
        <v>#REF!</v>
      </c>
      <c r="B652" s="146" t="s">
        <v>18</v>
      </c>
      <c r="C652" s="146" t="s">
        <v>37</v>
      </c>
      <c r="D652" s="140" t="s">
        <v>1515</v>
      </c>
      <c r="E652" s="146" t="s">
        <v>1979</v>
      </c>
      <c r="F652" s="146" t="s">
        <v>373</v>
      </c>
      <c r="G652" s="145" t="s">
        <v>1969</v>
      </c>
      <c r="H652" s="145" t="s">
        <v>1980</v>
      </c>
      <c r="I652" s="145" t="s">
        <v>1981</v>
      </c>
      <c r="J652" s="285">
        <v>337500000</v>
      </c>
      <c r="K652" s="145" t="s">
        <v>221</v>
      </c>
      <c r="L652" s="145">
        <v>2907357</v>
      </c>
      <c r="M652" s="145" t="s">
        <v>109</v>
      </c>
      <c r="N652" s="13">
        <v>450</v>
      </c>
      <c r="O652" s="13">
        <v>114300000</v>
      </c>
      <c r="P652" s="305"/>
      <c r="Q652" t="s">
        <v>3564</v>
      </c>
    </row>
    <row r="653" spans="1:17" ht="39" hidden="1" x14ac:dyDescent="0.35">
      <c r="A653" s="145" t="e">
        <f t="shared" si="9"/>
        <v>#REF!</v>
      </c>
      <c r="B653" s="146" t="s">
        <v>18</v>
      </c>
      <c r="C653" s="146" t="s">
        <v>37</v>
      </c>
      <c r="D653" s="146" t="s">
        <v>1521</v>
      </c>
      <c r="E653" s="146" t="s">
        <v>1982</v>
      </c>
      <c r="F653" s="146" t="s">
        <v>302</v>
      </c>
      <c r="G653" s="145" t="s">
        <v>107</v>
      </c>
      <c r="H653" s="145" t="s">
        <v>1983</v>
      </c>
      <c r="I653" s="145" t="s">
        <v>1984</v>
      </c>
      <c r="J653" s="285">
        <v>100000000</v>
      </c>
      <c r="K653" s="145" t="s">
        <v>221</v>
      </c>
      <c r="L653" s="145">
        <v>2789654</v>
      </c>
      <c r="M653" s="145" t="s">
        <v>109</v>
      </c>
      <c r="N653" s="13" t="s">
        <v>1985</v>
      </c>
      <c r="O653" s="13">
        <v>100000000</v>
      </c>
      <c r="P653" s="305"/>
      <c r="Q653" t="s">
        <v>3586</v>
      </c>
    </row>
    <row r="654" spans="1:17" ht="39" hidden="1" x14ac:dyDescent="0.35">
      <c r="A654" s="145" t="e">
        <f t="shared" si="9"/>
        <v>#REF!</v>
      </c>
      <c r="B654" s="146" t="s">
        <v>18</v>
      </c>
      <c r="C654" s="146" t="s">
        <v>37</v>
      </c>
      <c r="D654" s="146" t="s">
        <v>1521</v>
      </c>
      <c r="E654" s="146" t="s">
        <v>1986</v>
      </c>
      <c r="F654" s="146" t="s">
        <v>302</v>
      </c>
      <c r="G654" s="145" t="s">
        <v>107</v>
      </c>
      <c r="H654" s="145" t="s">
        <v>107</v>
      </c>
      <c r="I654" s="145" t="s">
        <v>1987</v>
      </c>
      <c r="J654" s="285">
        <v>115000000</v>
      </c>
      <c r="K654" s="145" t="s">
        <v>221</v>
      </c>
      <c r="L654" s="145">
        <v>2789660</v>
      </c>
      <c r="M654" s="145" t="s">
        <v>109</v>
      </c>
      <c r="N654" s="13" t="s">
        <v>1988</v>
      </c>
      <c r="O654" s="13">
        <v>115000000</v>
      </c>
      <c r="P654" s="305"/>
      <c r="Q654" t="s">
        <v>3586</v>
      </c>
    </row>
    <row r="655" spans="1:17" ht="39" hidden="1" x14ac:dyDescent="0.35">
      <c r="A655" s="145" t="e">
        <f t="shared" si="9"/>
        <v>#REF!</v>
      </c>
      <c r="B655" s="146" t="s">
        <v>18</v>
      </c>
      <c r="C655" s="146" t="s">
        <v>37</v>
      </c>
      <c r="D655" s="146" t="s">
        <v>1570</v>
      </c>
      <c r="E655" s="146" t="s">
        <v>1989</v>
      </c>
      <c r="F655" s="146" t="s">
        <v>302</v>
      </c>
      <c r="G655" s="145" t="s">
        <v>107</v>
      </c>
      <c r="H655" s="145" t="s">
        <v>1990</v>
      </c>
      <c r="I655" s="145" t="s">
        <v>1426</v>
      </c>
      <c r="J655" s="285">
        <v>62650000</v>
      </c>
      <c r="K655" s="145" t="s">
        <v>221</v>
      </c>
      <c r="L655" s="145">
        <v>2792588</v>
      </c>
      <c r="M655" s="145" t="s">
        <v>109</v>
      </c>
      <c r="N655" s="13" t="s">
        <v>1991</v>
      </c>
      <c r="O655" s="13">
        <v>98000000</v>
      </c>
      <c r="P655" s="305" t="s">
        <v>1989</v>
      </c>
      <c r="Q655" t="s">
        <v>3586</v>
      </c>
    </row>
    <row r="656" spans="1:17" ht="39" hidden="1" x14ac:dyDescent="0.35">
      <c r="A656" s="145" t="e">
        <f t="shared" si="9"/>
        <v>#REF!</v>
      </c>
      <c r="B656" s="146" t="s">
        <v>18</v>
      </c>
      <c r="C656" s="146" t="s">
        <v>37</v>
      </c>
      <c r="D656" s="140" t="s">
        <v>1515</v>
      </c>
      <c r="E656" s="146" t="s">
        <v>1992</v>
      </c>
      <c r="F656" s="146" t="s">
        <v>302</v>
      </c>
      <c r="G656" s="145" t="s">
        <v>107</v>
      </c>
      <c r="H656" s="145" t="s">
        <v>1993</v>
      </c>
      <c r="I656" s="145" t="s">
        <v>1984</v>
      </c>
      <c r="J656" s="285">
        <v>100000000</v>
      </c>
      <c r="K656" s="145" t="s">
        <v>221</v>
      </c>
      <c r="L656" s="145">
        <v>2789674</v>
      </c>
      <c r="M656" s="145" t="s">
        <v>109</v>
      </c>
      <c r="N656" s="13">
        <v>393.70078740157481</v>
      </c>
      <c r="O656" s="13">
        <v>114300000</v>
      </c>
      <c r="P656" s="305"/>
      <c r="Q656" t="s">
        <v>3564</v>
      </c>
    </row>
    <row r="657" spans="1:17" ht="39" hidden="1" x14ac:dyDescent="0.35">
      <c r="A657" s="145" t="e">
        <f t="shared" si="9"/>
        <v>#REF!</v>
      </c>
      <c r="B657" s="146" t="s">
        <v>18</v>
      </c>
      <c r="C657" s="146" t="s">
        <v>37</v>
      </c>
      <c r="D657" s="140" t="s">
        <v>1515</v>
      </c>
      <c r="E657" s="146" t="s">
        <v>1994</v>
      </c>
      <c r="F657" s="146" t="s">
        <v>302</v>
      </c>
      <c r="G657" s="145" t="s">
        <v>107</v>
      </c>
      <c r="H657" s="145" t="s">
        <v>1995</v>
      </c>
      <c r="I657" s="145" t="s">
        <v>1996</v>
      </c>
      <c r="J657" s="285">
        <v>150000000</v>
      </c>
      <c r="K657" s="145" t="s">
        <v>221</v>
      </c>
      <c r="L657" s="145">
        <v>2790141</v>
      </c>
      <c r="M657" s="145" t="s">
        <v>109</v>
      </c>
      <c r="N657" s="13">
        <v>250</v>
      </c>
      <c r="O657" s="13">
        <v>120300000</v>
      </c>
      <c r="P657" s="305"/>
      <c r="Q657" t="s">
        <v>3564</v>
      </c>
    </row>
    <row r="658" spans="1:17" ht="39" hidden="1" x14ac:dyDescent="0.35">
      <c r="A658" s="145" t="e">
        <f t="shared" si="9"/>
        <v>#REF!</v>
      </c>
      <c r="B658" s="146" t="s">
        <v>18</v>
      </c>
      <c r="C658" s="146" t="s">
        <v>37</v>
      </c>
      <c r="D658" s="140" t="s">
        <v>1515</v>
      </c>
      <c r="E658" s="146" t="s">
        <v>1997</v>
      </c>
      <c r="F658" s="146" t="s">
        <v>302</v>
      </c>
      <c r="G658" s="145" t="s">
        <v>107</v>
      </c>
      <c r="H658" s="145" t="s">
        <v>1998</v>
      </c>
      <c r="I658" s="145" t="s">
        <v>1999</v>
      </c>
      <c r="J658" s="285">
        <v>92640000</v>
      </c>
      <c r="K658" s="145" t="s">
        <v>221</v>
      </c>
      <c r="L658" s="145">
        <v>2792489</v>
      </c>
      <c r="M658" s="145" t="s">
        <v>109</v>
      </c>
      <c r="N658" s="13">
        <v>231.6</v>
      </c>
      <c r="O658" s="13">
        <v>96240000</v>
      </c>
      <c r="P658" s="305"/>
      <c r="Q658" t="s">
        <v>3564</v>
      </c>
    </row>
    <row r="659" spans="1:17" ht="39" hidden="1" x14ac:dyDescent="0.35">
      <c r="A659" s="145" t="e">
        <f t="shared" si="9"/>
        <v>#REF!</v>
      </c>
      <c r="B659" s="146" t="s">
        <v>18</v>
      </c>
      <c r="C659" s="146" t="s">
        <v>37</v>
      </c>
      <c r="D659" s="146" t="s">
        <v>1521</v>
      </c>
      <c r="E659" s="146" t="s">
        <v>2000</v>
      </c>
      <c r="F659" s="146" t="s">
        <v>302</v>
      </c>
      <c r="G659" s="145" t="s">
        <v>107</v>
      </c>
      <c r="H659" s="145" t="s">
        <v>2001</v>
      </c>
      <c r="I659" s="145" t="s">
        <v>1974</v>
      </c>
      <c r="J659" s="285">
        <v>127000000</v>
      </c>
      <c r="K659" s="145" t="s">
        <v>221</v>
      </c>
      <c r="L659" s="145">
        <v>2792540</v>
      </c>
      <c r="M659" s="145" t="s">
        <v>109</v>
      </c>
      <c r="N659" s="13" t="s">
        <v>2002</v>
      </c>
      <c r="O659" s="13">
        <v>127000000</v>
      </c>
      <c r="P659" s="305"/>
      <c r="Q659" t="s">
        <v>3586</v>
      </c>
    </row>
    <row r="660" spans="1:17" ht="39" hidden="1" x14ac:dyDescent="0.35">
      <c r="A660" s="145" t="e">
        <f t="shared" si="9"/>
        <v>#REF!</v>
      </c>
      <c r="B660" s="146" t="s">
        <v>18</v>
      </c>
      <c r="C660" s="146" t="s">
        <v>37</v>
      </c>
      <c r="D660" s="146" t="s">
        <v>1521</v>
      </c>
      <c r="E660" s="146" t="s">
        <v>2003</v>
      </c>
      <c r="F660" s="146" t="s">
        <v>302</v>
      </c>
      <c r="G660" s="145" t="s">
        <v>107</v>
      </c>
      <c r="H660" s="145" t="s">
        <v>2004</v>
      </c>
      <c r="I660" s="145" t="s">
        <v>1999</v>
      </c>
      <c r="J660" s="285">
        <v>80000000</v>
      </c>
      <c r="K660" s="145" t="s">
        <v>221</v>
      </c>
      <c r="L660" s="145">
        <v>2801016</v>
      </c>
      <c r="M660" s="145" t="s">
        <v>109</v>
      </c>
      <c r="N660" s="13" t="s">
        <v>2005</v>
      </c>
      <c r="O660" s="13">
        <v>111000000</v>
      </c>
      <c r="P660" s="305" t="s">
        <v>1839</v>
      </c>
      <c r="Q660" t="s">
        <v>3586</v>
      </c>
    </row>
    <row r="661" spans="1:17" ht="39" hidden="1" x14ac:dyDescent="0.35">
      <c r="A661" s="145" t="e">
        <f t="shared" si="9"/>
        <v>#REF!</v>
      </c>
      <c r="B661" s="146" t="s">
        <v>18</v>
      </c>
      <c r="C661" s="146" t="s">
        <v>37</v>
      </c>
      <c r="D661" s="140" t="s">
        <v>1515</v>
      </c>
      <c r="E661" s="146" t="s">
        <v>2006</v>
      </c>
      <c r="F661" s="146" t="s">
        <v>302</v>
      </c>
      <c r="G661" s="145" t="s">
        <v>107</v>
      </c>
      <c r="H661" s="145" t="s">
        <v>2007</v>
      </c>
      <c r="I661" s="145" t="s">
        <v>2008</v>
      </c>
      <c r="J661" s="285">
        <v>121400000</v>
      </c>
      <c r="K661" s="145" t="s">
        <v>221</v>
      </c>
      <c r="L661" s="145">
        <v>2938873</v>
      </c>
      <c r="M661" s="145" t="s">
        <v>109</v>
      </c>
      <c r="N661" s="13">
        <v>250</v>
      </c>
      <c r="O661" s="13">
        <v>132330000</v>
      </c>
      <c r="P661" s="305"/>
      <c r="Q661" t="s">
        <v>3564</v>
      </c>
    </row>
    <row r="662" spans="1:17" ht="39" hidden="1" x14ac:dyDescent="0.35">
      <c r="A662" s="145" t="e">
        <f t="shared" si="9"/>
        <v>#REF!</v>
      </c>
      <c r="B662" s="146" t="s">
        <v>18</v>
      </c>
      <c r="C662" s="146" t="s">
        <v>37</v>
      </c>
      <c r="D662" s="140" t="s">
        <v>1634</v>
      </c>
      <c r="E662" s="146"/>
      <c r="F662" s="146"/>
      <c r="G662" s="145" t="s">
        <v>334</v>
      </c>
      <c r="H662" s="145" t="s">
        <v>1966</v>
      </c>
      <c r="I662" s="145" t="s">
        <v>2009</v>
      </c>
      <c r="J662" s="285">
        <v>160000000</v>
      </c>
      <c r="K662" s="145" t="s">
        <v>221</v>
      </c>
      <c r="L662" s="145">
        <v>2792618</v>
      </c>
      <c r="M662" s="145" t="s">
        <v>109</v>
      </c>
      <c r="N662" s="13">
        <v>5</v>
      </c>
      <c r="O662" s="13">
        <v>175000000</v>
      </c>
      <c r="P662" s="305"/>
      <c r="Q662" t="s">
        <v>3564</v>
      </c>
    </row>
    <row r="663" spans="1:17" ht="65" hidden="1" x14ac:dyDescent="0.35">
      <c r="A663" s="145" t="e">
        <f t="shared" si="9"/>
        <v>#REF!</v>
      </c>
      <c r="B663" s="146" t="s">
        <v>18</v>
      </c>
      <c r="C663" s="146" t="s">
        <v>37</v>
      </c>
      <c r="D663" s="140" t="s">
        <v>1515</v>
      </c>
      <c r="E663" s="146" t="s">
        <v>2010</v>
      </c>
      <c r="F663" s="146" t="s">
        <v>373</v>
      </c>
      <c r="G663" s="145" t="s">
        <v>334</v>
      </c>
      <c r="H663" s="145" t="s">
        <v>2011</v>
      </c>
      <c r="I663" s="145" t="s">
        <v>2012</v>
      </c>
      <c r="J663" s="285">
        <v>30000000</v>
      </c>
      <c r="K663" s="145" t="s">
        <v>221</v>
      </c>
      <c r="L663" s="145">
        <v>2870951</v>
      </c>
      <c r="M663" s="145" t="s">
        <v>109</v>
      </c>
      <c r="N663" s="13">
        <v>60</v>
      </c>
      <c r="O663" s="13">
        <v>15240000</v>
      </c>
      <c r="P663" s="305"/>
      <c r="Q663" t="s">
        <v>3564</v>
      </c>
    </row>
    <row r="664" spans="1:17" ht="52" hidden="1" x14ac:dyDescent="0.35">
      <c r="A664" s="145" t="e">
        <f t="shared" si="9"/>
        <v>#REF!</v>
      </c>
      <c r="B664" s="146" t="s">
        <v>18</v>
      </c>
      <c r="C664" s="146" t="s">
        <v>37</v>
      </c>
      <c r="D664" s="140" t="s">
        <v>1515</v>
      </c>
      <c r="E664" s="146" t="s">
        <v>2013</v>
      </c>
      <c r="F664" s="146" t="s">
        <v>373</v>
      </c>
      <c r="G664" s="145" t="s">
        <v>334</v>
      </c>
      <c r="H664" s="145" t="s">
        <v>2011</v>
      </c>
      <c r="I664" s="145" t="s">
        <v>2014</v>
      </c>
      <c r="J664" s="285">
        <v>30000000</v>
      </c>
      <c r="K664" s="145" t="s">
        <v>221</v>
      </c>
      <c r="L664" s="145">
        <v>2871044</v>
      </c>
      <c r="M664" s="145" t="s">
        <v>109</v>
      </c>
      <c r="N664" s="13">
        <v>200</v>
      </c>
      <c r="O664" s="13">
        <v>50800000</v>
      </c>
      <c r="P664" s="305"/>
      <c r="Q664" t="s">
        <v>3564</v>
      </c>
    </row>
    <row r="665" spans="1:17" ht="39" hidden="1" x14ac:dyDescent="0.35">
      <c r="A665" s="145" t="e">
        <f t="shared" si="9"/>
        <v>#REF!</v>
      </c>
      <c r="B665" s="146" t="s">
        <v>18</v>
      </c>
      <c r="C665" s="146" t="s">
        <v>37</v>
      </c>
      <c r="D665" s="140" t="s">
        <v>1515</v>
      </c>
      <c r="E665" s="146" t="s">
        <v>2015</v>
      </c>
      <c r="F665" s="146" t="s">
        <v>373</v>
      </c>
      <c r="G665" s="145" t="s">
        <v>334</v>
      </c>
      <c r="H665" s="145" t="s">
        <v>2016</v>
      </c>
      <c r="I665" s="145" t="s">
        <v>2017</v>
      </c>
      <c r="J665" s="285">
        <v>50789000</v>
      </c>
      <c r="K665" s="145" t="s">
        <v>221</v>
      </c>
      <c r="L665" s="145">
        <v>2872235</v>
      </c>
      <c r="M665" s="145" t="s">
        <v>109</v>
      </c>
      <c r="N665" s="13">
        <v>217.5</v>
      </c>
      <c r="O665" s="13">
        <v>55245000</v>
      </c>
      <c r="P665" s="305"/>
      <c r="Q665" t="s">
        <v>3564</v>
      </c>
    </row>
    <row r="666" spans="1:17" ht="39" hidden="1" x14ac:dyDescent="0.35">
      <c r="A666" s="145" t="e">
        <f t="shared" si="9"/>
        <v>#REF!</v>
      </c>
      <c r="B666" s="146" t="s">
        <v>18</v>
      </c>
      <c r="C666" s="146" t="s">
        <v>37</v>
      </c>
      <c r="D666" s="146" t="s">
        <v>1803</v>
      </c>
      <c r="E666" s="146" t="s">
        <v>2018</v>
      </c>
      <c r="F666" s="146" t="s">
        <v>373</v>
      </c>
      <c r="G666" s="145" t="s">
        <v>334</v>
      </c>
      <c r="H666" s="145" t="s">
        <v>2019</v>
      </c>
      <c r="I666" s="145" t="s">
        <v>510</v>
      </c>
      <c r="J666" s="285">
        <v>50000000</v>
      </c>
      <c r="K666" s="145" t="s">
        <v>221</v>
      </c>
      <c r="L666" s="145">
        <v>2825910</v>
      </c>
      <c r="M666" s="145" t="s">
        <v>109</v>
      </c>
      <c r="N666" s="13">
        <v>25</v>
      </c>
      <c r="O666" s="13">
        <v>125000000</v>
      </c>
      <c r="P666" s="305" t="s">
        <v>2020</v>
      </c>
      <c r="Q666" t="s">
        <v>3586</v>
      </c>
    </row>
    <row r="667" spans="1:17" ht="52" hidden="1" x14ac:dyDescent="0.35">
      <c r="A667" s="145" t="e">
        <f t="shared" si="9"/>
        <v>#REF!</v>
      </c>
      <c r="B667" s="146" t="s">
        <v>18</v>
      </c>
      <c r="C667" s="146" t="s">
        <v>37</v>
      </c>
      <c r="D667" s="140" t="s">
        <v>1515</v>
      </c>
      <c r="E667" s="146" t="s">
        <v>2021</v>
      </c>
      <c r="F667" s="146" t="s">
        <v>373</v>
      </c>
      <c r="G667" s="145" t="s">
        <v>334</v>
      </c>
      <c r="H667" s="145" t="s">
        <v>1142</v>
      </c>
      <c r="I667" s="145" t="s">
        <v>2022</v>
      </c>
      <c r="J667" s="285">
        <v>26764000</v>
      </c>
      <c r="K667" s="145" t="s">
        <v>221</v>
      </c>
      <c r="L667" s="145">
        <v>2871253</v>
      </c>
      <c r="M667" s="145" t="s">
        <v>109</v>
      </c>
      <c r="N667" s="13" t="s">
        <v>2023</v>
      </c>
      <c r="O667" s="13">
        <v>40400000</v>
      </c>
      <c r="P667" s="305"/>
      <c r="Q667" t="s">
        <v>3564</v>
      </c>
    </row>
    <row r="668" spans="1:17" ht="52" hidden="1" x14ac:dyDescent="0.35">
      <c r="A668" s="145" t="e">
        <f t="shared" si="9"/>
        <v>#REF!</v>
      </c>
      <c r="B668" s="146" t="s">
        <v>18</v>
      </c>
      <c r="C668" s="146" t="s">
        <v>37</v>
      </c>
      <c r="D668" s="140" t="s">
        <v>1515</v>
      </c>
      <c r="E668" s="146" t="s">
        <v>2021</v>
      </c>
      <c r="F668" s="146" t="s">
        <v>373</v>
      </c>
      <c r="G668" s="145" t="s">
        <v>334</v>
      </c>
      <c r="H668" s="145" t="s">
        <v>1142</v>
      </c>
      <c r="I668" s="145" t="s">
        <v>2014</v>
      </c>
      <c r="J668" s="285">
        <v>37500000</v>
      </c>
      <c r="K668" s="145" t="s">
        <v>221</v>
      </c>
      <c r="L668" s="145">
        <v>2871253</v>
      </c>
      <c r="M668" s="145" t="s">
        <v>109</v>
      </c>
      <c r="N668" s="13" t="s">
        <v>1716</v>
      </c>
      <c r="O668" s="13">
        <v>38100000</v>
      </c>
      <c r="P668" s="305"/>
      <c r="Q668" t="s">
        <v>3564</v>
      </c>
    </row>
    <row r="669" spans="1:17" ht="91" hidden="1" x14ac:dyDescent="0.35">
      <c r="A669" s="145" t="e">
        <f t="shared" si="9"/>
        <v>#REF!</v>
      </c>
      <c r="B669" s="146" t="s">
        <v>18</v>
      </c>
      <c r="C669" s="146" t="s">
        <v>37</v>
      </c>
      <c r="D669" s="140" t="s">
        <v>1515</v>
      </c>
      <c r="E669" s="146" t="s">
        <v>1979</v>
      </c>
      <c r="F669" s="146" t="s">
        <v>2024</v>
      </c>
      <c r="G669" s="145" t="s">
        <v>2025</v>
      </c>
      <c r="H669" s="145" t="s">
        <v>2026</v>
      </c>
      <c r="I669" s="145" t="s">
        <v>2027</v>
      </c>
      <c r="J669" s="285">
        <v>149557000</v>
      </c>
      <c r="K669" s="145" t="s">
        <v>221</v>
      </c>
      <c r="L669" s="145">
        <v>2948037</v>
      </c>
      <c r="M669" s="145" t="s">
        <v>109</v>
      </c>
      <c r="N669" s="13" t="s">
        <v>1130</v>
      </c>
      <c r="O669" s="13">
        <v>100000000</v>
      </c>
      <c r="P669" s="305"/>
      <c r="Q669" t="s">
        <v>3564</v>
      </c>
    </row>
    <row r="670" spans="1:17" ht="39" hidden="1" x14ac:dyDescent="0.35">
      <c r="A670" s="145" t="e">
        <f t="shared" si="9"/>
        <v>#REF!</v>
      </c>
      <c r="B670" s="146" t="s">
        <v>18</v>
      </c>
      <c r="C670" s="146" t="s">
        <v>37</v>
      </c>
      <c r="D670" s="146" t="s">
        <v>1521</v>
      </c>
      <c r="E670" s="146" t="s">
        <v>2028</v>
      </c>
      <c r="F670" s="146" t="s">
        <v>302</v>
      </c>
      <c r="G670" s="145" t="s">
        <v>2025</v>
      </c>
      <c r="H670" s="145" t="s">
        <v>2029</v>
      </c>
      <c r="I670" s="145"/>
      <c r="J670" s="285">
        <v>186552000</v>
      </c>
      <c r="K670" s="145" t="s">
        <v>221</v>
      </c>
      <c r="L670" s="145">
        <v>2882881</v>
      </c>
      <c r="M670" s="145" t="s">
        <v>109</v>
      </c>
      <c r="N670" s="13" t="s">
        <v>2030</v>
      </c>
      <c r="O670" s="13">
        <v>84240000</v>
      </c>
      <c r="P670" s="305"/>
      <c r="Q670" t="s">
        <v>3586</v>
      </c>
    </row>
    <row r="671" spans="1:17" ht="39" hidden="1" x14ac:dyDescent="0.35">
      <c r="A671" s="145" t="e">
        <f t="shared" si="9"/>
        <v>#REF!</v>
      </c>
      <c r="B671" s="146" t="s">
        <v>18</v>
      </c>
      <c r="C671" s="146" t="s">
        <v>37</v>
      </c>
      <c r="D671" s="140" t="s">
        <v>1515</v>
      </c>
      <c r="E671" s="146" t="s">
        <v>2028</v>
      </c>
      <c r="F671" s="146" t="s">
        <v>302</v>
      </c>
      <c r="G671" s="145" t="s">
        <v>2025</v>
      </c>
      <c r="H671" s="145" t="s">
        <v>2029</v>
      </c>
      <c r="I671" s="145"/>
      <c r="J671" s="285">
        <v>186552000</v>
      </c>
      <c r="K671" s="145" t="s">
        <v>221</v>
      </c>
      <c r="L671" s="145">
        <v>2948250</v>
      </c>
      <c r="M671" s="145" t="s">
        <v>109</v>
      </c>
      <c r="N671" s="13" t="s">
        <v>2031</v>
      </c>
      <c r="O671" s="13">
        <v>61776000</v>
      </c>
      <c r="P671" s="305"/>
      <c r="Q671" t="s">
        <v>3564</v>
      </c>
    </row>
    <row r="672" spans="1:17" ht="91" hidden="1" x14ac:dyDescent="0.35">
      <c r="A672" s="145" t="e">
        <f t="shared" si="9"/>
        <v>#REF!</v>
      </c>
      <c r="B672" s="146" t="s">
        <v>18</v>
      </c>
      <c r="C672" s="146" t="s">
        <v>37</v>
      </c>
      <c r="D672" s="140" t="s">
        <v>1515</v>
      </c>
      <c r="E672" s="146" t="s">
        <v>1979</v>
      </c>
      <c r="F672" s="146" t="s">
        <v>302</v>
      </c>
      <c r="G672" s="145" t="s">
        <v>2025</v>
      </c>
      <c r="H672" s="145" t="s">
        <v>2032</v>
      </c>
      <c r="I672" s="145" t="s">
        <v>2033</v>
      </c>
      <c r="J672" s="285">
        <v>186552000</v>
      </c>
      <c r="K672" s="145" t="s">
        <v>221</v>
      </c>
      <c r="L672" s="145">
        <v>2948062</v>
      </c>
      <c r="M672" s="145" t="s">
        <v>109</v>
      </c>
      <c r="N672" s="13" t="s">
        <v>1130</v>
      </c>
      <c r="O672" s="13">
        <v>100000000</v>
      </c>
      <c r="P672" s="305"/>
      <c r="Q672" t="s">
        <v>3564</v>
      </c>
    </row>
    <row r="673" spans="1:17" ht="52" hidden="1" x14ac:dyDescent="0.35">
      <c r="A673" s="145" t="e">
        <f t="shared" si="9"/>
        <v>#REF!</v>
      </c>
      <c r="B673" s="146" t="s">
        <v>18</v>
      </c>
      <c r="C673" s="146" t="s">
        <v>37</v>
      </c>
      <c r="D673" s="146" t="s">
        <v>1570</v>
      </c>
      <c r="E673" s="146" t="s">
        <v>2034</v>
      </c>
      <c r="F673" s="146" t="s">
        <v>302</v>
      </c>
      <c r="G673" s="145" t="s">
        <v>2025</v>
      </c>
      <c r="H673" s="145" t="s">
        <v>2035</v>
      </c>
      <c r="I673" s="145" t="s">
        <v>2036</v>
      </c>
      <c r="J673" s="285">
        <v>199636800</v>
      </c>
      <c r="K673" s="145" t="s">
        <v>221</v>
      </c>
      <c r="L673" s="145">
        <v>2948502</v>
      </c>
      <c r="M673" s="145" t="s">
        <v>109</v>
      </c>
      <c r="N673" s="13" t="s">
        <v>2037</v>
      </c>
      <c r="O673" s="13">
        <v>152400000</v>
      </c>
      <c r="P673" s="305"/>
      <c r="Q673" t="s">
        <v>3586</v>
      </c>
    </row>
    <row r="674" spans="1:17" ht="39" hidden="1" x14ac:dyDescent="0.35">
      <c r="A674" s="145" t="e">
        <f t="shared" si="9"/>
        <v>#REF!</v>
      </c>
      <c r="B674" s="146" t="s">
        <v>18</v>
      </c>
      <c r="C674" s="146" t="s">
        <v>37</v>
      </c>
      <c r="D674" s="146" t="s">
        <v>1521</v>
      </c>
      <c r="E674" s="146" t="s">
        <v>2028</v>
      </c>
      <c r="F674" s="146" t="s">
        <v>302</v>
      </c>
      <c r="G674" s="145" t="s">
        <v>2025</v>
      </c>
      <c r="H674" s="145" t="s">
        <v>2038</v>
      </c>
      <c r="I674" s="145"/>
      <c r="J674" s="285">
        <v>135149000</v>
      </c>
      <c r="K674" s="145" t="s">
        <v>221</v>
      </c>
      <c r="L674" s="145">
        <v>2883510</v>
      </c>
      <c r="M674" s="145" t="s">
        <v>109</v>
      </c>
      <c r="N674" s="13">
        <v>150</v>
      </c>
      <c r="O674" s="13">
        <v>105300000</v>
      </c>
      <c r="P674" s="305"/>
      <c r="Q674" t="s">
        <v>3586</v>
      </c>
    </row>
    <row r="675" spans="1:17" ht="91" hidden="1" x14ac:dyDescent="0.35">
      <c r="A675" s="145" t="e">
        <f t="shared" si="9"/>
        <v>#REF!</v>
      </c>
      <c r="B675" s="146" t="s">
        <v>18</v>
      </c>
      <c r="C675" s="146" t="s">
        <v>37</v>
      </c>
      <c r="D675" s="140" t="s">
        <v>1515</v>
      </c>
      <c r="E675" s="146" t="s">
        <v>2039</v>
      </c>
      <c r="F675" s="146" t="s">
        <v>302</v>
      </c>
      <c r="G675" s="145" t="s">
        <v>2025</v>
      </c>
      <c r="H675" s="145" t="s">
        <v>2038</v>
      </c>
      <c r="I675" s="145" t="s">
        <v>2040</v>
      </c>
      <c r="J675" s="285">
        <v>133091200</v>
      </c>
      <c r="K675" s="145" t="s">
        <v>221</v>
      </c>
      <c r="L675" s="145">
        <v>2948546</v>
      </c>
      <c r="M675" s="145" t="s">
        <v>109</v>
      </c>
      <c r="N675" s="13" t="s">
        <v>2041</v>
      </c>
      <c r="O675" s="13">
        <v>50800000</v>
      </c>
      <c r="P675" s="305"/>
      <c r="Q675" t="s">
        <v>3564</v>
      </c>
    </row>
    <row r="676" spans="1:17" ht="91" hidden="1" x14ac:dyDescent="0.35">
      <c r="A676" s="145" t="e">
        <f t="shared" si="9"/>
        <v>#REF!</v>
      </c>
      <c r="B676" s="146" t="s">
        <v>18</v>
      </c>
      <c r="C676" s="146" t="s">
        <v>37</v>
      </c>
      <c r="D676" s="146" t="s">
        <v>476</v>
      </c>
      <c r="E676" s="146" t="s">
        <v>2039</v>
      </c>
      <c r="F676" s="146" t="s">
        <v>302</v>
      </c>
      <c r="G676" s="145" t="s">
        <v>2025</v>
      </c>
      <c r="H676" s="145" t="s">
        <v>2042</v>
      </c>
      <c r="I676" s="145" t="s">
        <v>2043</v>
      </c>
      <c r="J676" s="285">
        <v>199636800</v>
      </c>
      <c r="K676" s="145" t="s">
        <v>221</v>
      </c>
      <c r="L676" s="145">
        <v>2883247</v>
      </c>
      <c r="M676" s="145" t="s">
        <v>109</v>
      </c>
      <c r="N676" s="13" t="s">
        <v>1645</v>
      </c>
      <c r="O676" s="13">
        <v>101600000</v>
      </c>
      <c r="P676" s="305" t="s">
        <v>1839</v>
      </c>
      <c r="Q676" t="s">
        <v>3586</v>
      </c>
    </row>
    <row r="677" spans="1:17" ht="39" hidden="1" x14ac:dyDescent="0.35">
      <c r="A677" s="145" t="e">
        <f t="shared" si="9"/>
        <v>#REF!</v>
      </c>
      <c r="B677" s="146" t="s">
        <v>18</v>
      </c>
      <c r="C677" s="146" t="s">
        <v>37</v>
      </c>
      <c r="D677" s="146" t="s">
        <v>1803</v>
      </c>
      <c r="E677" s="146" t="s">
        <v>2044</v>
      </c>
      <c r="F677" s="146" t="s">
        <v>302</v>
      </c>
      <c r="G677" s="145" t="s">
        <v>2025</v>
      </c>
      <c r="H677" s="145" t="s">
        <v>2042</v>
      </c>
      <c r="I677" s="145"/>
      <c r="J677" s="285">
        <v>64303000</v>
      </c>
      <c r="K677" s="145" t="s">
        <v>221</v>
      </c>
      <c r="L677" s="145">
        <v>2962444</v>
      </c>
      <c r="M677" s="145" t="s">
        <v>109</v>
      </c>
      <c r="N677" s="13">
        <v>13</v>
      </c>
      <c r="O677" s="13">
        <v>65000000</v>
      </c>
      <c r="P677" s="305" t="s">
        <v>2020</v>
      </c>
      <c r="Q677" t="s">
        <v>3586</v>
      </c>
    </row>
    <row r="678" spans="1:17" ht="39" hidden="1" x14ac:dyDescent="0.35">
      <c r="A678" s="145" t="e">
        <f t="shared" si="9"/>
        <v>#REF!</v>
      </c>
      <c r="B678" s="146" t="s">
        <v>18</v>
      </c>
      <c r="C678" s="146" t="s">
        <v>37</v>
      </c>
      <c r="D678" s="146" t="s">
        <v>1521</v>
      </c>
      <c r="E678" s="146" t="s">
        <v>2028</v>
      </c>
      <c r="F678" s="146" t="s">
        <v>302</v>
      </c>
      <c r="G678" s="145" t="s">
        <v>2025</v>
      </c>
      <c r="H678" s="145" t="s">
        <v>2045</v>
      </c>
      <c r="I678" s="145"/>
      <c r="J678" s="285">
        <v>109159500</v>
      </c>
      <c r="K678" s="145" t="s">
        <v>221</v>
      </c>
      <c r="L678" s="145">
        <v>2883271</v>
      </c>
      <c r="M678" s="145" t="s">
        <v>109</v>
      </c>
      <c r="N678" s="13">
        <v>200</v>
      </c>
      <c r="O678" s="13">
        <v>140400000</v>
      </c>
      <c r="P678" s="305"/>
      <c r="Q678" t="s">
        <v>3586</v>
      </c>
    </row>
    <row r="679" spans="1:17" ht="91" hidden="1" x14ac:dyDescent="0.35">
      <c r="A679" s="145" t="e">
        <f t="shared" si="9"/>
        <v>#REF!</v>
      </c>
      <c r="B679" s="146" t="s">
        <v>18</v>
      </c>
      <c r="C679" s="146" t="s">
        <v>37</v>
      </c>
      <c r="D679" s="146" t="s">
        <v>476</v>
      </c>
      <c r="E679" s="146" t="s">
        <v>2039</v>
      </c>
      <c r="F679" s="146" t="s">
        <v>302</v>
      </c>
      <c r="G679" s="145" t="s">
        <v>2025</v>
      </c>
      <c r="H679" s="145" t="s">
        <v>2045</v>
      </c>
      <c r="I679" s="145" t="s">
        <v>2043</v>
      </c>
      <c r="J679" s="285">
        <v>199636800</v>
      </c>
      <c r="K679" s="145" t="s">
        <v>221</v>
      </c>
      <c r="L679" s="145">
        <v>2883373</v>
      </c>
      <c r="M679" s="145" t="s">
        <v>109</v>
      </c>
      <c r="N679" s="13">
        <v>600</v>
      </c>
      <c r="O679" s="13">
        <v>50800000</v>
      </c>
      <c r="P679" s="305" t="s">
        <v>1839</v>
      </c>
      <c r="Q679" t="s">
        <v>3586</v>
      </c>
    </row>
    <row r="680" spans="1:17" ht="39" hidden="1" x14ac:dyDescent="0.35">
      <c r="A680" s="145" t="e">
        <f t="shared" si="9"/>
        <v>#REF!</v>
      </c>
      <c r="B680" s="146" t="s">
        <v>18</v>
      </c>
      <c r="C680" s="146" t="s">
        <v>37</v>
      </c>
      <c r="D680" s="146" t="s">
        <v>1803</v>
      </c>
      <c r="E680" s="146" t="s">
        <v>2044</v>
      </c>
      <c r="F680" s="146" t="s">
        <v>297</v>
      </c>
      <c r="G680" s="145" t="s">
        <v>579</v>
      </c>
      <c r="H680" s="145" t="s">
        <v>2046</v>
      </c>
      <c r="I680" s="145" t="s">
        <v>48</v>
      </c>
      <c r="J680" s="285">
        <v>250000000</v>
      </c>
      <c r="K680" s="145" t="s">
        <v>221</v>
      </c>
      <c r="L680" s="145">
        <v>2766855</v>
      </c>
      <c r="M680" s="145" t="s">
        <v>109</v>
      </c>
      <c r="N680" s="13">
        <v>50</v>
      </c>
      <c r="O680" s="13">
        <v>250000000</v>
      </c>
      <c r="P680" s="305" t="s">
        <v>2020</v>
      </c>
      <c r="Q680" t="s">
        <v>3586</v>
      </c>
    </row>
    <row r="681" spans="1:17" ht="39" hidden="1" x14ac:dyDescent="0.35">
      <c r="A681" s="145" t="e">
        <f t="shared" si="9"/>
        <v>#REF!</v>
      </c>
      <c r="B681" s="146" t="s">
        <v>18</v>
      </c>
      <c r="C681" s="146" t="s">
        <v>37</v>
      </c>
      <c r="D681" s="140" t="s">
        <v>1515</v>
      </c>
      <c r="E681" s="146" t="s">
        <v>2047</v>
      </c>
      <c r="F681" s="146" t="s">
        <v>2048</v>
      </c>
      <c r="G681" s="145" t="s">
        <v>579</v>
      </c>
      <c r="H681" s="145" t="s">
        <v>2049</v>
      </c>
      <c r="I681" s="145" t="s">
        <v>48</v>
      </c>
      <c r="J681" s="285">
        <v>100000000</v>
      </c>
      <c r="K681" s="145" t="s">
        <v>221</v>
      </c>
      <c r="L681" s="145"/>
      <c r="M681" s="145" t="s">
        <v>109</v>
      </c>
      <c r="N681" s="13"/>
      <c r="O681" s="13">
        <v>95040000</v>
      </c>
      <c r="P681" s="305"/>
      <c r="Q681" t="s">
        <v>3564</v>
      </c>
    </row>
    <row r="682" spans="1:17" ht="39" hidden="1" x14ac:dyDescent="0.35">
      <c r="A682" s="145" t="e">
        <f t="shared" si="9"/>
        <v>#REF!</v>
      </c>
      <c r="B682" s="146" t="s">
        <v>18</v>
      </c>
      <c r="C682" s="146" t="s">
        <v>37</v>
      </c>
      <c r="D682" s="140" t="s">
        <v>1515</v>
      </c>
      <c r="E682" s="146" t="s">
        <v>2047</v>
      </c>
      <c r="F682" s="146" t="s">
        <v>2048</v>
      </c>
      <c r="G682" s="145" t="s">
        <v>579</v>
      </c>
      <c r="H682" s="145" t="s">
        <v>2050</v>
      </c>
      <c r="I682" s="145" t="s">
        <v>48</v>
      </c>
      <c r="J682" s="285">
        <v>100000000</v>
      </c>
      <c r="K682" s="145" t="s">
        <v>221</v>
      </c>
      <c r="L682" s="145">
        <v>2768996</v>
      </c>
      <c r="M682" s="145" t="s">
        <v>109</v>
      </c>
      <c r="N682" s="13">
        <v>150</v>
      </c>
      <c r="O682" s="13">
        <v>59400000</v>
      </c>
      <c r="P682" s="305" t="s">
        <v>2051</v>
      </c>
      <c r="Q682" t="s">
        <v>3564</v>
      </c>
    </row>
    <row r="683" spans="1:17" ht="39" hidden="1" x14ac:dyDescent="0.35">
      <c r="A683" s="145" t="e">
        <f t="shared" si="9"/>
        <v>#REF!</v>
      </c>
      <c r="B683" s="146" t="s">
        <v>18</v>
      </c>
      <c r="C683" s="146" t="s">
        <v>37</v>
      </c>
      <c r="D683" s="140" t="s">
        <v>1515</v>
      </c>
      <c r="E683" s="146" t="s">
        <v>2047</v>
      </c>
      <c r="F683" s="146" t="s">
        <v>2048</v>
      </c>
      <c r="G683" s="145" t="s">
        <v>579</v>
      </c>
      <c r="H683" s="145" t="s">
        <v>2050</v>
      </c>
      <c r="I683" s="145" t="s">
        <v>48</v>
      </c>
      <c r="J683" s="285">
        <v>100000000</v>
      </c>
      <c r="K683" s="145" t="s">
        <v>221</v>
      </c>
      <c r="L683" s="145">
        <v>2768996</v>
      </c>
      <c r="M683" s="145" t="s">
        <v>109</v>
      </c>
      <c r="N683" s="13">
        <v>244</v>
      </c>
      <c r="O683" s="13">
        <v>96624000</v>
      </c>
      <c r="P683" s="305" t="s">
        <v>2052</v>
      </c>
      <c r="Q683" t="s">
        <v>3564</v>
      </c>
    </row>
    <row r="684" spans="1:17" ht="91" hidden="1" x14ac:dyDescent="0.35">
      <c r="A684" s="145" t="e">
        <f t="shared" si="9"/>
        <v>#REF!</v>
      </c>
      <c r="B684" s="146" t="s">
        <v>18</v>
      </c>
      <c r="C684" s="146" t="s">
        <v>37</v>
      </c>
      <c r="D684" s="140" t="s">
        <v>1515</v>
      </c>
      <c r="E684" s="146" t="s">
        <v>1979</v>
      </c>
      <c r="F684" s="146" t="s">
        <v>2048</v>
      </c>
      <c r="G684" s="145" t="s">
        <v>579</v>
      </c>
      <c r="H684" s="145" t="s">
        <v>2053</v>
      </c>
      <c r="I684" s="145" t="s">
        <v>1782</v>
      </c>
      <c r="J684" s="285">
        <v>74530000</v>
      </c>
      <c r="K684" s="145" t="s">
        <v>221</v>
      </c>
      <c r="L684" s="145">
        <v>2768849</v>
      </c>
      <c r="M684" s="145" t="s">
        <v>109</v>
      </c>
      <c r="N684" s="13">
        <v>108</v>
      </c>
      <c r="O684" s="13">
        <v>300456000</v>
      </c>
      <c r="P684" s="305"/>
      <c r="Q684" t="s">
        <v>3564</v>
      </c>
    </row>
    <row r="685" spans="1:17" ht="39" hidden="1" x14ac:dyDescent="0.35">
      <c r="A685" s="145" t="e">
        <f t="shared" si="9"/>
        <v>#REF!</v>
      </c>
      <c r="B685" s="146" t="s">
        <v>18</v>
      </c>
      <c r="C685" s="146" t="s">
        <v>37</v>
      </c>
      <c r="D685" s="140" t="s">
        <v>1515</v>
      </c>
      <c r="E685" s="146" t="s">
        <v>2047</v>
      </c>
      <c r="F685" s="146" t="s">
        <v>2048</v>
      </c>
      <c r="G685" s="145" t="s">
        <v>579</v>
      </c>
      <c r="H685" s="145" t="s">
        <v>2050</v>
      </c>
      <c r="I685" s="145" t="s">
        <v>48</v>
      </c>
      <c r="J685" s="285">
        <v>100000000</v>
      </c>
      <c r="K685" s="145" t="s">
        <v>221</v>
      </c>
      <c r="L685" s="145">
        <v>2768996</v>
      </c>
      <c r="M685" s="145" t="s">
        <v>109</v>
      </c>
      <c r="N685" s="13">
        <v>200</v>
      </c>
      <c r="O685" s="13">
        <v>79200000</v>
      </c>
      <c r="P685" s="305"/>
      <c r="Q685" t="s">
        <v>3564</v>
      </c>
    </row>
    <row r="686" spans="1:17" ht="39" hidden="1" x14ac:dyDescent="0.35">
      <c r="A686" s="145" t="e">
        <f t="shared" si="9"/>
        <v>#REF!</v>
      </c>
      <c r="B686" s="146" t="s">
        <v>18</v>
      </c>
      <c r="C686" s="146" t="s">
        <v>37</v>
      </c>
      <c r="D686" s="140" t="s">
        <v>1634</v>
      </c>
      <c r="E686" s="146" t="s">
        <v>2054</v>
      </c>
      <c r="F686" s="146" t="s">
        <v>2055</v>
      </c>
      <c r="G686" s="145" t="s">
        <v>1147</v>
      </c>
      <c r="H686" s="145" t="s">
        <v>1148</v>
      </c>
      <c r="I686" s="145" t="s">
        <v>54</v>
      </c>
      <c r="J686" s="285">
        <v>100000000</v>
      </c>
      <c r="K686" s="145" t="s">
        <v>221</v>
      </c>
      <c r="L686" s="145">
        <v>2940843</v>
      </c>
      <c r="M686" s="145" t="s">
        <v>109</v>
      </c>
      <c r="N686" s="13">
        <v>3</v>
      </c>
      <c r="O686" s="13">
        <v>105000000</v>
      </c>
      <c r="P686" s="305" t="s">
        <v>2056</v>
      </c>
      <c r="Q686" t="s">
        <v>3564</v>
      </c>
    </row>
    <row r="687" spans="1:17" ht="39" hidden="1" x14ac:dyDescent="0.35">
      <c r="A687" s="145" t="e">
        <f t="shared" si="9"/>
        <v>#REF!</v>
      </c>
      <c r="B687" s="146" t="s">
        <v>18</v>
      </c>
      <c r="C687" s="146" t="s">
        <v>37</v>
      </c>
      <c r="D687" s="140" t="s">
        <v>1634</v>
      </c>
      <c r="E687" s="146" t="s">
        <v>2054</v>
      </c>
      <c r="F687" s="146" t="s">
        <v>1152</v>
      </c>
      <c r="G687" s="145" t="s">
        <v>1147</v>
      </c>
      <c r="H687" s="145" t="s">
        <v>2057</v>
      </c>
      <c r="I687" s="145" t="s">
        <v>54</v>
      </c>
      <c r="J687" s="285">
        <v>100000000</v>
      </c>
      <c r="K687" s="145" t="s">
        <v>221</v>
      </c>
      <c r="L687" s="145">
        <v>2940771</v>
      </c>
      <c r="M687" s="145" t="s">
        <v>109</v>
      </c>
      <c r="N687" s="13">
        <v>3</v>
      </c>
      <c r="O687" s="13">
        <v>105000000</v>
      </c>
      <c r="P687" s="305" t="s">
        <v>2058</v>
      </c>
      <c r="Q687" t="s">
        <v>3564</v>
      </c>
    </row>
    <row r="688" spans="1:17" ht="39" hidden="1" x14ac:dyDescent="0.35">
      <c r="A688" s="145" t="e">
        <f t="shared" si="9"/>
        <v>#REF!</v>
      </c>
      <c r="B688" s="146" t="s">
        <v>18</v>
      </c>
      <c r="C688" s="146" t="s">
        <v>37</v>
      </c>
      <c r="D688" s="140" t="s">
        <v>1634</v>
      </c>
      <c r="E688" s="146" t="s">
        <v>2054</v>
      </c>
      <c r="F688" s="146" t="s">
        <v>1155</v>
      </c>
      <c r="G688" s="145" t="s">
        <v>1147</v>
      </c>
      <c r="H688" s="145" t="s">
        <v>1156</v>
      </c>
      <c r="I688" s="145" t="s">
        <v>54</v>
      </c>
      <c r="J688" s="285">
        <v>100000000</v>
      </c>
      <c r="K688" s="145" t="s">
        <v>221</v>
      </c>
      <c r="L688" s="145">
        <v>2940908</v>
      </c>
      <c r="M688" s="145" t="s">
        <v>109</v>
      </c>
      <c r="N688" s="13">
        <v>3</v>
      </c>
      <c r="O688" s="13">
        <v>105000000</v>
      </c>
      <c r="P688" s="305" t="s">
        <v>2058</v>
      </c>
      <c r="Q688" t="s">
        <v>3564</v>
      </c>
    </row>
    <row r="689" spans="1:17" ht="39" hidden="1" x14ac:dyDescent="0.35">
      <c r="A689" s="145" t="e">
        <f t="shared" si="9"/>
        <v>#REF!</v>
      </c>
      <c r="B689" s="146" t="s">
        <v>18</v>
      </c>
      <c r="C689" s="146" t="s">
        <v>37</v>
      </c>
      <c r="D689" s="140" t="s">
        <v>1634</v>
      </c>
      <c r="E689" s="146" t="s">
        <v>2054</v>
      </c>
      <c r="F689" s="146" t="s">
        <v>1157</v>
      </c>
      <c r="G689" s="145" t="s">
        <v>1147</v>
      </c>
      <c r="H689" s="145" t="s">
        <v>1158</v>
      </c>
      <c r="I689" s="145" t="s">
        <v>54</v>
      </c>
      <c r="J689" s="285">
        <v>100000000</v>
      </c>
      <c r="K689" s="145" t="s">
        <v>221</v>
      </c>
      <c r="L689" s="145">
        <v>2940963</v>
      </c>
      <c r="M689" s="145" t="s">
        <v>109</v>
      </c>
      <c r="N689" s="13">
        <v>3</v>
      </c>
      <c r="O689" s="13">
        <v>105000000</v>
      </c>
      <c r="P689" s="305" t="s">
        <v>2059</v>
      </c>
      <c r="Q689" t="s">
        <v>3564</v>
      </c>
    </row>
    <row r="690" spans="1:17" ht="39" hidden="1" x14ac:dyDescent="0.35">
      <c r="A690" s="145" t="e">
        <f t="shared" si="9"/>
        <v>#REF!</v>
      </c>
      <c r="B690" s="146" t="s">
        <v>18</v>
      </c>
      <c r="C690" s="146" t="s">
        <v>37</v>
      </c>
      <c r="D690" s="140" t="s">
        <v>1634</v>
      </c>
      <c r="E690" s="146" t="s">
        <v>2054</v>
      </c>
      <c r="F690" s="146" t="s">
        <v>2060</v>
      </c>
      <c r="G690" s="145" t="s">
        <v>1147</v>
      </c>
      <c r="H690" s="145" t="s">
        <v>2061</v>
      </c>
      <c r="I690" s="145" t="s">
        <v>54</v>
      </c>
      <c r="J690" s="285">
        <v>100000000</v>
      </c>
      <c r="K690" s="145" t="s">
        <v>221</v>
      </c>
      <c r="L690" s="145">
        <v>2940659</v>
      </c>
      <c r="M690" s="145" t="s">
        <v>109</v>
      </c>
      <c r="N690" s="13">
        <v>3</v>
      </c>
      <c r="O690" s="13">
        <v>105000000</v>
      </c>
      <c r="P690" s="305" t="s">
        <v>2058</v>
      </c>
      <c r="Q690" t="s">
        <v>3564</v>
      </c>
    </row>
    <row r="691" spans="1:17" ht="39" hidden="1" x14ac:dyDescent="0.35">
      <c r="A691" s="145" t="e">
        <f t="shared" si="9"/>
        <v>#REF!</v>
      </c>
      <c r="B691" s="146" t="s">
        <v>18</v>
      </c>
      <c r="C691" s="146" t="s">
        <v>37</v>
      </c>
      <c r="D691" s="140" t="s">
        <v>1515</v>
      </c>
      <c r="E691" s="146" t="s">
        <v>2062</v>
      </c>
      <c r="F691" s="146" t="s">
        <v>2063</v>
      </c>
      <c r="G691" s="145" t="s">
        <v>1185</v>
      </c>
      <c r="H691" s="145" t="s">
        <v>2064</v>
      </c>
      <c r="I691" s="145" t="s">
        <v>1187</v>
      </c>
      <c r="J691" s="285">
        <v>80000000</v>
      </c>
      <c r="K691" s="145" t="s">
        <v>221</v>
      </c>
      <c r="L691" s="145">
        <v>2769332</v>
      </c>
      <c r="M691" s="145" t="s">
        <v>109</v>
      </c>
      <c r="N691" s="13">
        <v>500</v>
      </c>
      <c r="O691" s="13">
        <v>149850000</v>
      </c>
      <c r="P691" s="305"/>
      <c r="Q691" t="s">
        <v>3564</v>
      </c>
    </row>
    <row r="692" spans="1:17" ht="39" hidden="1" x14ac:dyDescent="0.35">
      <c r="A692" s="145" t="e">
        <f t="shared" si="9"/>
        <v>#REF!</v>
      </c>
      <c r="B692" s="146" t="s">
        <v>18</v>
      </c>
      <c r="C692" s="146" t="s">
        <v>37</v>
      </c>
      <c r="D692" s="140" t="s">
        <v>1515</v>
      </c>
      <c r="E692" s="146" t="s">
        <v>2062</v>
      </c>
      <c r="F692" s="146" t="s">
        <v>2065</v>
      </c>
      <c r="G692" s="145" t="s">
        <v>1185</v>
      </c>
      <c r="H692" s="145" t="s">
        <v>2066</v>
      </c>
      <c r="I692" s="145" t="s">
        <v>1272</v>
      </c>
      <c r="J692" s="285">
        <v>100000000</v>
      </c>
      <c r="K692" s="145" t="s">
        <v>221</v>
      </c>
      <c r="L692" s="145">
        <v>2769373</v>
      </c>
      <c r="M692" s="145" t="s">
        <v>109</v>
      </c>
      <c r="N692" s="13">
        <v>600</v>
      </c>
      <c r="O692" s="13">
        <v>179820000</v>
      </c>
      <c r="P692" s="305"/>
      <c r="Q692" t="s">
        <v>3564</v>
      </c>
    </row>
    <row r="693" spans="1:17" ht="39" hidden="1" x14ac:dyDescent="0.35">
      <c r="A693" s="145" t="e">
        <f t="shared" ref="A693:A736" si="10">A692+1</f>
        <v>#REF!</v>
      </c>
      <c r="B693" s="146" t="s">
        <v>18</v>
      </c>
      <c r="C693" s="146" t="s">
        <v>37</v>
      </c>
      <c r="D693" s="140" t="s">
        <v>1515</v>
      </c>
      <c r="E693" s="146" t="s">
        <v>2062</v>
      </c>
      <c r="F693" s="146" t="s">
        <v>2067</v>
      </c>
      <c r="G693" s="145" t="s">
        <v>1185</v>
      </c>
      <c r="H693" s="145" t="s">
        <v>2068</v>
      </c>
      <c r="I693" s="145" t="s">
        <v>1187</v>
      </c>
      <c r="J693" s="285">
        <v>100000000</v>
      </c>
      <c r="K693" s="145" t="s">
        <v>221</v>
      </c>
      <c r="L693" s="145">
        <v>2769456</v>
      </c>
      <c r="M693" s="145" t="s">
        <v>109</v>
      </c>
      <c r="N693" s="13">
        <v>450</v>
      </c>
      <c r="O693" s="13">
        <v>134865000</v>
      </c>
      <c r="P693" s="305"/>
      <c r="Q693" t="s">
        <v>3564</v>
      </c>
    </row>
    <row r="694" spans="1:17" ht="39" hidden="1" x14ac:dyDescent="0.35">
      <c r="A694" s="145" t="e">
        <f t="shared" si="10"/>
        <v>#REF!</v>
      </c>
      <c r="B694" s="146" t="s">
        <v>18</v>
      </c>
      <c r="C694" s="146" t="s">
        <v>37</v>
      </c>
      <c r="D694" s="140" t="s">
        <v>1515</v>
      </c>
      <c r="E694" s="146" t="s">
        <v>2062</v>
      </c>
      <c r="F694" s="146" t="s">
        <v>2069</v>
      </c>
      <c r="G694" s="145" t="s">
        <v>1185</v>
      </c>
      <c r="H694" s="145" t="s">
        <v>2070</v>
      </c>
      <c r="I694" s="145" t="s">
        <v>1272</v>
      </c>
      <c r="J694" s="285">
        <v>100000000</v>
      </c>
      <c r="K694" s="145" t="s">
        <v>221</v>
      </c>
      <c r="L694" s="145">
        <v>2769075</v>
      </c>
      <c r="M694" s="145" t="s">
        <v>109</v>
      </c>
      <c r="N694" s="13">
        <v>450</v>
      </c>
      <c r="O694" s="13">
        <v>134865000</v>
      </c>
      <c r="P694" s="305"/>
      <c r="Q694" t="s">
        <v>3564</v>
      </c>
    </row>
    <row r="695" spans="1:17" ht="39" hidden="1" x14ac:dyDescent="0.35">
      <c r="A695" s="145" t="e">
        <f t="shared" si="10"/>
        <v>#REF!</v>
      </c>
      <c r="B695" s="146" t="s">
        <v>18</v>
      </c>
      <c r="C695" s="146" t="s">
        <v>37</v>
      </c>
      <c r="D695" s="140" t="s">
        <v>1515</v>
      </c>
      <c r="E695" s="146" t="s">
        <v>2062</v>
      </c>
      <c r="F695" s="146" t="s">
        <v>2071</v>
      </c>
      <c r="G695" s="145" t="s">
        <v>1185</v>
      </c>
      <c r="H695" s="145" t="s">
        <v>2072</v>
      </c>
      <c r="I695" s="145" t="s">
        <v>1272</v>
      </c>
      <c r="J695" s="285">
        <v>100000000</v>
      </c>
      <c r="K695" s="145" t="s">
        <v>221</v>
      </c>
      <c r="L695" s="145">
        <v>2769031</v>
      </c>
      <c r="M695" s="145" t="s">
        <v>109</v>
      </c>
      <c r="N695" s="13">
        <v>450</v>
      </c>
      <c r="O695" s="13">
        <v>134865000</v>
      </c>
      <c r="P695" s="305"/>
      <c r="Q695" t="s">
        <v>3564</v>
      </c>
    </row>
    <row r="696" spans="1:17" ht="39" hidden="1" x14ac:dyDescent="0.35">
      <c r="A696" s="145" t="e">
        <f t="shared" si="10"/>
        <v>#REF!</v>
      </c>
      <c r="B696" s="146" t="s">
        <v>18</v>
      </c>
      <c r="C696" s="146" t="s">
        <v>37</v>
      </c>
      <c r="D696" s="146" t="s">
        <v>476</v>
      </c>
      <c r="E696" s="146" t="s">
        <v>2073</v>
      </c>
      <c r="F696" s="146" t="s">
        <v>297</v>
      </c>
      <c r="G696" s="145" t="s">
        <v>298</v>
      </c>
      <c r="H696" s="145" t="s">
        <v>2074</v>
      </c>
      <c r="I696" s="145" t="s">
        <v>2075</v>
      </c>
      <c r="J696" s="285">
        <v>225000000</v>
      </c>
      <c r="K696" s="145" t="s">
        <v>221</v>
      </c>
      <c r="L696" s="145">
        <v>2941098</v>
      </c>
      <c r="M696" s="145" t="s">
        <v>109</v>
      </c>
      <c r="N696" s="13" t="s">
        <v>2076</v>
      </c>
      <c r="O696" s="13">
        <v>225000000</v>
      </c>
      <c r="P696" s="305" t="s">
        <v>2077</v>
      </c>
      <c r="Q696" t="s">
        <v>3586</v>
      </c>
    </row>
    <row r="697" spans="1:17" ht="156" hidden="1" x14ac:dyDescent="0.35">
      <c r="A697" s="145" t="e">
        <f t="shared" si="10"/>
        <v>#REF!</v>
      </c>
      <c r="B697" s="146" t="s">
        <v>18</v>
      </c>
      <c r="C697" s="146" t="s">
        <v>37</v>
      </c>
      <c r="D697" s="140" t="s">
        <v>1515</v>
      </c>
      <c r="E697" s="146" t="s">
        <v>1979</v>
      </c>
      <c r="F697" s="146" t="s">
        <v>302</v>
      </c>
      <c r="G697" s="145" t="s">
        <v>303</v>
      </c>
      <c r="H697" s="145" t="s">
        <v>2078</v>
      </c>
      <c r="I697" s="145" t="s">
        <v>2079</v>
      </c>
      <c r="J697" s="285">
        <v>150000000</v>
      </c>
      <c r="K697" s="145" t="s">
        <v>221</v>
      </c>
      <c r="L697" s="145">
        <v>2847165</v>
      </c>
      <c r="M697" s="145" t="s">
        <v>109</v>
      </c>
      <c r="N697" s="13" t="s">
        <v>2080</v>
      </c>
      <c r="O697" s="13">
        <v>99608000</v>
      </c>
      <c r="P697" s="305" t="s">
        <v>584</v>
      </c>
      <c r="Q697" t="s">
        <v>3564</v>
      </c>
    </row>
    <row r="698" spans="1:17" ht="65" hidden="1" x14ac:dyDescent="0.35">
      <c r="A698" s="145" t="e">
        <f t="shared" si="10"/>
        <v>#REF!</v>
      </c>
      <c r="B698" s="146" t="s">
        <v>18</v>
      </c>
      <c r="C698" s="146" t="s">
        <v>37</v>
      </c>
      <c r="D698" s="140" t="s">
        <v>1515</v>
      </c>
      <c r="E698" s="146" t="s">
        <v>2081</v>
      </c>
      <c r="F698" s="146" t="s">
        <v>302</v>
      </c>
      <c r="G698" s="145" t="s">
        <v>303</v>
      </c>
      <c r="H698" s="145" t="s">
        <v>2082</v>
      </c>
      <c r="I698" s="145" t="s">
        <v>2083</v>
      </c>
      <c r="J698" s="285">
        <v>100000000</v>
      </c>
      <c r="K698" s="145" t="s">
        <v>221</v>
      </c>
      <c r="L698" s="145">
        <v>2847299</v>
      </c>
      <c r="M698" s="145" t="s">
        <v>109</v>
      </c>
      <c r="N698" s="13" t="s">
        <v>2084</v>
      </c>
      <c r="O698" s="13">
        <v>113886000</v>
      </c>
      <c r="P698" s="305" t="s">
        <v>2085</v>
      </c>
      <c r="Q698" t="s">
        <v>3564</v>
      </c>
    </row>
    <row r="699" spans="1:17" ht="156" hidden="1" x14ac:dyDescent="0.35">
      <c r="A699" s="145" t="e">
        <f t="shared" si="10"/>
        <v>#REF!</v>
      </c>
      <c r="B699" s="146" t="s">
        <v>18</v>
      </c>
      <c r="C699" s="146" t="s">
        <v>37</v>
      </c>
      <c r="D699" s="140" t="s">
        <v>1515</v>
      </c>
      <c r="E699" s="146" t="s">
        <v>1979</v>
      </c>
      <c r="F699" s="146" t="s">
        <v>302</v>
      </c>
      <c r="G699" s="145" t="s">
        <v>303</v>
      </c>
      <c r="H699" s="145" t="s">
        <v>2086</v>
      </c>
      <c r="I699" s="145" t="s">
        <v>2087</v>
      </c>
      <c r="J699" s="285">
        <v>100000000</v>
      </c>
      <c r="K699" s="145" t="s">
        <v>221</v>
      </c>
      <c r="L699" s="145">
        <v>2848430</v>
      </c>
      <c r="M699" s="145" t="s">
        <v>109</v>
      </c>
      <c r="N699" s="13" t="s">
        <v>2088</v>
      </c>
      <c r="O699" s="13">
        <v>100000000</v>
      </c>
      <c r="P699" s="305"/>
      <c r="Q699" t="s">
        <v>3564</v>
      </c>
    </row>
    <row r="700" spans="1:17" ht="91" hidden="1" x14ac:dyDescent="0.35">
      <c r="A700" s="145" t="e">
        <f t="shared" si="10"/>
        <v>#REF!</v>
      </c>
      <c r="B700" s="146" t="s">
        <v>18</v>
      </c>
      <c r="C700" s="146" t="s">
        <v>37</v>
      </c>
      <c r="D700" s="140" t="s">
        <v>1515</v>
      </c>
      <c r="E700" s="146" t="s">
        <v>1979</v>
      </c>
      <c r="F700" s="146" t="s">
        <v>302</v>
      </c>
      <c r="G700" s="145" t="s">
        <v>303</v>
      </c>
      <c r="H700" s="145" t="s">
        <v>2089</v>
      </c>
      <c r="I700" s="145" t="s">
        <v>2090</v>
      </c>
      <c r="J700" s="285">
        <v>100000000</v>
      </c>
      <c r="K700" s="145" t="s">
        <v>221</v>
      </c>
      <c r="L700" s="145">
        <v>2960050</v>
      </c>
      <c r="M700" s="145" t="s">
        <v>109</v>
      </c>
      <c r="N700" s="13">
        <v>600</v>
      </c>
      <c r="O700" s="13">
        <v>152400000</v>
      </c>
      <c r="P700" s="305" t="s">
        <v>1544</v>
      </c>
      <c r="Q700" t="s">
        <v>3564</v>
      </c>
    </row>
    <row r="701" spans="1:17" ht="39" hidden="1" x14ac:dyDescent="0.35">
      <c r="A701" s="145" t="e">
        <f t="shared" si="10"/>
        <v>#REF!</v>
      </c>
      <c r="B701" s="146" t="s">
        <v>18</v>
      </c>
      <c r="C701" s="146" t="s">
        <v>37</v>
      </c>
      <c r="D701" s="146" t="s">
        <v>1570</v>
      </c>
      <c r="E701" s="146" t="s">
        <v>1256</v>
      </c>
      <c r="F701" s="146" t="s">
        <v>302</v>
      </c>
      <c r="G701" s="145" t="s">
        <v>303</v>
      </c>
      <c r="H701" s="145" t="s">
        <v>2091</v>
      </c>
      <c r="I701" s="145" t="s">
        <v>2092</v>
      </c>
      <c r="J701" s="285">
        <v>100000000</v>
      </c>
      <c r="K701" s="145" t="s">
        <v>221</v>
      </c>
      <c r="L701" s="145">
        <v>2959686</v>
      </c>
      <c r="M701" s="145" t="s">
        <v>109</v>
      </c>
      <c r="N701" s="13">
        <v>100</v>
      </c>
      <c r="O701" s="13">
        <v>85000000</v>
      </c>
      <c r="P701" s="305" t="s">
        <v>584</v>
      </c>
      <c r="Q701" t="s">
        <v>3586</v>
      </c>
    </row>
    <row r="702" spans="1:17" ht="91" hidden="1" x14ac:dyDescent="0.35">
      <c r="A702" s="145" t="e">
        <f t="shared" si="10"/>
        <v>#REF!</v>
      </c>
      <c r="B702" s="146" t="s">
        <v>18</v>
      </c>
      <c r="C702" s="146" t="s">
        <v>37</v>
      </c>
      <c r="D702" s="140" t="s">
        <v>1515</v>
      </c>
      <c r="E702" s="146" t="s">
        <v>1979</v>
      </c>
      <c r="F702" s="146" t="s">
        <v>302</v>
      </c>
      <c r="G702" s="145" t="s">
        <v>303</v>
      </c>
      <c r="H702" s="145" t="s">
        <v>2093</v>
      </c>
      <c r="I702" s="145" t="s">
        <v>2094</v>
      </c>
      <c r="J702" s="285">
        <v>100000000</v>
      </c>
      <c r="K702" s="145" t="s">
        <v>221</v>
      </c>
      <c r="L702" s="145">
        <v>2959433</v>
      </c>
      <c r="M702" s="145" t="s">
        <v>109</v>
      </c>
      <c r="N702" s="13">
        <v>500</v>
      </c>
      <c r="O702" s="13">
        <v>127000000</v>
      </c>
      <c r="P702" s="305"/>
      <c r="Q702" t="s">
        <v>3564</v>
      </c>
    </row>
    <row r="703" spans="1:17" ht="65" hidden="1" x14ac:dyDescent="0.35">
      <c r="A703" s="145" t="e">
        <f t="shared" si="10"/>
        <v>#REF!</v>
      </c>
      <c r="B703" s="146" t="s">
        <v>18</v>
      </c>
      <c r="C703" s="146" t="s">
        <v>37</v>
      </c>
      <c r="D703" s="146" t="s">
        <v>476</v>
      </c>
      <c r="E703" s="146" t="s">
        <v>2095</v>
      </c>
      <c r="F703" s="146" t="s">
        <v>302</v>
      </c>
      <c r="G703" s="145" t="s">
        <v>303</v>
      </c>
      <c r="H703" s="145" t="s">
        <v>2096</v>
      </c>
      <c r="I703" s="145" t="s">
        <v>2097</v>
      </c>
      <c r="J703" s="285">
        <v>100000000</v>
      </c>
      <c r="K703" s="145" t="s">
        <v>221</v>
      </c>
      <c r="L703" s="145">
        <v>2959267</v>
      </c>
      <c r="M703" s="145" t="s">
        <v>109</v>
      </c>
      <c r="N703" s="13" t="s">
        <v>2098</v>
      </c>
      <c r="O703" s="13">
        <v>100000000</v>
      </c>
      <c r="P703" s="305" t="s">
        <v>2099</v>
      </c>
      <c r="Q703" t="s">
        <v>3586</v>
      </c>
    </row>
    <row r="704" spans="1:17" ht="39" hidden="1" x14ac:dyDescent="0.35">
      <c r="A704" s="145" t="e">
        <f t="shared" si="10"/>
        <v>#REF!</v>
      </c>
      <c r="B704" s="146" t="s">
        <v>18</v>
      </c>
      <c r="C704" s="146" t="s">
        <v>37</v>
      </c>
      <c r="D704" s="140" t="s">
        <v>1515</v>
      </c>
      <c r="E704" s="146" t="s">
        <v>2100</v>
      </c>
      <c r="F704" s="146" t="s">
        <v>307</v>
      </c>
      <c r="G704" s="145" t="s">
        <v>308</v>
      </c>
      <c r="H704" s="145" t="s">
        <v>309</v>
      </c>
      <c r="I704" s="145" t="s">
        <v>2101</v>
      </c>
      <c r="J704" s="285">
        <v>150000000</v>
      </c>
      <c r="K704" s="145" t="s">
        <v>221</v>
      </c>
      <c r="L704" s="145">
        <v>2873487</v>
      </c>
      <c r="M704" s="145" t="s">
        <v>109</v>
      </c>
      <c r="N704" s="13">
        <v>450</v>
      </c>
      <c r="O704" s="13">
        <v>134865000</v>
      </c>
      <c r="P704" s="305" t="s">
        <v>2102</v>
      </c>
      <c r="Q704" t="s">
        <v>3564</v>
      </c>
    </row>
    <row r="705" spans="1:17" ht="91" hidden="1" x14ac:dyDescent="0.35">
      <c r="A705" s="145" t="e">
        <f t="shared" si="10"/>
        <v>#REF!</v>
      </c>
      <c r="B705" s="146" t="s">
        <v>18</v>
      </c>
      <c r="C705" s="146" t="s">
        <v>37</v>
      </c>
      <c r="D705" s="140" t="s">
        <v>1515</v>
      </c>
      <c r="E705" s="146" t="s">
        <v>1979</v>
      </c>
      <c r="F705" s="146" t="s">
        <v>2103</v>
      </c>
      <c r="G705" s="145" t="s">
        <v>308</v>
      </c>
      <c r="H705" s="145" t="s">
        <v>2104</v>
      </c>
      <c r="I705" s="145" t="s">
        <v>2105</v>
      </c>
      <c r="J705" s="285">
        <v>200000000</v>
      </c>
      <c r="K705" s="145" t="s">
        <v>221</v>
      </c>
      <c r="L705" s="145">
        <v>2907382</v>
      </c>
      <c r="M705" s="145" t="s">
        <v>109</v>
      </c>
      <c r="N705" s="13">
        <v>450</v>
      </c>
      <c r="O705" s="13">
        <v>114300000</v>
      </c>
      <c r="P705" s="305" t="s">
        <v>1810</v>
      </c>
      <c r="Q705" t="s">
        <v>3564</v>
      </c>
    </row>
    <row r="706" spans="1:17" ht="91" hidden="1" x14ac:dyDescent="0.35">
      <c r="A706" s="145" t="e">
        <f t="shared" si="10"/>
        <v>#REF!</v>
      </c>
      <c r="B706" s="146" t="s">
        <v>18</v>
      </c>
      <c r="C706" s="146" t="s">
        <v>37</v>
      </c>
      <c r="D706" s="140" t="s">
        <v>1515</v>
      </c>
      <c r="E706" s="146" t="s">
        <v>1979</v>
      </c>
      <c r="F706" s="146" t="s">
        <v>1168</v>
      </c>
      <c r="G706" s="145" t="s">
        <v>308</v>
      </c>
      <c r="H706" s="145" t="s">
        <v>1169</v>
      </c>
      <c r="I706" s="145" t="s">
        <v>2106</v>
      </c>
      <c r="J706" s="285">
        <v>50000000</v>
      </c>
      <c r="K706" s="145" t="s">
        <v>221</v>
      </c>
      <c r="L706" s="145">
        <v>2907424</v>
      </c>
      <c r="M706" s="145" t="s">
        <v>109</v>
      </c>
      <c r="N706" s="13">
        <v>150</v>
      </c>
      <c r="O706" s="13">
        <v>38100000</v>
      </c>
      <c r="P706" s="305" t="s">
        <v>1810</v>
      </c>
      <c r="Q706" t="s">
        <v>3564</v>
      </c>
    </row>
    <row r="707" spans="1:17" ht="39" hidden="1" x14ac:dyDescent="0.35">
      <c r="A707" s="145" t="e">
        <f t="shared" si="10"/>
        <v>#REF!</v>
      </c>
      <c r="B707" s="146" t="s">
        <v>18</v>
      </c>
      <c r="C707" s="146" t="s">
        <v>37</v>
      </c>
      <c r="D707" s="140" t="s">
        <v>1634</v>
      </c>
      <c r="E707" s="146" t="s">
        <v>2054</v>
      </c>
      <c r="F707" s="146" t="s">
        <v>315</v>
      </c>
      <c r="G707" s="145" t="s">
        <v>308</v>
      </c>
      <c r="H707" s="145" t="s">
        <v>316</v>
      </c>
      <c r="I707" s="145" t="s">
        <v>25</v>
      </c>
      <c r="J707" s="285">
        <v>25000000</v>
      </c>
      <c r="K707" s="145" t="s">
        <v>221</v>
      </c>
      <c r="L707" s="145">
        <v>2910959</v>
      </c>
      <c r="M707" s="145" t="s">
        <v>109</v>
      </c>
      <c r="N707" s="13">
        <v>1</v>
      </c>
      <c r="O707" s="13">
        <v>25000000</v>
      </c>
      <c r="P707" s="305" t="s">
        <v>2107</v>
      </c>
      <c r="Q707" t="s">
        <v>3564</v>
      </c>
    </row>
    <row r="708" spans="1:17" ht="39" hidden="1" x14ac:dyDescent="0.35">
      <c r="A708" s="145" t="e">
        <f t="shared" si="10"/>
        <v>#REF!</v>
      </c>
      <c r="B708" s="146" t="s">
        <v>18</v>
      </c>
      <c r="C708" s="146" t="s">
        <v>37</v>
      </c>
      <c r="D708" s="140" t="s">
        <v>1634</v>
      </c>
      <c r="E708" s="146" t="s">
        <v>2054</v>
      </c>
      <c r="F708" s="146" t="s">
        <v>315</v>
      </c>
      <c r="G708" s="145" t="s">
        <v>308</v>
      </c>
      <c r="H708" s="145" t="s">
        <v>316</v>
      </c>
      <c r="I708" s="145" t="s">
        <v>25</v>
      </c>
      <c r="J708" s="285">
        <v>25000000</v>
      </c>
      <c r="K708" s="145" t="s">
        <v>221</v>
      </c>
      <c r="L708" s="145">
        <v>2911039</v>
      </c>
      <c r="M708" s="145" t="s">
        <v>109</v>
      </c>
      <c r="N708" s="13">
        <v>1</v>
      </c>
      <c r="O708" s="13">
        <v>25000000</v>
      </c>
      <c r="P708" s="305" t="s">
        <v>2107</v>
      </c>
      <c r="Q708" t="s">
        <v>3564</v>
      </c>
    </row>
    <row r="709" spans="1:17" ht="39" hidden="1" x14ac:dyDescent="0.35">
      <c r="A709" s="145" t="e">
        <f t="shared" si="10"/>
        <v>#REF!</v>
      </c>
      <c r="B709" s="146" t="s">
        <v>18</v>
      </c>
      <c r="C709" s="146" t="s">
        <v>37</v>
      </c>
      <c r="D709" s="140" t="s">
        <v>1634</v>
      </c>
      <c r="E709" s="146" t="s">
        <v>2054</v>
      </c>
      <c r="F709" s="146" t="s">
        <v>315</v>
      </c>
      <c r="G709" s="145" t="s">
        <v>308</v>
      </c>
      <c r="H709" s="145" t="s">
        <v>316</v>
      </c>
      <c r="I709" s="145" t="s">
        <v>25</v>
      </c>
      <c r="J709" s="285">
        <v>25000000</v>
      </c>
      <c r="K709" s="145" t="s">
        <v>221</v>
      </c>
      <c r="L709" s="145">
        <v>2911085</v>
      </c>
      <c r="M709" s="145" t="s">
        <v>109</v>
      </c>
      <c r="N709" s="13">
        <v>1</v>
      </c>
      <c r="O709" s="13">
        <v>25000000</v>
      </c>
      <c r="P709" s="305" t="s">
        <v>2107</v>
      </c>
      <c r="Q709" t="s">
        <v>3564</v>
      </c>
    </row>
    <row r="710" spans="1:17" ht="39" hidden="1" x14ac:dyDescent="0.35">
      <c r="A710" s="145" t="e">
        <f t="shared" si="10"/>
        <v>#REF!</v>
      </c>
      <c r="B710" s="146" t="s">
        <v>18</v>
      </c>
      <c r="C710" s="146" t="s">
        <v>37</v>
      </c>
      <c r="D710" s="146" t="s">
        <v>1803</v>
      </c>
      <c r="E710" s="146" t="s">
        <v>2044</v>
      </c>
      <c r="F710" s="146" t="s">
        <v>690</v>
      </c>
      <c r="G710" s="145" t="s">
        <v>308</v>
      </c>
      <c r="H710" s="145" t="s">
        <v>691</v>
      </c>
      <c r="I710" s="145" t="s">
        <v>25</v>
      </c>
      <c r="J710" s="285">
        <v>50000000</v>
      </c>
      <c r="K710" s="145" t="s">
        <v>221</v>
      </c>
      <c r="L710" s="145">
        <v>2913002</v>
      </c>
      <c r="M710" s="145" t="s">
        <v>109</v>
      </c>
      <c r="N710" s="13">
        <v>10</v>
      </c>
      <c r="O710" s="13">
        <v>50000000</v>
      </c>
      <c r="P710" s="305" t="s">
        <v>2020</v>
      </c>
      <c r="Q710" t="s">
        <v>3586</v>
      </c>
    </row>
    <row r="711" spans="1:17" ht="39" hidden="1" x14ac:dyDescent="0.35">
      <c r="A711" s="145" t="e">
        <f t="shared" si="10"/>
        <v>#REF!</v>
      </c>
      <c r="B711" s="146" t="s">
        <v>18</v>
      </c>
      <c r="C711" s="146" t="s">
        <v>37</v>
      </c>
      <c r="D711" s="146" t="s">
        <v>1803</v>
      </c>
      <c r="E711" s="146" t="s">
        <v>2108</v>
      </c>
      <c r="F711" s="146" t="s">
        <v>690</v>
      </c>
      <c r="G711" s="145" t="s">
        <v>308</v>
      </c>
      <c r="H711" s="145" t="s">
        <v>691</v>
      </c>
      <c r="I711" s="145" t="s">
        <v>1170</v>
      </c>
      <c r="J711" s="285">
        <v>50000000</v>
      </c>
      <c r="K711" s="145" t="s">
        <v>221</v>
      </c>
      <c r="L711" s="145">
        <v>2913564</v>
      </c>
      <c r="M711" s="145" t="s">
        <v>109</v>
      </c>
      <c r="N711" s="13">
        <v>10</v>
      </c>
      <c r="O711" s="13">
        <v>50000000</v>
      </c>
      <c r="P711" s="305" t="s">
        <v>2020</v>
      </c>
      <c r="Q711" t="s">
        <v>3586</v>
      </c>
    </row>
    <row r="712" spans="1:17" ht="91" hidden="1" x14ac:dyDescent="0.35">
      <c r="A712" s="145" t="e">
        <f t="shared" si="10"/>
        <v>#REF!</v>
      </c>
      <c r="B712" s="146" t="s">
        <v>18</v>
      </c>
      <c r="C712" s="146" t="s">
        <v>37</v>
      </c>
      <c r="D712" s="140" t="s">
        <v>1515</v>
      </c>
      <c r="E712" s="146" t="s">
        <v>1979</v>
      </c>
      <c r="F712" s="146" t="s">
        <v>2109</v>
      </c>
      <c r="G712" s="145" t="s">
        <v>308</v>
      </c>
      <c r="H712" s="145" t="s">
        <v>1172</v>
      </c>
      <c r="I712" s="145" t="s">
        <v>2110</v>
      </c>
      <c r="J712" s="285">
        <v>150000000</v>
      </c>
      <c r="K712" s="145" t="s">
        <v>221</v>
      </c>
      <c r="L712" s="145">
        <v>2913971</v>
      </c>
      <c r="M712" s="145" t="s">
        <v>109</v>
      </c>
      <c r="N712" s="13">
        <v>400</v>
      </c>
      <c r="O712" s="13">
        <v>131147539.99999999</v>
      </c>
      <c r="P712" s="305" t="s">
        <v>2102</v>
      </c>
      <c r="Q712" t="s">
        <v>3564</v>
      </c>
    </row>
    <row r="713" spans="1:17" ht="65" hidden="1" x14ac:dyDescent="0.35">
      <c r="A713" s="145" t="e">
        <f t="shared" si="10"/>
        <v>#REF!</v>
      </c>
      <c r="B713" s="146" t="s">
        <v>18</v>
      </c>
      <c r="C713" s="146" t="s">
        <v>37</v>
      </c>
      <c r="D713" s="140" t="s">
        <v>1515</v>
      </c>
      <c r="E713" s="146" t="s">
        <v>2111</v>
      </c>
      <c r="F713" s="146" t="s">
        <v>302</v>
      </c>
      <c r="G713" s="145" t="s">
        <v>587</v>
      </c>
      <c r="H713" s="145" t="s">
        <v>2112</v>
      </c>
      <c r="I713" s="145" t="s">
        <v>2113</v>
      </c>
      <c r="J713" s="285">
        <v>300000000</v>
      </c>
      <c r="K713" s="145" t="s">
        <v>221</v>
      </c>
      <c r="L713" s="145">
        <v>2870355</v>
      </c>
      <c r="M713" s="145" t="s">
        <v>109</v>
      </c>
      <c r="N713" s="13" t="s">
        <v>2114</v>
      </c>
      <c r="O713" s="13">
        <v>177800000</v>
      </c>
      <c r="P713" s="305" t="s">
        <v>1810</v>
      </c>
      <c r="Q713" t="s">
        <v>3564</v>
      </c>
    </row>
    <row r="714" spans="1:17" ht="39" hidden="1" x14ac:dyDescent="0.35">
      <c r="A714" s="145" t="e">
        <f t="shared" si="10"/>
        <v>#REF!</v>
      </c>
      <c r="B714" s="146" t="s">
        <v>18</v>
      </c>
      <c r="C714" s="146" t="s">
        <v>37</v>
      </c>
      <c r="D714" s="140" t="s">
        <v>1515</v>
      </c>
      <c r="E714" s="146" t="s">
        <v>2115</v>
      </c>
      <c r="F714" s="146" t="s">
        <v>302</v>
      </c>
      <c r="G714" s="145" t="s">
        <v>587</v>
      </c>
      <c r="H714" s="145" t="s">
        <v>2116</v>
      </c>
      <c r="I714" s="145" t="s">
        <v>2117</v>
      </c>
      <c r="J714" s="285">
        <v>250000000</v>
      </c>
      <c r="K714" s="145" t="s">
        <v>221</v>
      </c>
      <c r="L714" s="145">
        <v>2870555</v>
      </c>
      <c r="M714" s="145" t="s">
        <v>109</v>
      </c>
      <c r="N714" s="13" t="s">
        <v>2117</v>
      </c>
      <c r="O714" s="13">
        <v>250000000</v>
      </c>
      <c r="P714" s="305"/>
      <c r="Q714" t="s">
        <v>3564</v>
      </c>
    </row>
    <row r="715" spans="1:17" ht="39" hidden="1" x14ac:dyDescent="0.35">
      <c r="A715" s="145" t="e">
        <f t="shared" si="10"/>
        <v>#REF!</v>
      </c>
      <c r="B715" s="146" t="s">
        <v>18</v>
      </c>
      <c r="C715" s="146" t="s">
        <v>37</v>
      </c>
      <c r="D715" s="140" t="s">
        <v>1515</v>
      </c>
      <c r="E715" s="146" t="s">
        <v>2118</v>
      </c>
      <c r="F715" s="146" t="s">
        <v>302</v>
      </c>
      <c r="G715" s="145" t="s">
        <v>587</v>
      </c>
      <c r="H715" s="145" t="s">
        <v>2119</v>
      </c>
      <c r="I715" s="145" t="s">
        <v>2120</v>
      </c>
      <c r="J715" s="285">
        <v>300000000</v>
      </c>
      <c r="K715" s="145" t="s">
        <v>221</v>
      </c>
      <c r="L715" s="145">
        <v>2870462</v>
      </c>
      <c r="M715" s="145" t="s">
        <v>109</v>
      </c>
      <c r="N715" s="13" t="s">
        <v>2121</v>
      </c>
      <c r="O715" s="13">
        <v>190500000</v>
      </c>
      <c r="P715" s="305"/>
      <c r="Q715" t="s">
        <v>3564</v>
      </c>
    </row>
    <row r="716" spans="1:17" ht="39" hidden="1" x14ac:dyDescent="0.35">
      <c r="A716" s="145" t="e">
        <f t="shared" si="10"/>
        <v>#REF!</v>
      </c>
      <c r="B716" s="146" t="s">
        <v>18</v>
      </c>
      <c r="C716" s="146" t="s">
        <v>37</v>
      </c>
      <c r="D716" s="140" t="s">
        <v>1515</v>
      </c>
      <c r="E716" s="146" t="s">
        <v>2122</v>
      </c>
      <c r="F716" s="146" t="s">
        <v>302</v>
      </c>
      <c r="G716" s="145" t="s">
        <v>587</v>
      </c>
      <c r="H716" s="145" t="s">
        <v>2123</v>
      </c>
      <c r="I716" s="145" t="s">
        <v>1213</v>
      </c>
      <c r="J716" s="285">
        <v>150000000</v>
      </c>
      <c r="K716" s="145" t="s">
        <v>221</v>
      </c>
      <c r="L716" s="145">
        <v>3011148</v>
      </c>
      <c r="M716" s="145" t="s">
        <v>109</v>
      </c>
      <c r="N716" s="13" t="s">
        <v>1213</v>
      </c>
      <c r="O716" s="13">
        <v>150000000</v>
      </c>
      <c r="P716" s="305"/>
      <c r="Q716" t="s">
        <v>3564</v>
      </c>
    </row>
    <row r="717" spans="1:17" ht="39" hidden="1" x14ac:dyDescent="0.35">
      <c r="A717" s="145" t="e">
        <f t="shared" si="10"/>
        <v>#REF!</v>
      </c>
      <c r="B717" s="146" t="s">
        <v>18</v>
      </c>
      <c r="C717" s="146" t="s">
        <v>37</v>
      </c>
      <c r="D717" s="140" t="s">
        <v>1515</v>
      </c>
      <c r="E717" s="146" t="s">
        <v>2124</v>
      </c>
      <c r="F717" s="146" t="s">
        <v>302</v>
      </c>
      <c r="G717" s="145" t="s">
        <v>587</v>
      </c>
      <c r="H717" s="145" t="s">
        <v>2125</v>
      </c>
      <c r="I717" s="145" t="s">
        <v>341</v>
      </c>
      <c r="J717" s="285">
        <v>100000000</v>
      </c>
      <c r="K717" s="145" t="s">
        <v>221</v>
      </c>
      <c r="L717" s="145">
        <v>3011136</v>
      </c>
      <c r="M717" s="145" t="s">
        <v>109</v>
      </c>
      <c r="N717" s="13">
        <v>600</v>
      </c>
      <c r="O717" s="13">
        <v>152400000</v>
      </c>
      <c r="P717" s="305" t="s">
        <v>1810</v>
      </c>
      <c r="Q717" t="s">
        <v>3564</v>
      </c>
    </row>
    <row r="718" spans="1:17" ht="39" hidden="1" x14ac:dyDescent="0.35">
      <c r="A718" s="145" t="e">
        <f t="shared" si="10"/>
        <v>#REF!</v>
      </c>
      <c r="B718" s="146" t="s">
        <v>18</v>
      </c>
      <c r="C718" s="146" t="s">
        <v>37</v>
      </c>
      <c r="D718" s="140" t="s">
        <v>1634</v>
      </c>
      <c r="E718" s="146" t="s">
        <v>2126</v>
      </c>
      <c r="F718" s="146" t="s">
        <v>302</v>
      </c>
      <c r="G718" s="145" t="s">
        <v>319</v>
      </c>
      <c r="H718" s="145" t="s">
        <v>2127</v>
      </c>
      <c r="I718" s="145" t="s">
        <v>2128</v>
      </c>
      <c r="J718" s="285">
        <v>100000000</v>
      </c>
      <c r="K718" s="145" t="s">
        <v>221</v>
      </c>
      <c r="L718" s="145">
        <v>2913054</v>
      </c>
      <c r="M718" s="145" t="s">
        <v>109</v>
      </c>
      <c r="N718" s="13">
        <v>70</v>
      </c>
      <c r="O718" s="13">
        <v>49140000</v>
      </c>
      <c r="P718" s="305"/>
      <c r="Q718" t="s">
        <v>3564</v>
      </c>
    </row>
    <row r="719" spans="1:17" ht="104" hidden="1" x14ac:dyDescent="0.35">
      <c r="A719" s="145" t="e">
        <f t="shared" si="10"/>
        <v>#REF!</v>
      </c>
      <c r="B719" s="146" t="s">
        <v>18</v>
      </c>
      <c r="C719" s="146" t="s">
        <v>37</v>
      </c>
      <c r="D719" s="140" t="s">
        <v>1515</v>
      </c>
      <c r="E719" s="146" t="s">
        <v>2129</v>
      </c>
      <c r="F719" s="146" t="s">
        <v>302</v>
      </c>
      <c r="G719" s="145" t="s">
        <v>319</v>
      </c>
      <c r="H719" s="145" t="s">
        <v>2130</v>
      </c>
      <c r="I719" s="145" t="s">
        <v>695</v>
      </c>
      <c r="J719" s="285">
        <v>100000000</v>
      </c>
      <c r="K719" s="145" t="s">
        <v>221</v>
      </c>
      <c r="L719" s="145">
        <v>2913451</v>
      </c>
      <c r="M719" s="145" t="s">
        <v>109</v>
      </c>
      <c r="N719" s="13" t="s">
        <v>2131</v>
      </c>
      <c r="O719" s="13">
        <v>148515000</v>
      </c>
      <c r="P719" s="305" t="s">
        <v>2132</v>
      </c>
      <c r="Q719" t="s">
        <v>3564</v>
      </c>
    </row>
    <row r="720" spans="1:17" ht="39" hidden="1" x14ac:dyDescent="0.35">
      <c r="A720" s="145" t="e">
        <f t="shared" si="10"/>
        <v>#REF!</v>
      </c>
      <c r="B720" s="146" t="s">
        <v>18</v>
      </c>
      <c r="C720" s="146" t="s">
        <v>37</v>
      </c>
      <c r="D720" s="140" t="s">
        <v>1634</v>
      </c>
      <c r="E720" s="146" t="s">
        <v>2133</v>
      </c>
      <c r="F720" s="146" t="s">
        <v>302</v>
      </c>
      <c r="G720" s="145" t="s">
        <v>319</v>
      </c>
      <c r="H720" s="145" t="s">
        <v>2134</v>
      </c>
      <c r="I720" s="145" t="s">
        <v>2135</v>
      </c>
      <c r="J720" s="285">
        <v>100000000</v>
      </c>
      <c r="K720" s="145" t="s">
        <v>221</v>
      </c>
      <c r="L720" s="145">
        <v>2913788</v>
      </c>
      <c r="M720" s="145" t="s">
        <v>109</v>
      </c>
      <c r="N720" s="13">
        <v>3</v>
      </c>
      <c r="O720" s="13">
        <v>100500000</v>
      </c>
      <c r="P720" s="305"/>
      <c r="Q720" t="s">
        <v>3564</v>
      </c>
    </row>
    <row r="721" spans="1:17" ht="39" hidden="1" x14ac:dyDescent="0.35">
      <c r="A721" s="145" t="e">
        <f t="shared" si="10"/>
        <v>#REF!</v>
      </c>
      <c r="B721" s="146" t="s">
        <v>18</v>
      </c>
      <c r="C721" s="146" t="s">
        <v>37</v>
      </c>
      <c r="D721" s="146" t="s">
        <v>1521</v>
      </c>
      <c r="E721" s="146" t="s">
        <v>2136</v>
      </c>
      <c r="F721" s="146" t="s">
        <v>302</v>
      </c>
      <c r="G721" s="145" t="s">
        <v>319</v>
      </c>
      <c r="H721" s="145" t="s">
        <v>2137</v>
      </c>
      <c r="I721" s="145" t="s">
        <v>1259</v>
      </c>
      <c r="J721" s="285">
        <v>100000000</v>
      </c>
      <c r="K721" s="145" t="s">
        <v>221</v>
      </c>
      <c r="L721" s="145">
        <v>2913996</v>
      </c>
      <c r="M721" s="145" t="s">
        <v>109</v>
      </c>
      <c r="N721" s="13" t="s">
        <v>2138</v>
      </c>
      <c r="O721" s="13">
        <v>116425000</v>
      </c>
      <c r="P721" s="305"/>
      <c r="Q721" t="s">
        <v>3586</v>
      </c>
    </row>
    <row r="722" spans="1:17" ht="39" hidden="1" x14ac:dyDescent="0.35">
      <c r="A722" s="145" t="e">
        <f t="shared" si="10"/>
        <v>#REF!</v>
      </c>
      <c r="B722" s="146" t="s">
        <v>18</v>
      </c>
      <c r="C722" s="146" t="s">
        <v>37</v>
      </c>
      <c r="D722" s="146" t="s">
        <v>476</v>
      </c>
      <c r="E722" s="146" t="s">
        <v>2139</v>
      </c>
      <c r="F722" s="146" t="s">
        <v>302</v>
      </c>
      <c r="G722" s="145" t="s">
        <v>319</v>
      </c>
      <c r="H722" s="145" t="s">
        <v>2140</v>
      </c>
      <c r="I722" s="145" t="s">
        <v>1187</v>
      </c>
      <c r="J722" s="285">
        <v>100000000</v>
      </c>
      <c r="K722" s="145" t="s">
        <v>221</v>
      </c>
      <c r="L722" s="145">
        <v>2916046</v>
      </c>
      <c r="M722" s="145" t="s">
        <v>109</v>
      </c>
      <c r="N722" s="13">
        <v>400</v>
      </c>
      <c r="O722" s="13">
        <v>101600000</v>
      </c>
      <c r="P722" s="305" t="s">
        <v>1839</v>
      </c>
      <c r="Q722" t="s">
        <v>3586</v>
      </c>
    </row>
    <row r="723" spans="1:17" ht="39" hidden="1" x14ac:dyDescent="0.35">
      <c r="A723" s="145" t="e">
        <f t="shared" si="10"/>
        <v>#REF!</v>
      </c>
      <c r="B723" s="146" t="s">
        <v>18</v>
      </c>
      <c r="C723" s="146" t="s">
        <v>37</v>
      </c>
      <c r="D723" s="146" t="s">
        <v>1803</v>
      </c>
      <c r="E723" s="146" t="s">
        <v>2141</v>
      </c>
      <c r="F723" s="146" t="s">
        <v>302</v>
      </c>
      <c r="G723" s="145" t="s">
        <v>319</v>
      </c>
      <c r="H723" s="145" t="s">
        <v>2142</v>
      </c>
      <c r="I723" s="145" t="s">
        <v>2143</v>
      </c>
      <c r="J723" s="285">
        <v>100000000</v>
      </c>
      <c r="K723" s="145" t="s">
        <v>221</v>
      </c>
      <c r="L723" s="145">
        <v>2916611</v>
      </c>
      <c r="M723" s="145" t="s">
        <v>109</v>
      </c>
      <c r="N723" s="13">
        <v>20</v>
      </c>
      <c r="O723" s="13">
        <v>100000000</v>
      </c>
      <c r="P723" s="305" t="s">
        <v>2020</v>
      </c>
      <c r="Q723" t="s">
        <v>3564</v>
      </c>
    </row>
    <row r="724" spans="1:17" ht="52" hidden="1" x14ac:dyDescent="0.35">
      <c r="A724" s="145" t="e">
        <f t="shared" si="10"/>
        <v>#REF!</v>
      </c>
      <c r="B724" s="146" t="s">
        <v>18</v>
      </c>
      <c r="C724" s="146" t="s">
        <v>37</v>
      </c>
      <c r="D724" s="140" t="s">
        <v>1634</v>
      </c>
      <c r="E724" s="146" t="s">
        <v>2144</v>
      </c>
      <c r="F724" s="146" t="s">
        <v>302</v>
      </c>
      <c r="G724" s="145" t="s">
        <v>319</v>
      </c>
      <c r="H724" s="145" t="s">
        <v>2145</v>
      </c>
      <c r="I724" s="145" t="s">
        <v>2146</v>
      </c>
      <c r="J724" s="285">
        <v>50000000</v>
      </c>
      <c r="K724" s="145" t="s">
        <v>221</v>
      </c>
      <c r="L724" s="145">
        <v>2918035</v>
      </c>
      <c r="M724" s="145" t="s">
        <v>109</v>
      </c>
      <c r="N724" s="13" t="s">
        <v>2147</v>
      </c>
      <c r="O724" s="13">
        <v>166920000</v>
      </c>
      <c r="P724" s="305"/>
      <c r="Q724" t="s">
        <v>3564</v>
      </c>
    </row>
    <row r="725" spans="1:17" ht="39" hidden="1" x14ac:dyDescent="0.35">
      <c r="A725" s="145" t="e">
        <f t="shared" si="10"/>
        <v>#REF!</v>
      </c>
      <c r="B725" s="146" t="s">
        <v>18</v>
      </c>
      <c r="C725" s="146" t="s">
        <v>37</v>
      </c>
      <c r="D725" s="146" t="s">
        <v>1570</v>
      </c>
      <c r="E725" s="146" t="s">
        <v>2148</v>
      </c>
      <c r="F725" s="146" t="s">
        <v>302</v>
      </c>
      <c r="G725" s="145" t="s">
        <v>319</v>
      </c>
      <c r="H725" s="145" t="s">
        <v>2149</v>
      </c>
      <c r="I725" s="145" t="s">
        <v>1259</v>
      </c>
      <c r="J725" s="285">
        <v>60000000</v>
      </c>
      <c r="K725" s="145" t="s">
        <v>221</v>
      </c>
      <c r="L725" s="145">
        <v>2932574</v>
      </c>
      <c r="M725" s="145" t="s">
        <v>109</v>
      </c>
      <c r="N725" s="13" t="s">
        <v>2138</v>
      </c>
      <c r="O725" s="13">
        <v>69550000</v>
      </c>
      <c r="P725" s="305" t="s">
        <v>2150</v>
      </c>
      <c r="Q725" t="s">
        <v>3586</v>
      </c>
    </row>
    <row r="726" spans="1:17" ht="117" hidden="1" x14ac:dyDescent="0.35">
      <c r="A726" s="145" t="e">
        <f t="shared" si="10"/>
        <v>#REF!</v>
      </c>
      <c r="B726" s="146" t="s">
        <v>18</v>
      </c>
      <c r="C726" s="146" t="s">
        <v>37</v>
      </c>
      <c r="D726" s="140" t="s">
        <v>1515</v>
      </c>
      <c r="E726" s="146" t="s">
        <v>2151</v>
      </c>
      <c r="F726" s="146" t="s">
        <v>302</v>
      </c>
      <c r="G726" s="145" t="s">
        <v>319</v>
      </c>
      <c r="H726" s="145" t="s">
        <v>2149</v>
      </c>
      <c r="I726" s="145" t="s">
        <v>2152</v>
      </c>
      <c r="J726" s="285">
        <v>40000000</v>
      </c>
      <c r="K726" s="145" t="s">
        <v>221</v>
      </c>
      <c r="L726" s="145">
        <v>2932493</v>
      </c>
      <c r="M726" s="145" t="s">
        <v>109</v>
      </c>
      <c r="N726" s="13">
        <v>178</v>
      </c>
      <c r="O726" s="13">
        <v>45212000</v>
      </c>
      <c r="P726" s="305"/>
      <c r="Q726" t="s">
        <v>3564</v>
      </c>
    </row>
    <row r="727" spans="1:17" ht="52" hidden="1" x14ac:dyDescent="0.35">
      <c r="A727" s="145" t="e">
        <f t="shared" si="10"/>
        <v>#REF!</v>
      </c>
      <c r="B727" s="146" t="s">
        <v>18</v>
      </c>
      <c r="C727" s="146" t="s">
        <v>37</v>
      </c>
      <c r="D727" s="140" t="s">
        <v>1515</v>
      </c>
      <c r="E727" s="146" t="s">
        <v>2153</v>
      </c>
      <c r="F727" s="146" t="s">
        <v>2154</v>
      </c>
      <c r="G727" s="145" t="s">
        <v>325</v>
      </c>
      <c r="H727" s="145" t="s">
        <v>2155</v>
      </c>
      <c r="I727" s="145" t="s">
        <v>2156</v>
      </c>
      <c r="J727" s="285">
        <v>104902000</v>
      </c>
      <c r="K727" s="145" t="s">
        <v>221</v>
      </c>
      <c r="L727" s="145">
        <v>3149868</v>
      </c>
      <c r="M727" s="145" t="s">
        <v>109</v>
      </c>
      <c r="N727" s="13">
        <v>600</v>
      </c>
      <c r="O727" s="13">
        <v>152400000</v>
      </c>
      <c r="P727" s="305"/>
      <c r="Q727" t="s">
        <v>3564</v>
      </c>
    </row>
    <row r="728" spans="1:17" ht="65" hidden="1" x14ac:dyDescent="0.35">
      <c r="A728" s="145" t="e">
        <f t="shared" si="10"/>
        <v>#REF!</v>
      </c>
      <c r="B728" s="146" t="s">
        <v>18</v>
      </c>
      <c r="C728" s="146" t="s">
        <v>37</v>
      </c>
      <c r="D728" s="140" t="s">
        <v>1515</v>
      </c>
      <c r="E728" s="146" t="s">
        <v>2157</v>
      </c>
      <c r="F728" s="146" t="s">
        <v>2158</v>
      </c>
      <c r="G728" s="145" t="s">
        <v>325</v>
      </c>
      <c r="H728" s="145" t="s">
        <v>2159</v>
      </c>
      <c r="I728" s="145" t="s">
        <v>2156</v>
      </c>
      <c r="J728" s="285">
        <v>104902000</v>
      </c>
      <c r="K728" s="145" t="s">
        <v>221</v>
      </c>
      <c r="L728" s="145">
        <v>3254716</v>
      </c>
      <c r="M728" s="145" t="s">
        <v>109</v>
      </c>
      <c r="N728" s="13">
        <v>600</v>
      </c>
      <c r="O728" s="13">
        <v>152400000</v>
      </c>
      <c r="P728" s="305"/>
      <c r="Q728" t="s">
        <v>3564</v>
      </c>
    </row>
    <row r="729" spans="1:17" ht="65" hidden="1" x14ac:dyDescent="0.35">
      <c r="A729" s="145" t="e">
        <f t="shared" si="10"/>
        <v>#REF!</v>
      </c>
      <c r="B729" s="146" t="s">
        <v>18</v>
      </c>
      <c r="C729" s="146" t="s">
        <v>37</v>
      </c>
      <c r="D729" s="140" t="s">
        <v>1515</v>
      </c>
      <c r="E729" s="146" t="s">
        <v>2160</v>
      </c>
      <c r="F729" s="146" t="s">
        <v>2161</v>
      </c>
      <c r="G729" s="145" t="s">
        <v>325</v>
      </c>
      <c r="H729" s="145" t="s">
        <v>2162</v>
      </c>
      <c r="I729" s="145" t="s">
        <v>1484</v>
      </c>
      <c r="J729" s="285">
        <v>250000000</v>
      </c>
      <c r="K729" s="145" t="s">
        <v>221</v>
      </c>
      <c r="L729" s="145">
        <v>2871580</v>
      </c>
      <c r="M729" s="145" t="s">
        <v>109</v>
      </c>
      <c r="N729" s="13" t="s">
        <v>2163</v>
      </c>
      <c r="O729" s="13">
        <v>95250000</v>
      </c>
      <c r="P729" s="305"/>
      <c r="Q729" t="s">
        <v>3564</v>
      </c>
    </row>
    <row r="730" spans="1:17" ht="65" hidden="1" x14ac:dyDescent="0.35">
      <c r="A730" s="145" t="e">
        <f t="shared" si="10"/>
        <v>#REF!</v>
      </c>
      <c r="B730" s="146" t="s">
        <v>18</v>
      </c>
      <c r="C730" s="146" t="s">
        <v>37</v>
      </c>
      <c r="D730" s="140" t="s">
        <v>1515</v>
      </c>
      <c r="E730" s="146" t="s">
        <v>2164</v>
      </c>
      <c r="F730" s="146" t="s">
        <v>2165</v>
      </c>
      <c r="G730" s="145" t="s">
        <v>325</v>
      </c>
      <c r="H730" s="145" t="s">
        <v>2166</v>
      </c>
      <c r="I730" s="145" t="s">
        <v>1272</v>
      </c>
      <c r="J730" s="285">
        <v>150000000</v>
      </c>
      <c r="K730" s="145" t="s">
        <v>221</v>
      </c>
      <c r="L730" s="145">
        <v>3009863</v>
      </c>
      <c r="M730" s="145" t="s">
        <v>109</v>
      </c>
      <c r="N730" s="13">
        <v>600</v>
      </c>
      <c r="O730" s="13">
        <v>152400000</v>
      </c>
      <c r="P730" s="305"/>
      <c r="Q730" t="s">
        <v>3564</v>
      </c>
    </row>
    <row r="731" spans="1:17" ht="65" hidden="1" x14ac:dyDescent="0.35">
      <c r="A731" s="145" t="e">
        <f t="shared" si="10"/>
        <v>#REF!</v>
      </c>
      <c r="B731" s="146" t="s">
        <v>18</v>
      </c>
      <c r="C731" s="146" t="s">
        <v>37</v>
      </c>
      <c r="D731" s="140" t="s">
        <v>1515</v>
      </c>
      <c r="E731" s="146" t="s">
        <v>2167</v>
      </c>
      <c r="F731" s="146" t="s">
        <v>2168</v>
      </c>
      <c r="G731" s="145" t="s">
        <v>325</v>
      </c>
      <c r="H731" s="145" t="s">
        <v>2169</v>
      </c>
      <c r="I731" s="145" t="s">
        <v>1272</v>
      </c>
      <c r="J731" s="285">
        <v>150000000</v>
      </c>
      <c r="K731" s="145" t="s">
        <v>221</v>
      </c>
      <c r="L731" s="145">
        <v>3009711</v>
      </c>
      <c r="M731" s="145" t="s">
        <v>109</v>
      </c>
      <c r="N731" s="13">
        <v>600</v>
      </c>
      <c r="O731" s="13">
        <v>152400000</v>
      </c>
      <c r="P731" s="305"/>
      <c r="Q731" t="s">
        <v>3564</v>
      </c>
    </row>
    <row r="732" spans="1:17" ht="39" hidden="1" x14ac:dyDescent="0.35">
      <c r="A732" s="145" t="e">
        <f t="shared" si="10"/>
        <v>#REF!</v>
      </c>
      <c r="B732" s="146" t="s">
        <v>18</v>
      </c>
      <c r="C732" s="146" t="s">
        <v>37</v>
      </c>
      <c r="D732" s="146" t="s">
        <v>476</v>
      </c>
      <c r="E732" s="146" t="s">
        <v>2170</v>
      </c>
      <c r="F732" s="146" t="s">
        <v>48</v>
      </c>
      <c r="G732" s="145" t="s">
        <v>116</v>
      </c>
      <c r="H732" s="145" t="s">
        <v>2171</v>
      </c>
      <c r="I732" s="145" t="s">
        <v>48</v>
      </c>
      <c r="J732" s="285">
        <v>35000000</v>
      </c>
      <c r="K732" s="145" t="s">
        <v>221</v>
      </c>
      <c r="L732" s="145">
        <v>2961581</v>
      </c>
      <c r="M732" s="145" t="s">
        <v>109</v>
      </c>
      <c r="N732" s="13" t="s">
        <v>2172</v>
      </c>
      <c r="O732" s="13">
        <v>250000000</v>
      </c>
      <c r="P732" s="305" t="s">
        <v>2173</v>
      </c>
      <c r="Q732" t="s">
        <v>3586</v>
      </c>
    </row>
    <row r="733" spans="1:17" ht="91" hidden="1" x14ac:dyDescent="0.35">
      <c r="A733" s="145" t="e">
        <f t="shared" si="10"/>
        <v>#REF!</v>
      </c>
      <c r="B733" s="146" t="s">
        <v>18</v>
      </c>
      <c r="C733" s="146" t="s">
        <v>37</v>
      </c>
      <c r="D733" s="140" t="s">
        <v>1515</v>
      </c>
      <c r="E733" s="146" t="s">
        <v>1979</v>
      </c>
      <c r="F733" s="146" t="s">
        <v>297</v>
      </c>
      <c r="G733" s="145" t="s">
        <v>116</v>
      </c>
      <c r="H733" s="145" t="s">
        <v>2174</v>
      </c>
      <c r="I733" s="145" t="s">
        <v>2175</v>
      </c>
      <c r="J733" s="285">
        <v>68000000</v>
      </c>
      <c r="K733" s="145" t="s">
        <v>221</v>
      </c>
      <c r="L733" s="145">
        <v>2857333</v>
      </c>
      <c r="M733" s="145" t="s">
        <v>109</v>
      </c>
      <c r="N733" s="13">
        <v>300</v>
      </c>
      <c r="O733" s="13">
        <v>98360655</v>
      </c>
      <c r="P733" s="305" t="s">
        <v>2102</v>
      </c>
      <c r="Q733" t="s">
        <v>3564</v>
      </c>
    </row>
    <row r="734" spans="1:17" ht="39" hidden="1" x14ac:dyDescent="0.35">
      <c r="A734" s="145" t="e">
        <f t="shared" si="10"/>
        <v>#REF!</v>
      </c>
      <c r="B734" s="146" t="s">
        <v>18</v>
      </c>
      <c r="C734" s="146" t="s">
        <v>37</v>
      </c>
      <c r="D734" s="146" t="s">
        <v>1570</v>
      </c>
      <c r="E734" s="146" t="s">
        <v>1571</v>
      </c>
      <c r="F734" s="146" t="s">
        <v>297</v>
      </c>
      <c r="G734" s="145" t="s">
        <v>116</v>
      </c>
      <c r="H734" s="145" t="s">
        <v>2174</v>
      </c>
      <c r="I734" s="145" t="s">
        <v>1272</v>
      </c>
      <c r="J734" s="285">
        <v>100000000</v>
      </c>
      <c r="K734" s="145" t="s">
        <v>221</v>
      </c>
      <c r="L734" s="145">
        <v>2912939</v>
      </c>
      <c r="M734" s="145" t="s">
        <v>109</v>
      </c>
      <c r="N734" s="13" t="s">
        <v>2176</v>
      </c>
      <c r="O734" s="13">
        <v>166800000</v>
      </c>
      <c r="P734" s="305"/>
      <c r="Q734" t="s">
        <v>3586</v>
      </c>
    </row>
    <row r="735" spans="1:17" ht="65" hidden="1" x14ac:dyDescent="0.35">
      <c r="A735" s="145" t="e">
        <f t="shared" si="10"/>
        <v>#REF!</v>
      </c>
      <c r="B735" s="146" t="s">
        <v>18</v>
      </c>
      <c r="C735" s="146" t="s">
        <v>37</v>
      </c>
      <c r="D735" s="140" t="s">
        <v>1515</v>
      </c>
      <c r="E735" s="146" t="s">
        <v>2167</v>
      </c>
      <c r="F735" s="146" t="s">
        <v>2177</v>
      </c>
      <c r="G735" s="145" t="s">
        <v>325</v>
      </c>
      <c r="H735" s="145" t="s">
        <v>2178</v>
      </c>
      <c r="I735" s="145"/>
      <c r="J735" s="285"/>
      <c r="K735" s="145" t="s">
        <v>221</v>
      </c>
      <c r="L735" s="145"/>
      <c r="M735" s="145" t="s">
        <v>109</v>
      </c>
      <c r="N735" s="13" t="s">
        <v>1426</v>
      </c>
      <c r="O735" s="13">
        <v>38100000</v>
      </c>
      <c r="P735" s="305" t="s">
        <v>2179</v>
      </c>
      <c r="Q735" t="s">
        <v>3564</v>
      </c>
    </row>
    <row r="736" spans="1:17" ht="65" hidden="1" x14ac:dyDescent="0.35">
      <c r="A736" s="145" t="e">
        <f t="shared" si="10"/>
        <v>#REF!</v>
      </c>
      <c r="B736" s="146" t="s">
        <v>18</v>
      </c>
      <c r="C736" s="146" t="s">
        <v>37</v>
      </c>
      <c r="D736" s="140" t="s">
        <v>1515</v>
      </c>
      <c r="E736" s="146" t="s">
        <v>2164</v>
      </c>
      <c r="F736" s="146" t="s">
        <v>2180</v>
      </c>
      <c r="G736" s="145" t="s">
        <v>325</v>
      </c>
      <c r="H736" s="145" t="s">
        <v>2181</v>
      </c>
      <c r="I736" s="145"/>
      <c r="J736" s="285"/>
      <c r="K736" s="145" t="s">
        <v>221</v>
      </c>
      <c r="L736" s="145"/>
      <c r="M736" s="145" t="s">
        <v>109</v>
      </c>
      <c r="N736" s="13">
        <v>100</v>
      </c>
      <c r="O736" s="13">
        <v>76200000</v>
      </c>
      <c r="P736" s="305" t="s">
        <v>2179</v>
      </c>
      <c r="Q736" t="s">
        <v>3564</v>
      </c>
    </row>
    <row r="737" spans="1:17" ht="43.5" hidden="1" x14ac:dyDescent="0.35">
      <c r="A737" s="155" t="e">
        <f>A736+1</f>
        <v>#REF!</v>
      </c>
      <c r="B737" s="140" t="s">
        <v>18</v>
      </c>
      <c r="C737" s="140" t="s">
        <v>37</v>
      </c>
      <c r="D737" s="140" t="s">
        <v>1515</v>
      </c>
      <c r="E737" s="140" t="s">
        <v>2182</v>
      </c>
      <c r="F737" s="140" t="s">
        <v>2183</v>
      </c>
      <c r="G737" s="140" t="s">
        <v>1196</v>
      </c>
      <c r="H737" s="140" t="s">
        <v>1196</v>
      </c>
      <c r="I737" s="140" t="s">
        <v>2184</v>
      </c>
      <c r="J737" s="286">
        <v>170000000</v>
      </c>
      <c r="K737" s="155" t="s">
        <v>221</v>
      </c>
      <c r="L737" s="140">
        <v>2931450</v>
      </c>
      <c r="M737" s="155" t="s">
        <v>27</v>
      </c>
      <c r="N737" s="140">
        <v>465</v>
      </c>
      <c r="O737" s="10">
        <v>152459015</v>
      </c>
      <c r="P737" s="140" t="s">
        <v>2185</v>
      </c>
      <c r="Q737" t="s">
        <v>3564</v>
      </c>
    </row>
    <row r="738" spans="1:17" ht="43.5" hidden="1" x14ac:dyDescent="0.35">
      <c r="A738" s="155" t="e">
        <f t="shared" ref="A738:A801" si="11">A737+1</f>
        <v>#REF!</v>
      </c>
      <c r="B738" s="140" t="s">
        <v>18</v>
      </c>
      <c r="C738" s="140" t="s">
        <v>37</v>
      </c>
      <c r="D738" s="140" t="s">
        <v>1515</v>
      </c>
      <c r="E738" s="140" t="s">
        <v>2186</v>
      </c>
      <c r="F738" s="140" t="s">
        <v>2187</v>
      </c>
      <c r="G738" s="140" t="s">
        <v>1196</v>
      </c>
      <c r="H738" s="140" t="s">
        <v>2188</v>
      </c>
      <c r="I738" s="140" t="s">
        <v>2189</v>
      </c>
      <c r="J738" s="286">
        <v>112000000</v>
      </c>
      <c r="K738" s="155" t="s">
        <v>221</v>
      </c>
      <c r="L738" s="140">
        <v>2931463</v>
      </c>
      <c r="M738" s="155" t="s">
        <v>27</v>
      </c>
      <c r="N738" s="140">
        <v>441</v>
      </c>
      <c r="O738" s="10">
        <v>176791999.60800001</v>
      </c>
      <c r="P738" s="140"/>
      <c r="Q738" t="s">
        <v>3564</v>
      </c>
    </row>
    <row r="739" spans="1:17" ht="43.5" hidden="1" x14ac:dyDescent="0.35">
      <c r="A739" s="155" t="e">
        <f t="shared" si="11"/>
        <v>#REF!</v>
      </c>
      <c r="B739" s="140" t="s">
        <v>18</v>
      </c>
      <c r="C739" s="140" t="s">
        <v>37</v>
      </c>
      <c r="D739" s="140" t="s">
        <v>1515</v>
      </c>
      <c r="E739" s="140" t="s">
        <v>2182</v>
      </c>
      <c r="F739" s="140" t="s">
        <v>2190</v>
      </c>
      <c r="G739" s="140" t="s">
        <v>1196</v>
      </c>
      <c r="H739" s="140" t="s">
        <v>2191</v>
      </c>
      <c r="I739" s="140" t="s">
        <v>2192</v>
      </c>
      <c r="J739" s="286">
        <v>116000000</v>
      </c>
      <c r="K739" s="155" t="s">
        <v>221</v>
      </c>
      <c r="L739" s="140">
        <v>2931446</v>
      </c>
      <c r="M739" s="155" t="s">
        <v>27</v>
      </c>
      <c r="N739" s="140">
        <v>416</v>
      </c>
      <c r="O739" s="10">
        <v>136393441.59999999</v>
      </c>
      <c r="P739" s="140"/>
      <c r="Q739" t="s">
        <v>3564</v>
      </c>
    </row>
    <row r="740" spans="1:17" ht="43.5" hidden="1" x14ac:dyDescent="0.35">
      <c r="A740" s="155" t="e">
        <f t="shared" si="11"/>
        <v>#REF!</v>
      </c>
      <c r="B740" s="140" t="s">
        <v>18</v>
      </c>
      <c r="C740" s="140" t="s">
        <v>37</v>
      </c>
      <c r="D740" s="140" t="s">
        <v>1515</v>
      </c>
      <c r="E740" s="140" t="s">
        <v>2186</v>
      </c>
      <c r="F740" s="140" t="s">
        <v>2193</v>
      </c>
      <c r="G740" s="140" t="s">
        <v>1196</v>
      </c>
      <c r="H740" s="140" t="s">
        <v>2194</v>
      </c>
      <c r="I740" s="140" t="s">
        <v>2195</v>
      </c>
      <c r="J740" s="286">
        <v>125000000</v>
      </c>
      <c r="K740" s="155" t="s">
        <v>221</v>
      </c>
      <c r="L740" s="140">
        <v>2931457</v>
      </c>
      <c r="M740" s="155" t="s">
        <v>27</v>
      </c>
      <c r="N740" s="140">
        <v>232</v>
      </c>
      <c r="O740" s="10">
        <v>93006222.016000003</v>
      </c>
      <c r="P740" s="140"/>
      <c r="Q740" t="s">
        <v>3564</v>
      </c>
    </row>
    <row r="741" spans="1:17" ht="43.5" hidden="1" x14ac:dyDescent="0.35">
      <c r="A741" s="155" t="e">
        <f t="shared" si="11"/>
        <v>#REF!</v>
      </c>
      <c r="B741" s="140" t="s">
        <v>18</v>
      </c>
      <c r="C741" s="140" t="s">
        <v>37</v>
      </c>
      <c r="D741" s="140" t="s">
        <v>1515</v>
      </c>
      <c r="E741" s="140" t="s">
        <v>2182</v>
      </c>
      <c r="F741" s="140" t="s">
        <v>2196</v>
      </c>
      <c r="G741" s="140" t="s">
        <v>1196</v>
      </c>
      <c r="H741" s="140" t="s">
        <v>2194</v>
      </c>
      <c r="I741" s="140" t="s">
        <v>2197</v>
      </c>
      <c r="J741" s="286">
        <v>180000000</v>
      </c>
      <c r="K741" s="155" t="s">
        <v>221</v>
      </c>
      <c r="L741" s="140">
        <v>2931441</v>
      </c>
      <c r="M741" s="155" t="s">
        <v>27</v>
      </c>
      <c r="N741" s="140">
        <v>470</v>
      </c>
      <c r="O741" s="10">
        <v>154098360</v>
      </c>
      <c r="P741" s="140" t="s">
        <v>2198</v>
      </c>
      <c r="Q741" t="s">
        <v>3564</v>
      </c>
    </row>
    <row r="742" spans="1:17" ht="43.5" hidden="1" x14ac:dyDescent="0.35">
      <c r="A742" s="155" t="e">
        <f t="shared" si="11"/>
        <v>#REF!</v>
      </c>
      <c r="B742" s="140" t="s">
        <v>18</v>
      </c>
      <c r="C742" s="140" t="s">
        <v>37</v>
      </c>
      <c r="D742" s="140" t="s">
        <v>1515</v>
      </c>
      <c r="E742" s="140" t="s">
        <v>2182</v>
      </c>
      <c r="F742" s="140" t="s">
        <v>2199</v>
      </c>
      <c r="G742" s="140" t="s">
        <v>1196</v>
      </c>
      <c r="H742" s="140" t="s">
        <v>2200</v>
      </c>
      <c r="I742" s="140" t="s">
        <v>2201</v>
      </c>
      <c r="J742" s="286">
        <v>155000000</v>
      </c>
      <c r="K742" s="155" t="s">
        <v>221</v>
      </c>
      <c r="L742" s="140">
        <v>2931432</v>
      </c>
      <c r="M742" s="155" t="s">
        <v>27</v>
      </c>
      <c r="N742" s="140">
        <v>460</v>
      </c>
      <c r="O742" s="10">
        <v>150819671</v>
      </c>
      <c r="P742" s="140" t="s">
        <v>2202</v>
      </c>
      <c r="Q742" t="s">
        <v>3564</v>
      </c>
    </row>
    <row r="743" spans="1:17" ht="43.5" hidden="1" x14ac:dyDescent="0.35">
      <c r="A743" s="155" t="e">
        <f t="shared" si="11"/>
        <v>#REF!</v>
      </c>
      <c r="B743" s="287" t="s">
        <v>18</v>
      </c>
      <c r="C743" s="287" t="s">
        <v>37</v>
      </c>
      <c r="D743" s="140" t="s">
        <v>1515</v>
      </c>
      <c r="E743" s="287" t="s">
        <v>2203</v>
      </c>
      <c r="F743" s="287" t="s">
        <v>297</v>
      </c>
      <c r="G743" s="2" t="s">
        <v>2204</v>
      </c>
      <c r="H743" s="2" t="s">
        <v>2205</v>
      </c>
      <c r="I743" s="2">
        <v>190</v>
      </c>
      <c r="J743" s="288">
        <v>40000000</v>
      </c>
      <c r="K743" s="2" t="s">
        <v>221</v>
      </c>
      <c r="L743" s="2"/>
      <c r="M743" s="2" t="s">
        <v>27</v>
      </c>
      <c r="N743" s="2">
        <f>188*1.7</f>
        <v>319.59999999999997</v>
      </c>
      <c r="O743" s="289">
        <f>P743</f>
        <v>102271999.99999999</v>
      </c>
      <c r="P743" s="290">
        <f>N743*320000</f>
        <v>102271999.99999999</v>
      </c>
      <c r="Q743" t="s">
        <v>3564</v>
      </c>
    </row>
    <row r="744" spans="1:17" ht="43.5" hidden="1" x14ac:dyDescent="0.35">
      <c r="A744" s="155" t="e">
        <f t="shared" si="11"/>
        <v>#REF!</v>
      </c>
      <c r="B744" s="287" t="s">
        <v>18</v>
      </c>
      <c r="C744" s="287" t="s">
        <v>37</v>
      </c>
      <c r="D744" s="140" t="s">
        <v>1515</v>
      </c>
      <c r="E744" s="287" t="s">
        <v>1872</v>
      </c>
      <c r="F744" s="287" t="s">
        <v>297</v>
      </c>
      <c r="G744" s="2" t="s">
        <v>2204</v>
      </c>
      <c r="H744" s="2" t="s">
        <v>2206</v>
      </c>
      <c r="I744" s="2">
        <v>190</v>
      </c>
      <c r="J744" s="288">
        <v>40000000</v>
      </c>
      <c r="K744" s="2" t="s">
        <v>221</v>
      </c>
      <c r="L744" s="2">
        <v>2793427</v>
      </c>
      <c r="M744" s="2" t="s">
        <v>27</v>
      </c>
      <c r="N744" s="2">
        <f>190*1.6</f>
        <v>304</v>
      </c>
      <c r="O744" s="289">
        <f>P744</f>
        <v>77216000</v>
      </c>
      <c r="P744" s="290">
        <f>N744*254000</f>
        <v>77216000</v>
      </c>
      <c r="Q744" t="s">
        <v>3564</v>
      </c>
    </row>
    <row r="745" spans="1:17" ht="43.5" hidden="1" x14ac:dyDescent="0.35">
      <c r="A745" s="155" t="e">
        <f t="shared" si="11"/>
        <v>#REF!</v>
      </c>
      <c r="B745" s="287" t="s">
        <v>18</v>
      </c>
      <c r="C745" s="287" t="s">
        <v>37</v>
      </c>
      <c r="D745" s="140" t="s">
        <v>1515</v>
      </c>
      <c r="E745" s="287" t="s">
        <v>1872</v>
      </c>
      <c r="F745" s="287" t="s">
        <v>297</v>
      </c>
      <c r="G745" s="2" t="s">
        <v>2204</v>
      </c>
      <c r="H745" s="2" t="s">
        <v>2207</v>
      </c>
      <c r="I745" s="2">
        <v>120</v>
      </c>
      <c r="J745" s="288">
        <v>40000000</v>
      </c>
      <c r="K745" s="2" t="s">
        <v>221</v>
      </c>
      <c r="L745" s="2">
        <v>2793427</v>
      </c>
      <c r="M745" s="2" t="s">
        <v>27</v>
      </c>
      <c r="N745" s="2">
        <f>120*4</f>
        <v>480</v>
      </c>
      <c r="O745" s="289">
        <f>P745</f>
        <v>121920000</v>
      </c>
      <c r="P745" s="290">
        <f>N745*254000</f>
        <v>121920000</v>
      </c>
      <c r="Q745" t="s">
        <v>3564</v>
      </c>
    </row>
    <row r="746" spans="1:17" ht="43.5" hidden="1" x14ac:dyDescent="0.35">
      <c r="A746" s="155" t="e">
        <f t="shared" si="11"/>
        <v>#REF!</v>
      </c>
      <c r="B746" s="287" t="s">
        <v>18</v>
      </c>
      <c r="C746" s="287" t="s">
        <v>37</v>
      </c>
      <c r="D746" s="140" t="s">
        <v>1515</v>
      </c>
      <c r="E746" s="287" t="s">
        <v>1872</v>
      </c>
      <c r="F746" s="287" t="s">
        <v>297</v>
      </c>
      <c r="G746" s="2" t="s">
        <v>2204</v>
      </c>
      <c r="H746" s="2" t="s">
        <v>2208</v>
      </c>
      <c r="I746" s="2">
        <v>100</v>
      </c>
      <c r="J746" s="288">
        <v>40000000</v>
      </c>
      <c r="K746" s="2" t="s">
        <v>221</v>
      </c>
      <c r="L746" s="2">
        <v>2793427</v>
      </c>
      <c r="M746" s="2" t="s">
        <v>27</v>
      </c>
      <c r="N746" s="2">
        <v>400</v>
      </c>
      <c r="O746" s="289">
        <v>101600000</v>
      </c>
      <c r="P746" s="290">
        <f>400*254000</f>
        <v>101600000</v>
      </c>
      <c r="Q746" t="s">
        <v>3564</v>
      </c>
    </row>
    <row r="747" spans="1:17" ht="43.5" hidden="1" x14ac:dyDescent="0.35">
      <c r="A747" s="155" t="e">
        <f t="shared" si="11"/>
        <v>#REF!</v>
      </c>
      <c r="B747" s="287" t="s">
        <v>18</v>
      </c>
      <c r="C747" s="287" t="s">
        <v>37</v>
      </c>
      <c r="D747" s="140" t="s">
        <v>1515</v>
      </c>
      <c r="E747" s="287" t="s">
        <v>2203</v>
      </c>
      <c r="F747" s="287" t="s">
        <v>297</v>
      </c>
      <c r="G747" s="2" t="s">
        <v>2204</v>
      </c>
      <c r="H747" s="2" t="s">
        <v>2209</v>
      </c>
      <c r="I747" s="2">
        <v>170</v>
      </c>
      <c r="J747" s="288">
        <v>40000000</v>
      </c>
      <c r="K747" s="2" t="s">
        <v>221</v>
      </c>
      <c r="L747" s="2"/>
      <c r="M747" s="2" t="s">
        <v>27</v>
      </c>
      <c r="N747" s="2">
        <f>170*1.3</f>
        <v>221</v>
      </c>
      <c r="O747" s="289">
        <f t="shared" ref="O747:O748" si="12">P747</f>
        <v>70720000</v>
      </c>
      <c r="P747" s="290">
        <f>N747*320000</f>
        <v>70720000</v>
      </c>
      <c r="Q747" t="s">
        <v>3564</v>
      </c>
    </row>
    <row r="748" spans="1:17" ht="43.5" hidden="1" x14ac:dyDescent="0.35">
      <c r="A748" s="155" t="e">
        <f>#REF!+1</f>
        <v>#REF!</v>
      </c>
      <c r="B748" s="287" t="s">
        <v>18</v>
      </c>
      <c r="C748" s="287" t="s">
        <v>37</v>
      </c>
      <c r="D748" s="140" t="s">
        <v>1515</v>
      </c>
      <c r="E748" s="287" t="s">
        <v>2203</v>
      </c>
      <c r="F748" s="287" t="s">
        <v>297</v>
      </c>
      <c r="G748" s="2" t="s">
        <v>2204</v>
      </c>
      <c r="H748" s="2" t="s">
        <v>2210</v>
      </c>
      <c r="I748" s="2">
        <v>500</v>
      </c>
      <c r="J748" s="288">
        <v>40000000</v>
      </c>
      <c r="K748" s="2" t="s">
        <v>221</v>
      </c>
      <c r="L748" s="2"/>
      <c r="M748" s="2" t="s">
        <v>27</v>
      </c>
      <c r="N748" s="2">
        <f>500*1.5</f>
        <v>750</v>
      </c>
      <c r="O748" s="289">
        <f t="shared" si="12"/>
        <v>240000000</v>
      </c>
      <c r="P748" s="290">
        <f>N748*320000</f>
        <v>240000000</v>
      </c>
      <c r="Q748" t="s">
        <v>3564</v>
      </c>
    </row>
    <row r="749" spans="1:17" ht="43.5" hidden="1" x14ac:dyDescent="0.35">
      <c r="A749" s="155" t="e">
        <f t="shared" si="11"/>
        <v>#REF!</v>
      </c>
      <c r="B749" s="287" t="s">
        <v>18</v>
      </c>
      <c r="C749" s="287" t="s">
        <v>37</v>
      </c>
      <c r="D749" s="140" t="s">
        <v>1515</v>
      </c>
      <c r="E749" s="287" t="s">
        <v>1872</v>
      </c>
      <c r="F749" s="287" t="s">
        <v>297</v>
      </c>
      <c r="G749" s="2" t="s">
        <v>2204</v>
      </c>
      <c r="H749" s="2" t="s">
        <v>2211</v>
      </c>
      <c r="I749" s="2">
        <v>130</v>
      </c>
      <c r="J749" s="288">
        <v>40000000</v>
      </c>
      <c r="K749" s="2" t="s">
        <v>221</v>
      </c>
      <c r="L749" s="2">
        <v>2793427</v>
      </c>
      <c r="M749" s="2" t="s">
        <v>27</v>
      </c>
      <c r="N749" s="2">
        <f>130*3.8</f>
        <v>494</v>
      </c>
      <c r="O749" s="289">
        <v>144780000</v>
      </c>
      <c r="P749" s="290">
        <f>570*254000</f>
        <v>144780000</v>
      </c>
      <c r="Q749" t="s">
        <v>3564</v>
      </c>
    </row>
    <row r="750" spans="1:17" ht="43.5" hidden="1" x14ac:dyDescent="0.35">
      <c r="A750" s="155" t="e">
        <f t="shared" si="11"/>
        <v>#REF!</v>
      </c>
      <c r="B750" s="287" t="s">
        <v>18</v>
      </c>
      <c r="C750" s="287" t="s">
        <v>37</v>
      </c>
      <c r="D750" s="140" t="s">
        <v>1515</v>
      </c>
      <c r="E750" s="287" t="s">
        <v>1872</v>
      </c>
      <c r="F750" s="287" t="s">
        <v>297</v>
      </c>
      <c r="G750" s="2" t="s">
        <v>2204</v>
      </c>
      <c r="H750" s="2" t="s">
        <v>2212</v>
      </c>
      <c r="I750" s="2">
        <v>258</v>
      </c>
      <c r="J750" s="288">
        <v>40000000</v>
      </c>
      <c r="K750" s="2" t="s">
        <v>221</v>
      </c>
      <c r="L750" s="2">
        <v>2793427</v>
      </c>
      <c r="M750" s="2" t="s">
        <v>27</v>
      </c>
      <c r="N750" s="2">
        <f>258*1.6</f>
        <v>412.8</v>
      </c>
      <c r="O750" s="289">
        <f>P750</f>
        <v>104851200</v>
      </c>
      <c r="P750" s="290">
        <f>N750*254000</f>
        <v>104851200</v>
      </c>
      <c r="Q750" t="s">
        <v>3564</v>
      </c>
    </row>
    <row r="751" spans="1:17" ht="43.5" hidden="1" x14ac:dyDescent="0.35">
      <c r="A751" s="155" t="e">
        <f t="shared" si="11"/>
        <v>#REF!</v>
      </c>
      <c r="B751" s="140" t="s">
        <v>18</v>
      </c>
      <c r="C751" s="140" t="s">
        <v>37</v>
      </c>
      <c r="D751" s="140" t="s">
        <v>1570</v>
      </c>
      <c r="E751" s="140" t="s">
        <v>1256</v>
      </c>
      <c r="F751" s="140" t="s">
        <v>338</v>
      </c>
      <c r="G751" s="155" t="s">
        <v>339</v>
      </c>
      <c r="H751" s="155" t="s">
        <v>1202</v>
      </c>
      <c r="I751" s="155" t="s">
        <v>2128</v>
      </c>
      <c r="J751" s="269">
        <v>200000000</v>
      </c>
      <c r="K751" s="155" t="s">
        <v>221</v>
      </c>
      <c r="L751" s="155">
        <v>2932437</v>
      </c>
      <c r="M751" s="155" t="s">
        <v>27</v>
      </c>
      <c r="N751" s="155" t="s">
        <v>2213</v>
      </c>
      <c r="O751" s="13">
        <v>200000000</v>
      </c>
      <c r="P751" s="305" t="s">
        <v>2214</v>
      </c>
      <c r="Q751" t="s">
        <v>3586</v>
      </c>
    </row>
    <row r="752" spans="1:17" ht="43.5" hidden="1" x14ac:dyDescent="0.35">
      <c r="A752" s="155" t="e">
        <f t="shared" si="11"/>
        <v>#REF!</v>
      </c>
      <c r="B752" s="140" t="s">
        <v>18</v>
      </c>
      <c r="C752" s="140" t="s">
        <v>37</v>
      </c>
      <c r="D752" s="140" t="s">
        <v>1515</v>
      </c>
      <c r="E752" s="140" t="s">
        <v>1706</v>
      </c>
      <c r="F752" s="140" t="s">
        <v>2215</v>
      </c>
      <c r="G752" s="155" t="s">
        <v>345</v>
      </c>
      <c r="H752" s="155" t="s">
        <v>2216</v>
      </c>
      <c r="I752" s="155" t="s">
        <v>2197</v>
      </c>
      <c r="J752" s="269">
        <v>97500000</v>
      </c>
      <c r="K752" s="155" t="s">
        <v>221</v>
      </c>
      <c r="L752" s="155">
        <v>2906535</v>
      </c>
      <c r="M752" s="155" t="s">
        <v>27</v>
      </c>
      <c r="N752" s="155">
        <v>325</v>
      </c>
      <c r="O752" s="13">
        <v>128712870</v>
      </c>
      <c r="P752" s="305"/>
      <c r="Q752" t="s">
        <v>3564</v>
      </c>
    </row>
    <row r="753" spans="1:17" ht="43.5" hidden="1" x14ac:dyDescent="0.35">
      <c r="A753" s="155" t="e">
        <f t="shared" si="11"/>
        <v>#REF!</v>
      </c>
      <c r="B753" s="140" t="s">
        <v>18</v>
      </c>
      <c r="C753" s="140" t="s">
        <v>37</v>
      </c>
      <c r="D753" s="140" t="s">
        <v>1515</v>
      </c>
      <c r="E753" s="140" t="s">
        <v>1706</v>
      </c>
      <c r="F753" s="140" t="s">
        <v>2217</v>
      </c>
      <c r="G753" s="155" t="s">
        <v>345</v>
      </c>
      <c r="H753" s="155" t="s">
        <v>2218</v>
      </c>
      <c r="I753" s="155" t="s">
        <v>1272</v>
      </c>
      <c r="J753" s="269">
        <v>70000000</v>
      </c>
      <c r="K753" s="155" t="s">
        <v>221</v>
      </c>
      <c r="L753" s="155">
        <v>2906535</v>
      </c>
      <c r="M753" s="155" t="s">
        <v>27</v>
      </c>
      <c r="N753" s="155">
        <v>250</v>
      </c>
      <c r="O753" s="13">
        <v>99009900</v>
      </c>
      <c r="P753" s="305"/>
      <c r="Q753" t="s">
        <v>3564</v>
      </c>
    </row>
    <row r="754" spans="1:17" ht="43.5" hidden="1" x14ac:dyDescent="0.35">
      <c r="A754" s="155" t="e">
        <f t="shared" si="11"/>
        <v>#REF!</v>
      </c>
      <c r="B754" s="140" t="s">
        <v>18</v>
      </c>
      <c r="C754" s="140" t="s">
        <v>37</v>
      </c>
      <c r="D754" s="140" t="s">
        <v>1515</v>
      </c>
      <c r="E754" s="140" t="s">
        <v>1706</v>
      </c>
      <c r="F754" s="140" t="s">
        <v>2219</v>
      </c>
      <c r="G754" s="155" t="s">
        <v>345</v>
      </c>
      <c r="H754" s="155" t="s">
        <v>2220</v>
      </c>
      <c r="I754" s="155" t="s">
        <v>1272</v>
      </c>
      <c r="J754" s="269">
        <v>55000000</v>
      </c>
      <c r="K754" s="155" t="s">
        <v>221</v>
      </c>
      <c r="L754" s="155">
        <v>2906535</v>
      </c>
      <c r="M754" s="155" t="s">
        <v>27</v>
      </c>
      <c r="N754" s="155">
        <v>250</v>
      </c>
      <c r="O754" s="13">
        <v>99009900</v>
      </c>
      <c r="P754" s="305"/>
      <c r="Q754" t="s">
        <v>3564</v>
      </c>
    </row>
    <row r="755" spans="1:17" ht="43.5" hidden="1" x14ac:dyDescent="0.35">
      <c r="A755" s="155" t="e">
        <f t="shared" si="11"/>
        <v>#REF!</v>
      </c>
      <c r="B755" s="140" t="s">
        <v>18</v>
      </c>
      <c r="C755" s="140" t="s">
        <v>37</v>
      </c>
      <c r="D755" s="140" t="s">
        <v>1515</v>
      </c>
      <c r="E755" s="140" t="s">
        <v>1706</v>
      </c>
      <c r="F755" s="140" t="s">
        <v>859</v>
      </c>
      <c r="G755" s="155" t="s">
        <v>345</v>
      </c>
      <c r="H755" s="155" t="s">
        <v>860</v>
      </c>
      <c r="I755" s="155" t="s">
        <v>1219</v>
      </c>
      <c r="J755" s="269">
        <v>15000000</v>
      </c>
      <c r="K755" s="155" t="s">
        <v>221</v>
      </c>
      <c r="L755" s="155">
        <v>2906535</v>
      </c>
      <c r="M755" s="155" t="s">
        <v>27</v>
      </c>
      <c r="N755" s="155">
        <v>200</v>
      </c>
      <c r="O755" s="13">
        <v>79207920</v>
      </c>
      <c r="P755" s="305"/>
      <c r="Q755" t="s">
        <v>3564</v>
      </c>
    </row>
    <row r="756" spans="1:17" ht="43.5" hidden="1" x14ac:dyDescent="0.35">
      <c r="A756" s="155" t="e">
        <f t="shared" si="11"/>
        <v>#REF!</v>
      </c>
      <c r="B756" s="140" t="s">
        <v>18</v>
      </c>
      <c r="C756" s="140" t="s">
        <v>37</v>
      </c>
      <c r="D756" s="140" t="s">
        <v>1515</v>
      </c>
      <c r="E756" s="140" t="s">
        <v>1706</v>
      </c>
      <c r="F756" s="140" t="s">
        <v>2221</v>
      </c>
      <c r="G756" s="155" t="s">
        <v>345</v>
      </c>
      <c r="H756" s="155" t="s">
        <v>864</v>
      </c>
      <c r="I756" s="155" t="s">
        <v>2222</v>
      </c>
      <c r="J756" s="269">
        <v>90000000</v>
      </c>
      <c r="K756" s="155" t="s">
        <v>221</v>
      </c>
      <c r="L756" s="155">
        <v>2906535</v>
      </c>
      <c r="M756" s="155" t="s">
        <v>27</v>
      </c>
      <c r="N756" s="155">
        <v>150</v>
      </c>
      <c r="O756" s="13">
        <v>59405940</v>
      </c>
      <c r="P756" s="305"/>
      <c r="Q756" t="s">
        <v>3564</v>
      </c>
    </row>
    <row r="757" spans="1:17" ht="43.5" hidden="1" x14ac:dyDescent="0.35">
      <c r="A757" s="155" t="e">
        <f t="shared" si="11"/>
        <v>#REF!</v>
      </c>
      <c r="B757" s="140" t="s">
        <v>18</v>
      </c>
      <c r="C757" s="140" t="s">
        <v>37</v>
      </c>
      <c r="D757" s="140" t="s">
        <v>1515</v>
      </c>
      <c r="E757" s="140" t="s">
        <v>992</v>
      </c>
      <c r="F757" s="140" t="s">
        <v>2223</v>
      </c>
      <c r="G757" s="155" t="s">
        <v>345</v>
      </c>
      <c r="H757" s="155" t="s">
        <v>866</v>
      </c>
      <c r="I757" s="155" t="s">
        <v>2224</v>
      </c>
      <c r="J757" s="269">
        <v>42000000</v>
      </c>
      <c r="K757" s="155" t="s">
        <v>221</v>
      </c>
      <c r="L757" s="155">
        <v>2933470</v>
      </c>
      <c r="M757" s="155" t="s">
        <v>27</v>
      </c>
      <c r="N757" s="155">
        <v>337.5</v>
      </c>
      <c r="O757" s="13">
        <v>85799999.25</v>
      </c>
      <c r="P757" s="305"/>
      <c r="Q757" t="s">
        <v>3564</v>
      </c>
    </row>
    <row r="758" spans="1:17" ht="43.5" hidden="1" x14ac:dyDescent="0.35">
      <c r="A758" s="155" t="e">
        <f t="shared" si="11"/>
        <v>#REF!</v>
      </c>
      <c r="B758" s="140" t="s">
        <v>18</v>
      </c>
      <c r="C758" s="140" t="s">
        <v>37</v>
      </c>
      <c r="D758" s="140" t="s">
        <v>1515</v>
      </c>
      <c r="E758" s="140" t="s">
        <v>1706</v>
      </c>
      <c r="F758" s="140" t="s">
        <v>2225</v>
      </c>
      <c r="G758" s="155" t="s">
        <v>345</v>
      </c>
      <c r="H758" s="155" t="s">
        <v>345</v>
      </c>
      <c r="I758" s="155" t="s">
        <v>1065</v>
      </c>
      <c r="J758" s="269">
        <v>70000000</v>
      </c>
      <c r="K758" s="155" t="s">
        <v>221</v>
      </c>
      <c r="L758" s="155">
        <v>2906535</v>
      </c>
      <c r="M758" s="155" t="s">
        <v>27</v>
      </c>
      <c r="N758" s="155">
        <v>250</v>
      </c>
      <c r="O758" s="13">
        <v>99009900</v>
      </c>
      <c r="P758" s="305"/>
      <c r="Q758" t="s">
        <v>3564</v>
      </c>
    </row>
    <row r="759" spans="1:17" ht="43.5" hidden="1" x14ac:dyDescent="0.35">
      <c r="A759" s="155" t="e">
        <f t="shared" si="11"/>
        <v>#REF!</v>
      </c>
      <c r="B759" s="140" t="s">
        <v>18</v>
      </c>
      <c r="C759" s="140" t="s">
        <v>37</v>
      </c>
      <c r="D759" s="140" t="s">
        <v>1515</v>
      </c>
      <c r="E759" s="140" t="s">
        <v>992</v>
      </c>
      <c r="F759" s="140" t="s">
        <v>1223</v>
      </c>
      <c r="G759" s="155" t="s">
        <v>345</v>
      </c>
      <c r="H759" s="155" t="s">
        <v>1224</v>
      </c>
      <c r="I759" s="155" t="s">
        <v>2226</v>
      </c>
      <c r="J759" s="269">
        <v>28000000</v>
      </c>
      <c r="K759" s="155" t="s">
        <v>221</v>
      </c>
      <c r="L759" s="155">
        <v>2933470</v>
      </c>
      <c r="M759" s="155" t="s">
        <v>27</v>
      </c>
      <c r="N759" s="155">
        <v>60</v>
      </c>
      <c r="O759" s="13">
        <v>15253333.199999999</v>
      </c>
      <c r="P759" s="305"/>
      <c r="Q759" t="s">
        <v>3564</v>
      </c>
    </row>
    <row r="760" spans="1:17" ht="43.5" hidden="1" x14ac:dyDescent="0.35">
      <c r="A760" s="155" t="e">
        <f t="shared" si="11"/>
        <v>#REF!</v>
      </c>
      <c r="B760" s="140" t="s">
        <v>18</v>
      </c>
      <c r="C760" s="140" t="s">
        <v>37</v>
      </c>
      <c r="D760" s="140" t="s">
        <v>1515</v>
      </c>
      <c r="E760" s="140" t="s">
        <v>2227</v>
      </c>
      <c r="F760" s="140" t="s">
        <v>2228</v>
      </c>
      <c r="G760" s="140" t="s">
        <v>2229</v>
      </c>
      <c r="H760" s="140" t="s">
        <v>2230</v>
      </c>
      <c r="I760" s="140" t="s">
        <v>2231</v>
      </c>
      <c r="J760" s="286">
        <v>49200000</v>
      </c>
      <c r="K760" s="155" t="s">
        <v>221</v>
      </c>
      <c r="L760" s="140">
        <v>2910915</v>
      </c>
      <c r="M760" s="155" t="s">
        <v>27</v>
      </c>
      <c r="N760" s="140">
        <v>323</v>
      </c>
      <c r="O760" s="10">
        <v>127920790.8</v>
      </c>
      <c r="P760" s="140"/>
      <c r="Q760" t="s">
        <v>3564</v>
      </c>
    </row>
    <row r="761" spans="1:17" ht="43.5" hidden="1" x14ac:dyDescent="0.35">
      <c r="A761" s="155" t="e">
        <f t="shared" si="11"/>
        <v>#REF!</v>
      </c>
      <c r="B761" s="140" t="s">
        <v>18</v>
      </c>
      <c r="C761" s="140" t="s">
        <v>37</v>
      </c>
      <c r="D761" s="140" t="s">
        <v>1515</v>
      </c>
      <c r="E761" s="140" t="s">
        <v>2232</v>
      </c>
      <c r="F761" s="140" t="s">
        <v>2233</v>
      </c>
      <c r="G761" s="140" t="s">
        <v>2229</v>
      </c>
      <c r="H761" s="140" t="s">
        <v>2234</v>
      </c>
      <c r="I761" s="140" t="s">
        <v>2235</v>
      </c>
      <c r="J761" s="286">
        <v>81900000</v>
      </c>
      <c r="K761" s="155" t="s">
        <v>221</v>
      </c>
      <c r="L761" s="140">
        <v>2921169</v>
      </c>
      <c r="M761" s="155" t="s">
        <v>27</v>
      </c>
      <c r="N761" s="140">
        <v>372</v>
      </c>
      <c r="O761" s="10">
        <v>147326731.19999999</v>
      </c>
      <c r="P761" s="140"/>
      <c r="Q761" t="s">
        <v>3564</v>
      </c>
    </row>
    <row r="762" spans="1:17" ht="43.5" hidden="1" x14ac:dyDescent="0.35">
      <c r="A762" s="155" t="e">
        <f t="shared" si="11"/>
        <v>#REF!</v>
      </c>
      <c r="B762" s="140" t="s">
        <v>18</v>
      </c>
      <c r="C762" s="140" t="s">
        <v>37</v>
      </c>
      <c r="D762" s="140" t="s">
        <v>1515</v>
      </c>
      <c r="E762" s="140" t="s">
        <v>2236</v>
      </c>
      <c r="F762" s="140" t="s">
        <v>2233</v>
      </c>
      <c r="G762" s="140" t="s">
        <v>2229</v>
      </c>
      <c r="H762" s="140" t="s">
        <v>2234</v>
      </c>
      <c r="I762" s="140" t="s">
        <v>2237</v>
      </c>
      <c r="J762" s="286">
        <v>18100000</v>
      </c>
      <c r="K762" s="155" t="s">
        <v>221</v>
      </c>
      <c r="L762" s="140">
        <v>2920955</v>
      </c>
      <c r="M762" s="155" t="s">
        <v>27</v>
      </c>
      <c r="N762" s="140">
        <v>80</v>
      </c>
      <c r="O762" s="10">
        <v>31683168</v>
      </c>
      <c r="P762" s="140"/>
      <c r="Q762" t="s">
        <v>3564</v>
      </c>
    </row>
    <row r="763" spans="1:17" ht="43.5" hidden="1" x14ac:dyDescent="0.35">
      <c r="A763" s="155" t="e">
        <f t="shared" si="11"/>
        <v>#REF!</v>
      </c>
      <c r="B763" s="140" t="s">
        <v>18</v>
      </c>
      <c r="C763" s="140" t="s">
        <v>37</v>
      </c>
      <c r="D763" s="140" t="s">
        <v>1515</v>
      </c>
      <c r="E763" s="140" t="s">
        <v>2238</v>
      </c>
      <c r="F763" s="140" t="s">
        <v>2239</v>
      </c>
      <c r="G763" s="140" t="s">
        <v>2229</v>
      </c>
      <c r="H763" s="140" t="s">
        <v>2240</v>
      </c>
      <c r="I763" s="140" t="s">
        <v>2241</v>
      </c>
      <c r="J763" s="286">
        <v>100000000</v>
      </c>
      <c r="K763" s="155" t="s">
        <v>221</v>
      </c>
      <c r="L763" s="140">
        <v>2911848</v>
      </c>
      <c r="M763" s="155" t="s">
        <v>27</v>
      </c>
      <c r="N763" s="140">
        <v>450</v>
      </c>
      <c r="O763" s="10">
        <v>166336800</v>
      </c>
      <c r="P763" s="140"/>
      <c r="Q763" t="s">
        <v>3564</v>
      </c>
    </row>
    <row r="764" spans="1:17" ht="43.5" hidden="1" x14ac:dyDescent="0.35">
      <c r="A764" s="155" t="e">
        <f t="shared" si="11"/>
        <v>#REF!</v>
      </c>
      <c r="B764" s="140" t="s">
        <v>18</v>
      </c>
      <c r="C764" s="140" t="s">
        <v>37</v>
      </c>
      <c r="D764" s="140" t="s">
        <v>1515</v>
      </c>
      <c r="E764" s="140" t="s">
        <v>2232</v>
      </c>
      <c r="F764" s="140" t="s">
        <v>2242</v>
      </c>
      <c r="G764" s="140" t="s">
        <v>2229</v>
      </c>
      <c r="H764" s="140" t="s">
        <v>2243</v>
      </c>
      <c r="I764" s="140" t="s">
        <v>2037</v>
      </c>
      <c r="J764" s="286">
        <v>100000000</v>
      </c>
      <c r="K764" s="155" t="s">
        <v>221</v>
      </c>
      <c r="L764" s="140">
        <v>2923474</v>
      </c>
      <c r="M764" s="155" t="s">
        <v>27</v>
      </c>
      <c r="N764" s="140">
        <v>300</v>
      </c>
      <c r="O764" s="10">
        <v>118811880</v>
      </c>
      <c r="P764" s="140" t="s">
        <v>2244</v>
      </c>
      <c r="Q764" t="s">
        <v>3564</v>
      </c>
    </row>
    <row r="765" spans="1:17" ht="43.5" hidden="1" x14ac:dyDescent="0.35">
      <c r="A765" s="155" t="e">
        <f t="shared" si="11"/>
        <v>#REF!</v>
      </c>
      <c r="B765" s="140" t="s">
        <v>18</v>
      </c>
      <c r="C765" s="140" t="s">
        <v>37</v>
      </c>
      <c r="D765" s="140" t="s">
        <v>1515</v>
      </c>
      <c r="E765" s="140" t="s">
        <v>2232</v>
      </c>
      <c r="F765" s="140" t="s">
        <v>2245</v>
      </c>
      <c r="G765" s="140" t="s">
        <v>2229</v>
      </c>
      <c r="H765" s="140" t="s">
        <v>2246</v>
      </c>
      <c r="I765" s="140" t="s">
        <v>2088</v>
      </c>
      <c r="J765" s="286">
        <v>75500000</v>
      </c>
      <c r="K765" s="155" t="s">
        <v>221</v>
      </c>
      <c r="L765" s="140">
        <v>2921281</v>
      </c>
      <c r="M765" s="155" t="s">
        <v>27</v>
      </c>
      <c r="N765" s="140">
        <v>250</v>
      </c>
      <c r="O765" s="10">
        <v>99009900</v>
      </c>
      <c r="P765" s="140"/>
      <c r="Q765" t="s">
        <v>3564</v>
      </c>
    </row>
    <row r="766" spans="1:17" ht="43.5" hidden="1" x14ac:dyDescent="0.35">
      <c r="A766" s="155" t="e">
        <f t="shared" si="11"/>
        <v>#REF!</v>
      </c>
      <c r="B766" s="140" t="s">
        <v>18</v>
      </c>
      <c r="C766" s="140" t="s">
        <v>37</v>
      </c>
      <c r="D766" s="140" t="s">
        <v>1521</v>
      </c>
      <c r="E766" s="140" t="s">
        <v>2247</v>
      </c>
      <c r="F766" s="140" t="s">
        <v>2245</v>
      </c>
      <c r="G766" s="140" t="s">
        <v>2229</v>
      </c>
      <c r="H766" s="140" t="s">
        <v>2246</v>
      </c>
      <c r="I766" s="140" t="s">
        <v>2248</v>
      </c>
      <c r="J766" s="286">
        <v>24500000</v>
      </c>
      <c r="K766" s="155" t="s">
        <v>221</v>
      </c>
      <c r="L766" s="140">
        <v>2921631</v>
      </c>
      <c r="M766" s="155" t="s">
        <v>27</v>
      </c>
      <c r="N766" s="140">
        <v>50</v>
      </c>
      <c r="O766" s="10">
        <v>139100000</v>
      </c>
      <c r="P766" s="140" t="s">
        <v>2244</v>
      </c>
      <c r="Q766" t="s">
        <v>3586</v>
      </c>
    </row>
    <row r="767" spans="1:17" ht="43.5" hidden="1" x14ac:dyDescent="0.35">
      <c r="A767" s="155" t="e">
        <f t="shared" si="11"/>
        <v>#REF!</v>
      </c>
      <c r="B767" s="140" t="s">
        <v>18</v>
      </c>
      <c r="C767" s="140" t="s">
        <v>37</v>
      </c>
      <c r="D767" s="140" t="s">
        <v>1515</v>
      </c>
      <c r="E767" s="140" t="s">
        <v>2232</v>
      </c>
      <c r="F767" s="140" t="s">
        <v>2249</v>
      </c>
      <c r="G767" s="140" t="s">
        <v>2229</v>
      </c>
      <c r="H767" s="140" t="s">
        <v>2250</v>
      </c>
      <c r="I767" s="140" t="s">
        <v>2251</v>
      </c>
      <c r="J767" s="286">
        <v>87000000</v>
      </c>
      <c r="K767" s="155" t="s">
        <v>221</v>
      </c>
      <c r="L767" s="140">
        <v>2923286</v>
      </c>
      <c r="M767" s="155" t="s">
        <v>27</v>
      </c>
      <c r="N767" s="140">
        <v>290</v>
      </c>
      <c r="O767" s="10">
        <v>114851484</v>
      </c>
      <c r="P767" s="140"/>
      <c r="Q767" t="s">
        <v>3564</v>
      </c>
    </row>
    <row r="768" spans="1:17" ht="43.5" hidden="1" x14ac:dyDescent="0.35">
      <c r="A768" s="155" t="e">
        <f t="shared" si="11"/>
        <v>#REF!</v>
      </c>
      <c r="B768" s="140" t="s">
        <v>18</v>
      </c>
      <c r="C768" s="140" t="s">
        <v>37</v>
      </c>
      <c r="D768" s="140" t="s">
        <v>1515</v>
      </c>
      <c r="E768" s="140" t="s">
        <v>2252</v>
      </c>
      <c r="F768" s="140" t="s">
        <v>2253</v>
      </c>
      <c r="G768" s="140" t="s">
        <v>2229</v>
      </c>
      <c r="H768" s="140" t="s">
        <v>2254</v>
      </c>
      <c r="I768" s="140" t="s">
        <v>2255</v>
      </c>
      <c r="J768" s="286">
        <v>45000000</v>
      </c>
      <c r="K768" s="155" t="s">
        <v>221</v>
      </c>
      <c r="L768" s="140">
        <v>2922130</v>
      </c>
      <c r="M768" s="155" t="s">
        <v>27</v>
      </c>
      <c r="N768" s="140">
        <v>70</v>
      </c>
      <c r="O768" s="10">
        <v>27722772</v>
      </c>
      <c r="P768" s="140"/>
      <c r="Q768" t="s">
        <v>3564</v>
      </c>
    </row>
    <row r="769" spans="1:17" ht="43.5" hidden="1" x14ac:dyDescent="0.35">
      <c r="A769" s="155" t="e">
        <f t="shared" si="11"/>
        <v>#REF!</v>
      </c>
      <c r="B769" s="140" t="s">
        <v>18</v>
      </c>
      <c r="C769" s="140" t="s">
        <v>37</v>
      </c>
      <c r="D769" s="140" t="s">
        <v>1515</v>
      </c>
      <c r="E769" s="140" t="s">
        <v>1610</v>
      </c>
      <c r="F769" s="140"/>
      <c r="G769" s="140" t="s">
        <v>130</v>
      </c>
      <c r="H769" s="140" t="s">
        <v>2256</v>
      </c>
      <c r="I769" s="140" t="s">
        <v>2257</v>
      </c>
      <c r="J769" s="286">
        <v>125000000</v>
      </c>
      <c r="K769" s="155" t="s">
        <v>221</v>
      </c>
      <c r="L769" s="140"/>
      <c r="M769" s="155" t="s">
        <v>27</v>
      </c>
      <c r="N769" s="140">
        <v>600</v>
      </c>
      <c r="O769" s="10">
        <v>152533332</v>
      </c>
      <c r="P769" s="140"/>
      <c r="Q769" t="s">
        <v>3564</v>
      </c>
    </row>
    <row r="770" spans="1:17" ht="43.5" hidden="1" x14ac:dyDescent="0.35">
      <c r="A770" s="155" t="e">
        <f t="shared" si="11"/>
        <v>#REF!</v>
      </c>
      <c r="B770" s="140" t="s">
        <v>18</v>
      </c>
      <c r="C770" s="140" t="s">
        <v>37</v>
      </c>
      <c r="D770" s="140" t="s">
        <v>1521</v>
      </c>
      <c r="E770" s="140" t="s">
        <v>2258</v>
      </c>
      <c r="F770" s="140"/>
      <c r="G770" s="140" t="s">
        <v>130</v>
      </c>
      <c r="H770" s="140" t="s">
        <v>2259</v>
      </c>
      <c r="I770" s="140" t="s">
        <v>35</v>
      </c>
      <c r="J770" s="286">
        <v>125000000</v>
      </c>
      <c r="K770" s="155" t="s">
        <v>221</v>
      </c>
      <c r="L770" s="140">
        <v>2817278</v>
      </c>
      <c r="M770" s="155" t="s">
        <v>27</v>
      </c>
      <c r="N770" s="140">
        <v>1</v>
      </c>
      <c r="O770" s="10">
        <v>210000000</v>
      </c>
      <c r="P770" s="140" t="s">
        <v>2260</v>
      </c>
      <c r="Q770" t="s">
        <v>3564</v>
      </c>
    </row>
    <row r="771" spans="1:17" ht="43.5" hidden="1" x14ac:dyDescent="0.35">
      <c r="A771" s="155" t="e">
        <f t="shared" si="11"/>
        <v>#REF!</v>
      </c>
      <c r="B771" s="140" t="s">
        <v>18</v>
      </c>
      <c r="C771" s="140" t="s">
        <v>37</v>
      </c>
      <c r="D771" s="140" t="s">
        <v>1515</v>
      </c>
      <c r="E771" s="140" t="s">
        <v>2261</v>
      </c>
      <c r="F771" s="140"/>
      <c r="G771" s="140" t="s">
        <v>130</v>
      </c>
      <c r="H771" s="140" t="s">
        <v>2262</v>
      </c>
      <c r="I771" s="140" t="s">
        <v>2263</v>
      </c>
      <c r="J771" s="286">
        <v>125000000</v>
      </c>
      <c r="K771" s="155" t="s">
        <v>221</v>
      </c>
      <c r="L771" s="140"/>
      <c r="M771" s="155" t="s">
        <v>27</v>
      </c>
      <c r="N771" s="140">
        <v>800</v>
      </c>
      <c r="O771" s="10">
        <v>316831680</v>
      </c>
      <c r="P771" s="140"/>
      <c r="Q771" t="s">
        <v>3564</v>
      </c>
    </row>
    <row r="772" spans="1:17" ht="43.5" hidden="1" x14ac:dyDescent="0.35">
      <c r="A772" s="155" t="e">
        <f t="shared" si="11"/>
        <v>#REF!</v>
      </c>
      <c r="B772" s="140" t="s">
        <v>18</v>
      </c>
      <c r="C772" s="140" t="s">
        <v>37</v>
      </c>
      <c r="D772" s="140" t="s">
        <v>1515</v>
      </c>
      <c r="E772" s="140" t="s">
        <v>2264</v>
      </c>
      <c r="F772" s="140" t="s">
        <v>2265</v>
      </c>
      <c r="G772" s="140" t="s">
        <v>1238</v>
      </c>
      <c r="H772" s="140" t="s">
        <v>2266</v>
      </c>
      <c r="I772" s="140" t="s">
        <v>2267</v>
      </c>
      <c r="J772" s="286">
        <v>100000000</v>
      </c>
      <c r="K772" s="155" t="s">
        <v>221</v>
      </c>
      <c r="L772" s="140">
        <v>2923413</v>
      </c>
      <c r="M772" s="155" t="s">
        <v>27</v>
      </c>
      <c r="N772" s="140">
        <v>400</v>
      </c>
      <c r="O772" s="10">
        <v>101688888</v>
      </c>
      <c r="P772" s="140"/>
      <c r="Q772" t="s">
        <v>3564</v>
      </c>
    </row>
    <row r="773" spans="1:17" ht="43.5" hidden="1" x14ac:dyDescent="0.35">
      <c r="A773" s="155" t="e">
        <f t="shared" si="11"/>
        <v>#REF!</v>
      </c>
      <c r="B773" s="140" t="s">
        <v>18</v>
      </c>
      <c r="C773" s="140" t="s">
        <v>37</v>
      </c>
      <c r="D773" s="140" t="s">
        <v>1515</v>
      </c>
      <c r="E773" s="140" t="s">
        <v>2268</v>
      </c>
      <c r="F773" s="140" t="s">
        <v>2269</v>
      </c>
      <c r="G773" s="140" t="s">
        <v>1238</v>
      </c>
      <c r="H773" s="140" t="s">
        <v>2270</v>
      </c>
      <c r="I773" s="140" t="s">
        <v>2271</v>
      </c>
      <c r="J773" s="286">
        <v>44000000</v>
      </c>
      <c r="K773" s="155" t="s">
        <v>221</v>
      </c>
      <c r="L773" s="140">
        <v>2923517</v>
      </c>
      <c r="M773" s="155" t="s">
        <v>27</v>
      </c>
      <c r="N773" s="140">
        <v>400</v>
      </c>
      <c r="O773" s="10">
        <f>254222*400</f>
        <v>101688800</v>
      </c>
      <c r="P773" s="140" t="s">
        <v>2272</v>
      </c>
      <c r="Q773" t="s">
        <v>3564</v>
      </c>
    </row>
    <row r="774" spans="1:17" ht="43.5" hidden="1" x14ac:dyDescent="0.35">
      <c r="A774" s="155" t="e">
        <f t="shared" si="11"/>
        <v>#REF!</v>
      </c>
      <c r="B774" s="140" t="s">
        <v>18</v>
      </c>
      <c r="C774" s="140" t="s">
        <v>37</v>
      </c>
      <c r="D774" s="140" t="s">
        <v>1515</v>
      </c>
      <c r="E774" s="140" t="s">
        <v>1766</v>
      </c>
      <c r="F774" s="140" t="s">
        <v>2273</v>
      </c>
      <c r="G774" s="140" t="s">
        <v>1238</v>
      </c>
      <c r="H774" s="140" t="s">
        <v>2274</v>
      </c>
      <c r="I774" s="140" t="s">
        <v>2267</v>
      </c>
      <c r="J774" s="286">
        <v>100000000</v>
      </c>
      <c r="K774" s="155" t="s">
        <v>221</v>
      </c>
      <c r="L774" s="140">
        <v>2923581</v>
      </c>
      <c r="M774" s="155" t="s">
        <v>27</v>
      </c>
      <c r="N774" s="140">
        <v>350</v>
      </c>
      <c r="O774" s="10">
        <f>327869*320</f>
        <v>104918080</v>
      </c>
      <c r="P774" s="140"/>
      <c r="Q774" t="s">
        <v>3564</v>
      </c>
    </row>
    <row r="775" spans="1:17" ht="43.5" hidden="1" x14ac:dyDescent="0.35">
      <c r="A775" s="155" t="e">
        <f t="shared" si="11"/>
        <v>#REF!</v>
      </c>
      <c r="B775" s="140" t="s">
        <v>18</v>
      </c>
      <c r="C775" s="140" t="s">
        <v>37</v>
      </c>
      <c r="D775" s="140" t="s">
        <v>1515</v>
      </c>
      <c r="E775" s="140" t="s">
        <v>1766</v>
      </c>
      <c r="F775" s="140" t="s">
        <v>2275</v>
      </c>
      <c r="G775" s="140" t="s">
        <v>1238</v>
      </c>
      <c r="H775" s="140" t="s">
        <v>2276</v>
      </c>
      <c r="I775" s="140" t="s">
        <v>2267</v>
      </c>
      <c r="J775" s="286">
        <v>100000000</v>
      </c>
      <c r="K775" s="155" t="s">
        <v>221</v>
      </c>
      <c r="L775" s="140">
        <v>2923660</v>
      </c>
      <c r="M775" s="155" t="s">
        <v>27</v>
      </c>
      <c r="N775" s="140">
        <v>320</v>
      </c>
      <c r="O775" s="10">
        <f>327869*320</f>
        <v>104918080</v>
      </c>
      <c r="P775" s="140"/>
      <c r="Q775" t="s">
        <v>3564</v>
      </c>
    </row>
    <row r="776" spans="1:17" ht="43.5" hidden="1" x14ac:dyDescent="0.35">
      <c r="A776" s="155" t="e">
        <f t="shared" si="11"/>
        <v>#REF!</v>
      </c>
      <c r="B776" s="140" t="s">
        <v>18</v>
      </c>
      <c r="C776" s="140" t="s">
        <v>37</v>
      </c>
      <c r="D776" s="140" t="s">
        <v>1515</v>
      </c>
      <c r="E776" s="140" t="s">
        <v>2277</v>
      </c>
      <c r="F776" s="140" t="s">
        <v>2278</v>
      </c>
      <c r="G776" s="140" t="s">
        <v>1238</v>
      </c>
      <c r="H776" s="140" t="s">
        <v>2279</v>
      </c>
      <c r="I776" s="140" t="s">
        <v>2280</v>
      </c>
      <c r="J776" s="286">
        <v>100000000</v>
      </c>
      <c r="K776" s="155" t="s">
        <v>221</v>
      </c>
      <c r="L776" s="140">
        <v>2923758</v>
      </c>
      <c r="M776" s="155" t="s">
        <v>27</v>
      </c>
      <c r="N776" s="140">
        <v>260</v>
      </c>
      <c r="O776" s="10">
        <f>260*396040</f>
        <v>102970400</v>
      </c>
      <c r="P776" s="140"/>
      <c r="Q776" t="s">
        <v>3564</v>
      </c>
    </row>
    <row r="777" spans="1:17" ht="43.5" hidden="1" x14ac:dyDescent="0.35">
      <c r="A777" s="155" t="e">
        <f t="shared" si="11"/>
        <v>#REF!</v>
      </c>
      <c r="B777" s="140" t="s">
        <v>18</v>
      </c>
      <c r="C777" s="140" t="s">
        <v>37</v>
      </c>
      <c r="D777" s="140" t="s">
        <v>1515</v>
      </c>
      <c r="E777" s="140" t="s">
        <v>2277</v>
      </c>
      <c r="F777" s="140" t="s">
        <v>2281</v>
      </c>
      <c r="G777" s="140" t="s">
        <v>1238</v>
      </c>
      <c r="H777" s="140" t="s">
        <v>2282</v>
      </c>
      <c r="I777" s="140" t="s">
        <v>2267</v>
      </c>
      <c r="J777" s="286">
        <v>90000000</v>
      </c>
      <c r="K777" s="155" t="s">
        <v>221</v>
      </c>
      <c r="L777" s="140">
        <v>2923810</v>
      </c>
      <c r="M777" s="155" t="s">
        <v>27</v>
      </c>
      <c r="N777" s="140">
        <v>260</v>
      </c>
      <c r="O777" s="10">
        <f>260*396040</f>
        <v>102970400</v>
      </c>
      <c r="P777" s="140"/>
      <c r="Q777" t="s">
        <v>3564</v>
      </c>
    </row>
    <row r="778" spans="1:17" ht="43.5" hidden="1" x14ac:dyDescent="0.35">
      <c r="A778" s="155" t="e">
        <f t="shared" si="11"/>
        <v>#REF!</v>
      </c>
      <c r="B778" s="140" t="s">
        <v>18</v>
      </c>
      <c r="C778" s="140" t="s">
        <v>37</v>
      </c>
      <c r="D778" s="140" t="s">
        <v>1515</v>
      </c>
      <c r="E778" s="140" t="s">
        <v>1766</v>
      </c>
      <c r="F778" s="140" t="s">
        <v>1237</v>
      </c>
      <c r="G778" s="140" t="s">
        <v>1238</v>
      </c>
      <c r="H778" s="140" t="s">
        <v>1239</v>
      </c>
      <c r="I778" s="140" t="s">
        <v>2283</v>
      </c>
      <c r="J778" s="286">
        <v>45000000</v>
      </c>
      <c r="K778" s="155" t="s">
        <v>221</v>
      </c>
      <c r="L778" s="140">
        <v>2923866</v>
      </c>
      <c r="M778" s="155" t="s">
        <v>27</v>
      </c>
      <c r="N778" s="140">
        <v>100</v>
      </c>
      <c r="O778" s="10">
        <v>32786885</v>
      </c>
      <c r="P778" s="140" t="s">
        <v>2284</v>
      </c>
      <c r="Q778" t="s">
        <v>3564</v>
      </c>
    </row>
    <row r="779" spans="1:17" ht="43.5" hidden="1" x14ac:dyDescent="0.35">
      <c r="A779" s="155" t="e">
        <f t="shared" si="11"/>
        <v>#REF!</v>
      </c>
      <c r="B779" s="140" t="s">
        <v>18</v>
      </c>
      <c r="C779" s="140" t="s">
        <v>37</v>
      </c>
      <c r="D779" s="140" t="s">
        <v>1515</v>
      </c>
      <c r="E779" s="140" t="s">
        <v>2277</v>
      </c>
      <c r="F779" s="140" t="s">
        <v>2285</v>
      </c>
      <c r="G779" s="140" t="s">
        <v>1238</v>
      </c>
      <c r="H779" s="140" t="s">
        <v>2286</v>
      </c>
      <c r="I779" s="140" t="s">
        <v>2280</v>
      </c>
      <c r="J779" s="286">
        <v>100000000</v>
      </c>
      <c r="K779" s="155" t="s">
        <v>221</v>
      </c>
      <c r="L779" s="140">
        <v>2923932</v>
      </c>
      <c r="M779" s="155" t="s">
        <v>27</v>
      </c>
      <c r="N779" s="140">
        <v>250</v>
      </c>
      <c r="O779" s="10">
        <f>250*396040</f>
        <v>99010000</v>
      </c>
      <c r="P779" s="140" t="s">
        <v>2287</v>
      </c>
      <c r="Q779" t="s">
        <v>3564</v>
      </c>
    </row>
    <row r="780" spans="1:17" ht="43.5" hidden="1" x14ac:dyDescent="0.35">
      <c r="A780" s="155" t="e">
        <f t="shared" si="11"/>
        <v>#REF!</v>
      </c>
      <c r="B780" s="140" t="s">
        <v>18</v>
      </c>
      <c r="C780" s="140" t="s">
        <v>37</v>
      </c>
      <c r="D780" s="140" t="s">
        <v>1515</v>
      </c>
      <c r="E780" s="140" t="s">
        <v>1766</v>
      </c>
      <c r="F780" s="140" t="s">
        <v>2288</v>
      </c>
      <c r="G780" s="140" t="s">
        <v>1238</v>
      </c>
      <c r="H780" s="140" t="s">
        <v>2289</v>
      </c>
      <c r="I780" s="140" t="s">
        <v>2267</v>
      </c>
      <c r="J780" s="286">
        <v>100000000</v>
      </c>
      <c r="K780" s="155" t="s">
        <v>221</v>
      </c>
      <c r="L780" s="140">
        <v>2924005</v>
      </c>
      <c r="M780" s="155" t="s">
        <v>27</v>
      </c>
      <c r="N780" s="140">
        <v>300</v>
      </c>
      <c r="O780" s="10">
        <f>327869*300</f>
        <v>98360700</v>
      </c>
      <c r="P780" s="140"/>
      <c r="Q780" t="s">
        <v>3564</v>
      </c>
    </row>
    <row r="781" spans="1:17" ht="43.5" hidden="1" x14ac:dyDescent="0.35">
      <c r="A781" s="155" t="e">
        <f t="shared" si="11"/>
        <v>#REF!</v>
      </c>
      <c r="B781" s="140" t="s">
        <v>18</v>
      </c>
      <c r="C781" s="140" t="s">
        <v>37</v>
      </c>
      <c r="D781" s="140" t="s">
        <v>1515</v>
      </c>
      <c r="E781" s="140" t="s">
        <v>1610</v>
      </c>
      <c r="F781" s="140" t="s">
        <v>30</v>
      </c>
      <c r="G781" s="140" t="s">
        <v>1238</v>
      </c>
      <c r="H781" s="140" t="s">
        <v>2290</v>
      </c>
      <c r="I781" s="140" t="s">
        <v>2291</v>
      </c>
      <c r="J781" s="286">
        <v>100000000</v>
      </c>
      <c r="K781" s="155" t="s">
        <v>221</v>
      </c>
      <c r="L781" s="140">
        <v>2924055</v>
      </c>
      <c r="M781" s="155" t="s">
        <v>27</v>
      </c>
      <c r="N781" s="140">
        <v>400</v>
      </c>
      <c r="O781" s="10">
        <f>254222*400</f>
        <v>101688800</v>
      </c>
      <c r="P781" s="140" t="s">
        <v>2292</v>
      </c>
      <c r="Q781" t="s">
        <v>3564</v>
      </c>
    </row>
    <row r="782" spans="1:17" ht="43.5" hidden="1" x14ac:dyDescent="0.35">
      <c r="A782" s="155" t="e">
        <f t="shared" si="11"/>
        <v>#REF!</v>
      </c>
      <c r="B782" s="140" t="s">
        <v>18</v>
      </c>
      <c r="C782" s="140" t="s">
        <v>37</v>
      </c>
      <c r="D782" s="140" t="s">
        <v>1634</v>
      </c>
      <c r="E782" s="140" t="s">
        <v>2054</v>
      </c>
      <c r="F782" s="140" t="s">
        <v>297</v>
      </c>
      <c r="G782" s="155" t="s">
        <v>2293</v>
      </c>
      <c r="H782" s="155" t="s">
        <v>2294</v>
      </c>
      <c r="I782" s="155" t="s">
        <v>35</v>
      </c>
      <c r="J782" s="269">
        <v>50000000</v>
      </c>
      <c r="K782" s="155" t="s">
        <v>221</v>
      </c>
      <c r="L782" s="155">
        <v>3011642</v>
      </c>
      <c r="M782" s="155" t="s">
        <v>27</v>
      </c>
      <c r="N782" s="155">
        <v>2</v>
      </c>
      <c r="O782" s="13">
        <v>50000000</v>
      </c>
      <c r="P782" s="140"/>
      <c r="Q782" t="s">
        <v>3564</v>
      </c>
    </row>
    <row r="783" spans="1:17" ht="43.5" hidden="1" x14ac:dyDescent="0.35">
      <c r="A783" s="155" t="e">
        <f t="shared" si="11"/>
        <v>#REF!</v>
      </c>
      <c r="B783" s="140" t="s">
        <v>18</v>
      </c>
      <c r="C783" s="140" t="s">
        <v>37</v>
      </c>
      <c r="D783" s="140" t="s">
        <v>1634</v>
      </c>
      <c r="E783" s="140" t="s">
        <v>2054</v>
      </c>
      <c r="F783" s="140" t="s">
        <v>297</v>
      </c>
      <c r="G783" s="155" t="s">
        <v>2293</v>
      </c>
      <c r="H783" s="155" t="s">
        <v>2295</v>
      </c>
      <c r="I783" s="155" t="s">
        <v>35</v>
      </c>
      <c r="J783" s="269">
        <v>100000000</v>
      </c>
      <c r="K783" s="155" t="s">
        <v>221</v>
      </c>
      <c r="L783" s="155">
        <v>3011727</v>
      </c>
      <c r="M783" s="155" t="s">
        <v>27</v>
      </c>
      <c r="N783" s="155">
        <v>2</v>
      </c>
      <c r="O783" s="13">
        <v>50000000</v>
      </c>
      <c r="P783" s="140"/>
      <c r="Q783" t="s">
        <v>3564</v>
      </c>
    </row>
    <row r="784" spans="1:17" ht="43.5" hidden="1" x14ac:dyDescent="0.35">
      <c r="A784" s="155" t="e">
        <f>#REF!+1</f>
        <v>#REF!</v>
      </c>
      <c r="B784" s="140" t="s">
        <v>18</v>
      </c>
      <c r="C784" s="140" t="s">
        <v>37</v>
      </c>
      <c r="D784" s="140" t="s">
        <v>476</v>
      </c>
      <c r="E784" s="140" t="s">
        <v>2296</v>
      </c>
      <c r="F784" s="140" t="s">
        <v>297</v>
      </c>
      <c r="G784" s="155" t="s">
        <v>2293</v>
      </c>
      <c r="H784" s="155" t="s">
        <v>2297</v>
      </c>
      <c r="I784" s="155" t="s">
        <v>280</v>
      </c>
      <c r="J784" s="269">
        <v>700000000</v>
      </c>
      <c r="K784" s="155" t="s">
        <v>221</v>
      </c>
      <c r="L784" s="155">
        <v>2849399</v>
      </c>
      <c r="M784" s="155" t="s">
        <v>27</v>
      </c>
      <c r="N784" s="155">
        <v>6</v>
      </c>
      <c r="O784" s="13">
        <v>888837516</v>
      </c>
      <c r="P784" s="140"/>
      <c r="Q784" t="s">
        <v>3586</v>
      </c>
    </row>
    <row r="785" spans="1:17" ht="43.5" hidden="1" x14ac:dyDescent="0.35">
      <c r="A785" s="155" t="e">
        <f t="shared" si="11"/>
        <v>#REF!</v>
      </c>
      <c r="B785" s="140" t="s">
        <v>18</v>
      </c>
      <c r="C785" s="140" t="s">
        <v>37</v>
      </c>
      <c r="D785" s="140" t="s">
        <v>1515</v>
      </c>
      <c r="E785" s="140" t="s">
        <v>2095</v>
      </c>
      <c r="F785" s="140" t="s">
        <v>2298</v>
      </c>
      <c r="G785" s="155" t="s">
        <v>135</v>
      </c>
      <c r="H785" s="155" t="s">
        <v>138</v>
      </c>
      <c r="I785" s="155" t="s">
        <v>1253</v>
      </c>
      <c r="J785" s="269">
        <v>50000000</v>
      </c>
      <c r="K785" s="155" t="s">
        <v>221</v>
      </c>
      <c r="L785" s="155">
        <v>2936115</v>
      </c>
      <c r="M785" s="155" t="s">
        <v>27</v>
      </c>
      <c r="N785" s="291">
        <v>0.29281633680906299</v>
      </c>
      <c r="O785" s="13">
        <v>50000000</v>
      </c>
      <c r="P785" s="140" t="s">
        <v>1955</v>
      </c>
      <c r="Q785" t="s">
        <v>3564</v>
      </c>
    </row>
    <row r="786" spans="1:17" ht="43.5" hidden="1" x14ac:dyDescent="0.35">
      <c r="A786" s="155" t="e">
        <f t="shared" si="11"/>
        <v>#REF!</v>
      </c>
      <c r="B786" s="140" t="s">
        <v>18</v>
      </c>
      <c r="C786" s="140" t="s">
        <v>37</v>
      </c>
      <c r="D786" s="140" t="s">
        <v>1515</v>
      </c>
      <c r="E786" s="140" t="s">
        <v>2299</v>
      </c>
      <c r="F786" s="140" t="s">
        <v>591</v>
      </c>
      <c r="G786" s="155" t="s">
        <v>135</v>
      </c>
      <c r="H786" s="155" t="s">
        <v>1242</v>
      </c>
      <c r="I786" s="155" t="s">
        <v>2041</v>
      </c>
      <c r="J786" s="269">
        <v>100000000</v>
      </c>
      <c r="K786" s="155" t="s">
        <v>221</v>
      </c>
      <c r="L786" s="155">
        <v>2936503</v>
      </c>
      <c r="M786" s="155" t="s">
        <v>27</v>
      </c>
      <c r="N786" s="155">
        <v>197</v>
      </c>
      <c r="O786" s="13">
        <v>50081734</v>
      </c>
      <c r="P786" s="140"/>
      <c r="Q786" t="s">
        <v>3564</v>
      </c>
    </row>
    <row r="787" spans="1:17" ht="101.5" hidden="1" x14ac:dyDescent="0.35">
      <c r="A787" s="155" t="e">
        <f>#REF!+1</f>
        <v>#REF!</v>
      </c>
      <c r="B787" s="140" t="s">
        <v>18</v>
      </c>
      <c r="C787" s="140" t="s">
        <v>37</v>
      </c>
      <c r="D787" s="140" t="s">
        <v>1515</v>
      </c>
      <c r="E787" s="140" t="s">
        <v>1979</v>
      </c>
      <c r="F787" s="140" t="s">
        <v>2300</v>
      </c>
      <c r="G787" s="155" t="s">
        <v>351</v>
      </c>
      <c r="H787" s="155" t="s">
        <v>2301</v>
      </c>
      <c r="I787" s="155" t="s">
        <v>2302</v>
      </c>
      <c r="J787" s="269" t="s">
        <v>48</v>
      </c>
      <c r="K787" s="155" t="s">
        <v>221</v>
      </c>
      <c r="L787" s="155">
        <v>2958867</v>
      </c>
      <c r="M787" s="155" t="s">
        <v>27</v>
      </c>
      <c r="N787" s="292">
        <v>275</v>
      </c>
      <c r="O787" s="13">
        <v>110000000</v>
      </c>
      <c r="P787" s="140"/>
      <c r="Q787" t="s">
        <v>3564</v>
      </c>
    </row>
    <row r="788" spans="1:17" ht="101.5" hidden="1" x14ac:dyDescent="0.35">
      <c r="A788" s="155" t="e">
        <f t="shared" si="11"/>
        <v>#REF!</v>
      </c>
      <c r="B788" s="140" t="s">
        <v>18</v>
      </c>
      <c r="C788" s="140" t="s">
        <v>37</v>
      </c>
      <c r="D788" s="140" t="s">
        <v>1515</v>
      </c>
      <c r="E788" s="140" t="s">
        <v>1979</v>
      </c>
      <c r="F788" s="140" t="s">
        <v>2303</v>
      </c>
      <c r="G788" s="155" t="s">
        <v>351</v>
      </c>
      <c r="H788" s="155" t="s">
        <v>2304</v>
      </c>
      <c r="I788" s="155" t="s">
        <v>2305</v>
      </c>
      <c r="J788" s="269" t="s">
        <v>48</v>
      </c>
      <c r="K788" s="155" t="s">
        <v>221</v>
      </c>
      <c r="L788" s="155">
        <v>2958990</v>
      </c>
      <c r="M788" s="155" t="s">
        <v>27</v>
      </c>
      <c r="N788" s="292">
        <v>275</v>
      </c>
      <c r="O788" s="13">
        <v>110000000</v>
      </c>
      <c r="P788" s="140"/>
      <c r="Q788" t="s">
        <v>3564</v>
      </c>
    </row>
    <row r="789" spans="1:17" ht="43.5" hidden="1" x14ac:dyDescent="0.35">
      <c r="A789" s="155" t="e">
        <f t="shared" si="11"/>
        <v>#REF!</v>
      </c>
      <c r="B789" s="140" t="s">
        <v>18</v>
      </c>
      <c r="C789" s="140" t="s">
        <v>37</v>
      </c>
      <c r="D789" s="140" t="s">
        <v>1803</v>
      </c>
      <c r="E789" s="140" t="s">
        <v>2306</v>
      </c>
      <c r="F789" s="140" t="s">
        <v>2307</v>
      </c>
      <c r="G789" s="155" t="s">
        <v>351</v>
      </c>
      <c r="H789" s="155" t="s">
        <v>2308</v>
      </c>
      <c r="I789" s="155" t="s">
        <v>35</v>
      </c>
      <c r="J789" s="269" t="s">
        <v>48</v>
      </c>
      <c r="K789" s="155" t="s">
        <v>221</v>
      </c>
      <c r="L789" s="155">
        <v>2959200</v>
      </c>
      <c r="M789" s="155" t="s">
        <v>27</v>
      </c>
      <c r="N789" s="155">
        <v>23</v>
      </c>
      <c r="O789" s="13">
        <v>110000000</v>
      </c>
      <c r="P789" s="140" t="s">
        <v>1839</v>
      </c>
      <c r="Q789" t="s">
        <v>3586</v>
      </c>
    </row>
    <row r="790" spans="1:17" ht="43.5" hidden="1" x14ac:dyDescent="0.35">
      <c r="A790" s="155" t="e">
        <f t="shared" si="11"/>
        <v>#REF!</v>
      </c>
      <c r="B790" s="140" t="s">
        <v>18</v>
      </c>
      <c r="C790" s="140" t="s">
        <v>37</v>
      </c>
      <c r="D790" s="140" t="s">
        <v>1803</v>
      </c>
      <c r="E790" s="140" t="s">
        <v>2306</v>
      </c>
      <c r="F790" s="140" t="s">
        <v>2309</v>
      </c>
      <c r="G790" s="155" t="s">
        <v>351</v>
      </c>
      <c r="H790" s="155" t="s">
        <v>2310</v>
      </c>
      <c r="I790" s="155" t="s">
        <v>35</v>
      </c>
      <c r="J790" s="269" t="s">
        <v>48</v>
      </c>
      <c r="K790" s="155" t="s">
        <v>221</v>
      </c>
      <c r="L790" s="155">
        <v>2959545</v>
      </c>
      <c r="M790" s="155" t="s">
        <v>27</v>
      </c>
      <c r="N790" s="155">
        <v>40</v>
      </c>
      <c r="O790" s="13">
        <v>200000000</v>
      </c>
      <c r="P790" s="140"/>
      <c r="Q790" t="s">
        <v>3586</v>
      </c>
    </row>
    <row r="791" spans="1:17" ht="101.5" hidden="1" x14ac:dyDescent="0.35">
      <c r="A791" s="155" t="e">
        <f t="shared" si="11"/>
        <v>#REF!</v>
      </c>
      <c r="B791" s="140" t="s">
        <v>18</v>
      </c>
      <c r="C791" s="140" t="s">
        <v>37</v>
      </c>
      <c r="D791" s="140" t="s">
        <v>1515</v>
      </c>
      <c r="E791" s="140" t="s">
        <v>1979</v>
      </c>
      <c r="F791" s="140" t="s">
        <v>2311</v>
      </c>
      <c r="G791" s="155" t="s">
        <v>351</v>
      </c>
      <c r="H791" s="155" t="s">
        <v>2312</v>
      </c>
      <c r="I791" s="155" t="s">
        <v>2313</v>
      </c>
      <c r="J791" s="269" t="s">
        <v>48</v>
      </c>
      <c r="K791" s="155" t="s">
        <v>221</v>
      </c>
      <c r="L791" s="155">
        <v>2959647</v>
      </c>
      <c r="M791" s="155" t="s">
        <v>27</v>
      </c>
      <c r="N791" s="292">
        <v>275</v>
      </c>
      <c r="O791" s="13">
        <v>110000000</v>
      </c>
      <c r="P791" s="140"/>
      <c r="Q791" t="s">
        <v>3564</v>
      </c>
    </row>
    <row r="792" spans="1:17" ht="43.5" hidden="1" x14ac:dyDescent="0.35">
      <c r="A792" s="155" t="e">
        <f t="shared" si="11"/>
        <v>#REF!</v>
      </c>
      <c r="B792" s="140" t="s">
        <v>18</v>
      </c>
      <c r="C792" s="140" t="s">
        <v>37</v>
      </c>
      <c r="D792" s="140" t="s">
        <v>1803</v>
      </c>
      <c r="E792" s="140" t="s">
        <v>2306</v>
      </c>
      <c r="F792" s="140" t="s">
        <v>2314</v>
      </c>
      <c r="G792" s="155" t="s">
        <v>351</v>
      </c>
      <c r="H792" s="155" t="s">
        <v>2315</v>
      </c>
      <c r="I792" s="155" t="s">
        <v>35</v>
      </c>
      <c r="J792" s="269" t="s">
        <v>48</v>
      </c>
      <c r="K792" s="155" t="s">
        <v>221</v>
      </c>
      <c r="L792" s="155">
        <v>2963134</v>
      </c>
      <c r="M792" s="155" t="s">
        <v>27</v>
      </c>
      <c r="N792" s="155">
        <v>30</v>
      </c>
      <c r="O792" s="13">
        <v>150000000</v>
      </c>
      <c r="P792" s="140"/>
      <c r="Q792" t="s">
        <v>3586</v>
      </c>
    </row>
    <row r="793" spans="1:17" ht="101.5" hidden="1" x14ac:dyDescent="0.35">
      <c r="A793" s="155" t="e">
        <f t="shared" si="11"/>
        <v>#REF!</v>
      </c>
      <c r="B793" s="140" t="s">
        <v>18</v>
      </c>
      <c r="C793" s="140" t="s">
        <v>37</v>
      </c>
      <c r="D793" s="140" t="s">
        <v>1515</v>
      </c>
      <c r="E793" s="140" t="s">
        <v>1979</v>
      </c>
      <c r="F793" s="140" t="s">
        <v>2316</v>
      </c>
      <c r="G793" s="155" t="s">
        <v>351</v>
      </c>
      <c r="H793" s="155" t="s">
        <v>2317</v>
      </c>
      <c r="I793" s="155" t="s">
        <v>2318</v>
      </c>
      <c r="J793" s="269" t="s">
        <v>48</v>
      </c>
      <c r="K793" s="155" t="s">
        <v>221</v>
      </c>
      <c r="L793" s="155">
        <v>2965830</v>
      </c>
      <c r="M793" s="155" t="s">
        <v>27</v>
      </c>
      <c r="N793" s="292">
        <v>275</v>
      </c>
      <c r="O793" s="13">
        <v>110000000</v>
      </c>
      <c r="P793" s="140"/>
      <c r="Q793" t="s">
        <v>3564</v>
      </c>
    </row>
    <row r="794" spans="1:17" ht="43.5" hidden="1" x14ac:dyDescent="0.35">
      <c r="A794" s="155" t="e">
        <f t="shared" si="11"/>
        <v>#REF!</v>
      </c>
      <c r="B794" s="140" t="s">
        <v>18</v>
      </c>
      <c r="C794" s="140" t="s">
        <v>37</v>
      </c>
      <c r="D794" s="140" t="s">
        <v>476</v>
      </c>
      <c r="E794" s="140" t="s">
        <v>1216</v>
      </c>
      <c r="F794" s="140" t="s">
        <v>297</v>
      </c>
      <c r="G794" s="155" t="s">
        <v>598</v>
      </c>
      <c r="H794" s="155" t="s">
        <v>2319</v>
      </c>
      <c r="I794" s="155" t="s">
        <v>2320</v>
      </c>
      <c r="J794" s="269">
        <v>190000000</v>
      </c>
      <c r="K794" s="155" t="s">
        <v>221</v>
      </c>
      <c r="L794" s="155">
        <v>2791719</v>
      </c>
      <c r="M794" s="155" t="s">
        <v>27</v>
      </c>
      <c r="N794" s="155">
        <v>120</v>
      </c>
      <c r="O794" s="13">
        <v>206640000</v>
      </c>
      <c r="P794" s="140" t="s">
        <v>1728</v>
      </c>
      <c r="Q794" t="s">
        <v>3586</v>
      </c>
    </row>
    <row r="795" spans="1:17" ht="43.5" hidden="1" x14ac:dyDescent="0.35">
      <c r="A795" s="155" t="e">
        <f t="shared" si="11"/>
        <v>#REF!</v>
      </c>
      <c r="B795" s="140" t="s">
        <v>18</v>
      </c>
      <c r="C795" s="140" t="s">
        <v>37</v>
      </c>
      <c r="D795" s="140" t="s">
        <v>1634</v>
      </c>
      <c r="E795" s="140" t="s">
        <v>2321</v>
      </c>
      <c r="F795" s="140" t="s">
        <v>297</v>
      </c>
      <c r="G795" s="155" t="s">
        <v>598</v>
      </c>
      <c r="H795" s="155" t="s">
        <v>599</v>
      </c>
      <c r="I795" s="155" t="s">
        <v>2322</v>
      </c>
      <c r="J795" s="269">
        <v>75000000</v>
      </c>
      <c r="K795" s="155" t="s">
        <v>221</v>
      </c>
      <c r="L795" s="155">
        <v>2791231</v>
      </c>
      <c r="M795" s="155" t="s">
        <v>27</v>
      </c>
      <c r="N795" s="155" t="s">
        <v>287</v>
      </c>
      <c r="O795" s="13">
        <v>185000000</v>
      </c>
      <c r="P795" s="140"/>
      <c r="Q795" t="s">
        <v>3564</v>
      </c>
    </row>
    <row r="796" spans="1:17" ht="43.5" hidden="1" x14ac:dyDescent="0.35">
      <c r="A796" s="155" t="e">
        <f t="shared" si="11"/>
        <v>#REF!</v>
      </c>
      <c r="B796" s="140" t="s">
        <v>18</v>
      </c>
      <c r="C796" s="140" t="s">
        <v>37</v>
      </c>
      <c r="D796" s="140" t="s">
        <v>1521</v>
      </c>
      <c r="E796" s="277" t="s">
        <v>2323</v>
      </c>
      <c r="F796" s="140" t="s">
        <v>297</v>
      </c>
      <c r="G796" s="155" t="s">
        <v>598</v>
      </c>
      <c r="H796" s="155" t="s">
        <v>2324</v>
      </c>
      <c r="I796" s="155" t="s">
        <v>2325</v>
      </c>
      <c r="J796" s="269">
        <v>195000000</v>
      </c>
      <c r="K796" s="155" t="s">
        <v>221</v>
      </c>
      <c r="L796" s="155">
        <v>2790283</v>
      </c>
      <c r="M796" s="155" t="s">
        <v>27</v>
      </c>
      <c r="N796" s="155">
        <v>10</v>
      </c>
      <c r="O796" s="13">
        <v>145640000</v>
      </c>
      <c r="P796" s="140" t="s">
        <v>2326</v>
      </c>
      <c r="Q796" t="s">
        <v>3586</v>
      </c>
    </row>
    <row r="797" spans="1:17" ht="43.5" hidden="1" x14ac:dyDescent="0.35">
      <c r="A797" s="155" t="e">
        <f t="shared" si="11"/>
        <v>#REF!</v>
      </c>
      <c r="B797" s="140" t="s">
        <v>18</v>
      </c>
      <c r="C797" s="140" t="s">
        <v>37</v>
      </c>
      <c r="D797" s="140" t="s">
        <v>1570</v>
      </c>
      <c r="E797" s="140" t="s">
        <v>2327</v>
      </c>
      <c r="F797" s="140" t="s">
        <v>297</v>
      </c>
      <c r="G797" s="155" t="s">
        <v>598</v>
      </c>
      <c r="H797" s="155" t="s">
        <v>2328</v>
      </c>
      <c r="I797" s="155" t="s">
        <v>2329</v>
      </c>
      <c r="J797" s="269">
        <v>100000000</v>
      </c>
      <c r="K797" s="155" t="s">
        <v>221</v>
      </c>
      <c r="L797" s="155">
        <v>2958384</v>
      </c>
      <c r="M797" s="155" t="s">
        <v>27</v>
      </c>
      <c r="N797" s="292">
        <v>35.945363048166797</v>
      </c>
      <c r="O797" s="13">
        <v>100000000</v>
      </c>
      <c r="P797" s="140"/>
      <c r="Q797" t="s">
        <v>3586</v>
      </c>
    </row>
    <row r="798" spans="1:17" ht="43.5" hidden="1" x14ac:dyDescent="0.35">
      <c r="A798" s="155" t="e">
        <f t="shared" si="11"/>
        <v>#REF!</v>
      </c>
      <c r="B798" s="140" t="s">
        <v>18</v>
      </c>
      <c r="C798" s="140" t="s">
        <v>37</v>
      </c>
      <c r="D798" s="140" t="s">
        <v>1570</v>
      </c>
      <c r="E798" s="140" t="s">
        <v>2321</v>
      </c>
      <c r="F798" s="140" t="s">
        <v>297</v>
      </c>
      <c r="G798" s="155" t="s">
        <v>598</v>
      </c>
      <c r="H798" s="155" t="s">
        <v>2328</v>
      </c>
      <c r="I798" s="155" t="s">
        <v>61</v>
      </c>
      <c r="J798" s="269">
        <v>50000000</v>
      </c>
      <c r="K798" s="155" t="s">
        <v>221</v>
      </c>
      <c r="L798" s="155">
        <v>2958384</v>
      </c>
      <c r="M798" s="155" t="s">
        <v>27</v>
      </c>
      <c r="N798" s="155" t="s">
        <v>2330</v>
      </c>
      <c r="O798" s="13">
        <v>100000000</v>
      </c>
      <c r="P798" s="140"/>
      <c r="Q798" t="s">
        <v>3586</v>
      </c>
    </row>
    <row r="799" spans="1:17" ht="43.5" hidden="1" x14ac:dyDescent="0.35">
      <c r="A799" s="155" t="e">
        <f t="shared" si="11"/>
        <v>#REF!</v>
      </c>
      <c r="B799" s="140" t="s">
        <v>18</v>
      </c>
      <c r="C799" s="140" t="s">
        <v>37</v>
      </c>
      <c r="D799" s="140" t="s">
        <v>1634</v>
      </c>
      <c r="E799" s="140" t="s">
        <v>2327</v>
      </c>
      <c r="F799" s="140" t="s">
        <v>297</v>
      </c>
      <c r="G799" s="155" t="s">
        <v>598</v>
      </c>
      <c r="H799" s="155" t="s">
        <v>2331</v>
      </c>
      <c r="I799" s="155" t="s">
        <v>1219</v>
      </c>
      <c r="J799" s="269">
        <v>190000000</v>
      </c>
      <c r="K799" s="155" t="s">
        <v>221</v>
      </c>
      <c r="L799" s="155">
        <v>2791455</v>
      </c>
      <c r="M799" s="155" t="s">
        <v>27</v>
      </c>
      <c r="N799" s="292">
        <v>68.296189791516895</v>
      </c>
      <c r="O799" s="13">
        <v>190000000</v>
      </c>
      <c r="P799" s="140"/>
      <c r="Q799" t="s">
        <v>3564</v>
      </c>
    </row>
    <row r="800" spans="1:17" ht="43.5" hidden="1" x14ac:dyDescent="0.35">
      <c r="A800" s="155" t="e">
        <f t="shared" si="11"/>
        <v>#REF!</v>
      </c>
      <c r="B800" s="140" t="s">
        <v>18</v>
      </c>
      <c r="C800" s="140" t="s">
        <v>37</v>
      </c>
      <c r="D800" s="140" t="s">
        <v>1634</v>
      </c>
      <c r="E800" s="140" t="s">
        <v>2321</v>
      </c>
      <c r="F800" s="140" t="s">
        <v>297</v>
      </c>
      <c r="G800" s="155" t="s">
        <v>598</v>
      </c>
      <c r="H800" s="155" t="s">
        <v>2331</v>
      </c>
      <c r="I800" s="155" t="s">
        <v>61</v>
      </c>
      <c r="J800" s="269">
        <v>50000000</v>
      </c>
      <c r="K800" s="155" t="s">
        <v>221</v>
      </c>
      <c r="L800" s="155">
        <v>2791455</v>
      </c>
      <c r="M800" s="155" t="s">
        <v>27</v>
      </c>
      <c r="N800" s="155" t="s">
        <v>54</v>
      </c>
      <c r="O800" s="13">
        <v>50000000</v>
      </c>
      <c r="P800" s="140"/>
      <c r="Q800" t="s">
        <v>3564</v>
      </c>
    </row>
    <row r="801" spans="1:17" ht="43.5" hidden="1" x14ac:dyDescent="0.35">
      <c r="A801" s="155" t="e">
        <f t="shared" si="11"/>
        <v>#REF!</v>
      </c>
      <c r="B801" s="140" t="s">
        <v>18</v>
      </c>
      <c r="C801" s="140" t="s">
        <v>37</v>
      </c>
      <c r="D801" s="140" t="s">
        <v>1515</v>
      </c>
      <c r="E801" s="140" t="s">
        <v>2332</v>
      </c>
      <c r="F801" s="140" t="s">
        <v>2333</v>
      </c>
      <c r="G801" s="140" t="s">
        <v>356</v>
      </c>
      <c r="H801" s="140" t="s">
        <v>2334</v>
      </c>
      <c r="I801" s="140" t="s">
        <v>341</v>
      </c>
      <c r="J801" s="286">
        <v>42000000</v>
      </c>
      <c r="K801" s="155" t="s">
        <v>221</v>
      </c>
      <c r="L801" s="140"/>
      <c r="M801" s="155" t="s">
        <v>27</v>
      </c>
      <c r="N801" s="140">
        <v>200</v>
      </c>
      <c r="O801" s="10">
        <f>396040*200</f>
        <v>79208000</v>
      </c>
      <c r="P801" s="140"/>
      <c r="Q801" t="s">
        <v>3564</v>
      </c>
    </row>
    <row r="802" spans="1:17" ht="43.5" hidden="1" x14ac:dyDescent="0.35">
      <c r="A802" s="155" t="e">
        <f t="shared" ref="A802:A865" si="13">A801+1</f>
        <v>#REF!</v>
      </c>
      <c r="B802" s="140" t="s">
        <v>18</v>
      </c>
      <c r="C802" s="140" t="s">
        <v>37</v>
      </c>
      <c r="D802" s="140" t="s">
        <v>1515</v>
      </c>
      <c r="E802" s="140" t="s">
        <v>2335</v>
      </c>
      <c r="F802" s="140" t="s">
        <v>2336</v>
      </c>
      <c r="G802" s="140" t="s">
        <v>356</v>
      </c>
      <c r="H802" s="140" t="s">
        <v>2334</v>
      </c>
      <c r="I802" s="140" t="s">
        <v>1426</v>
      </c>
      <c r="J802" s="286">
        <v>35500000</v>
      </c>
      <c r="K802" s="155" t="s">
        <v>221</v>
      </c>
      <c r="L802" s="140"/>
      <c r="M802" s="155" t="s">
        <v>27</v>
      </c>
      <c r="N802" s="140">
        <v>300</v>
      </c>
      <c r="O802" s="10">
        <v>118811880</v>
      </c>
      <c r="P802" s="140"/>
      <c r="Q802" t="s">
        <v>3564</v>
      </c>
    </row>
    <row r="803" spans="1:17" ht="43.5" hidden="1" x14ac:dyDescent="0.35">
      <c r="A803" s="155" t="e">
        <f t="shared" si="13"/>
        <v>#REF!</v>
      </c>
      <c r="B803" s="140" t="s">
        <v>18</v>
      </c>
      <c r="C803" s="140" t="s">
        <v>37</v>
      </c>
      <c r="D803" s="140" t="s">
        <v>1515</v>
      </c>
      <c r="E803" s="140" t="s">
        <v>2337</v>
      </c>
      <c r="F803" s="140" t="s">
        <v>2338</v>
      </c>
      <c r="G803" s="140" t="s">
        <v>356</v>
      </c>
      <c r="H803" s="140" t="s">
        <v>357</v>
      </c>
      <c r="I803" s="140" t="s">
        <v>1037</v>
      </c>
      <c r="J803" s="286">
        <v>72000000</v>
      </c>
      <c r="K803" s="155" t="s">
        <v>221</v>
      </c>
      <c r="L803" s="140">
        <v>2930911</v>
      </c>
      <c r="M803" s="155" t="s">
        <v>27</v>
      </c>
      <c r="N803" s="140">
        <v>3.4000000000000002E-2</v>
      </c>
      <c r="O803" s="10">
        <v>88599838.400000006</v>
      </c>
      <c r="P803" s="140" t="s">
        <v>1955</v>
      </c>
      <c r="Q803" t="s">
        <v>3564</v>
      </c>
    </row>
    <row r="804" spans="1:17" ht="43.5" hidden="1" x14ac:dyDescent="0.35">
      <c r="A804" s="155" t="e">
        <f t="shared" si="13"/>
        <v>#REF!</v>
      </c>
      <c r="B804" s="140" t="s">
        <v>18</v>
      </c>
      <c r="C804" s="140" t="s">
        <v>37</v>
      </c>
      <c r="D804" s="140" t="s">
        <v>1515</v>
      </c>
      <c r="E804" s="140" t="s">
        <v>2339</v>
      </c>
      <c r="F804" s="140" t="s">
        <v>2340</v>
      </c>
      <c r="G804" s="140" t="s">
        <v>356</v>
      </c>
      <c r="H804" s="140" t="s">
        <v>2341</v>
      </c>
      <c r="I804" s="140" t="s">
        <v>2342</v>
      </c>
      <c r="J804" s="286">
        <v>64000000</v>
      </c>
      <c r="K804" s="155" t="s">
        <v>221</v>
      </c>
      <c r="L804" s="140">
        <v>2930922</v>
      </c>
      <c r="M804" s="155" t="s">
        <v>27</v>
      </c>
      <c r="N804" s="140">
        <v>58</v>
      </c>
      <c r="O804" s="10">
        <v>108000000</v>
      </c>
      <c r="P804" s="140"/>
      <c r="Q804" t="s">
        <v>3564</v>
      </c>
    </row>
    <row r="805" spans="1:17" ht="43.5" hidden="1" x14ac:dyDescent="0.35">
      <c r="A805" s="155" t="e">
        <f t="shared" si="13"/>
        <v>#REF!</v>
      </c>
      <c r="B805" s="140" t="s">
        <v>18</v>
      </c>
      <c r="C805" s="140" t="s">
        <v>37</v>
      </c>
      <c r="D805" s="140" t="s">
        <v>1803</v>
      </c>
      <c r="E805" s="140" t="s">
        <v>3585</v>
      </c>
      <c r="F805" s="140" t="s">
        <v>2344</v>
      </c>
      <c r="G805" s="140" t="s">
        <v>356</v>
      </c>
      <c r="H805" s="140" t="s">
        <v>711</v>
      </c>
      <c r="I805" s="140" t="s">
        <v>2345</v>
      </c>
      <c r="J805" s="286">
        <v>85000000</v>
      </c>
      <c r="K805" s="155" t="s">
        <v>221</v>
      </c>
      <c r="L805" s="140">
        <v>2909088</v>
      </c>
      <c r="M805" s="155" t="s">
        <v>27</v>
      </c>
      <c r="N805" s="140">
        <v>30</v>
      </c>
      <c r="O805" s="10">
        <f>30*5000000</f>
        <v>150000000</v>
      </c>
      <c r="P805" s="140" t="s">
        <v>2346</v>
      </c>
      <c r="Q805" t="s">
        <v>3564</v>
      </c>
    </row>
    <row r="806" spans="1:17" ht="43.5" hidden="1" x14ac:dyDescent="0.35">
      <c r="A806" s="155" t="e">
        <f t="shared" si="13"/>
        <v>#REF!</v>
      </c>
      <c r="B806" s="140" t="s">
        <v>18</v>
      </c>
      <c r="C806" s="140" t="s">
        <v>37</v>
      </c>
      <c r="D806" s="140" t="s">
        <v>1515</v>
      </c>
      <c r="E806" s="140" t="s">
        <v>2347</v>
      </c>
      <c r="F806" s="140" t="s">
        <v>2348</v>
      </c>
      <c r="G806" s="140" t="s">
        <v>356</v>
      </c>
      <c r="H806" s="140" t="s">
        <v>2349</v>
      </c>
      <c r="I806" s="140" t="s">
        <v>2350</v>
      </c>
      <c r="J806" s="286">
        <v>44000000</v>
      </c>
      <c r="K806" s="155" t="s">
        <v>221</v>
      </c>
      <c r="L806" s="140">
        <v>2930939</v>
      </c>
      <c r="M806" s="155" t="s">
        <v>27</v>
      </c>
      <c r="N806" s="140">
        <v>270</v>
      </c>
      <c r="O806" s="10">
        <v>68639999.400000006</v>
      </c>
      <c r="P806" s="140"/>
      <c r="Q806" t="s">
        <v>3564</v>
      </c>
    </row>
    <row r="807" spans="1:17" ht="43.5" hidden="1" x14ac:dyDescent="0.35">
      <c r="A807" s="155" t="e">
        <f t="shared" si="13"/>
        <v>#REF!</v>
      </c>
      <c r="B807" s="140" t="s">
        <v>18</v>
      </c>
      <c r="C807" s="140" t="s">
        <v>37</v>
      </c>
      <c r="D807" s="140" t="s">
        <v>1515</v>
      </c>
      <c r="E807" s="140" t="s">
        <v>2351</v>
      </c>
      <c r="F807" s="140" t="s">
        <v>2352</v>
      </c>
      <c r="G807" s="140" t="s">
        <v>356</v>
      </c>
      <c r="H807" s="140" t="s">
        <v>2349</v>
      </c>
      <c r="I807" s="140" t="s">
        <v>1080</v>
      </c>
      <c r="J807" s="286">
        <v>32000000</v>
      </c>
      <c r="K807" s="155" t="s">
        <v>221</v>
      </c>
      <c r="L807" s="140">
        <v>2930939</v>
      </c>
      <c r="M807" s="155" t="s">
        <v>27</v>
      </c>
      <c r="N807" s="140">
        <v>100</v>
      </c>
      <c r="O807" s="10">
        <v>25422222</v>
      </c>
      <c r="P807" s="140"/>
      <c r="Q807" t="s">
        <v>3564</v>
      </c>
    </row>
    <row r="808" spans="1:17" ht="43.5" hidden="1" x14ac:dyDescent="0.35">
      <c r="A808" s="155" t="e">
        <f t="shared" si="13"/>
        <v>#REF!</v>
      </c>
      <c r="B808" s="140" t="s">
        <v>18</v>
      </c>
      <c r="C808" s="140" t="s">
        <v>37</v>
      </c>
      <c r="D808" s="140" t="s">
        <v>1515</v>
      </c>
      <c r="E808" s="140" t="s">
        <v>2353</v>
      </c>
      <c r="F808" s="140" t="s">
        <v>2354</v>
      </c>
      <c r="G808" s="140" t="s">
        <v>356</v>
      </c>
      <c r="H808" s="140" t="s">
        <v>2355</v>
      </c>
      <c r="I808" s="140" t="s">
        <v>2356</v>
      </c>
      <c r="J808" s="286">
        <v>20000000</v>
      </c>
      <c r="K808" s="155" t="s">
        <v>221</v>
      </c>
      <c r="L808" s="140">
        <v>2930935</v>
      </c>
      <c r="M808" s="155" t="s">
        <v>27</v>
      </c>
      <c r="N808" s="140">
        <v>363</v>
      </c>
      <c r="O808" s="10">
        <v>92282665.859999999</v>
      </c>
      <c r="P808" s="140"/>
      <c r="Q808" t="s">
        <v>3564</v>
      </c>
    </row>
    <row r="809" spans="1:17" ht="43.5" hidden="1" x14ac:dyDescent="0.35">
      <c r="A809" s="155" t="e">
        <f t="shared" si="13"/>
        <v>#REF!</v>
      </c>
      <c r="B809" s="140" t="s">
        <v>18</v>
      </c>
      <c r="C809" s="140" t="s">
        <v>37</v>
      </c>
      <c r="D809" s="140" t="s">
        <v>1515</v>
      </c>
      <c r="E809" s="140" t="s">
        <v>2357</v>
      </c>
      <c r="F809" s="140" t="s">
        <v>2358</v>
      </c>
      <c r="G809" s="140" t="s">
        <v>356</v>
      </c>
      <c r="H809" s="140" t="s">
        <v>2355</v>
      </c>
      <c r="I809" s="140" t="s">
        <v>2359</v>
      </c>
      <c r="J809" s="286">
        <v>38000000</v>
      </c>
      <c r="K809" s="155" t="s">
        <v>221</v>
      </c>
      <c r="L809" s="140">
        <v>2930935</v>
      </c>
      <c r="M809" s="155" t="s">
        <v>27</v>
      </c>
      <c r="N809" s="140">
        <v>305</v>
      </c>
      <c r="O809" s="10">
        <v>77537777.099999994</v>
      </c>
      <c r="P809" s="140"/>
      <c r="Q809" t="s">
        <v>3564</v>
      </c>
    </row>
    <row r="810" spans="1:17" ht="43.5" hidden="1" x14ac:dyDescent="0.35">
      <c r="A810" s="155" t="e">
        <f t="shared" si="13"/>
        <v>#REF!</v>
      </c>
      <c r="B810" s="140" t="s">
        <v>18</v>
      </c>
      <c r="C810" s="140" t="s">
        <v>37</v>
      </c>
      <c r="D810" s="140" t="s">
        <v>1515</v>
      </c>
      <c r="E810" s="140" t="s">
        <v>2360</v>
      </c>
      <c r="F810" s="140" t="s">
        <v>2361</v>
      </c>
      <c r="G810" s="140" t="s">
        <v>356</v>
      </c>
      <c r="H810" s="140" t="s">
        <v>2355</v>
      </c>
      <c r="I810" s="140" t="s">
        <v>2362</v>
      </c>
      <c r="J810" s="286">
        <v>16000000</v>
      </c>
      <c r="K810" s="155" t="s">
        <v>221</v>
      </c>
      <c r="L810" s="140">
        <v>2930935</v>
      </c>
      <c r="M810" s="155" t="s">
        <v>27</v>
      </c>
      <c r="N810" s="140">
        <v>84</v>
      </c>
      <c r="O810" s="10">
        <v>21354666.48</v>
      </c>
      <c r="P810" s="140"/>
      <c r="Q810" t="s">
        <v>3564</v>
      </c>
    </row>
    <row r="811" spans="1:17" ht="43.5" hidden="1" x14ac:dyDescent="0.35">
      <c r="A811" s="155" t="e">
        <f t="shared" si="13"/>
        <v>#REF!</v>
      </c>
      <c r="B811" s="140" t="s">
        <v>18</v>
      </c>
      <c r="C811" s="140" t="s">
        <v>37</v>
      </c>
      <c r="D811" s="140" t="s">
        <v>1515</v>
      </c>
      <c r="E811" s="140" t="s">
        <v>2347</v>
      </c>
      <c r="F811" s="140" t="s">
        <v>2363</v>
      </c>
      <c r="G811" s="140" t="s">
        <v>356</v>
      </c>
      <c r="H811" s="140" t="s">
        <v>2355</v>
      </c>
      <c r="I811" s="140" t="s">
        <v>2364</v>
      </c>
      <c r="J811" s="286">
        <v>26000000</v>
      </c>
      <c r="K811" s="155" t="s">
        <v>221</v>
      </c>
      <c r="L811" s="140">
        <v>2930935</v>
      </c>
      <c r="M811" s="155" t="s">
        <v>27</v>
      </c>
      <c r="N811" s="140">
        <v>201</v>
      </c>
      <c r="O811" s="10">
        <v>51098666.219999999</v>
      </c>
      <c r="P811" s="140"/>
      <c r="Q811" t="s">
        <v>3564</v>
      </c>
    </row>
    <row r="812" spans="1:17" ht="43.5" hidden="1" x14ac:dyDescent="0.35">
      <c r="A812" s="155" t="e">
        <f t="shared" si="13"/>
        <v>#REF!</v>
      </c>
      <c r="B812" s="140" t="s">
        <v>18</v>
      </c>
      <c r="C812" s="140" t="s">
        <v>37</v>
      </c>
      <c r="D812" s="140" t="s">
        <v>1521</v>
      </c>
      <c r="E812" s="140" t="s">
        <v>2321</v>
      </c>
      <c r="F812" s="140" t="s">
        <v>2365</v>
      </c>
      <c r="G812" s="155" t="s">
        <v>870</v>
      </c>
      <c r="H812" s="155" t="s">
        <v>871</v>
      </c>
      <c r="I812" s="155" t="s">
        <v>2366</v>
      </c>
      <c r="J812" s="269">
        <v>20000000</v>
      </c>
      <c r="K812" s="155" t="s">
        <v>221</v>
      </c>
      <c r="L812" s="155">
        <v>2934977</v>
      </c>
      <c r="M812" s="155" t="s">
        <v>27</v>
      </c>
      <c r="N812" s="155" t="s">
        <v>54</v>
      </c>
      <c r="O812" s="13">
        <v>20000000</v>
      </c>
      <c r="P812" s="305" t="s">
        <v>2367</v>
      </c>
      <c r="Q812" t="s">
        <v>3586</v>
      </c>
    </row>
    <row r="813" spans="1:17" ht="43.5" hidden="1" x14ac:dyDescent="0.35">
      <c r="A813" s="155" t="e">
        <f t="shared" si="13"/>
        <v>#REF!</v>
      </c>
      <c r="B813" s="140" t="s">
        <v>18</v>
      </c>
      <c r="C813" s="140" t="s">
        <v>37</v>
      </c>
      <c r="D813" s="140" t="s">
        <v>1515</v>
      </c>
      <c r="E813" s="140" t="s">
        <v>2368</v>
      </c>
      <c r="F813" s="140" t="s">
        <v>2369</v>
      </c>
      <c r="G813" s="155" t="s">
        <v>870</v>
      </c>
      <c r="H813" s="155" t="s">
        <v>871</v>
      </c>
      <c r="I813" s="155" t="s">
        <v>1259</v>
      </c>
      <c r="J813" s="269">
        <v>138000000</v>
      </c>
      <c r="K813" s="155" t="s">
        <v>221</v>
      </c>
      <c r="L813" s="155">
        <v>2934696</v>
      </c>
      <c r="M813" s="155" t="s">
        <v>27</v>
      </c>
      <c r="N813" s="155">
        <v>200</v>
      </c>
      <c r="O813" s="13">
        <f>200*254222</f>
        <v>50844400</v>
      </c>
      <c r="P813" s="305"/>
      <c r="Q813" t="s">
        <v>3564</v>
      </c>
    </row>
    <row r="814" spans="1:17" ht="43.5" hidden="1" x14ac:dyDescent="0.35">
      <c r="A814" s="155" t="e">
        <f t="shared" si="13"/>
        <v>#REF!</v>
      </c>
      <c r="B814" s="140" t="s">
        <v>18</v>
      </c>
      <c r="C814" s="140" t="s">
        <v>37</v>
      </c>
      <c r="D814" s="140" t="s">
        <v>1634</v>
      </c>
      <c r="E814" s="140" t="s">
        <v>2321</v>
      </c>
      <c r="F814" s="140" t="s">
        <v>2370</v>
      </c>
      <c r="G814" s="155" t="s">
        <v>870</v>
      </c>
      <c r="H814" s="155" t="s">
        <v>2371</v>
      </c>
      <c r="I814" s="155" t="s">
        <v>2366</v>
      </c>
      <c r="J814" s="269">
        <v>20000000</v>
      </c>
      <c r="K814" s="155" t="s">
        <v>221</v>
      </c>
      <c r="L814" s="155">
        <v>2924573</v>
      </c>
      <c r="M814" s="155" t="s">
        <v>27</v>
      </c>
      <c r="N814" s="155" t="s">
        <v>895</v>
      </c>
      <c r="O814" s="13">
        <v>100000000</v>
      </c>
      <c r="P814" s="305" t="s">
        <v>2372</v>
      </c>
      <c r="Q814" t="s">
        <v>3564</v>
      </c>
    </row>
    <row r="815" spans="1:17" ht="43.5" hidden="1" x14ac:dyDescent="0.35">
      <c r="A815" s="155" t="e">
        <f t="shared" si="13"/>
        <v>#REF!</v>
      </c>
      <c r="B815" s="140" t="s">
        <v>18</v>
      </c>
      <c r="C815" s="140" t="s">
        <v>37</v>
      </c>
      <c r="D815" s="140" t="s">
        <v>476</v>
      </c>
      <c r="E815" s="140" t="s">
        <v>2073</v>
      </c>
      <c r="F815" s="140" t="s">
        <v>2373</v>
      </c>
      <c r="G815" s="155" t="s">
        <v>870</v>
      </c>
      <c r="H815" s="155" t="s">
        <v>2371</v>
      </c>
      <c r="I815" s="155" t="s">
        <v>1259</v>
      </c>
      <c r="J815" s="269">
        <v>140000000</v>
      </c>
      <c r="K815" s="155" t="s">
        <v>221</v>
      </c>
      <c r="L815" s="155">
        <v>2924453</v>
      </c>
      <c r="M815" s="155" t="s">
        <v>27</v>
      </c>
      <c r="N815" s="293">
        <v>5.37247029561174E-2</v>
      </c>
      <c r="O815" s="13">
        <v>140000000</v>
      </c>
      <c r="P815" s="305" t="s">
        <v>2374</v>
      </c>
      <c r="Q815" t="s">
        <v>3586</v>
      </c>
    </row>
    <row r="816" spans="1:17" ht="43.5" hidden="1" x14ac:dyDescent="0.35">
      <c r="A816" s="155" t="e">
        <f t="shared" si="13"/>
        <v>#REF!</v>
      </c>
      <c r="B816" s="140" t="s">
        <v>18</v>
      </c>
      <c r="C816" s="140" t="s">
        <v>37</v>
      </c>
      <c r="D816" s="140" t="s">
        <v>1634</v>
      </c>
      <c r="E816" s="140" t="s">
        <v>2321</v>
      </c>
      <c r="F816" s="140" t="s">
        <v>2375</v>
      </c>
      <c r="G816" s="155" t="s">
        <v>870</v>
      </c>
      <c r="H816" s="155" t="s">
        <v>2376</v>
      </c>
      <c r="I816" s="155" t="s">
        <v>2377</v>
      </c>
      <c r="J816" s="269">
        <v>20000000</v>
      </c>
      <c r="K816" s="155" t="s">
        <v>221</v>
      </c>
      <c r="L816" s="155"/>
      <c r="M816" s="155" t="s">
        <v>27</v>
      </c>
      <c r="N816" s="155" t="s">
        <v>895</v>
      </c>
      <c r="O816" s="13">
        <v>100000000</v>
      </c>
      <c r="P816" s="305" t="s">
        <v>2372</v>
      </c>
      <c r="Q816" t="s">
        <v>3564</v>
      </c>
    </row>
    <row r="817" spans="1:17" ht="101.5" hidden="1" x14ac:dyDescent="0.35">
      <c r="A817" s="155" t="e">
        <f t="shared" si="13"/>
        <v>#REF!</v>
      </c>
      <c r="B817" s="140" t="s">
        <v>18</v>
      </c>
      <c r="C817" s="140" t="s">
        <v>37</v>
      </c>
      <c r="D817" s="140" t="s">
        <v>1515</v>
      </c>
      <c r="E817" s="140" t="s">
        <v>1979</v>
      </c>
      <c r="F817" s="140" t="s">
        <v>2378</v>
      </c>
      <c r="G817" s="140" t="s">
        <v>1257</v>
      </c>
      <c r="H817" s="140" t="s">
        <v>2379</v>
      </c>
      <c r="I817" s="140" t="s">
        <v>2380</v>
      </c>
      <c r="J817" s="286">
        <v>100000000</v>
      </c>
      <c r="K817" s="155" t="s">
        <v>221</v>
      </c>
      <c r="L817" s="140">
        <v>2936285</v>
      </c>
      <c r="M817" s="155" t="s">
        <v>27</v>
      </c>
      <c r="N817" s="140">
        <v>500</v>
      </c>
      <c r="O817" s="10">
        <f>500*254222</f>
        <v>127111000</v>
      </c>
      <c r="P817" s="140" t="s">
        <v>1544</v>
      </c>
      <c r="Q817" t="s">
        <v>3564</v>
      </c>
    </row>
    <row r="818" spans="1:17" ht="101.5" hidden="1" x14ac:dyDescent="0.35">
      <c r="A818" s="155" t="e">
        <f t="shared" si="13"/>
        <v>#REF!</v>
      </c>
      <c r="B818" s="140" t="s">
        <v>18</v>
      </c>
      <c r="C818" s="140" t="s">
        <v>37</v>
      </c>
      <c r="D818" s="140" t="s">
        <v>1515</v>
      </c>
      <c r="E818" s="140" t="s">
        <v>1979</v>
      </c>
      <c r="F818" s="140" t="s">
        <v>2378</v>
      </c>
      <c r="G818" s="140" t="s">
        <v>1257</v>
      </c>
      <c r="H818" s="140" t="s">
        <v>2381</v>
      </c>
      <c r="I818" s="140" t="s">
        <v>2382</v>
      </c>
      <c r="J818" s="286">
        <v>100000000</v>
      </c>
      <c r="K818" s="155" t="s">
        <v>221</v>
      </c>
      <c r="L818" s="140">
        <v>2936285</v>
      </c>
      <c r="M818" s="155" t="s">
        <v>27</v>
      </c>
      <c r="N818" s="140">
        <v>400</v>
      </c>
      <c r="O818" s="10">
        <v>160000000</v>
      </c>
      <c r="P818" s="140" t="s">
        <v>2383</v>
      </c>
      <c r="Q818" t="s">
        <v>3564</v>
      </c>
    </row>
    <row r="819" spans="1:17" ht="101.5" hidden="1" x14ac:dyDescent="0.35">
      <c r="A819" s="155" t="e">
        <f t="shared" si="13"/>
        <v>#REF!</v>
      </c>
      <c r="B819" s="140" t="s">
        <v>18</v>
      </c>
      <c r="C819" s="140" t="s">
        <v>37</v>
      </c>
      <c r="D819" s="140" t="s">
        <v>1515</v>
      </c>
      <c r="E819" s="140" t="s">
        <v>1979</v>
      </c>
      <c r="F819" s="140" t="s">
        <v>2378</v>
      </c>
      <c r="G819" s="140" t="s">
        <v>1257</v>
      </c>
      <c r="H819" s="140" t="s">
        <v>2384</v>
      </c>
      <c r="I819" s="140" t="s">
        <v>2385</v>
      </c>
      <c r="J819" s="286">
        <v>100000000</v>
      </c>
      <c r="K819" s="155" t="s">
        <v>221</v>
      </c>
      <c r="L819" s="140">
        <v>2936285</v>
      </c>
      <c r="M819" s="155" t="s">
        <v>27</v>
      </c>
      <c r="N819" s="140">
        <v>400</v>
      </c>
      <c r="O819" s="10">
        <v>101688800</v>
      </c>
      <c r="P819" s="140" t="s">
        <v>1544</v>
      </c>
      <c r="Q819" t="s">
        <v>3564</v>
      </c>
    </row>
    <row r="820" spans="1:17" ht="101.5" hidden="1" x14ac:dyDescent="0.35">
      <c r="A820" s="155" t="e">
        <f t="shared" si="13"/>
        <v>#REF!</v>
      </c>
      <c r="B820" s="140" t="s">
        <v>18</v>
      </c>
      <c r="C820" s="140" t="s">
        <v>37</v>
      </c>
      <c r="D820" s="140" t="s">
        <v>1515</v>
      </c>
      <c r="E820" s="140" t="s">
        <v>1979</v>
      </c>
      <c r="F820" s="140" t="s">
        <v>2378</v>
      </c>
      <c r="G820" s="140" t="s">
        <v>1257</v>
      </c>
      <c r="H820" s="140" t="s">
        <v>2386</v>
      </c>
      <c r="I820" s="140" t="s">
        <v>1259</v>
      </c>
      <c r="J820" s="286">
        <v>100000000</v>
      </c>
      <c r="K820" s="155" t="s">
        <v>221</v>
      </c>
      <c r="L820" s="140">
        <v>2936285</v>
      </c>
      <c r="M820" s="155" t="s">
        <v>27</v>
      </c>
      <c r="N820" s="140">
        <v>200</v>
      </c>
      <c r="O820" s="10">
        <v>80000000</v>
      </c>
      <c r="P820" s="140" t="s">
        <v>2383</v>
      </c>
      <c r="Q820" t="s">
        <v>3564</v>
      </c>
    </row>
    <row r="821" spans="1:17" ht="101.5" hidden="1" x14ac:dyDescent="0.35">
      <c r="A821" s="155" t="e">
        <f t="shared" si="13"/>
        <v>#REF!</v>
      </c>
      <c r="B821" s="140" t="s">
        <v>18</v>
      </c>
      <c r="C821" s="140" t="s">
        <v>37</v>
      </c>
      <c r="D821" s="140" t="s">
        <v>1515</v>
      </c>
      <c r="E821" s="140" t="s">
        <v>1979</v>
      </c>
      <c r="F821" s="140" t="s">
        <v>2378</v>
      </c>
      <c r="G821" s="140" t="s">
        <v>1257</v>
      </c>
      <c r="H821" s="140" t="s">
        <v>2387</v>
      </c>
      <c r="I821" s="140" t="s">
        <v>2388</v>
      </c>
      <c r="J821" s="286">
        <v>100000000</v>
      </c>
      <c r="K821" s="155" t="s">
        <v>221</v>
      </c>
      <c r="L821" s="140">
        <v>2936285</v>
      </c>
      <c r="M821" s="155" t="s">
        <v>27</v>
      </c>
      <c r="N821" s="140">
        <v>336</v>
      </c>
      <c r="O821" s="10">
        <v>85418665.920000002</v>
      </c>
      <c r="P821" s="140" t="s">
        <v>1544</v>
      </c>
      <c r="Q821" t="s">
        <v>3564</v>
      </c>
    </row>
    <row r="822" spans="1:17" ht="101.5" hidden="1" x14ac:dyDescent="0.35">
      <c r="A822" s="155" t="e">
        <f t="shared" si="13"/>
        <v>#REF!</v>
      </c>
      <c r="B822" s="140" t="s">
        <v>18</v>
      </c>
      <c r="C822" s="140" t="s">
        <v>37</v>
      </c>
      <c r="D822" s="140" t="s">
        <v>1515</v>
      </c>
      <c r="E822" s="140" t="s">
        <v>1979</v>
      </c>
      <c r="F822" s="140" t="s">
        <v>2378</v>
      </c>
      <c r="G822" s="140" t="s">
        <v>1257</v>
      </c>
      <c r="H822" s="140" t="s">
        <v>2389</v>
      </c>
      <c r="I822" s="140" t="s">
        <v>2128</v>
      </c>
      <c r="J822" s="286">
        <v>100000000</v>
      </c>
      <c r="K822" s="155" t="s">
        <v>221</v>
      </c>
      <c r="L822" s="140">
        <v>2936285</v>
      </c>
      <c r="M822" s="155" t="s">
        <v>27</v>
      </c>
      <c r="N822" s="140">
        <v>375</v>
      </c>
      <c r="O822" s="10">
        <v>95333332.5</v>
      </c>
      <c r="P822" s="140" t="s">
        <v>1544</v>
      </c>
      <c r="Q822" t="s">
        <v>3564</v>
      </c>
    </row>
    <row r="823" spans="1:17" ht="101.5" hidden="1" x14ac:dyDescent="0.35">
      <c r="A823" s="155" t="e">
        <f t="shared" si="13"/>
        <v>#REF!</v>
      </c>
      <c r="B823" s="140" t="s">
        <v>18</v>
      </c>
      <c r="C823" s="140" t="s">
        <v>37</v>
      </c>
      <c r="D823" s="140" t="s">
        <v>1515</v>
      </c>
      <c r="E823" s="140" t="s">
        <v>1979</v>
      </c>
      <c r="F823" s="140" t="s">
        <v>2378</v>
      </c>
      <c r="G823" s="140" t="s">
        <v>1257</v>
      </c>
      <c r="H823" s="140" t="s">
        <v>2390</v>
      </c>
      <c r="I823" s="140" t="s">
        <v>1187</v>
      </c>
      <c r="J823" s="286">
        <v>100000000</v>
      </c>
      <c r="K823" s="155" t="s">
        <v>221</v>
      </c>
      <c r="L823" s="140">
        <v>2936285</v>
      </c>
      <c r="M823" s="155" t="s">
        <v>27</v>
      </c>
      <c r="N823" s="140">
        <v>400</v>
      </c>
      <c r="O823" s="10">
        <v>101688800</v>
      </c>
      <c r="P823" s="140" t="s">
        <v>2391</v>
      </c>
      <c r="Q823" t="s">
        <v>3564</v>
      </c>
    </row>
    <row r="824" spans="1:17" ht="101.5" hidden="1" x14ac:dyDescent="0.35">
      <c r="A824" s="155" t="e">
        <f t="shared" si="13"/>
        <v>#REF!</v>
      </c>
      <c r="B824" s="140" t="s">
        <v>18</v>
      </c>
      <c r="C824" s="140" t="s">
        <v>37</v>
      </c>
      <c r="D824" s="140" t="s">
        <v>1515</v>
      </c>
      <c r="E824" s="140" t="s">
        <v>1979</v>
      </c>
      <c r="F824" s="140" t="s">
        <v>2378</v>
      </c>
      <c r="G824" s="140" t="s">
        <v>1257</v>
      </c>
      <c r="H824" s="140" t="s">
        <v>2392</v>
      </c>
      <c r="I824" s="140" t="s">
        <v>2393</v>
      </c>
      <c r="J824" s="286">
        <v>100000000</v>
      </c>
      <c r="K824" s="155" t="s">
        <v>221</v>
      </c>
      <c r="L824" s="140">
        <v>2936285</v>
      </c>
      <c r="M824" s="155" t="s">
        <v>27</v>
      </c>
      <c r="N824" s="140">
        <v>400</v>
      </c>
      <c r="O824" s="10">
        <v>101688800</v>
      </c>
      <c r="P824" s="140" t="s">
        <v>1544</v>
      </c>
      <c r="Q824" t="s">
        <v>3564</v>
      </c>
    </row>
    <row r="825" spans="1:17" ht="43.5" hidden="1" x14ac:dyDescent="0.35">
      <c r="A825" s="155" t="e">
        <f t="shared" si="13"/>
        <v>#REF!</v>
      </c>
      <c r="B825" s="140" t="s">
        <v>18</v>
      </c>
      <c r="C825" s="140" t="s">
        <v>37</v>
      </c>
      <c r="D825" s="140" t="s">
        <v>476</v>
      </c>
      <c r="E825" s="140" t="s">
        <v>2394</v>
      </c>
      <c r="F825" s="140" t="s">
        <v>2395</v>
      </c>
      <c r="G825" s="140" t="s">
        <v>2396</v>
      </c>
      <c r="H825" s="140" t="s">
        <v>2397</v>
      </c>
      <c r="I825" s="140" t="s">
        <v>2398</v>
      </c>
      <c r="J825" s="140">
        <v>440000000</v>
      </c>
      <c r="K825" s="155" t="s">
        <v>221</v>
      </c>
      <c r="L825" s="140">
        <v>2959912</v>
      </c>
      <c r="M825" s="155" t="s">
        <v>27</v>
      </c>
      <c r="N825" s="10">
        <v>1.5</v>
      </c>
      <c r="O825" s="10">
        <v>1000000000</v>
      </c>
      <c r="P825" s="140" t="s">
        <v>2399</v>
      </c>
      <c r="Q825" t="s">
        <v>3586</v>
      </c>
    </row>
    <row r="826" spans="1:17" ht="43.5" hidden="1" x14ac:dyDescent="0.35">
      <c r="A826" s="155" t="e">
        <f t="shared" si="13"/>
        <v>#REF!</v>
      </c>
      <c r="B826" s="140" t="s">
        <v>18</v>
      </c>
      <c r="C826" s="140" t="s">
        <v>37</v>
      </c>
      <c r="D826" s="140" t="s">
        <v>1515</v>
      </c>
      <c r="E826" s="140" t="s">
        <v>2400</v>
      </c>
      <c r="F826" s="140" t="s">
        <v>2401</v>
      </c>
      <c r="G826" s="140" t="s">
        <v>1264</v>
      </c>
      <c r="H826" s="140" t="s">
        <v>2402</v>
      </c>
      <c r="I826" s="140" t="s">
        <v>2128</v>
      </c>
      <c r="J826" s="286">
        <v>200000000</v>
      </c>
      <c r="K826" s="155" t="s">
        <v>221</v>
      </c>
      <c r="L826" s="140">
        <v>2906590</v>
      </c>
      <c r="M826" s="155" t="s">
        <v>27</v>
      </c>
      <c r="N826" s="140">
        <v>750</v>
      </c>
      <c r="O826" s="10">
        <v>190666665</v>
      </c>
      <c r="P826" s="140"/>
      <c r="Q826" t="s">
        <v>3564</v>
      </c>
    </row>
    <row r="827" spans="1:17" ht="43.5" hidden="1" x14ac:dyDescent="0.35">
      <c r="A827" s="155" t="e">
        <f t="shared" si="13"/>
        <v>#REF!</v>
      </c>
      <c r="B827" s="140" t="s">
        <v>18</v>
      </c>
      <c r="C827" s="140" t="s">
        <v>37</v>
      </c>
      <c r="D827" s="140" t="s">
        <v>1515</v>
      </c>
      <c r="E827" s="140" t="s">
        <v>2403</v>
      </c>
      <c r="F827" s="140" t="s">
        <v>2404</v>
      </c>
      <c r="G827" s="140" t="s">
        <v>1264</v>
      </c>
      <c r="H827" s="140" t="s">
        <v>2405</v>
      </c>
      <c r="I827" s="140" t="s">
        <v>2406</v>
      </c>
      <c r="J827" s="286">
        <v>200000000</v>
      </c>
      <c r="K827" s="155" t="s">
        <v>221</v>
      </c>
      <c r="L827" s="140">
        <v>2906645</v>
      </c>
      <c r="M827" s="155" t="s">
        <v>27</v>
      </c>
      <c r="N827" s="140">
        <v>500</v>
      </c>
      <c r="O827" s="10">
        <v>200444500</v>
      </c>
      <c r="P827" s="140"/>
      <c r="Q827" t="s">
        <v>3564</v>
      </c>
    </row>
    <row r="828" spans="1:17" ht="43.5" hidden="1" x14ac:dyDescent="0.35">
      <c r="A828" s="155" t="e">
        <f t="shared" si="13"/>
        <v>#REF!</v>
      </c>
      <c r="B828" s="140" t="s">
        <v>18</v>
      </c>
      <c r="C828" s="140" t="s">
        <v>37</v>
      </c>
      <c r="D828" s="140" t="s">
        <v>1515</v>
      </c>
      <c r="E828" s="140" t="s">
        <v>2407</v>
      </c>
      <c r="F828" s="140" t="s">
        <v>2408</v>
      </c>
      <c r="G828" s="140" t="s">
        <v>1264</v>
      </c>
      <c r="H828" s="140" t="s">
        <v>2409</v>
      </c>
      <c r="I828" s="140" t="s">
        <v>2128</v>
      </c>
      <c r="J828" s="286">
        <v>200000000</v>
      </c>
      <c r="K828" s="155" t="s">
        <v>221</v>
      </c>
      <c r="L828" s="140">
        <v>2906630</v>
      </c>
      <c r="M828" s="155" t="s">
        <v>27</v>
      </c>
      <c r="N828" s="140">
        <v>500</v>
      </c>
      <c r="O828" s="10">
        <v>198019800</v>
      </c>
      <c r="P828" s="140"/>
      <c r="Q828" t="s">
        <v>3564</v>
      </c>
    </row>
    <row r="829" spans="1:17" ht="43.5" hidden="1" x14ac:dyDescent="0.35">
      <c r="A829" s="155" t="e">
        <f t="shared" si="13"/>
        <v>#REF!</v>
      </c>
      <c r="B829" s="140" t="s">
        <v>18</v>
      </c>
      <c r="C829" s="140" t="s">
        <v>37</v>
      </c>
      <c r="D829" s="140" t="s">
        <v>1515</v>
      </c>
      <c r="E829" s="140" t="s">
        <v>2410</v>
      </c>
      <c r="F829" s="140" t="s">
        <v>2411</v>
      </c>
      <c r="G829" s="140" t="s">
        <v>1264</v>
      </c>
      <c r="H829" s="140" t="s">
        <v>2412</v>
      </c>
      <c r="I829" s="140" t="s">
        <v>1272</v>
      </c>
      <c r="J829" s="286">
        <v>200000000</v>
      </c>
      <c r="K829" s="155" t="s">
        <v>221</v>
      </c>
      <c r="L829" s="140">
        <v>2906688</v>
      </c>
      <c r="M829" s="155" t="s">
        <v>27</v>
      </c>
      <c r="N829" s="140">
        <v>850</v>
      </c>
      <c r="O829" s="10">
        <v>216088700</v>
      </c>
      <c r="P829" s="140"/>
      <c r="Q829" t="s">
        <v>3564</v>
      </c>
    </row>
    <row r="830" spans="1:17" ht="43.5" hidden="1" x14ac:dyDescent="0.35">
      <c r="A830" s="155" t="e">
        <f>#REF!+1</f>
        <v>#REF!</v>
      </c>
      <c r="B830" s="294" t="s">
        <v>18</v>
      </c>
      <c r="C830" s="294" t="s">
        <v>37</v>
      </c>
      <c r="D830" s="294" t="s">
        <v>1570</v>
      </c>
      <c r="E830" s="294" t="s">
        <v>2413</v>
      </c>
      <c r="F830" s="294" t="s">
        <v>2414</v>
      </c>
      <c r="G830" s="295" t="s">
        <v>1270</v>
      </c>
      <c r="H830" s="295" t="s">
        <v>2415</v>
      </c>
      <c r="I830" s="295" t="s">
        <v>1426</v>
      </c>
      <c r="J830" s="296">
        <v>100000000</v>
      </c>
      <c r="K830" s="295" t="s">
        <v>221</v>
      </c>
      <c r="L830" s="295">
        <v>2931962</v>
      </c>
      <c r="M830" s="295" t="s">
        <v>27</v>
      </c>
      <c r="N830" s="295">
        <v>68</v>
      </c>
      <c r="O830" s="297">
        <v>189176000</v>
      </c>
      <c r="P830" s="140"/>
      <c r="Q830" t="s">
        <v>3586</v>
      </c>
    </row>
    <row r="831" spans="1:17" ht="43.5" hidden="1" x14ac:dyDescent="0.35">
      <c r="A831" s="155" t="e">
        <f t="shared" si="13"/>
        <v>#REF!</v>
      </c>
      <c r="B831" s="294" t="s">
        <v>18</v>
      </c>
      <c r="C831" s="294" t="s">
        <v>37</v>
      </c>
      <c r="D831" s="294" t="s">
        <v>476</v>
      </c>
      <c r="E831" s="294" t="s">
        <v>2416</v>
      </c>
      <c r="F831" s="294" t="s">
        <v>2417</v>
      </c>
      <c r="G831" s="295" t="s">
        <v>1270</v>
      </c>
      <c r="H831" s="295" t="s">
        <v>2418</v>
      </c>
      <c r="I831" s="295" t="s">
        <v>2419</v>
      </c>
      <c r="J831" s="296">
        <v>100000000</v>
      </c>
      <c r="K831" s="295" t="s">
        <v>221</v>
      </c>
      <c r="L831" s="295">
        <v>2932076</v>
      </c>
      <c r="M831" s="295" t="s">
        <v>27</v>
      </c>
      <c r="N831" s="295" t="s">
        <v>2420</v>
      </c>
      <c r="O831" s="297">
        <v>167142870</v>
      </c>
      <c r="P831" s="140"/>
      <c r="Q831" t="s">
        <v>3586</v>
      </c>
    </row>
    <row r="832" spans="1:17" ht="43.5" hidden="1" x14ac:dyDescent="0.35">
      <c r="A832" s="155" t="e">
        <f t="shared" si="13"/>
        <v>#REF!</v>
      </c>
      <c r="B832" s="294" t="s">
        <v>18</v>
      </c>
      <c r="C832" s="294" t="s">
        <v>37</v>
      </c>
      <c r="D832" s="140" t="s">
        <v>1515</v>
      </c>
      <c r="E832" s="294" t="s">
        <v>1610</v>
      </c>
      <c r="F832" s="294" t="s">
        <v>2414</v>
      </c>
      <c r="G832" s="295" t="s">
        <v>1270</v>
      </c>
      <c r="H832" s="295" t="s">
        <v>2421</v>
      </c>
      <c r="I832" s="295" t="s">
        <v>2422</v>
      </c>
      <c r="J832" s="296">
        <v>100000000</v>
      </c>
      <c r="K832" s="295" t="s">
        <v>221</v>
      </c>
      <c r="L832" s="295">
        <v>2932170</v>
      </c>
      <c r="M832" s="295" t="s">
        <v>27</v>
      </c>
      <c r="N832" s="298">
        <v>450</v>
      </c>
      <c r="O832" s="297">
        <v>180000000</v>
      </c>
      <c r="P832" s="140"/>
      <c r="Q832" t="s">
        <v>3564</v>
      </c>
    </row>
    <row r="833" spans="1:17" ht="43.5" hidden="1" x14ac:dyDescent="0.35">
      <c r="A833" s="155" t="e">
        <f t="shared" si="13"/>
        <v>#REF!</v>
      </c>
      <c r="B833" s="140" t="s">
        <v>18</v>
      </c>
      <c r="C833" s="140" t="s">
        <v>37</v>
      </c>
      <c r="D833" s="140" t="s">
        <v>1515</v>
      </c>
      <c r="E833" s="140" t="s">
        <v>2423</v>
      </c>
      <c r="F833" s="140" t="s">
        <v>2424</v>
      </c>
      <c r="G833" s="140" t="s">
        <v>2425</v>
      </c>
      <c r="H833" s="140" t="s">
        <v>2426</v>
      </c>
      <c r="I833" s="140" t="s">
        <v>1868</v>
      </c>
      <c r="J833" s="286">
        <v>100000000</v>
      </c>
      <c r="K833" s="155" t="s">
        <v>221</v>
      </c>
      <c r="L833" s="140">
        <v>2931748</v>
      </c>
      <c r="M833" s="155" t="s">
        <v>27</v>
      </c>
      <c r="N833" s="140">
        <v>500</v>
      </c>
      <c r="O833" s="10">
        <f>500*254222</f>
        <v>127111000</v>
      </c>
      <c r="P833" s="140"/>
      <c r="Q833" t="s">
        <v>3564</v>
      </c>
    </row>
    <row r="834" spans="1:17" ht="43.5" hidden="1" x14ac:dyDescent="0.35">
      <c r="A834" s="155" t="e">
        <f t="shared" si="13"/>
        <v>#REF!</v>
      </c>
      <c r="B834" s="140" t="s">
        <v>18</v>
      </c>
      <c r="C834" s="140" t="s">
        <v>37</v>
      </c>
      <c r="D834" s="140" t="s">
        <v>1515</v>
      </c>
      <c r="E834" s="140" t="s">
        <v>2427</v>
      </c>
      <c r="F834" s="140" t="s">
        <v>2428</v>
      </c>
      <c r="G834" s="140" t="s">
        <v>2425</v>
      </c>
      <c r="H834" s="140" t="s">
        <v>2429</v>
      </c>
      <c r="I834" s="140" t="s">
        <v>2110</v>
      </c>
      <c r="J834" s="286">
        <v>110000000</v>
      </c>
      <c r="K834" s="155" t="s">
        <v>221</v>
      </c>
      <c r="L834" s="140">
        <v>2931925</v>
      </c>
      <c r="M834" s="155" t="s">
        <v>27</v>
      </c>
      <c r="N834" s="140">
        <f>200*2</f>
        <v>400</v>
      </c>
      <c r="O834" s="10">
        <f>400*254222</f>
        <v>101688800</v>
      </c>
      <c r="P834" s="140"/>
      <c r="Q834" t="s">
        <v>3564</v>
      </c>
    </row>
    <row r="835" spans="1:17" ht="43.5" hidden="1" x14ac:dyDescent="0.35">
      <c r="A835" s="155" t="e">
        <f t="shared" si="13"/>
        <v>#REF!</v>
      </c>
      <c r="B835" s="140" t="s">
        <v>18</v>
      </c>
      <c r="C835" s="140" t="s">
        <v>37</v>
      </c>
      <c r="D835" s="140" t="s">
        <v>1515</v>
      </c>
      <c r="E835" s="140" t="s">
        <v>2430</v>
      </c>
      <c r="F835" s="140" t="s">
        <v>2431</v>
      </c>
      <c r="G835" s="140" t="s">
        <v>2425</v>
      </c>
      <c r="H835" s="140" t="s">
        <v>2432</v>
      </c>
      <c r="I835" s="140" t="s">
        <v>2433</v>
      </c>
      <c r="J835" s="286">
        <v>100000000</v>
      </c>
      <c r="K835" s="155" t="s">
        <v>221</v>
      </c>
      <c r="L835" s="140">
        <v>2931740</v>
      </c>
      <c r="M835" s="155" t="s">
        <v>27</v>
      </c>
      <c r="N835" s="140">
        <f>150*1.5</f>
        <v>225</v>
      </c>
      <c r="O835" s="10">
        <f>225*254222</f>
        <v>57199950</v>
      </c>
      <c r="P835" s="140"/>
      <c r="Q835" t="s">
        <v>3564</v>
      </c>
    </row>
    <row r="836" spans="1:17" ht="43.5" hidden="1" x14ac:dyDescent="0.35">
      <c r="A836" s="155" t="e">
        <f t="shared" si="13"/>
        <v>#REF!</v>
      </c>
      <c r="B836" s="140" t="s">
        <v>18</v>
      </c>
      <c r="C836" s="140" t="s">
        <v>37</v>
      </c>
      <c r="D836" s="140" t="s">
        <v>1515</v>
      </c>
      <c r="E836" s="140" t="s">
        <v>1706</v>
      </c>
      <c r="F836" s="140" t="s">
        <v>2434</v>
      </c>
      <c r="G836" s="140" t="s">
        <v>2425</v>
      </c>
      <c r="H836" s="140" t="s">
        <v>2435</v>
      </c>
      <c r="I836" s="140" t="s">
        <v>2110</v>
      </c>
      <c r="J836" s="286">
        <v>100000000</v>
      </c>
      <c r="K836" s="155" t="s">
        <v>221</v>
      </c>
      <c r="L836" s="140">
        <v>2931904</v>
      </c>
      <c r="M836" s="155" t="s">
        <v>27</v>
      </c>
      <c r="N836" s="140">
        <f>150*2</f>
        <v>300</v>
      </c>
      <c r="O836" s="10">
        <f>300*396040</f>
        <v>118812000</v>
      </c>
      <c r="P836" s="140"/>
      <c r="Q836" t="s">
        <v>3564</v>
      </c>
    </row>
    <row r="837" spans="1:17" ht="43.5" hidden="1" x14ac:dyDescent="0.35">
      <c r="A837" s="155" t="e">
        <f t="shared" si="13"/>
        <v>#REF!</v>
      </c>
      <c r="B837" s="140" t="s">
        <v>18</v>
      </c>
      <c r="C837" s="140" t="s">
        <v>37</v>
      </c>
      <c r="D837" s="140" t="s">
        <v>1521</v>
      </c>
      <c r="E837" s="140" t="s">
        <v>2436</v>
      </c>
      <c r="F837" s="140" t="s">
        <v>2437</v>
      </c>
      <c r="G837" s="140" t="s">
        <v>2425</v>
      </c>
      <c r="H837" s="140" t="s">
        <v>2438</v>
      </c>
      <c r="I837" s="140" t="s">
        <v>2439</v>
      </c>
      <c r="J837" s="286">
        <v>140000000</v>
      </c>
      <c r="K837" s="155" t="s">
        <v>221</v>
      </c>
      <c r="L837" s="140">
        <v>2932011</v>
      </c>
      <c r="M837" s="155" t="s">
        <v>27</v>
      </c>
      <c r="N837" s="140">
        <v>10</v>
      </c>
      <c r="O837" s="10">
        <f>14564000*10</f>
        <v>145640000</v>
      </c>
      <c r="P837" s="140"/>
      <c r="Q837" t="s">
        <v>3586</v>
      </c>
    </row>
    <row r="838" spans="1:17" ht="43.5" hidden="1" x14ac:dyDescent="0.35">
      <c r="A838" s="155" t="e">
        <f t="shared" si="13"/>
        <v>#REF!</v>
      </c>
      <c r="B838" s="140" t="s">
        <v>18</v>
      </c>
      <c r="C838" s="140" t="s">
        <v>37</v>
      </c>
      <c r="D838" s="140" t="s">
        <v>1515</v>
      </c>
      <c r="E838" s="140" t="s">
        <v>2423</v>
      </c>
      <c r="F838" s="140" t="s">
        <v>2440</v>
      </c>
      <c r="G838" s="140" t="s">
        <v>2425</v>
      </c>
      <c r="H838" s="140" t="s">
        <v>2441</v>
      </c>
      <c r="I838" s="140" t="s">
        <v>2442</v>
      </c>
      <c r="J838" s="286">
        <v>100000000</v>
      </c>
      <c r="K838" s="155" t="s">
        <v>221</v>
      </c>
      <c r="L838" s="140">
        <v>2931660</v>
      </c>
      <c r="M838" s="155" t="s">
        <v>27</v>
      </c>
      <c r="N838" s="140">
        <f>150*3</f>
        <v>450</v>
      </c>
      <c r="O838" s="10">
        <f>450*254222</f>
        <v>114399900</v>
      </c>
      <c r="P838" s="140"/>
      <c r="Q838" t="s">
        <v>3564</v>
      </c>
    </row>
    <row r="839" spans="1:17" ht="43.5" hidden="1" x14ac:dyDescent="0.35">
      <c r="A839" s="155" t="e">
        <f t="shared" si="13"/>
        <v>#REF!</v>
      </c>
      <c r="B839" s="140" t="s">
        <v>18</v>
      </c>
      <c r="C839" s="140" t="s">
        <v>37</v>
      </c>
      <c r="D839" s="140" t="s">
        <v>1515</v>
      </c>
      <c r="E839" s="140" t="s">
        <v>2423</v>
      </c>
      <c r="F839" s="140" t="s">
        <v>2443</v>
      </c>
      <c r="G839" s="140" t="s">
        <v>2425</v>
      </c>
      <c r="H839" s="140" t="s">
        <v>2444</v>
      </c>
      <c r="I839" s="140" t="s">
        <v>2110</v>
      </c>
      <c r="J839" s="286">
        <v>150000000</v>
      </c>
      <c r="K839" s="155" t="s">
        <v>221</v>
      </c>
      <c r="L839" s="140">
        <v>2931718</v>
      </c>
      <c r="M839" s="155" t="s">
        <v>27</v>
      </c>
      <c r="N839" s="140">
        <v>300</v>
      </c>
      <c r="O839" s="10">
        <v>120000000</v>
      </c>
      <c r="P839" s="140"/>
      <c r="Q839" t="s">
        <v>3564</v>
      </c>
    </row>
    <row r="840" spans="1:17" ht="43.5" hidden="1" x14ac:dyDescent="0.35">
      <c r="A840" s="155" t="e">
        <f t="shared" si="13"/>
        <v>#REF!</v>
      </c>
      <c r="B840" s="140" t="s">
        <v>18</v>
      </c>
      <c r="C840" s="140" t="s">
        <v>37</v>
      </c>
      <c r="D840" s="140" t="s">
        <v>1515</v>
      </c>
      <c r="E840" s="140" t="s">
        <v>1706</v>
      </c>
      <c r="F840" s="140" t="s">
        <v>2445</v>
      </c>
      <c r="G840" s="140" t="s">
        <v>2425</v>
      </c>
      <c r="H840" s="140" t="s">
        <v>2446</v>
      </c>
      <c r="I840" s="140" t="s">
        <v>2447</v>
      </c>
      <c r="J840" s="286">
        <v>100000000</v>
      </c>
      <c r="K840" s="155" t="s">
        <v>221</v>
      </c>
      <c r="L840" s="140">
        <v>2932041</v>
      </c>
      <c r="M840" s="155" t="s">
        <v>27</v>
      </c>
      <c r="N840" s="140">
        <f>1.5*200</f>
        <v>300</v>
      </c>
      <c r="O840" s="10">
        <f>300*396040</f>
        <v>118812000</v>
      </c>
      <c r="P840" s="140"/>
      <c r="Q840" t="s">
        <v>3564</v>
      </c>
    </row>
    <row r="841" spans="1:17" ht="43.5" hidden="1" x14ac:dyDescent="0.35">
      <c r="A841" s="155" t="e">
        <f t="shared" si="13"/>
        <v>#REF!</v>
      </c>
      <c r="B841" s="140" t="s">
        <v>18</v>
      </c>
      <c r="C841" s="140" t="s">
        <v>37</v>
      </c>
      <c r="D841" s="140" t="s">
        <v>1515</v>
      </c>
      <c r="E841" s="140" t="s">
        <v>1706</v>
      </c>
      <c r="F841" s="140" t="s">
        <v>2448</v>
      </c>
      <c r="G841" s="140" t="s">
        <v>2425</v>
      </c>
      <c r="H841" s="140" t="s">
        <v>2449</v>
      </c>
      <c r="I841" s="140" t="s">
        <v>2110</v>
      </c>
      <c r="J841" s="286">
        <v>100000000</v>
      </c>
      <c r="K841" s="155" t="s">
        <v>221</v>
      </c>
      <c r="L841" s="140">
        <v>2932067</v>
      </c>
      <c r="M841" s="155" t="s">
        <v>27</v>
      </c>
      <c r="N841" s="140">
        <v>300</v>
      </c>
      <c r="O841" s="10">
        <v>118500000</v>
      </c>
      <c r="P841" s="140"/>
      <c r="Q841" t="s">
        <v>3564</v>
      </c>
    </row>
    <row r="842" spans="1:17" ht="29" hidden="1" x14ac:dyDescent="0.35">
      <c r="A842" s="155" t="e">
        <f t="shared" si="13"/>
        <v>#REF!</v>
      </c>
      <c r="B842" s="140" t="s">
        <v>71</v>
      </c>
      <c r="C842" s="140" t="s">
        <v>551</v>
      </c>
      <c r="D842" s="277" t="s">
        <v>476</v>
      </c>
      <c r="E842" s="140" t="s">
        <v>2450</v>
      </c>
      <c r="F842" s="140" t="s">
        <v>297</v>
      </c>
      <c r="G842" s="140" t="s">
        <v>1275</v>
      </c>
      <c r="H842" s="140" t="s">
        <v>2451</v>
      </c>
      <c r="I842" s="140" t="s">
        <v>2452</v>
      </c>
      <c r="J842" s="286">
        <v>300000000</v>
      </c>
      <c r="K842" s="155" t="s">
        <v>221</v>
      </c>
      <c r="L842" s="140">
        <v>2911854</v>
      </c>
      <c r="M842" s="155" t="s">
        <v>27</v>
      </c>
      <c r="N842" s="140"/>
      <c r="O842" s="10">
        <v>100000000</v>
      </c>
      <c r="P842" s="140" t="s">
        <v>2453</v>
      </c>
      <c r="Q842" t="s">
        <v>3586</v>
      </c>
    </row>
    <row r="843" spans="1:17" ht="43.5" hidden="1" x14ac:dyDescent="0.35">
      <c r="A843" s="155" t="e">
        <f t="shared" si="13"/>
        <v>#REF!</v>
      </c>
      <c r="B843" s="140" t="s">
        <v>18</v>
      </c>
      <c r="C843" s="140" t="s">
        <v>37</v>
      </c>
      <c r="D843" s="140" t="s">
        <v>1515</v>
      </c>
      <c r="E843" s="140" t="s">
        <v>1872</v>
      </c>
      <c r="F843" s="140" t="s">
        <v>297</v>
      </c>
      <c r="G843" s="140" t="s">
        <v>1275</v>
      </c>
      <c r="H843" s="140" t="s">
        <v>2454</v>
      </c>
      <c r="I843" s="140" t="s">
        <v>2455</v>
      </c>
      <c r="J843" s="286">
        <v>117500000</v>
      </c>
      <c r="K843" s="155" t="s">
        <v>221</v>
      </c>
      <c r="L843" s="140">
        <v>2937790</v>
      </c>
      <c r="M843" s="155" t="s">
        <v>27</v>
      </c>
      <c r="N843" s="299">
        <v>293.75</v>
      </c>
      <c r="O843" s="10">
        <v>117500000</v>
      </c>
      <c r="P843" s="140"/>
      <c r="Q843" t="s">
        <v>3564</v>
      </c>
    </row>
    <row r="844" spans="1:17" ht="43.5" hidden="1" x14ac:dyDescent="0.35">
      <c r="A844" s="155" t="e">
        <f t="shared" si="13"/>
        <v>#REF!</v>
      </c>
      <c r="B844" s="140" t="s">
        <v>18</v>
      </c>
      <c r="C844" s="140" t="s">
        <v>37</v>
      </c>
      <c r="D844" s="140" t="s">
        <v>1515</v>
      </c>
      <c r="E844" s="140" t="s">
        <v>1872</v>
      </c>
      <c r="F844" s="140" t="s">
        <v>297</v>
      </c>
      <c r="G844" s="140" t="s">
        <v>1275</v>
      </c>
      <c r="H844" s="140" t="s">
        <v>2456</v>
      </c>
      <c r="I844" s="140" t="s">
        <v>2457</v>
      </c>
      <c r="J844" s="286">
        <v>197500000</v>
      </c>
      <c r="K844" s="155" t="s">
        <v>221</v>
      </c>
      <c r="L844" s="140">
        <v>2935954</v>
      </c>
      <c r="M844" s="155" t="s">
        <v>27</v>
      </c>
      <c r="N844" s="299">
        <v>493.75</v>
      </c>
      <c r="O844" s="10">
        <v>197500000</v>
      </c>
      <c r="P844" s="140"/>
      <c r="Q844" t="s">
        <v>3564</v>
      </c>
    </row>
    <row r="845" spans="1:17" ht="43.5" hidden="1" x14ac:dyDescent="0.35">
      <c r="A845" s="155" t="e">
        <f t="shared" si="13"/>
        <v>#REF!</v>
      </c>
      <c r="B845" s="140" t="s">
        <v>18</v>
      </c>
      <c r="C845" s="140" t="s">
        <v>37</v>
      </c>
      <c r="D845" s="140" t="s">
        <v>1515</v>
      </c>
      <c r="E845" s="140" t="s">
        <v>1872</v>
      </c>
      <c r="F845" s="140" t="s">
        <v>297</v>
      </c>
      <c r="G845" s="140" t="s">
        <v>1275</v>
      </c>
      <c r="H845" s="140" t="s">
        <v>2458</v>
      </c>
      <c r="I845" s="140" t="s">
        <v>2455</v>
      </c>
      <c r="J845" s="286">
        <v>117500000</v>
      </c>
      <c r="K845" s="155" t="s">
        <v>221</v>
      </c>
      <c r="L845" s="140">
        <v>2937118</v>
      </c>
      <c r="M845" s="155" t="s">
        <v>27</v>
      </c>
      <c r="N845" s="299">
        <v>293.75</v>
      </c>
      <c r="O845" s="10">
        <v>117500000</v>
      </c>
      <c r="P845" s="140"/>
      <c r="Q845" t="s">
        <v>3564</v>
      </c>
    </row>
    <row r="846" spans="1:17" ht="43.5" hidden="1" x14ac:dyDescent="0.35">
      <c r="A846" s="155" t="e">
        <f>#REF!+1</f>
        <v>#REF!</v>
      </c>
      <c r="B846" s="140" t="s">
        <v>18</v>
      </c>
      <c r="C846" s="140" t="s">
        <v>37</v>
      </c>
      <c r="D846" s="140" t="s">
        <v>1515</v>
      </c>
      <c r="E846" s="140" t="s">
        <v>1872</v>
      </c>
      <c r="F846" s="140" t="s">
        <v>297</v>
      </c>
      <c r="G846" s="140" t="s">
        <v>1275</v>
      </c>
      <c r="H846" s="140" t="s">
        <v>2459</v>
      </c>
      <c r="I846" s="140" t="s">
        <v>2455</v>
      </c>
      <c r="J846" s="286">
        <v>117500000</v>
      </c>
      <c r="K846" s="155" t="s">
        <v>221</v>
      </c>
      <c r="L846" s="140">
        <v>2937937</v>
      </c>
      <c r="M846" s="155" t="s">
        <v>27</v>
      </c>
      <c r="N846" s="299">
        <v>293.75</v>
      </c>
      <c r="O846" s="10">
        <v>117500000</v>
      </c>
      <c r="P846" s="140"/>
      <c r="Q846" t="s">
        <v>3564</v>
      </c>
    </row>
    <row r="847" spans="1:17" ht="43.5" hidden="1" x14ac:dyDescent="0.35">
      <c r="A847" s="155" t="e">
        <f t="shared" si="13"/>
        <v>#REF!</v>
      </c>
      <c r="B847" s="140" t="s">
        <v>18</v>
      </c>
      <c r="C847" s="140" t="s">
        <v>37</v>
      </c>
      <c r="D847" s="140" t="s">
        <v>1515</v>
      </c>
      <c r="E847" s="140" t="s">
        <v>2460</v>
      </c>
      <c r="F847" s="140" t="s">
        <v>2461</v>
      </c>
      <c r="G847" s="155" t="s">
        <v>40</v>
      </c>
      <c r="H847" s="155" t="s">
        <v>2462</v>
      </c>
      <c r="I847" s="155" t="s">
        <v>1065</v>
      </c>
      <c r="J847" s="300">
        <v>110000000</v>
      </c>
      <c r="K847" s="155" t="s">
        <v>221</v>
      </c>
      <c r="L847" s="155">
        <v>2933563</v>
      </c>
      <c r="M847" s="155" t="s">
        <v>27</v>
      </c>
      <c r="N847" s="155" t="s">
        <v>1065</v>
      </c>
      <c r="O847" s="13">
        <v>98360655</v>
      </c>
      <c r="P847" s="305" t="s">
        <v>2463</v>
      </c>
      <c r="Q847" t="s">
        <v>3564</v>
      </c>
    </row>
    <row r="848" spans="1:17" ht="43.5" hidden="1" x14ac:dyDescent="0.35">
      <c r="A848" s="155" t="e">
        <f t="shared" si="13"/>
        <v>#REF!</v>
      </c>
      <c r="B848" s="140" t="s">
        <v>18</v>
      </c>
      <c r="C848" s="140" t="s">
        <v>37</v>
      </c>
      <c r="D848" s="140" t="s">
        <v>1515</v>
      </c>
      <c r="E848" s="140" t="s">
        <v>2460</v>
      </c>
      <c r="F848" s="140" t="s">
        <v>2464</v>
      </c>
      <c r="G848" s="155" t="s">
        <v>40</v>
      </c>
      <c r="H848" s="155" t="s">
        <v>2465</v>
      </c>
      <c r="I848" s="155" t="s">
        <v>1065</v>
      </c>
      <c r="J848" s="300">
        <v>150000000</v>
      </c>
      <c r="K848" s="155" t="s">
        <v>221</v>
      </c>
      <c r="L848" s="155">
        <v>2932933</v>
      </c>
      <c r="M848" s="155" t="s">
        <v>27</v>
      </c>
      <c r="N848" s="155" t="s">
        <v>1065</v>
      </c>
      <c r="O848" s="13">
        <v>118800000</v>
      </c>
      <c r="P848" s="305" t="s">
        <v>2466</v>
      </c>
      <c r="Q848" t="s">
        <v>3564</v>
      </c>
    </row>
    <row r="849" spans="1:17" ht="43.5" hidden="1" x14ac:dyDescent="0.35">
      <c r="A849" s="155" t="e">
        <f t="shared" si="13"/>
        <v>#REF!</v>
      </c>
      <c r="B849" s="140" t="s">
        <v>18</v>
      </c>
      <c r="C849" s="140" t="s">
        <v>37</v>
      </c>
      <c r="D849" s="140" t="s">
        <v>1515</v>
      </c>
      <c r="E849" s="140" t="s">
        <v>2460</v>
      </c>
      <c r="F849" s="140" t="s">
        <v>2467</v>
      </c>
      <c r="G849" s="155" t="s">
        <v>40</v>
      </c>
      <c r="H849" s="155" t="s">
        <v>2468</v>
      </c>
      <c r="I849" s="155" t="s">
        <v>1065</v>
      </c>
      <c r="J849" s="300">
        <v>130000000</v>
      </c>
      <c r="K849" s="155" t="s">
        <v>221</v>
      </c>
      <c r="L849" s="155">
        <v>2934328</v>
      </c>
      <c r="M849" s="155" t="s">
        <v>27</v>
      </c>
      <c r="N849" s="155" t="s">
        <v>1065</v>
      </c>
      <c r="O849" s="13">
        <v>120000000</v>
      </c>
      <c r="P849" s="305" t="s">
        <v>2469</v>
      </c>
      <c r="Q849" t="s">
        <v>3564</v>
      </c>
    </row>
    <row r="850" spans="1:17" ht="43.5" hidden="1" x14ac:dyDescent="0.35">
      <c r="A850" s="155" t="e">
        <f t="shared" si="13"/>
        <v>#REF!</v>
      </c>
      <c r="B850" s="140" t="s">
        <v>18</v>
      </c>
      <c r="C850" s="140" t="s">
        <v>37</v>
      </c>
      <c r="D850" s="140" t="s">
        <v>1515</v>
      </c>
      <c r="E850" s="140" t="s">
        <v>2460</v>
      </c>
      <c r="F850" s="140" t="s">
        <v>2470</v>
      </c>
      <c r="G850" s="155" t="s">
        <v>40</v>
      </c>
      <c r="H850" s="155" t="s">
        <v>2471</v>
      </c>
      <c r="I850" s="155" t="s">
        <v>1065</v>
      </c>
      <c r="J850" s="300">
        <v>130000000</v>
      </c>
      <c r="K850" s="155" t="s">
        <v>221</v>
      </c>
      <c r="L850" s="155">
        <v>2933161</v>
      </c>
      <c r="M850" s="155" t="s">
        <v>27</v>
      </c>
      <c r="N850" s="155" t="s">
        <v>1065</v>
      </c>
      <c r="O850" s="13">
        <v>118800000</v>
      </c>
      <c r="P850" s="305" t="s">
        <v>2472</v>
      </c>
      <c r="Q850" t="s">
        <v>3564</v>
      </c>
    </row>
    <row r="851" spans="1:17" ht="43.5" hidden="1" x14ac:dyDescent="0.35">
      <c r="A851" s="155" t="e">
        <f t="shared" si="13"/>
        <v>#REF!</v>
      </c>
      <c r="B851" s="140" t="s">
        <v>18</v>
      </c>
      <c r="C851" s="140" t="s">
        <v>37</v>
      </c>
      <c r="D851" s="140" t="s">
        <v>1515</v>
      </c>
      <c r="E851" s="140" t="s">
        <v>2460</v>
      </c>
      <c r="F851" s="140" t="s">
        <v>2473</v>
      </c>
      <c r="G851" s="155" t="s">
        <v>40</v>
      </c>
      <c r="H851" s="155" t="s">
        <v>2474</v>
      </c>
      <c r="I851" s="155" t="s">
        <v>2475</v>
      </c>
      <c r="J851" s="300">
        <v>200000000</v>
      </c>
      <c r="K851" s="155" t="s">
        <v>221</v>
      </c>
      <c r="L851" s="155">
        <v>2934491</v>
      </c>
      <c r="M851" s="155" t="s">
        <v>27</v>
      </c>
      <c r="N851" s="155" t="s">
        <v>2475</v>
      </c>
      <c r="O851" s="13">
        <v>142560000</v>
      </c>
      <c r="P851" s="305" t="s">
        <v>2472</v>
      </c>
      <c r="Q851" t="s">
        <v>3564</v>
      </c>
    </row>
    <row r="852" spans="1:17" ht="43.5" hidden="1" x14ac:dyDescent="0.35">
      <c r="A852" s="155" t="e">
        <f t="shared" si="13"/>
        <v>#REF!</v>
      </c>
      <c r="B852" s="140" t="s">
        <v>18</v>
      </c>
      <c r="C852" s="140" t="s">
        <v>37</v>
      </c>
      <c r="D852" s="140" t="s">
        <v>1515</v>
      </c>
      <c r="E852" s="140" t="s">
        <v>2460</v>
      </c>
      <c r="F852" s="140" t="s">
        <v>39</v>
      </c>
      <c r="G852" s="155" t="s">
        <v>40</v>
      </c>
      <c r="H852" s="155" t="s">
        <v>41</v>
      </c>
      <c r="I852" s="155" t="s">
        <v>2476</v>
      </c>
      <c r="J852" s="300">
        <v>130000000</v>
      </c>
      <c r="K852" s="155" t="s">
        <v>221</v>
      </c>
      <c r="L852" s="155">
        <v>2935832</v>
      </c>
      <c r="M852" s="155" t="s">
        <v>27</v>
      </c>
      <c r="N852" s="155" t="s">
        <v>2476</v>
      </c>
      <c r="O852" s="13">
        <v>78688524</v>
      </c>
      <c r="P852" s="305" t="s">
        <v>2463</v>
      </c>
      <c r="Q852" t="s">
        <v>3564</v>
      </c>
    </row>
    <row r="853" spans="1:17" ht="43.5" hidden="1" x14ac:dyDescent="0.35">
      <c r="A853" s="155" t="e">
        <f t="shared" si="13"/>
        <v>#REF!</v>
      </c>
      <c r="B853" s="140" t="s">
        <v>18</v>
      </c>
      <c r="C853" s="140" t="s">
        <v>37</v>
      </c>
      <c r="D853" s="140" t="s">
        <v>1515</v>
      </c>
      <c r="E853" s="140" t="s">
        <v>2460</v>
      </c>
      <c r="F853" s="140" t="s">
        <v>39</v>
      </c>
      <c r="G853" s="155" t="s">
        <v>40</v>
      </c>
      <c r="H853" s="155" t="s">
        <v>2477</v>
      </c>
      <c r="I853" s="155" t="s">
        <v>2478</v>
      </c>
      <c r="J853" s="300">
        <v>150000000</v>
      </c>
      <c r="K853" s="155" t="s">
        <v>221</v>
      </c>
      <c r="L853" s="155">
        <v>2934527</v>
      </c>
      <c r="M853" s="155" t="s">
        <v>27</v>
      </c>
      <c r="N853" s="155" t="s">
        <v>2478</v>
      </c>
      <c r="O853" s="13">
        <v>99000000</v>
      </c>
      <c r="P853" s="305" t="s">
        <v>2472</v>
      </c>
      <c r="Q853" t="s">
        <v>3564</v>
      </c>
    </row>
    <row r="854" spans="1:17" ht="39" hidden="1" x14ac:dyDescent="0.35">
      <c r="A854" s="149" t="e">
        <f t="shared" si="13"/>
        <v>#REF!</v>
      </c>
      <c r="B854" s="150" t="s">
        <v>18</v>
      </c>
      <c r="C854" s="150" t="s">
        <v>37</v>
      </c>
      <c r="D854" s="140" t="s">
        <v>1634</v>
      </c>
      <c r="E854" s="150" t="s">
        <v>2479</v>
      </c>
      <c r="F854" s="150" t="s">
        <v>2480</v>
      </c>
      <c r="G854" s="150" t="s">
        <v>141</v>
      </c>
      <c r="H854" s="150" t="s">
        <v>2481</v>
      </c>
      <c r="I854" s="150" t="s">
        <v>169</v>
      </c>
      <c r="J854" s="301">
        <v>100000000</v>
      </c>
      <c r="K854" s="149" t="s">
        <v>221</v>
      </c>
      <c r="L854" s="155">
        <v>2974550</v>
      </c>
      <c r="M854" s="149" t="s">
        <v>144</v>
      </c>
      <c r="N854" s="150" t="s">
        <v>169</v>
      </c>
      <c r="O854" s="152">
        <v>140000000</v>
      </c>
      <c r="P854" s="149"/>
      <c r="Q854" t="s">
        <v>3564</v>
      </c>
    </row>
    <row r="855" spans="1:17" ht="39" hidden="1" x14ac:dyDescent="0.35">
      <c r="A855" s="149" t="e">
        <f t="shared" si="13"/>
        <v>#REF!</v>
      </c>
      <c r="B855" s="150" t="s">
        <v>18</v>
      </c>
      <c r="C855" s="150" t="s">
        <v>37</v>
      </c>
      <c r="D855" s="140" t="s">
        <v>1634</v>
      </c>
      <c r="E855" s="150" t="s">
        <v>2479</v>
      </c>
      <c r="F855" s="150" t="s">
        <v>2482</v>
      </c>
      <c r="G855" s="150" t="s">
        <v>141</v>
      </c>
      <c r="H855" s="150" t="s">
        <v>2483</v>
      </c>
      <c r="I855" s="150" t="s">
        <v>169</v>
      </c>
      <c r="J855" s="301">
        <v>50000000</v>
      </c>
      <c r="K855" s="149" t="s">
        <v>221</v>
      </c>
      <c r="L855" s="155">
        <v>2875887</v>
      </c>
      <c r="M855" s="149" t="s">
        <v>144</v>
      </c>
      <c r="N855" s="150" t="s">
        <v>169</v>
      </c>
      <c r="O855" s="152">
        <v>140000000</v>
      </c>
      <c r="P855" s="149"/>
      <c r="Q855" t="s">
        <v>3564</v>
      </c>
    </row>
    <row r="856" spans="1:17" ht="39" hidden="1" x14ac:dyDescent="0.35">
      <c r="A856" s="149" t="e">
        <f t="shared" si="13"/>
        <v>#REF!</v>
      </c>
      <c r="B856" s="150" t="s">
        <v>18</v>
      </c>
      <c r="C856" s="150" t="s">
        <v>37</v>
      </c>
      <c r="D856" s="140" t="s">
        <v>1515</v>
      </c>
      <c r="E856" s="150" t="s">
        <v>2484</v>
      </c>
      <c r="F856" s="150" t="s">
        <v>715</v>
      </c>
      <c r="G856" s="150" t="s">
        <v>141</v>
      </c>
      <c r="H856" s="150" t="s">
        <v>2485</v>
      </c>
      <c r="I856" s="150" t="s">
        <v>2486</v>
      </c>
      <c r="J856" s="301">
        <v>50000000</v>
      </c>
      <c r="K856" s="149" t="s">
        <v>221</v>
      </c>
      <c r="L856" s="155">
        <v>2875963</v>
      </c>
      <c r="M856" s="149" t="s">
        <v>144</v>
      </c>
      <c r="N856" s="150" t="s">
        <v>2486</v>
      </c>
      <c r="O856" s="152">
        <v>120000000</v>
      </c>
      <c r="P856" s="149"/>
      <c r="Q856" t="s">
        <v>3564</v>
      </c>
    </row>
    <row r="857" spans="1:17" ht="65" hidden="1" x14ac:dyDescent="0.35">
      <c r="A857" s="149" t="e">
        <f t="shared" si="13"/>
        <v>#REF!</v>
      </c>
      <c r="B857" s="150" t="s">
        <v>18</v>
      </c>
      <c r="C857" s="150" t="s">
        <v>37</v>
      </c>
      <c r="D857" s="140" t="s">
        <v>1515</v>
      </c>
      <c r="E857" s="150" t="s">
        <v>2487</v>
      </c>
      <c r="F857" s="150" t="s">
        <v>715</v>
      </c>
      <c r="G857" s="150" t="s">
        <v>141</v>
      </c>
      <c r="H857" s="150" t="s">
        <v>2488</v>
      </c>
      <c r="I857" s="150">
        <v>100</v>
      </c>
      <c r="J857" s="301">
        <v>50000000</v>
      </c>
      <c r="K857" s="149" t="s">
        <v>221</v>
      </c>
      <c r="L857" s="155">
        <v>2876000</v>
      </c>
      <c r="M857" s="149" t="s">
        <v>144</v>
      </c>
      <c r="N857" s="150">
        <v>100</v>
      </c>
      <c r="O857" s="152">
        <v>110000000</v>
      </c>
      <c r="P857" s="149"/>
      <c r="Q857" t="s">
        <v>3564</v>
      </c>
    </row>
    <row r="858" spans="1:17" ht="39" hidden="1" x14ac:dyDescent="0.35">
      <c r="A858" s="149" t="e">
        <f t="shared" si="13"/>
        <v>#REF!</v>
      </c>
      <c r="B858" s="150" t="s">
        <v>18</v>
      </c>
      <c r="C858" s="150" t="s">
        <v>37</v>
      </c>
      <c r="D858" s="140" t="s">
        <v>1515</v>
      </c>
      <c r="E858" s="150" t="s">
        <v>2484</v>
      </c>
      <c r="F858" s="150" t="s">
        <v>715</v>
      </c>
      <c r="G858" s="150" t="s">
        <v>141</v>
      </c>
      <c r="H858" s="150" t="s">
        <v>2489</v>
      </c>
      <c r="I858" s="150" t="s">
        <v>2490</v>
      </c>
      <c r="J858" s="301">
        <v>50000000</v>
      </c>
      <c r="K858" s="149" t="s">
        <v>221</v>
      </c>
      <c r="L858" s="155">
        <v>2805761</v>
      </c>
      <c r="M858" s="149" t="s">
        <v>144</v>
      </c>
      <c r="N858" s="150" t="s">
        <v>2490</v>
      </c>
      <c r="O858" s="152">
        <v>100000000</v>
      </c>
      <c r="P858" s="149"/>
      <c r="Q858" t="s">
        <v>3564</v>
      </c>
    </row>
    <row r="859" spans="1:17" ht="43.5" hidden="1" x14ac:dyDescent="0.35">
      <c r="A859" s="149" t="e">
        <f t="shared" si="13"/>
        <v>#REF!</v>
      </c>
      <c r="B859" s="140" t="s">
        <v>18</v>
      </c>
      <c r="C859" s="140" t="s">
        <v>37</v>
      </c>
      <c r="D859" s="140" t="s">
        <v>1515</v>
      </c>
      <c r="E859" s="140" t="s">
        <v>2491</v>
      </c>
      <c r="F859" s="140" t="s">
        <v>2492</v>
      </c>
      <c r="G859" s="155" t="s">
        <v>2493</v>
      </c>
      <c r="H859" s="155" t="s">
        <v>2494</v>
      </c>
      <c r="I859" s="155" t="s">
        <v>2495</v>
      </c>
      <c r="J859" s="302">
        <v>100000000</v>
      </c>
      <c r="K859" s="155" t="s">
        <v>221</v>
      </c>
      <c r="L859" s="155">
        <v>2824813</v>
      </c>
      <c r="M859" s="155" t="s">
        <v>144</v>
      </c>
      <c r="N859" s="292">
        <v>252.52525252525251</v>
      </c>
      <c r="O859" s="13">
        <v>100000000</v>
      </c>
      <c r="P859" s="305"/>
      <c r="Q859" t="s">
        <v>3564</v>
      </c>
    </row>
    <row r="860" spans="1:17" ht="43.5" hidden="1" x14ac:dyDescent="0.35">
      <c r="A860" s="149" t="e">
        <f t="shared" si="13"/>
        <v>#REF!</v>
      </c>
      <c r="B860" s="140" t="s">
        <v>18</v>
      </c>
      <c r="C860" s="140" t="s">
        <v>37</v>
      </c>
      <c r="D860" s="140" t="s">
        <v>1515</v>
      </c>
      <c r="E860" s="140" t="s">
        <v>2491</v>
      </c>
      <c r="F860" s="140" t="s">
        <v>2492</v>
      </c>
      <c r="G860" s="155" t="s">
        <v>2493</v>
      </c>
      <c r="H860" s="155" t="s">
        <v>2496</v>
      </c>
      <c r="I860" s="155" t="s">
        <v>2497</v>
      </c>
      <c r="J860" s="302">
        <v>100000000</v>
      </c>
      <c r="K860" s="155" t="s">
        <v>221</v>
      </c>
      <c r="L860" s="155">
        <v>2826960</v>
      </c>
      <c r="M860" s="155" t="s">
        <v>144</v>
      </c>
      <c r="N860" s="292">
        <v>252.52525252525251</v>
      </c>
      <c r="O860" s="13">
        <v>100000000</v>
      </c>
      <c r="P860" s="305"/>
      <c r="Q860" t="s">
        <v>3564</v>
      </c>
    </row>
    <row r="861" spans="1:17" ht="43.5" hidden="1" x14ac:dyDescent="0.35">
      <c r="A861" s="149" t="e">
        <f t="shared" si="13"/>
        <v>#REF!</v>
      </c>
      <c r="B861" s="140" t="s">
        <v>18</v>
      </c>
      <c r="C861" s="140" t="s">
        <v>37</v>
      </c>
      <c r="D861" s="140" t="s">
        <v>1515</v>
      </c>
      <c r="E861" s="140" t="s">
        <v>2491</v>
      </c>
      <c r="F861" s="140" t="s">
        <v>2492</v>
      </c>
      <c r="G861" s="155" t="s">
        <v>2493</v>
      </c>
      <c r="H861" s="155" t="s">
        <v>2498</v>
      </c>
      <c r="I861" s="155" t="s">
        <v>2499</v>
      </c>
      <c r="J861" s="302">
        <v>100000000</v>
      </c>
      <c r="K861" s="155" t="s">
        <v>221</v>
      </c>
      <c r="L861" s="155">
        <v>2826999</v>
      </c>
      <c r="M861" s="155" t="s">
        <v>144</v>
      </c>
      <c r="N861" s="292">
        <v>252.52525252525251</v>
      </c>
      <c r="O861" s="13">
        <v>100000000</v>
      </c>
      <c r="P861" s="305"/>
      <c r="Q861" t="s">
        <v>3564</v>
      </c>
    </row>
    <row r="862" spans="1:17" ht="43.5" hidden="1" x14ac:dyDescent="0.35">
      <c r="A862" s="149" t="e">
        <f t="shared" si="13"/>
        <v>#REF!</v>
      </c>
      <c r="B862" s="140" t="s">
        <v>18</v>
      </c>
      <c r="C862" s="140" t="s">
        <v>37</v>
      </c>
      <c r="D862" s="140" t="s">
        <v>1515</v>
      </c>
      <c r="E862" s="140" t="s">
        <v>2491</v>
      </c>
      <c r="F862" s="140" t="s">
        <v>2492</v>
      </c>
      <c r="G862" s="155" t="s">
        <v>2493</v>
      </c>
      <c r="H862" s="155" t="s">
        <v>2500</v>
      </c>
      <c r="I862" s="155" t="s">
        <v>2501</v>
      </c>
      <c r="J862" s="302">
        <v>100000000</v>
      </c>
      <c r="K862" s="155" t="s">
        <v>221</v>
      </c>
      <c r="L862" s="155">
        <v>2827036</v>
      </c>
      <c r="M862" s="155" t="s">
        <v>144</v>
      </c>
      <c r="N862" s="292">
        <v>252.52525252525251</v>
      </c>
      <c r="O862" s="13">
        <v>100000000</v>
      </c>
      <c r="P862" s="305"/>
      <c r="Q862" t="s">
        <v>3564</v>
      </c>
    </row>
    <row r="863" spans="1:17" ht="43.5" hidden="1" x14ac:dyDescent="0.35">
      <c r="A863" s="149" t="e">
        <f t="shared" si="13"/>
        <v>#REF!</v>
      </c>
      <c r="B863" s="140" t="s">
        <v>18</v>
      </c>
      <c r="C863" s="140" t="s">
        <v>37</v>
      </c>
      <c r="D863" s="140" t="s">
        <v>1515</v>
      </c>
      <c r="E863" s="140" t="s">
        <v>2491</v>
      </c>
      <c r="F863" s="140" t="s">
        <v>2492</v>
      </c>
      <c r="G863" s="155" t="s">
        <v>2493</v>
      </c>
      <c r="H863" s="155" t="s">
        <v>2502</v>
      </c>
      <c r="I863" s="155" t="s">
        <v>2503</v>
      </c>
      <c r="J863" s="302">
        <v>100000000</v>
      </c>
      <c r="K863" s="155" t="s">
        <v>221</v>
      </c>
      <c r="L863" s="155">
        <v>2827070</v>
      </c>
      <c r="M863" s="155" t="s">
        <v>144</v>
      </c>
      <c r="N863" s="292">
        <v>252.52525252525251</v>
      </c>
      <c r="O863" s="13">
        <v>100000000</v>
      </c>
      <c r="P863" s="305"/>
      <c r="Q863" t="s">
        <v>3564</v>
      </c>
    </row>
    <row r="864" spans="1:17" ht="43.5" hidden="1" x14ac:dyDescent="0.35">
      <c r="A864" s="149" t="e">
        <f t="shared" si="13"/>
        <v>#REF!</v>
      </c>
      <c r="B864" s="140" t="s">
        <v>18</v>
      </c>
      <c r="C864" s="140" t="s">
        <v>37</v>
      </c>
      <c r="D864" s="140" t="s">
        <v>1515</v>
      </c>
      <c r="E864" s="140" t="s">
        <v>2491</v>
      </c>
      <c r="F864" s="140" t="s">
        <v>2492</v>
      </c>
      <c r="G864" s="155" t="s">
        <v>2493</v>
      </c>
      <c r="H864" s="155" t="s">
        <v>2504</v>
      </c>
      <c r="I864" s="155" t="s">
        <v>2505</v>
      </c>
      <c r="J864" s="302">
        <v>100000000</v>
      </c>
      <c r="K864" s="155" t="s">
        <v>221</v>
      </c>
      <c r="L864" s="155">
        <v>2827104</v>
      </c>
      <c r="M864" s="155" t="s">
        <v>144</v>
      </c>
      <c r="N864" s="292">
        <v>252.52525252525251</v>
      </c>
      <c r="O864" s="13">
        <v>100000000</v>
      </c>
      <c r="P864" s="305"/>
      <c r="Q864" t="s">
        <v>3564</v>
      </c>
    </row>
    <row r="865" spans="1:17" ht="43.5" hidden="1" x14ac:dyDescent="0.35">
      <c r="A865" s="149" t="e">
        <f t="shared" si="13"/>
        <v>#REF!</v>
      </c>
      <c r="B865" s="140" t="s">
        <v>18</v>
      </c>
      <c r="C865" s="140" t="s">
        <v>37</v>
      </c>
      <c r="D865" s="140" t="s">
        <v>1515</v>
      </c>
      <c r="E865" s="140" t="s">
        <v>2491</v>
      </c>
      <c r="F865" s="140" t="s">
        <v>2492</v>
      </c>
      <c r="G865" s="155" t="s">
        <v>2493</v>
      </c>
      <c r="H865" s="155" t="s">
        <v>2506</v>
      </c>
      <c r="I865" s="155" t="s">
        <v>2507</v>
      </c>
      <c r="J865" s="302">
        <v>100000000</v>
      </c>
      <c r="K865" s="155" t="s">
        <v>221</v>
      </c>
      <c r="L865" s="155">
        <v>2827130</v>
      </c>
      <c r="M865" s="155" t="s">
        <v>144</v>
      </c>
      <c r="N865" s="292">
        <v>252.52525252525251</v>
      </c>
      <c r="O865" s="13">
        <v>100000000</v>
      </c>
      <c r="P865" s="305"/>
      <c r="Q865" t="s">
        <v>3564</v>
      </c>
    </row>
    <row r="866" spans="1:17" ht="43.5" hidden="1" x14ac:dyDescent="0.35">
      <c r="A866" s="149" t="e">
        <f t="shared" ref="A866:A928" si="14">A865+1</f>
        <v>#REF!</v>
      </c>
      <c r="B866" s="140" t="s">
        <v>18</v>
      </c>
      <c r="C866" s="140" t="s">
        <v>37</v>
      </c>
      <c r="D866" s="140" t="s">
        <v>1515</v>
      </c>
      <c r="E866" s="140" t="s">
        <v>2491</v>
      </c>
      <c r="F866" s="140" t="s">
        <v>2492</v>
      </c>
      <c r="G866" s="155" t="s">
        <v>2493</v>
      </c>
      <c r="H866" s="155" t="s">
        <v>2508</v>
      </c>
      <c r="I866" s="155" t="s">
        <v>2509</v>
      </c>
      <c r="J866" s="302">
        <v>100000000</v>
      </c>
      <c r="K866" s="155" t="s">
        <v>221</v>
      </c>
      <c r="L866" s="155">
        <v>2827171</v>
      </c>
      <c r="M866" s="155" t="s">
        <v>144</v>
      </c>
      <c r="N866" s="292">
        <v>252.52525252525251</v>
      </c>
      <c r="O866" s="13">
        <v>100000000</v>
      </c>
      <c r="P866" s="305"/>
      <c r="Q866" t="s">
        <v>3564</v>
      </c>
    </row>
    <row r="867" spans="1:17" ht="43.5" hidden="1" x14ac:dyDescent="0.35">
      <c r="A867" s="149" t="e">
        <f t="shared" si="14"/>
        <v>#REF!</v>
      </c>
      <c r="B867" s="140" t="s">
        <v>18</v>
      </c>
      <c r="C867" s="140" t="s">
        <v>37</v>
      </c>
      <c r="D867" s="140" t="s">
        <v>1515</v>
      </c>
      <c r="E867" s="140" t="s">
        <v>2491</v>
      </c>
      <c r="F867" s="140" t="s">
        <v>2492</v>
      </c>
      <c r="G867" s="155" t="s">
        <v>2493</v>
      </c>
      <c r="H867" s="155" t="s">
        <v>2510</v>
      </c>
      <c r="I867" s="155" t="s">
        <v>2511</v>
      </c>
      <c r="J867" s="302">
        <v>100000000</v>
      </c>
      <c r="K867" s="155" t="s">
        <v>221</v>
      </c>
      <c r="L867" s="155">
        <v>2827234</v>
      </c>
      <c r="M867" s="155" t="s">
        <v>144</v>
      </c>
      <c r="N867" s="292">
        <v>252.52525252525251</v>
      </c>
      <c r="O867" s="13">
        <v>100000000</v>
      </c>
      <c r="P867" s="305"/>
      <c r="Q867" t="s">
        <v>3564</v>
      </c>
    </row>
    <row r="868" spans="1:17" ht="58" hidden="1" x14ac:dyDescent="0.35">
      <c r="A868" s="149" t="e">
        <f t="shared" si="14"/>
        <v>#REF!</v>
      </c>
      <c r="B868" s="140" t="s">
        <v>18</v>
      </c>
      <c r="C868" s="140" t="s">
        <v>37</v>
      </c>
      <c r="D868" s="140" t="s">
        <v>1634</v>
      </c>
      <c r="E868" s="140" t="s">
        <v>2512</v>
      </c>
      <c r="F868" s="140" t="s">
        <v>2513</v>
      </c>
      <c r="G868" s="155" t="s">
        <v>2493</v>
      </c>
      <c r="H868" s="155" t="s">
        <v>2514</v>
      </c>
      <c r="I868" s="155" t="s">
        <v>2515</v>
      </c>
      <c r="J868" s="302">
        <v>100000000</v>
      </c>
      <c r="K868" s="155" t="s">
        <v>221</v>
      </c>
      <c r="L868" s="155">
        <v>2827465</v>
      </c>
      <c r="M868" s="155" t="s">
        <v>144</v>
      </c>
      <c r="N868" s="292">
        <v>4</v>
      </c>
      <c r="O868" s="13">
        <v>100000000</v>
      </c>
      <c r="P868" s="305"/>
      <c r="Q868" t="s">
        <v>3564</v>
      </c>
    </row>
    <row r="869" spans="1:17" ht="43.5" hidden="1" x14ac:dyDescent="0.35">
      <c r="A869" s="149" t="e">
        <f>#REF!+1</f>
        <v>#REF!</v>
      </c>
      <c r="B869" s="140" t="s">
        <v>18</v>
      </c>
      <c r="C869" s="140" t="s">
        <v>37</v>
      </c>
      <c r="D869" s="140" t="s">
        <v>1521</v>
      </c>
      <c r="E869" s="140" t="s">
        <v>2516</v>
      </c>
      <c r="F869" s="140" t="s">
        <v>140</v>
      </c>
      <c r="G869" s="155" t="s">
        <v>149</v>
      </c>
      <c r="H869" s="155" t="s">
        <v>2517</v>
      </c>
      <c r="I869" s="155" t="s">
        <v>2128</v>
      </c>
      <c r="J869" s="302">
        <v>50000000</v>
      </c>
      <c r="K869" s="155" t="s">
        <v>221</v>
      </c>
      <c r="L869" s="155">
        <v>2947400</v>
      </c>
      <c r="M869" s="155" t="s">
        <v>144</v>
      </c>
      <c r="N869" s="155" t="s">
        <v>2128</v>
      </c>
      <c r="O869" s="13">
        <v>100000000</v>
      </c>
      <c r="P869" s="305" t="s">
        <v>1728</v>
      </c>
      <c r="Q869" t="s">
        <v>3586</v>
      </c>
    </row>
    <row r="870" spans="1:17" ht="43.5" hidden="1" x14ac:dyDescent="0.35">
      <c r="A870" s="149" t="e">
        <f t="shared" si="14"/>
        <v>#REF!</v>
      </c>
      <c r="B870" s="140" t="s">
        <v>18</v>
      </c>
      <c r="C870" s="140" t="s">
        <v>37</v>
      </c>
      <c r="D870" s="140" t="s">
        <v>1515</v>
      </c>
      <c r="E870" s="140" t="s">
        <v>2518</v>
      </c>
      <c r="F870" s="140" t="s">
        <v>140</v>
      </c>
      <c r="G870" s="155" t="s">
        <v>149</v>
      </c>
      <c r="H870" s="155" t="s">
        <v>719</v>
      </c>
      <c r="I870" s="155" t="s">
        <v>2519</v>
      </c>
      <c r="J870" s="302">
        <v>35000000</v>
      </c>
      <c r="K870" s="155" t="s">
        <v>221</v>
      </c>
      <c r="L870" s="155">
        <v>2948106</v>
      </c>
      <c r="M870" s="155" t="s">
        <v>144</v>
      </c>
      <c r="N870" s="292">
        <v>375</v>
      </c>
      <c r="O870" s="13">
        <v>100000000</v>
      </c>
      <c r="P870" s="305"/>
      <c r="Q870" t="s">
        <v>3564</v>
      </c>
    </row>
    <row r="871" spans="1:17" ht="43.5" hidden="1" x14ac:dyDescent="0.35">
      <c r="A871" s="149" t="e">
        <f t="shared" si="14"/>
        <v>#REF!</v>
      </c>
      <c r="B871" s="140" t="s">
        <v>18</v>
      </c>
      <c r="C871" s="140" t="s">
        <v>37</v>
      </c>
      <c r="D871" s="140" t="s">
        <v>1515</v>
      </c>
      <c r="E871" s="140" t="s">
        <v>2520</v>
      </c>
      <c r="F871" s="140" t="s">
        <v>140</v>
      </c>
      <c r="G871" s="155" t="s">
        <v>149</v>
      </c>
      <c r="H871" s="155" t="s">
        <v>2521</v>
      </c>
      <c r="I871" s="155" t="s">
        <v>2522</v>
      </c>
      <c r="J871" s="302">
        <v>50000000</v>
      </c>
      <c r="K871" s="155" t="s">
        <v>221</v>
      </c>
      <c r="L871" s="155">
        <v>2949313</v>
      </c>
      <c r="M871" s="155" t="s">
        <v>144</v>
      </c>
      <c r="N871" s="299">
        <v>1183.8762815460748</v>
      </c>
      <c r="O871" s="10">
        <v>300000000</v>
      </c>
      <c r="P871" s="305"/>
      <c r="Q871" t="s">
        <v>3564</v>
      </c>
    </row>
    <row r="872" spans="1:17" ht="43.5" hidden="1" x14ac:dyDescent="0.35">
      <c r="A872" s="149" t="e">
        <f t="shared" si="14"/>
        <v>#REF!</v>
      </c>
      <c r="B872" s="140" t="s">
        <v>18</v>
      </c>
      <c r="C872" s="140" t="s">
        <v>37</v>
      </c>
      <c r="D872" s="140" t="s">
        <v>1515</v>
      </c>
      <c r="E872" s="140" t="s">
        <v>2523</v>
      </c>
      <c r="F872" s="140" t="s">
        <v>140</v>
      </c>
      <c r="G872" s="155" t="s">
        <v>149</v>
      </c>
      <c r="H872" s="155" t="s">
        <v>150</v>
      </c>
      <c r="I872" s="155" t="s">
        <v>2524</v>
      </c>
      <c r="J872" s="302">
        <v>50000000</v>
      </c>
      <c r="K872" s="155" t="s">
        <v>221</v>
      </c>
      <c r="L872" s="155">
        <v>2951814</v>
      </c>
      <c r="M872" s="155" t="s">
        <v>144</v>
      </c>
      <c r="N872" s="292">
        <v>304.42532954041923</v>
      </c>
      <c r="O872" s="13">
        <v>100000000</v>
      </c>
      <c r="P872" s="305"/>
      <c r="Q872" t="s">
        <v>3564</v>
      </c>
    </row>
    <row r="873" spans="1:17" ht="43.5" hidden="1" x14ac:dyDescent="0.35">
      <c r="A873" s="149" t="e">
        <f t="shared" si="14"/>
        <v>#REF!</v>
      </c>
      <c r="B873" s="140" t="s">
        <v>18</v>
      </c>
      <c r="C873" s="140" t="s">
        <v>37</v>
      </c>
      <c r="D873" s="140" t="s">
        <v>476</v>
      </c>
      <c r="E873" s="140" t="s">
        <v>2525</v>
      </c>
      <c r="F873" s="140" t="s">
        <v>140</v>
      </c>
      <c r="G873" s="155" t="s">
        <v>361</v>
      </c>
      <c r="H873" s="155" t="s">
        <v>2526</v>
      </c>
      <c r="I873" s="155" t="s">
        <v>2527</v>
      </c>
      <c r="J873" s="302">
        <v>60000000</v>
      </c>
      <c r="K873" s="155" t="s">
        <v>221</v>
      </c>
      <c r="L873" s="155">
        <v>2816968</v>
      </c>
      <c r="M873" s="155" t="s">
        <v>144</v>
      </c>
      <c r="N873" s="155" t="s">
        <v>2128</v>
      </c>
      <c r="O873" s="13">
        <v>62500000</v>
      </c>
      <c r="P873" s="303" t="s">
        <v>1955</v>
      </c>
      <c r="Q873" t="s">
        <v>3586</v>
      </c>
    </row>
    <row r="874" spans="1:17" ht="43.5" hidden="1" x14ac:dyDescent="0.35">
      <c r="A874" s="149" t="e">
        <f t="shared" si="14"/>
        <v>#REF!</v>
      </c>
      <c r="B874" s="140" t="s">
        <v>18</v>
      </c>
      <c r="C874" s="140" t="s">
        <v>37</v>
      </c>
      <c r="D874" s="140" t="s">
        <v>1515</v>
      </c>
      <c r="E874" s="140" t="s">
        <v>2528</v>
      </c>
      <c r="F874" s="140" t="s">
        <v>140</v>
      </c>
      <c r="G874" s="155" t="s">
        <v>361</v>
      </c>
      <c r="H874" s="155" t="s">
        <v>2529</v>
      </c>
      <c r="I874" s="155">
        <v>600</v>
      </c>
      <c r="J874" s="302">
        <v>65000000</v>
      </c>
      <c r="K874" s="155" t="s">
        <v>221</v>
      </c>
      <c r="L874" s="155">
        <v>2818965</v>
      </c>
      <c r="M874" s="155" t="s">
        <v>144</v>
      </c>
      <c r="N874" s="155" t="s">
        <v>1187</v>
      </c>
      <c r="O874" s="13">
        <v>100000000</v>
      </c>
      <c r="P874" s="305"/>
      <c r="Q874" t="s">
        <v>3564</v>
      </c>
    </row>
    <row r="875" spans="1:17" ht="43.5" hidden="1" x14ac:dyDescent="0.35">
      <c r="A875" s="149" t="e">
        <f>#REF!+1</f>
        <v>#REF!</v>
      </c>
      <c r="B875" s="140" t="s">
        <v>18</v>
      </c>
      <c r="C875" s="140" t="s">
        <v>37</v>
      </c>
      <c r="D875" s="140" t="s">
        <v>1515</v>
      </c>
      <c r="E875" s="140" t="s">
        <v>2530</v>
      </c>
      <c r="F875" s="140" t="s">
        <v>140</v>
      </c>
      <c r="G875" s="155" t="s">
        <v>361</v>
      </c>
      <c r="H875" s="155" t="s">
        <v>2531</v>
      </c>
      <c r="I875" s="155" t="s">
        <v>2532</v>
      </c>
      <c r="J875" s="302">
        <v>100000000</v>
      </c>
      <c r="K875" s="155" t="s">
        <v>221</v>
      </c>
      <c r="L875" s="155">
        <v>2820940</v>
      </c>
      <c r="M875" s="155" t="s">
        <v>144</v>
      </c>
      <c r="N875" s="292" t="s">
        <v>1259</v>
      </c>
      <c r="O875" s="13">
        <v>100000000</v>
      </c>
      <c r="P875" s="305"/>
      <c r="Q875" t="s">
        <v>3564</v>
      </c>
    </row>
    <row r="876" spans="1:17" ht="58" hidden="1" x14ac:dyDescent="0.35">
      <c r="A876" s="149" t="e">
        <f t="shared" si="14"/>
        <v>#REF!</v>
      </c>
      <c r="B876" s="140" t="s">
        <v>18</v>
      </c>
      <c r="C876" s="140" t="s">
        <v>37</v>
      </c>
      <c r="D876" s="140" t="s">
        <v>1515</v>
      </c>
      <c r="E876" s="140" t="s">
        <v>2533</v>
      </c>
      <c r="F876" s="140" t="s">
        <v>140</v>
      </c>
      <c r="G876" s="155" t="s">
        <v>361</v>
      </c>
      <c r="H876" s="155" t="s">
        <v>2534</v>
      </c>
      <c r="I876" s="155" t="s">
        <v>2535</v>
      </c>
      <c r="J876" s="302">
        <v>150000000</v>
      </c>
      <c r="K876" s="155" t="s">
        <v>221</v>
      </c>
      <c r="L876" s="155">
        <v>2821270</v>
      </c>
      <c r="M876" s="155" t="s">
        <v>144</v>
      </c>
      <c r="N876" s="292">
        <v>375</v>
      </c>
      <c r="O876" s="13">
        <v>130101250</v>
      </c>
      <c r="P876" s="305"/>
      <c r="Q876" t="s">
        <v>3564</v>
      </c>
    </row>
    <row r="877" spans="1:17" ht="43.5" hidden="1" x14ac:dyDescent="0.35">
      <c r="A877" s="149" t="e">
        <f t="shared" si="14"/>
        <v>#REF!</v>
      </c>
      <c r="B877" s="140" t="s">
        <v>18</v>
      </c>
      <c r="C877" s="140" t="s">
        <v>37</v>
      </c>
      <c r="D877" s="140" t="s">
        <v>1515</v>
      </c>
      <c r="E877" s="140" t="s">
        <v>2536</v>
      </c>
      <c r="F877" s="140" t="s">
        <v>140</v>
      </c>
      <c r="G877" s="155" t="s">
        <v>361</v>
      </c>
      <c r="H877" s="155" t="s">
        <v>2537</v>
      </c>
      <c r="I877" s="155" t="s">
        <v>2538</v>
      </c>
      <c r="J877" s="302">
        <v>150000000</v>
      </c>
      <c r="K877" s="155" t="s">
        <v>221</v>
      </c>
      <c r="L877" s="155">
        <v>2821496</v>
      </c>
      <c r="M877" s="155" t="s">
        <v>144</v>
      </c>
      <c r="N877" s="292">
        <v>375</v>
      </c>
      <c r="O877" s="13">
        <v>130101250</v>
      </c>
      <c r="P877" s="305"/>
      <c r="Q877" t="s">
        <v>3564</v>
      </c>
    </row>
    <row r="878" spans="1:17" ht="43.5" hidden="1" x14ac:dyDescent="0.35">
      <c r="A878" s="149" t="e">
        <f t="shared" si="14"/>
        <v>#REF!</v>
      </c>
      <c r="B878" s="140" t="s">
        <v>18</v>
      </c>
      <c r="C878" s="140" t="s">
        <v>37</v>
      </c>
      <c r="D878" s="140" t="s">
        <v>1515</v>
      </c>
      <c r="E878" s="140" t="s">
        <v>2539</v>
      </c>
      <c r="F878" s="140" t="s">
        <v>140</v>
      </c>
      <c r="G878" s="155" t="s">
        <v>361</v>
      </c>
      <c r="H878" s="155" t="s">
        <v>2540</v>
      </c>
      <c r="I878" s="155" t="s">
        <v>2541</v>
      </c>
      <c r="J878" s="302">
        <v>80000000</v>
      </c>
      <c r="K878" s="155" t="s">
        <v>221</v>
      </c>
      <c r="L878" s="155">
        <v>2843349</v>
      </c>
      <c r="M878" s="155" t="s">
        <v>144</v>
      </c>
      <c r="N878" s="292" t="s">
        <v>2406</v>
      </c>
      <c r="O878" s="13">
        <v>100000000</v>
      </c>
      <c r="P878" s="305"/>
      <c r="Q878" t="s">
        <v>3564</v>
      </c>
    </row>
    <row r="879" spans="1:17" ht="43.5" hidden="1" x14ac:dyDescent="0.35">
      <c r="A879" s="149" t="e">
        <f t="shared" si="14"/>
        <v>#REF!</v>
      </c>
      <c r="B879" s="140" t="s">
        <v>18</v>
      </c>
      <c r="C879" s="140" t="s">
        <v>37</v>
      </c>
      <c r="D879" s="140" t="s">
        <v>1515</v>
      </c>
      <c r="E879" s="140" t="s">
        <v>992</v>
      </c>
      <c r="F879" s="140" t="s">
        <v>140</v>
      </c>
      <c r="G879" s="155" t="s">
        <v>154</v>
      </c>
      <c r="H879" s="155" t="s">
        <v>1287</v>
      </c>
      <c r="I879" s="155" t="s">
        <v>2542</v>
      </c>
      <c r="J879" s="304">
        <v>28448000</v>
      </c>
      <c r="K879" s="155" t="s">
        <v>221</v>
      </c>
      <c r="L879" s="155">
        <v>2819007</v>
      </c>
      <c r="M879" s="155" t="s">
        <v>144</v>
      </c>
      <c r="N879" s="140">
        <v>125</v>
      </c>
      <c r="O879" s="10">
        <v>50000000</v>
      </c>
      <c r="P879" s="413" t="s">
        <v>2543</v>
      </c>
      <c r="Q879" t="s">
        <v>3564</v>
      </c>
    </row>
    <row r="880" spans="1:17" ht="43.5" hidden="1" x14ac:dyDescent="0.35">
      <c r="A880" s="149" t="e">
        <f t="shared" si="14"/>
        <v>#REF!</v>
      </c>
      <c r="B880" s="140" t="s">
        <v>18</v>
      </c>
      <c r="C880" s="140" t="s">
        <v>37</v>
      </c>
      <c r="D880" s="140" t="s">
        <v>1515</v>
      </c>
      <c r="E880" s="140" t="s">
        <v>992</v>
      </c>
      <c r="F880" s="140" t="s">
        <v>140</v>
      </c>
      <c r="G880" s="155" t="s">
        <v>154</v>
      </c>
      <c r="H880" s="155" t="s">
        <v>1287</v>
      </c>
      <c r="I880" s="155" t="s">
        <v>2544</v>
      </c>
      <c r="J880" s="304">
        <v>23540000</v>
      </c>
      <c r="K880" s="155" t="s">
        <v>221</v>
      </c>
      <c r="L880" s="155">
        <v>2824054</v>
      </c>
      <c r="M880" s="155" t="s">
        <v>144</v>
      </c>
      <c r="N880" s="140">
        <v>125</v>
      </c>
      <c r="O880" s="13">
        <v>50000000</v>
      </c>
      <c r="P880" s="413"/>
      <c r="Q880" t="s">
        <v>3564</v>
      </c>
    </row>
    <row r="881" spans="1:17" ht="43.5" hidden="1" x14ac:dyDescent="0.35">
      <c r="A881" s="149" t="e">
        <f t="shared" si="14"/>
        <v>#REF!</v>
      </c>
      <c r="B881" s="140" t="s">
        <v>18</v>
      </c>
      <c r="C881" s="140" t="s">
        <v>37</v>
      </c>
      <c r="D881" s="140" t="s">
        <v>1515</v>
      </c>
      <c r="E881" s="140" t="s">
        <v>992</v>
      </c>
      <c r="F881" s="140" t="s">
        <v>140</v>
      </c>
      <c r="G881" s="155" t="s">
        <v>154</v>
      </c>
      <c r="H881" s="155" t="s">
        <v>2545</v>
      </c>
      <c r="I881" s="155" t="s">
        <v>2546</v>
      </c>
      <c r="J881" s="304">
        <v>49080000</v>
      </c>
      <c r="K881" s="155" t="s">
        <v>221</v>
      </c>
      <c r="L881" s="155">
        <v>2850798</v>
      </c>
      <c r="M881" s="155" t="s">
        <v>144</v>
      </c>
      <c r="N881" s="273">
        <v>250</v>
      </c>
      <c r="O881" s="10">
        <v>100000000</v>
      </c>
      <c r="P881" s="306" t="s">
        <v>2547</v>
      </c>
      <c r="Q881" t="s">
        <v>3564</v>
      </c>
    </row>
    <row r="882" spans="1:17" ht="43.5" hidden="1" x14ac:dyDescent="0.35">
      <c r="A882" s="149" t="e">
        <f t="shared" si="14"/>
        <v>#REF!</v>
      </c>
      <c r="B882" s="140" t="s">
        <v>18</v>
      </c>
      <c r="C882" s="140" t="s">
        <v>37</v>
      </c>
      <c r="D882" s="140" t="s">
        <v>1515</v>
      </c>
      <c r="E882" s="140" t="s">
        <v>1706</v>
      </c>
      <c r="F882" s="140" t="s">
        <v>140</v>
      </c>
      <c r="G882" s="155" t="s">
        <v>154</v>
      </c>
      <c r="H882" s="155" t="s">
        <v>2548</v>
      </c>
      <c r="I882" s="155" t="s">
        <v>2549</v>
      </c>
      <c r="J882" s="304">
        <v>45000000</v>
      </c>
      <c r="K882" s="155" t="s">
        <v>221</v>
      </c>
      <c r="L882" s="155">
        <v>2935981</v>
      </c>
      <c r="M882" s="155" t="s">
        <v>144</v>
      </c>
      <c r="N882" s="155">
        <v>250</v>
      </c>
      <c r="O882" s="13">
        <v>71180000</v>
      </c>
      <c r="P882" s="305"/>
      <c r="Q882" t="s">
        <v>3564</v>
      </c>
    </row>
    <row r="883" spans="1:17" ht="43.5" hidden="1" x14ac:dyDescent="0.35">
      <c r="A883" s="149" t="e">
        <f t="shared" si="14"/>
        <v>#REF!</v>
      </c>
      <c r="B883" s="140" t="s">
        <v>18</v>
      </c>
      <c r="C883" s="140" t="s">
        <v>37</v>
      </c>
      <c r="D883" s="140" t="s">
        <v>1515</v>
      </c>
      <c r="E883" s="140" t="s">
        <v>992</v>
      </c>
      <c r="F883" s="140" t="s">
        <v>140</v>
      </c>
      <c r="G883" s="155" t="s">
        <v>154</v>
      </c>
      <c r="H883" s="155" t="s">
        <v>2550</v>
      </c>
      <c r="I883" s="155" t="s">
        <v>2551</v>
      </c>
      <c r="J883" s="304">
        <v>27607500</v>
      </c>
      <c r="K883" s="155" t="s">
        <v>221</v>
      </c>
      <c r="L883" s="155">
        <v>2972470</v>
      </c>
      <c r="M883" s="155" t="s">
        <v>144</v>
      </c>
      <c r="N883" s="307">
        <v>250</v>
      </c>
      <c r="O883" s="13">
        <v>100000000</v>
      </c>
      <c r="P883" s="305"/>
      <c r="Q883" t="s">
        <v>3564</v>
      </c>
    </row>
    <row r="884" spans="1:17" ht="43.5" hidden="1" x14ac:dyDescent="0.35">
      <c r="A884" s="149" t="e">
        <f t="shared" si="14"/>
        <v>#REF!</v>
      </c>
      <c r="B884" s="140" t="s">
        <v>18</v>
      </c>
      <c r="C884" s="140" t="s">
        <v>37</v>
      </c>
      <c r="D884" s="140" t="s">
        <v>1515</v>
      </c>
      <c r="E884" s="140" t="s">
        <v>2552</v>
      </c>
      <c r="F884" s="140" t="s">
        <v>140</v>
      </c>
      <c r="G884" s="155" t="s">
        <v>154</v>
      </c>
      <c r="H884" s="155" t="s">
        <v>882</v>
      </c>
      <c r="I884" s="155" t="s">
        <v>2553</v>
      </c>
      <c r="J884" s="304">
        <v>38650500</v>
      </c>
      <c r="K884" s="155" t="s">
        <v>221</v>
      </c>
      <c r="L884" s="155">
        <v>2973809</v>
      </c>
      <c r="M884" s="155" t="s">
        <v>144</v>
      </c>
      <c r="N884" s="307">
        <v>62</v>
      </c>
      <c r="O884" s="13">
        <v>172484000.00000003</v>
      </c>
      <c r="P884" s="305"/>
      <c r="Q884" t="s">
        <v>3564</v>
      </c>
    </row>
    <row r="885" spans="1:17" ht="43.5" hidden="1" x14ac:dyDescent="0.35">
      <c r="A885" s="149" t="e">
        <f t="shared" si="14"/>
        <v>#REF!</v>
      </c>
      <c r="B885" s="140" t="s">
        <v>18</v>
      </c>
      <c r="C885" s="140" t="s">
        <v>37</v>
      </c>
      <c r="D885" s="140" t="s">
        <v>1521</v>
      </c>
      <c r="E885" s="140" t="s">
        <v>2554</v>
      </c>
      <c r="F885" s="140" t="s">
        <v>140</v>
      </c>
      <c r="G885" s="155" t="s">
        <v>1301</v>
      </c>
      <c r="H885" s="155" t="s">
        <v>1306</v>
      </c>
      <c r="I885" s="155" t="s">
        <v>2555</v>
      </c>
      <c r="J885" s="302">
        <v>100000000</v>
      </c>
      <c r="K885" s="155" t="s">
        <v>221</v>
      </c>
      <c r="L885" s="155">
        <v>2908812</v>
      </c>
      <c r="M885" s="155" t="s">
        <v>144</v>
      </c>
      <c r="N885" s="155">
        <v>180</v>
      </c>
      <c r="O885" s="13">
        <v>230000000</v>
      </c>
      <c r="P885" s="305" t="s">
        <v>1728</v>
      </c>
      <c r="Q885" t="s">
        <v>3586</v>
      </c>
    </row>
    <row r="886" spans="1:17" ht="43.5" hidden="1" x14ac:dyDescent="0.35">
      <c r="A886" s="149" t="e">
        <f t="shared" si="14"/>
        <v>#REF!</v>
      </c>
      <c r="B886" s="140" t="s">
        <v>18</v>
      </c>
      <c r="C886" s="140" t="s">
        <v>37</v>
      </c>
      <c r="D886" s="140" t="s">
        <v>1521</v>
      </c>
      <c r="E886" s="140" t="s">
        <v>2554</v>
      </c>
      <c r="F886" s="140" t="s">
        <v>140</v>
      </c>
      <c r="G886" s="155" t="s">
        <v>1301</v>
      </c>
      <c r="H886" s="155" t="s">
        <v>2556</v>
      </c>
      <c r="I886" s="155" t="s">
        <v>2557</v>
      </c>
      <c r="J886" s="302">
        <v>100000000</v>
      </c>
      <c r="K886" s="155" t="s">
        <v>221</v>
      </c>
      <c r="L886" s="155">
        <v>2909842</v>
      </c>
      <c r="M886" s="155" t="s">
        <v>144</v>
      </c>
      <c r="N886" s="155">
        <v>200</v>
      </c>
      <c r="O886" s="13">
        <v>200000000</v>
      </c>
      <c r="P886" s="305" t="s">
        <v>2558</v>
      </c>
      <c r="Q886" t="s">
        <v>3586</v>
      </c>
    </row>
    <row r="887" spans="1:17" ht="43.5" hidden="1" x14ac:dyDescent="0.35">
      <c r="A887" s="149" t="e">
        <f t="shared" si="14"/>
        <v>#REF!</v>
      </c>
      <c r="B887" s="140" t="s">
        <v>18</v>
      </c>
      <c r="C887" s="140" t="s">
        <v>37</v>
      </c>
      <c r="D887" s="140" t="s">
        <v>1570</v>
      </c>
      <c r="E887" s="140" t="s">
        <v>2559</v>
      </c>
      <c r="F887" s="140" t="s">
        <v>140</v>
      </c>
      <c r="G887" s="155" t="s">
        <v>1301</v>
      </c>
      <c r="H887" s="155" t="s">
        <v>2560</v>
      </c>
      <c r="I887" s="155" t="s">
        <v>2561</v>
      </c>
      <c r="J887" s="302">
        <v>100000000</v>
      </c>
      <c r="K887" s="155" t="s">
        <v>221</v>
      </c>
      <c r="L887" s="155">
        <v>2961973</v>
      </c>
      <c r="M887" s="155" t="s">
        <v>144</v>
      </c>
      <c r="N887" s="292">
        <v>35.945363048166783</v>
      </c>
      <c r="O887" s="13">
        <v>50000000</v>
      </c>
      <c r="P887" s="305" t="s">
        <v>1728</v>
      </c>
      <c r="Q887" t="s">
        <v>3586</v>
      </c>
    </row>
    <row r="888" spans="1:17" ht="43.5" hidden="1" x14ac:dyDescent="0.35">
      <c r="A888" s="149" t="e">
        <f t="shared" si="14"/>
        <v>#REF!</v>
      </c>
      <c r="B888" s="140" t="s">
        <v>18</v>
      </c>
      <c r="C888" s="140" t="s">
        <v>37</v>
      </c>
      <c r="D888" s="140" t="s">
        <v>1515</v>
      </c>
      <c r="E888" s="140" t="s">
        <v>1305</v>
      </c>
      <c r="F888" s="140" t="s">
        <v>140</v>
      </c>
      <c r="G888" s="155" t="s">
        <v>1301</v>
      </c>
      <c r="H888" s="155" t="s">
        <v>1302</v>
      </c>
      <c r="I888" s="155" t="s">
        <v>2562</v>
      </c>
      <c r="J888" s="302">
        <v>100000000</v>
      </c>
      <c r="K888" s="155" t="s">
        <v>221</v>
      </c>
      <c r="L888" s="155">
        <v>2965587</v>
      </c>
      <c r="M888" s="155" t="s">
        <v>144</v>
      </c>
      <c r="N888" s="292">
        <v>250</v>
      </c>
      <c r="O888" s="13">
        <v>100000000</v>
      </c>
      <c r="P888" s="305"/>
      <c r="Q888" t="s">
        <v>3564</v>
      </c>
    </row>
    <row r="889" spans="1:17" ht="43.5" hidden="1" x14ac:dyDescent="0.35">
      <c r="A889" s="149" t="e">
        <f t="shared" si="14"/>
        <v>#REF!</v>
      </c>
      <c r="B889" s="140" t="s">
        <v>18</v>
      </c>
      <c r="C889" s="140" t="s">
        <v>37</v>
      </c>
      <c r="D889" s="140" t="s">
        <v>1515</v>
      </c>
      <c r="E889" s="140" t="s">
        <v>992</v>
      </c>
      <c r="F889" s="140" t="s">
        <v>140</v>
      </c>
      <c r="G889" s="155" t="s">
        <v>1301</v>
      </c>
      <c r="H889" s="155" t="s">
        <v>2556</v>
      </c>
      <c r="I889" s="155" t="s">
        <v>2527</v>
      </c>
      <c r="J889" s="302">
        <v>100000000</v>
      </c>
      <c r="K889" s="155" t="s">
        <v>221</v>
      </c>
      <c r="L889" s="155">
        <v>2967271</v>
      </c>
      <c r="M889" s="155" t="s">
        <v>144</v>
      </c>
      <c r="N889" s="292">
        <v>250</v>
      </c>
      <c r="O889" s="13">
        <v>100000000</v>
      </c>
      <c r="P889" s="305"/>
      <c r="Q889" t="s">
        <v>3564</v>
      </c>
    </row>
    <row r="890" spans="1:17" ht="43.5" hidden="1" x14ac:dyDescent="0.35">
      <c r="A890" s="149" t="e">
        <f t="shared" si="14"/>
        <v>#REF!</v>
      </c>
      <c r="B890" s="140" t="s">
        <v>18</v>
      </c>
      <c r="C890" s="140" t="s">
        <v>37</v>
      </c>
      <c r="D890" s="140" t="s">
        <v>1570</v>
      </c>
      <c r="E890" s="140" t="s">
        <v>2327</v>
      </c>
      <c r="F890" s="140" t="s">
        <v>140</v>
      </c>
      <c r="G890" s="155" t="s">
        <v>1301</v>
      </c>
      <c r="H890" s="155" t="s">
        <v>2560</v>
      </c>
      <c r="I890" s="155" t="s">
        <v>2561</v>
      </c>
      <c r="J890" s="302">
        <v>100000000</v>
      </c>
      <c r="K890" s="155" t="s">
        <v>221</v>
      </c>
      <c r="L890" s="155">
        <v>2967984</v>
      </c>
      <c r="M890" s="155" t="s">
        <v>144</v>
      </c>
      <c r="N890" s="292">
        <v>35.945363048166783</v>
      </c>
      <c r="O890" s="13">
        <v>50000000</v>
      </c>
      <c r="P890" s="305" t="s">
        <v>1728</v>
      </c>
      <c r="Q890" t="s">
        <v>3586</v>
      </c>
    </row>
    <row r="891" spans="1:17" ht="58" hidden="1" x14ac:dyDescent="0.35">
      <c r="A891" s="149" t="e">
        <f t="shared" si="14"/>
        <v>#REF!</v>
      </c>
      <c r="B891" s="140" t="s">
        <v>18</v>
      </c>
      <c r="C891" s="140" t="s">
        <v>481</v>
      </c>
      <c r="D891" s="140" t="s">
        <v>1515</v>
      </c>
      <c r="E891" s="274" t="s">
        <v>1305</v>
      </c>
      <c r="F891" s="274" t="s">
        <v>140</v>
      </c>
      <c r="G891" s="155" t="s">
        <v>1301</v>
      </c>
      <c r="H891" s="155" t="s">
        <v>1306</v>
      </c>
      <c r="I891" s="155" t="s">
        <v>1307</v>
      </c>
      <c r="J891" s="308">
        <v>100000000</v>
      </c>
      <c r="K891" s="155" t="s">
        <v>221</v>
      </c>
      <c r="L891" s="155">
        <v>2967720</v>
      </c>
      <c r="M891" s="155" t="s">
        <v>144</v>
      </c>
      <c r="N891" s="292">
        <v>250</v>
      </c>
      <c r="O891" s="13">
        <v>100000000</v>
      </c>
      <c r="P891" s="305" t="s">
        <v>2563</v>
      </c>
      <c r="Q891" t="s">
        <v>3564</v>
      </c>
    </row>
    <row r="892" spans="1:17" ht="43.5" hidden="1" x14ac:dyDescent="0.35">
      <c r="A892" s="149" t="e">
        <f t="shared" si="14"/>
        <v>#REF!</v>
      </c>
      <c r="B892" s="140" t="s">
        <v>18</v>
      </c>
      <c r="C892" s="140" t="s">
        <v>37</v>
      </c>
      <c r="D892" s="140" t="s">
        <v>1515</v>
      </c>
      <c r="E892" s="140" t="s">
        <v>2564</v>
      </c>
      <c r="F892" s="140" t="s">
        <v>2565</v>
      </c>
      <c r="G892" s="155" t="s">
        <v>2566</v>
      </c>
      <c r="H892" s="155" t="s">
        <v>2567</v>
      </c>
      <c r="I892" s="155" t="s">
        <v>2486</v>
      </c>
      <c r="J892" s="302">
        <v>100000000</v>
      </c>
      <c r="K892" s="155" t="s">
        <v>221</v>
      </c>
      <c r="L892" s="155">
        <v>2792551</v>
      </c>
      <c r="M892" s="155" t="s">
        <v>144</v>
      </c>
      <c r="N892" s="309">
        <v>325</v>
      </c>
      <c r="O892" s="13">
        <v>130000000</v>
      </c>
      <c r="P892" s="305"/>
      <c r="Q892" t="s">
        <v>3564</v>
      </c>
    </row>
    <row r="893" spans="1:17" ht="43.5" hidden="1" x14ac:dyDescent="0.35">
      <c r="A893" s="149" t="e">
        <f t="shared" si="14"/>
        <v>#REF!</v>
      </c>
      <c r="B893" s="140" t="s">
        <v>18</v>
      </c>
      <c r="C893" s="140" t="s">
        <v>37</v>
      </c>
      <c r="D893" s="140" t="s">
        <v>1515</v>
      </c>
      <c r="E893" s="140" t="s">
        <v>992</v>
      </c>
      <c r="F893" s="140" t="s">
        <v>2565</v>
      </c>
      <c r="G893" s="155" t="s">
        <v>2566</v>
      </c>
      <c r="H893" s="155" t="s">
        <v>2568</v>
      </c>
      <c r="I893" s="155" t="s">
        <v>2569</v>
      </c>
      <c r="J893" s="302">
        <v>100000000</v>
      </c>
      <c r="K893" s="155" t="s">
        <v>221</v>
      </c>
      <c r="L893" s="155">
        <v>2906614</v>
      </c>
      <c r="M893" s="155" t="s">
        <v>144</v>
      </c>
      <c r="N893" s="299">
        <v>500</v>
      </c>
      <c r="O893" s="10">
        <v>200000000</v>
      </c>
      <c r="P893" s="305"/>
      <c r="Q893" t="s">
        <v>3564</v>
      </c>
    </row>
    <row r="894" spans="1:17" ht="43.5" hidden="1" x14ac:dyDescent="0.35">
      <c r="A894" s="149" t="e">
        <f t="shared" si="14"/>
        <v>#REF!</v>
      </c>
      <c r="B894" s="140" t="s">
        <v>18</v>
      </c>
      <c r="C894" s="140" t="s">
        <v>37</v>
      </c>
      <c r="D894" s="140" t="s">
        <v>1515</v>
      </c>
      <c r="E894" s="140" t="s">
        <v>2570</v>
      </c>
      <c r="F894" s="140" t="s">
        <v>2565</v>
      </c>
      <c r="G894" s="155" t="s">
        <v>2566</v>
      </c>
      <c r="H894" s="155" t="s">
        <v>2571</v>
      </c>
      <c r="I894" s="155" t="s">
        <v>2572</v>
      </c>
      <c r="J894" s="302">
        <v>50000000</v>
      </c>
      <c r="K894" s="155" t="s">
        <v>221</v>
      </c>
      <c r="L894" s="155">
        <v>2906792</v>
      </c>
      <c r="M894" s="155" t="s">
        <v>144</v>
      </c>
      <c r="N894" s="292">
        <v>283.9474994702959</v>
      </c>
      <c r="O894" s="13">
        <v>150000000</v>
      </c>
      <c r="P894" s="305" t="s">
        <v>2573</v>
      </c>
      <c r="Q894" t="s">
        <v>3564</v>
      </c>
    </row>
    <row r="895" spans="1:17" ht="43.5" hidden="1" x14ac:dyDescent="0.35">
      <c r="A895" s="149" t="e">
        <f t="shared" si="14"/>
        <v>#REF!</v>
      </c>
      <c r="B895" s="140" t="s">
        <v>18</v>
      </c>
      <c r="C895" s="140" t="s">
        <v>37</v>
      </c>
      <c r="D895" s="140" t="s">
        <v>1515</v>
      </c>
      <c r="E895" s="140" t="s">
        <v>992</v>
      </c>
      <c r="F895" s="140" t="s">
        <v>2565</v>
      </c>
      <c r="G895" s="155" t="s">
        <v>2566</v>
      </c>
      <c r="H895" s="155" t="s">
        <v>2574</v>
      </c>
      <c r="I895" s="155" t="s">
        <v>2575</v>
      </c>
      <c r="J895" s="302">
        <v>40000000</v>
      </c>
      <c r="K895" s="155" t="s">
        <v>221</v>
      </c>
      <c r="L895" s="155">
        <v>2906889</v>
      </c>
      <c r="M895" s="155" t="s">
        <v>144</v>
      </c>
      <c r="N895" s="292">
        <v>266.45776377986323</v>
      </c>
      <c r="O895" s="13">
        <v>100000000</v>
      </c>
      <c r="P895" s="305" t="s">
        <v>2547</v>
      </c>
      <c r="Q895" t="s">
        <v>3564</v>
      </c>
    </row>
    <row r="896" spans="1:17" ht="43.5" hidden="1" x14ac:dyDescent="0.35">
      <c r="A896" s="149" t="e">
        <f t="shared" si="14"/>
        <v>#REF!</v>
      </c>
      <c r="B896" s="140" t="s">
        <v>18</v>
      </c>
      <c r="C896" s="140" t="s">
        <v>37</v>
      </c>
      <c r="D896" s="140" t="s">
        <v>1515</v>
      </c>
      <c r="E896" s="140" t="s">
        <v>2576</v>
      </c>
      <c r="F896" s="140" t="s">
        <v>2565</v>
      </c>
      <c r="G896" s="155" t="s">
        <v>2566</v>
      </c>
      <c r="H896" s="155" t="s">
        <v>2577</v>
      </c>
      <c r="I896" s="155" t="s">
        <v>2578</v>
      </c>
      <c r="J896" s="302">
        <v>100000000</v>
      </c>
      <c r="K896" s="155" t="s">
        <v>221</v>
      </c>
      <c r="L896" s="155">
        <v>2907007</v>
      </c>
      <c r="M896" s="155" t="s">
        <v>144</v>
      </c>
      <c r="N896" s="292">
        <v>250</v>
      </c>
      <c r="O896" s="13">
        <v>100000000</v>
      </c>
      <c r="P896" s="305"/>
      <c r="Q896" t="s">
        <v>3564</v>
      </c>
    </row>
    <row r="897" spans="1:17" ht="43.5" hidden="1" x14ac:dyDescent="0.35">
      <c r="A897" s="149" t="e">
        <f>#REF!+1</f>
        <v>#REF!</v>
      </c>
      <c r="B897" s="140" t="s">
        <v>18</v>
      </c>
      <c r="C897" s="140" t="s">
        <v>37</v>
      </c>
      <c r="D897" s="140" t="s">
        <v>1515</v>
      </c>
      <c r="E897" s="140" t="s">
        <v>2579</v>
      </c>
      <c r="F897" s="140" t="s">
        <v>2565</v>
      </c>
      <c r="G897" s="155" t="s">
        <v>2566</v>
      </c>
      <c r="H897" s="155" t="s">
        <v>2580</v>
      </c>
      <c r="I897" s="155" t="s">
        <v>2581</v>
      </c>
      <c r="J897" s="302">
        <v>80000000</v>
      </c>
      <c r="K897" s="155" t="s">
        <v>221</v>
      </c>
      <c r="L897" s="155">
        <v>2907538</v>
      </c>
      <c r="M897" s="155" t="s">
        <v>144</v>
      </c>
      <c r="N897" s="292">
        <v>66.614440944965807</v>
      </c>
      <c r="O897" s="13">
        <v>110000000</v>
      </c>
      <c r="P897" s="305"/>
      <c r="Q897" t="s">
        <v>3564</v>
      </c>
    </row>
    <row r="898" spans="1:17" ht="43.5" hidden="1" x14ac:dyDescent="0.35">
      <c r="A898" s="149" t="e">
        <f t="shared" si="14"/>
        <v>#REF!</v>
      </c>
      <c r="B898" s="140" t="s">
        <v>18</v>
      </c>
      <c r="C898" s="140" t="s">
        <v>37</v>
      </c>
      <c r="D898" s="140" t="s">
        <v>1515</v>
      </c>
      <c r="E898" s="140" t="s">
        <v>2582</v>
      </c>
      <c r="F898" s="140" t="s">
        <v>140</v>
      </c>
      <c r="G898" s="155" t="s">
        <v>364</v>
      </c>
      <c r="H898" s="155" t="s">
        <v>365</v>
      </c>
      <c r="I898" s="155" t="s">
        <v>2583</v>
      </c>
      <c r="J898" s="302">
        <v>150000000</v>
      </c>
      <c r="K898" s="155" t="s">
        <v>221</v>
      </c>
      <c r="L898" s="155">
        <v>2928184</v>
      </c>
      <c r="M898" s="155" t="s">
        <v>144</v>
      </c>
      <c r="N898" s="299"/>
      <c r="O898" s="13">
        <v>150000000</v>
      </c>
      <c r="P898" s="305"/>
      <c r="Q898" t="s">
        <v>3564</v>
      </c>
    </row>
    <row r="899" spans="1:17" ht="43.5" hidden="1" x14ac:dyDescent="0.35">
      <c r="A899" s="149" t="e">
        <f t="shared" si="14"/>
        <v>#REF!</v>
      </c>
      <c r="B899" s="140" t="s">
        <v>18</v>
      </c>
      <c r="C899" s="140" t="s">
        <v>37</v>
      </c>
      <c r="D899" s="140" t="s">
        <v>1515</v>
      </c>
      <c r="E899" s="140" t="s">
        <v>2584</v>
      </c>
      <c r="F899" s="140" t="s">
        <v>140</v>
      </c>
      <c r="G899" s="155" t="s">
        <v>364</v>
      </c>
      <c r="H899" s="155" t="s">
        <v>2585</v>
      </c>
      <c r="I899" s="155" t="s">
        <v>2586</v>
      </c>
      <c r="J899" s="302">
        <v>100000000</v>
      </c>
      <c r="K899" s="155" t="s">
        <v>221</v>
      </c>
      <c r="L899" s="155">
        <v>2928313</v>
      </c>
      <c r="M899" s="155" t="s">
        <v>144</v>
      </c>
      <c r="N899" s="299"/>
      <c r="O899" s="13">
        <v>150000000</v>
      </c>
      <c r="P899" s="305"/>
      <c r="Q899" t="s">
        <v>3564</v>
      </c>
    </row>
    <row r="900" spans="1:17" ht="43.5" hidden="1" x14ac:dyDescent="0.35">
      <c r="A900" s="149" t="e">
        <f t="shared" si="14"/>
        <v>#REF!</v>
      </c>
      <c r="B900" s="140" t="s">
        <v>18</v>
      </c>
      <c r="C900" s="140" t="s">
        <v>37</v>
      </c>
      <c r="D900" s="140" t="s">
        <v>1515</v>
      </c>
      <c r="E900" s="140" t="s">
        <v>2587</v>
      </c>
      <c r="F900" s="140" t="s">
        <v>2414</v>
      </c>
      <c r="G900" s="155" t="s">
        <v>364</v>
      </c>
      <c r="H900" s="155" t="s">
        <v>369</v>
      </c>
      <c r="I900" s="155" t="s">
        <v>2588</v>
      </c>
      <c r="J900" s="302">
        <v>200000000</v>
      </c>
      <c r="K900" s="155" t="s">
        <v>221</v>
      </c>
      <c r="L900" s="155">
        <v>2928368</v>
      </c>
      <c r="M900" s="155" t="s">
        <v>144</v>
      </c>
      <c r="N900" s="155" t="s">
        <v>2589</v>
      </c>
      <c r="O900" s="13">
        <v>200000000</v>
      </c>
      <c r="P900" s="305"/>
      <c r="Q900" t="s">
        <v>3564</v>
      </c>
    </row>
    <row r="901" spans="1:17" ht="43.5" hidden="1" x14ac:dyDescent="0.35">
      <c r="A901" s="149" t="e">
        <f t="shared" si="14"/>
        <v>#REF!</v>
      </c>
      <c r="B901" s="140" t="s">
        <v>18</v>
      </c>
      <c r="C901" s="140" t="s">
        <v>37</v>
      </c>
      <c r="D901" s="140" t="s">
        <v>1521</v>
      </c>
      <c r="E901" s="140" t="s">
        <v>2584</v>
      </c>
      <c r="F901" s="140" t="s">
        <v>140</v>
      </c>
      <c r="G901" s="155" t="s">
        <v>364</v>
      </c>
      <c r="H901" s="155" t="s">
        <v>2590</v>
      </c>
      <c r="I901" s="155" t="s">
        <v>2591</v>
      </c>
      <c r="J901" s="302">
        <v>150000000</v>
      </c>
      <c r="K901" s="155" t="s">
        <v>221</v>
      </c>
      <c r="L901" s="155">
        <v>2928685</v>
      </c>
      <c r="M901" s="155" t="s">
        <v>144</v>
      </c>
      <c r="N901" s="155" t="s">
        <v>1173</v>
      </c>
      <c r="O901" s="13">
        <v>150000000</v>
      </c>
      <c r="P901" s="305" t="s">
        <v>1728</v>
      </c>
      <c r="Q901" t="s">
        <v>3586</v>
      </c>
    </row>
    <row r="902" spans="1:17" ht="43.5" hidden="1" x14ac:dyDescent="0.35">
      <c r="A902" s="149" t="e">
        <f t="shared" si="14"/>
        <v>#REF!</v>
      </c>
      <c r="B902" s="140" t="s">
        <v>18</v>
      </c>
      <c r="C902" s="140" t="s">
        <v>37</v>
      </c>
      <c r="D902" s="140" t="s">
        <v>1515</v>
      </c>
      <c r="E902" s="140" t="s">
        <v>2592</v>
      </c>
      <c r="F902" s="140" t="s">
        <v>140</v>
      </c>
      <c r="G902" s="155" t="s">
        <v>364</v>
      </c>
      <c r="H902" s="155" t="s">
        <v>2593</v>
      </c>
      <c r="I902" s="155" t="s">
        <v>2005</v>
      </c>
      <c r="J902" s="302">
        <v>100000000</v>
      </c>
      <c r="K902" s="155" t="s">
        <v>221</v>
      </c>
      <c r="L902" s="155">
        <v>2928901</v>
      </c>
      <c r="M902" s="155" t="s">
        <v>144</v>
      </c>
      <c r="N902" s="299">
        <v>110</v>
      </c>
      <c r="O902" s="10">
        <v>100000000</v>
      </c>
      <c r="P902" s="305"/>
      <c r="Q902" t="s">
        <v>3564</v>
      </c>
    </row>
    <row r="903" spans="1:17" ht="43.5" hidden="1" x14ac:dyDescent="0.35">
      <c r="A903" s="149" t="e">
        <f t="shared" si="14"/>
        <v>#REF!</v>
      </c>
      <c r="B903" s="140" t="s">
        <v>18</v>
      </c>
      <c r="C903" s="140" t="s">
        <v>37</v>
      </c>
      <c r="D903" s="140" t="s">
        <v>1515</v>
      </c>
      <c r="E903" s="140" t="s">
        <v>2594</v>
      </c>
      <c r="F903" s="140" t="s">
        <v>140</v>
      </c>
      <c r="G903" s="155" t="s">
        <v>157</v>
      </c>
      <c r="H903" s="155" t="s">
        <v>1310</v>
      </c>
      <c r="I903" s="155" t="s">
        <v>2595</v>
      </c>
      <c r="J903" s="302">
        <v>40000000</v>
      </c>
      <c r="K903" s="155" t="s">
        <v>221</v>
      </c>
      <c r="L903" s="155">
        <v>2920926</v>
      </c>
      <c r="M903" s="155" t="s">
        <v>144</v>
      </c>
      <c r="N903" s="307">
        <v>250</v>
      </c>
      <c r="O903" s="13">
        <v>100000000</v>
      </c>
      <c r="P903" s="305"/>
      <c r="Q903" t="s">
        <v>3564</v>
      </c>
    </row>
    <row r="904" spans="1:17" ht="43.5" hidden="1" x14ac:dyDescent="0.35">
      <c r="A904" s="149" t="e">
        <f t="shared" si="14"/>
        <v>#REF!</v>
      </c>
      <c r="B904" s="140" t="s">
        <v>18</v>
      </c>
      <c r="C904" s="140" t="s">
        <v>37</v>
      </c>
      <c r="D904" s="140" t="s">
        <v>476</v>
      </c>
      <c r="E904" s="140" t="s">
        <v>2596</v>
      </c>
      <c r="F904" s="140" t="s">
        <v>140</v>
      </c>
      <c r="G904" s="155" t="s">
        <v>157</v>
      </c>
      <c r="H904" s="155" t="s">
        <v>732</v>
      </c>
      <c r="I904" s="155" t="s">
        <v>2597</v>
      </c>
      <c r="J904" s="302">
        <v>70000000</v>
      </c>
      <c r="K904" s="155" t="s">
        <v>221</v>
      </c>
      <c r="L904" s="155">
        <v>2921024</v>
      </c>
      <c r="M904" s="155" t="s">
        <v>144</v>
      </c>
      <c r="N904" s="307">
        <v>338.25036615602136</v>
      </c>
      <c r="O904" s="13">
        <v>230000000</v>
      </c>
      <c r="P904" s="305" t="s">
        <v>1955</v>
      </c>
      <c r="Q904" t="s">
        <v>3586</v>
      </c>
    </row>
    <row r="905" spans="1:17" ht="72.5" hidden="1" x14ac:dyDescent="0.35">
      <c r="A905" s="149" t="e">
        <f t="shared" si="14"/>
        <v>#REF!</v>
      </c>
      <c r="B905" s="140" t="s">
        <v>18</v>
      </c>
      <c r="C905" s="140" t="s">
        <v>37</v>
      </c>
      <c r="D905" s="140" t="s">
        <v>1521</v>
      </c>
      <c r="E905" s="140" t="s">
        <v>2598</v>
      </c>
      <c r="F905" s="140" t="s">
        <v>140</v>
      </c>
      <c r="G905" s="155" t="s">
        <v>157</v>
      </c>
      <c r="H905" s="155" t="s">
        <v>2599</v>
      </c>
      <c r="I905" s="155" t="s">
        <v>2600</v>
      </c>
      <c r="J905" s="302">
        <v>40000000</v>
      </c>
      <c r="K905" s="155" t="s">
        <v>221</v>
      </c>
      <c r="L905" s="155">
        <v>2945223</v>
      </c>
      <c r="M905" s="155" t="s">
        <v>144</v>
      </c>
      <c r="N905" s="307">
        <v>29.036004645760745</v>
      </c>
      <c r="O905" s="13">
        <v>137000000</v>
      </c>
      <c r="P905" s="305" t="s">
        <v>1678</v>
      </c>
      <c r="Q905" t="s">
        <v>3586</v>
      </c>
    </row>
    <row r="906" spans="1:17" ht="72.5" hidden="1" x14ac:dyDescent="0.35">
      <c r="A906" s="149" t="e">
        <f t="shared" si="14"/>
        <v>#REF!</v>
      </c>
      <c r="B906" s="140" t="s">
        <v>18</v>
      </c>
      <c r="C906" s="140" t="s">
        <v>37</v>
      </c>
      <c r="D906" s="140" t="s">
        <v>1515</v>
      </c>
      <c r="E906" s="140" t="s">
        <v>2601</v>
      </c>
      <c r="F906" s="140" t="s">
        <v>140</v>
      </c>
      <c r="G906" s="155" t="s">
        <v>157</v>
      </c>
      <c r="H906" s="155" t="s">
        <v>2599</v>
      </c>
      <c r="I906" s="155" t="s">
        <v>2602</v>
      </c>
      <c r="J906" s="302">
        <v>38000000</v>
      </c>
      <c r="K906" s="155" t="s">
        <v>221</v>
      </c>
      <c r="L906" s="155">
        <v>2973679</v>
      </c>
      <c r="M906" s="155" t="s">
        <v>144</v>
      </c>
      <c r="N906" s="307">
        <v>250</v>
      </c>
      <c r="O906" s="13">
        <v>190000000</v>
      </c>
      <c r="P906" s="305"/>
      <c r="Q906" t="s">
        <v>3564</v>
      </c>
    </row>
    <row r="907" spans="1:17" ht="43.5" hidden="1" x14ac:dyDescent="0.35">
      <c r="A907" s="149" t="e">
        <f t="shared" si="14"/>
        <v>#REF!</v>
      </c>
      <c r="B907" s="140" t="s">
        <v>18</v>
      </c>
      <c r="C907" s="140" t="s">
        <v>37</v>
      </c>
      <c r="D907" s="140" t="s">
        <v>476</v>
      </c>
      <c r="E907" s="140" t="s">
        <v>2170</v>
      </c>
      <c r="F907" s="140" t="s">
        <v>2603</v>
      </c>
      <c r="G907" s="155" t="s">
        <v>1320</v>
      </c>
      <c r="H907" s="155" t="s">
        <v>2604</v>
      </c>
      <c r="I907" s="155" t="s">
        <v>2605</v>
      </c>
      <c r="J907" s="191">
        <v>150000000</v>
      </c>
      <c r="K907" s="155" t="s">
        <v>221</v>
      </c>
      <c r="L907" s="155">
        <v>2817103</v>
      </c>
      <c r="M907" s="155" t="s">
        <v>144</v>
      </c>
      <c r="N907" s="155" t="s">
        <v>2606</v>
      </c>
      <c r="O907" s="13">
        <v>888837516</v>
      </c>
      <c r="P907" s="305" t="s">
        <v>1955</v>
      </c>
      <c r="Q907" t="s">
        <v>3586</v>
      </c>
    </row>
    <row r="908" spans="1:17" ht="43.5" hidden="1" x14ac:dyDescent="0.35">
      <c r="A908" s="149" t="e">
        <f t="shared" si="14"/>
        <v>#REF!</v>
      </c>
      <c r="B908" s="140" t="s">
        <v>18</v>
      </c>
      <c r="C908" s="140" t="s">
        <v>37</v>
      </c>
      <c r="D908" s="140" t="s">
        <v>1570</v>
      </c>
      <c r="E908" s="140" t="s">
        <v>2327</v>
      </c>
      <c r="F908" s="140" t="s">
        <v>2603</v>
      </c>
      <c r="G908" s="155" t="s">
        <v>1320</v>
      </c>
      <c r="H908" s="155" t="s">
        <v>2607</v>
      </c>
      <c r="I908" s="155" t="s">
        <v>2608</v>
      </c>
      <c r="J908" s="191">
        <v>80000000</v>
      </c>
      <c r="K908" s="155" t="s">
        <v>221</v>
      </c>
      <c r="L908" s="155">
        <v>2817306</v>
      </c>
      <c r="M908" s="155" t="s">
        <v>144</v>
      </c>
      <c r="N908" s="307">
        <v>28.75629043853343</v>
      </c>
      <c r="O908" s="13">
        <v>100000000</v>
      </c>
      <c r="P908" s="305" t="s">
        <v>1728</v>
      </c>
      <c r="Q908" t="s">
        <v>3586</v>
      </c>
    </row>
    <row r="909" spans="1:17" ht="43.5" hidden="1" x14ac:dyDescent="0.35">
      <c r="A909" s="149" t="e">
        <f t="shared" si="14"/>
        <v>#REF!</v>
      </c>
      <c r="B909" s="140" t="s">
        <v>18</v>
      </c>
      <c r="C909" s="140" t="s">
        <v>37</v>
      </c>
      <c r="D909" s="140" t="s">
        <v>1515</v>
      </c>
      <c r="E909" s="140" t="s">
        <v>1305</v>
      </c>
      <c r="F909" s="140" t="s">
        <v>2603</v>
      </c>
      <c r="G909" s="155" t="s">
        <v>1320</v>
      </c>
      <c r="H909" s="155" t="s">
        <v>2609</v>
      </c>
      <c r="I909" s="155" t="s">
        <v>2610</v>
      </c>
      <c r="J909" s="191">
        <v>70000000</v>
      </c>
      <c r="K909" s="155" t="s">
        <v>221</v>
      </c>
      <c r="L909" s="155">
        <v>2937196</v>
      </c>
      <c r="M909" s="155" t="s">
        <v>144</v>
      </c>
      <c r="N909" s="307">
        <v>250</v>
      </c>
      <c r="O909" s="13">
        <v>100000000</v>
      </c>
      <c r="P909" s="305"/>
      <c r="Q909" t="s">
        <v>3564</v>
      </c>
    </row>
    <row r="910" spans="1:17" ht="43.5" hidden="1" x14ac:dyDescent="0.35">
      <c r="A910" s="155" t="e">
        <f t="shared" si="14"/>
        <v>#REF!</v>
      </c>
      <c r="B910" s="140" t="s">
        <v>18</v>
      </c>
      <c r="C910" s="140" t="s">
        <v>37</v>
      </c>
      <c r="D910" s="140" t="s">
        <v>1515</v>
      </c>
      <c r="E910" s="140" t="s">
        <v>2611</v>
      </c>
      <c r="F910" s="140" t="s">
        <v>373</v>
      </c>
      <c r="G910" s="140" t="s">
        <v>374</v>
      </c>
      <c r="H910" s="140" t="s">
        <v>378</v>
      </c>
      <c r="I910" s="140" t="s">
        <v>2612</v>
      </c>
      <c r="J910" s="140">
        <v>25000000</v>
      </c>
      <c r="K910" s="155" t="s">
        <v>221</v>
      </c>
      <c r="L910" s="140">
        <v>2911519</v>
      </c>
      <c r="M910" s="155" t="s">
        <v>46</v>
      </c>
      <c r="N910" s="10">
        <v>60</v>
      </c>
      <c r="O910" s="10">
        <v>17760000</v>
      </c>
      <c r="P910" s="140"/>
      <c r="Q910" t="s">
        <v>3564</v>
      </c>
    </row>
    <row r="911" spans="1:17" ht="43.5" hidden="1" x14ac:dyDescent="0.35">
      <c r="A911" s="155" t="e">
        <f t="shared" si="14"/>
        <v>#REF!</v>
      </c>
      <c r="B911" s="140" t="s">
        <v>18</v>
      </c>
      <c r="C911" s="140" t="s">
        <v>37</v>
      </c>
      <c r="D911" s="140" t="s">
        <v>1515</v>
      </c>
      <c r="E911" s="140" t="s">
        <v>2613</v>
      </c>
      <c r="F911" s="140" t="s">
        <v>373</v>
      </c>
      <c r="G911" s="140" t="s">
        <v>374</v>
      </c>
      <c r="H911" s="140" t="s">
        <v>379</v>
      </c>
      <c r="I911" s="140" t="s">
        <v>2614</v>
      </c>
      <c r="J911" s="140">
        <v>25000000</v>
      </c>
      <c r="K911" s="155" t="s">
        <v>221</v>
      </c>
      <c r="L911" s="140">
        <v>2911428</v>
      </c>
      <c r="M911" s="155" t="s">
        <v>46</v>
      </c>
      <c r="N911" s="10">
        <v>120</v>
      </c>
      <c r="O911" s="10">
        <v>35520000</v>
      </c>
      <c r="P911" s="140"/>
      <c r="Q911" t="s">
        <v>3564</v>
      </c>
    </row>
    <row r="912" spans="1:17" ht="43.5" hidden="1" x14ac:dyDescent="0.35">
      <c r="A912" s="155" t="e">
        <f t="shared" si="14"/>
        <v>#REF!</v>
      </c>
      <c r="B912" s="140" t="s">
        <v>18</v>
      </c>
      <c r="C912" s="140" t="s">
        <v>37</v>
      </c>
      <c r="D912" s="140" t="s">
        <v>1515</v>
      </c>
      <c r="E912" s="140" t="s">
        <v>2615</v>
      </c>
      <c r="F912" s="140" t="s">
        <v>373</v>
      </c>
      <c r="G912" s="140" t="s">
        <v>374</v>
      </c>
      <c r="H912" s="140" t="s">
        <v>380</v>
      </c>
      <c r="I912" s="140" t="s">
        <v>2616</v>
      </c>
      <c r="J912" s="140">
        <v>50000000</v>
      </c>
      <c r="K912" s="155" t="s">
        <v>221</v>
      </c>
      <c r="L912" s="140">
        <v>2911615</v>
      </c>
      <c r="M912" s="155" t="s">
        <v>46</v>
      </c>
      <c r="N912" s="10">
        <v>200</v>
      </c>
      <c r="O912" s="10">
        <v>59200000</v>
      </c>
      <c r="P912" s="140"/>
      <c r="Q912" t="s">
        <v>3564</v>
      </c>
    </row>
    <row r="913" spans="1:17" ht="43.5" hidden="1" x14ac:dyDescent="0.35">
      <c r="A913" s="155" t="e">
        <f t="shared" si="14"/>
        <v>#REF!</v>
      </c>
      <c r="B913" s="140" t="s">
        <v>18</v>
      </c>
      <c r="C913" s="140" t="s">
        <v>37</v>
      </c>
      <c r="D913" s="140" t="s">
        <v>1515</v>
      </c>
      <c r="E913" s="140" t="s">
        <v>2617</v>
      </c>
      <c r="F913" s="140" t="s">
        <v>373</v>
      </c>
      <c r="G913" s="140" t="s">
        <v>374</v>
      </c>
      <c r="H913" s="140" t="s">
        <v>380</v>
      </c>
      <c r="I913" s="140" t="s">
        <v>2616</v>
      </c>
      <c r="J913" s="140">
        <v>50000000</v>
      </c>
      <c r="K913" s="155" t="s">
        <v>221</v>
      </c>
      <c r="L913" s="140">
        <v>2911615</v>
      </c>
      <c r="M913" s="155" t="s">
        <v>46</v>
      </c>
      <c r="N913" s="10"/>
      <c r="O913" s="10">
        <v>59200000</v>
      </c>
      <c r="P913" s="140"/>
      <c r="Q913" t="s">
        <v>3564</v>
      </c>
    </row>
    <row r="914" spans="1:17" ht="43.5" hidden="1" x14ac:dyDescent="0.35">
      <c r="A914" s="155" t="e">
        <f t="shared" si="14"/>
        <v>#REF!</v>
      </c>
      <c r="B914" s="140" t="s">
        <v>18</v>
      </c>
      <c r="C914" s="140" t="s">
        <v>37</v>
      </c>
      <c r="D914" s="140" t="s">
        <v>1515</v>
      </c>
      <c r="E914" s="140" t="s">
        <v>2618</v>
      </c>
      <c r="F914" s="140" t="s">
        <v>373</v>
      </c>
      <c r="G914" s="140" t="s">
        <v>374</v>
      </c>
      <c r="H914" s="140" t="s">
        <v>381</v>
      </c>
      <c r="I914" s="140" t="s">
        <v>2619</v>
      </c>
      <c r="J914" s="140">
        <v>75000000</v>
      </c>
      <c r="K914" s="155" t="s">
        <v>221</v>
      </c>
      <c r="L914" s="140">
        <v>2911710</v>
      </c>
      <c r="M914" s="155" t="s">
        <v>46</v>
      </c>
      <c r="N914" s="10">
        <v>600</v>
      </c>
      <c r="O914" s="10">
        <v>177600000</v>
      </c>
      <c r="P914" s="140"/>
      <c r="Q914" t="s">
        <v>3564</v>
      </c>
    </row>
    <row r="915" spans="1:17" ht="43.5" hidden="1" x14ac:dyDescent="0.35">
      <c r="A915" s="155" t="e">
        <f t="shared" si="14"/>
        <v>#REF!</v>
      </c>
      <c r="B915" s="140" t="s">
        <v>18</v>
      </c>
      <c r="C915" s="140" t="s">
        <v>37</v>
      </c>
      <c r="D915" s="140" t="s">
        <v>1515</v>
      </c>
      <c r="E915" s="140" t="s">
        <v>2620</v>
      </c>
      <c r="F915" s="140" t="s">
        <v>373</v>
      </c>
      <c r="G915" s="140" t="s">
        <v>374</v>
      </c>
      <c r="H915" s="140" t="s">
        <v>383</v>
      </c>
      <c r="I915" s="140" t="s">
        <v>1599</v>
      </c>
      <c r="J915" s="140">
        <v>75000000</v>
      </c>
      <c r="K915" s="155" t="s">
        <v>221</v>
      </c>
      <c r="L915" s="140">
        <v>2912043</v>
      </c>
      <c r="M915" s="155" t="s">
        <v>46</v>
      </c>
      <c r="N915" s="10">
        <v>200</v>
      </c>
      <c r="O915" s="10">
        <v>59200000</v>
      </c>
      <c r="P915" s="140"/>
      <c r="Q915" t="s">
        <v>3564</v>
      </c>
    </row>
    <row r="916" spans="1:17" ht="159.5" hidden="1" x14ac:dyDescent="0.35">
      <c r="A916" s="155" t="e">
        <f t="shared" si="14"/>
        <v>#REF!</v>
      </c>
      <c r="B916" s="140" t="s">
        <v>18</v>
      </c>
      <c r="C916" s="140" t="s">
        <v>37</v>
      </c>
      <c r="D916" s="140" t="s">
        <v>1515</v>
      </c>
      <c r="E916" s="140" t="s">
        <v>2621</v>
      </c>
      <c r="F916" s="140"/>
      <c r="G916" s="140" t="s">
        <v>44</v>
      </c>
      <c r="H916" s="140" t="s">
        <v>888</v>
      </c>
      <c r="I916" s="140" t="s">
        <v>28</v>
      </c>
      <c r="J916" s="140">
        <v>49000000</v>
      </c>
      <c r="K916" s="155" t="s">
        <v>221</v>
      </c>
      <c r="L916" s="140">
        <v>2833461</v>
      </c>
      <c r="M916" s="155" t="s">
        <v>46</v>
      </c>
      <c r="N916" s="10">
        <v>200</v>
      </c>
      <c r="O916" s="10">
        <v>80200000</v>
      </c>
      <c r="P916" s="140"/>
      <c r="Q916" t="s">
        <v>3564</v>
      </c>
    </row>
    <row r="917" spans="1:17" ht="159.5" hidden="1" x14ac:dyDescent="0.35">
      <c r="A917" s="155" t="e">
        <f t="shared" si="14"/>
        <v>#REF!</v>
      </c>
      <c r="B917" s="140" t="s">
        <v>18</v>
      </c>
      <c r="C917" s="140" t="s">
        <v>37</v>
      </c>
      <c r="D917" s="140" t="s">
        <v>1515</v>
      </c>
      <c r="E917" s="140" t="s">
        <v>2621</v>
      </c>
      <c r="F917" s="140"/>
      <c r="G917" s="140" t="s">
        <v>44</v>
      </c>
      <c r="H917" s="140" t="s">
        <v>890</v>
      </c>
      <c r="I917" s="140" t="s">
        <v>28</v>
      </c>
      <c r="J917" s="140">
        <v>49000000</v>
      </c>
      <c r="K917" s="155" t="s">
        <v>221</v>
      </c>
      <c r="L917" s="140">
        <v>2932610</v>
      </c>
      <c r="M917" s="155" t="s">
        <v>46</v>
      </c>
      <c r="N917" s="10">
        <v>200</v>
      </c>
      <c r="O917" s="10">
        <v>80200000</v>
      </c>
      <c r="P917" s="140"/>
      <c r="Q917" t="s">
        <v>3564</v>
      </c>
    </row>
    <row r="918" spans="1:17" ht="159.5" hidden="1" x14ac:dyDescent="0.35">
      <c r="A918" s="155" t="e">
        <f t="shared" si="14"/>
        <v>#REF!</v>
      </c>
      <c r="B918" s="140" t="s">
        <v>18</v>
      </c>
      <c r="C918" s="140" t="s">
        <v>37</v>
      </c>
      <c r="D918" s="140" t="s">
        <v>1515</v>
      </c>
      <c r="E918" s="140" t="s">
        <v>2621</v>
      </c>
      <c r="F918" s="140"/>
      <c r="G918" s="140" t="s">
        <v>44</v>
      </c>
      <c r="H918" s="140" t="s">
        <v>2622</v>
      </c>
      <c r="I918" s="140" t="s">
        <v>28</v>
      </c>
      <c r="J918" s="140">
        <v>49000000</v>
      </c>
      <c r="K918" s="155" t="s">
        <v>221</v>
      </c>
      <c r="L918" s="140">
        <v>2932647</v>
      </c>
      <c r="M918" s="155" t="s">
        <v>46</v>
      </c>
      <c r="N918" s="10">
        <v>200</v>
      </c>
      <c r="O918" s="10">
        <v>80200000</v>
      </c>
      <c r="P918" s="140"/>
      <c r="Q918" t="s">
        <v>3564</v>
      </c>
    </row>
    <row r="919" spans="1:17" ht="159.5" hidden="1" x14ac:dyDescent="0.35">
      <c r="A919" s="155" t="e">
        <f t="shared" si="14"/>
        <v>#REF!</v>
      </c>
      <c r="B919" s="140" t="s">
        <v>18</v>
      </c>
      <c r="C919" s="140" t="s">
        <v>37</v>
      </c>
      <c r="D919" s="140" t="s">
        <v>1515</v>
      </c>
      <c r="E919" s="140" t="s">
        <v>2621</v>
      </c>
      <c r="F919" s="140"/>
      <c r="G919" s="140" t="s">
        <v>44</v>
      </c>
      <c r="H919" s="140" t="s">
        <v>385</v>
      </c>
      <c r="I919" s="140" t="s">
        <v>28</v>
      </c>
      <c r="J919" s="140">
        <v>49000000</v>
      </c>
      <c r="K919" s="155" t="s">
        <v>221</v>
      </c>
      <c r="L919" s="140">
        <v>3008591</v>
      </c>
      <c r="M919" s="155" t="s">
        <v>46</v>
      </c>
      <c r="N919" s="10">
        <v>200</v>
      </c>
      <c r="O919" s="10">
        <v>80200000</v>
      </c>
      <c r="P919" s="140"/>
      <c r="Q919" t="s">
        <v>3564</v>
      </c>
    </row>
    <row r="920" spans="1:17" ht="159.5" hidden="1" x14ac:dyDescent="0.35">
      <c r="A920" s="155" t="e">
        <f t="shared" si="14"/>
        <v>#REF!</v>
      </c>
      <c r="B920" s="140" t="s">
        <v>18</v>
      </c>
      <c r="C920" s="140" t="s">
        <v>37</v>
      </c>
      <c r="D920" s="140" t="s">
        <v>1515</v>
      </c>
      <c r="E920" s="140" t="s">
        <v>2621</v>
      </c>
      <c r="F920" s="140"/>
      <c r="G920" s="140" t="s">
        <v>44</v>
      </c>
      <c r="H920" s="140" t="s">
        <v>161</v>
      </c>
      <c r="I920" s="140" t="s">
        <v>28</v>
      </c>
      <c r="J920" s="140">
        <v>49000000</v>
      </c>
      <c r="K920" s="155" t="s">
        <v>221</v>
      </c>
      <c r="L920" s="140">
        <v>2932647</v>
      </c>
      <c r="M920" s="155" t="s">
        <v>46</v>
      </c>
      <c r="N920" s="10">
        <v>200</v>
      </c>
      <c r="O920" s="10">
        <v>80200000</v>
      </c>
      <c r="P920" s="140"/>
      <c r="Q920" t="s">
        <v>3564</v>
      </c>
    </row>
    <row r="921" spans="1:17" ht="159.5" hidden="1" x14ac:dyDescent="0.35">
      <c r="A921" s="155" t="e">
        <f t="shared" si="14"/>
        <v>#REF!</v>
      </c>
      <c r="B921" s="140" t="s">
        <v>18</v>
      </c>
      <c r="C921" s="140" t="s">
        <v>37</v>
      </c>
      <c r="D921" s="140" t="s">
        <v>1515</v>
      </c>
      <c r="E921" s="140" t="s">
        <v>2621</v>
      </c>
      <c r="F921" s="140"/>
      <c r="G921" s="140" t="s">
        <v>44</v>
      </c>
      <c r="H921" s="140" t="s">
        <v>45</v>
      </c>
      <c r="I921" s="140" t="s">
        <v>28</v>
      </c>
      <c r="J921" s="140">
        <v>49000000</v>
      </c>
      <c r="K921" s="155" t="s">
        <v>221</v>
      </c>
      <c r="L921" s="140">
        <v>3008591</v>
      </c>
      <c r="M921" s="155" t="s">
        <v>46</v>
      </c>
      <c r="N921" s="10">
        <v>200</v>
      </c>
      <c r="O921" s="10">
        <v>80200000</v>
      </c>
      <c r="P921" s="140"/>
      <c r="Q921" t="s">
        <v>3564</v>
      </c>
    </row>
    <row r="922" spans="1:17" ht="72.5" hidden="1" x14ac:dyDescent="0.35">
      <c r="A922" s="155" t="e">
        <f t="shared" si="14"/>
        <v>#REF!</v>
      </c>
      <c r="B922" s="140" t="s">
        <v>18</v>
      </c>
      <c r="C922" s="140" t="s">
        <v>37</v>
      </c>
      <c r="D922" s="140" t="s">
        <v>1634</v>
      </c>
      <c r="E922" s="140" t="s">
        <v>2623</v>
      </c>
      <c r="F922" s="140"/>
      <c r="G922" s="140" t="s">
        <v>44</v>
      </c>
      <c r="H922" s="140" t="s">
        <v>45</v>
      </c>
      <c r="I922" s="140" t="s">
        <v>2624</v>
      </c>
      <c r="J922" s="140">
        <v>100000000</v>
      </c>
      <c r="K922" s="155" t="s">
        <v>221</v>
      </c>
      <c r="L922" s="140">
        <v>2833710</v>
      </c>
      <c r="M922" s="155" t="s">
        <v>46</v>
      </c>
      <c r="N922" s="10">
        <v>4</v>
      </c>
      <c r="O922" s="10">
        <v>100000000</v>
      </c>
      <c r="P922" s="140"/>
      <c r="Q922" t="s">
        <v>3564</v>
      </c>
    </row>
    <row r="923" spans="1:17" ht="43.5" hidden="1" x14ac:dyDescent="0.35">
      <c r="A923" s="155" t="e">
        <f t="shared" si="14"/>
        <v>#REF!</v>
      </c>
      <c r="B923" s="140" t="s">
        <v>18</v>
      </c>
      <c r="C923" s="140" t="s">
        <v>37</v>
      </c>
      <c r="D923" s="140" t="s">
        <v>1521</v>
      </c>
      <c r="E923" s="140" t="s">
        <v>2625</v>
      </c>
      <c r="F923" s="140"/>
      <c r="G923" s="140" t="s">
        <v>600</v>
      </c>
      <c r="H923" s="140" t="s">
        <v>606</v>
      </c>
      <c r="I923" s="140" t="s">
        <v>35</v>
      </c>
      <c r="J923" s="140">
        <v>175000000</v>
      </c>
      <c r="K923" s="155" t="s">
        <v>221</v>
      </c>
      <c r="L923" s="140">
        <v>2914865</v>
      </c>
      <c r="M923" s="155" t="s">
        <v>46</v>
      </c>
      <c r="N923" s="10">
        <v>62.9</v>
      </c>
      <c r="O923" s="10">
        <v>175000000</v>
      </c>
      <c r="P923" s="140"/>
      <c r="Q923" t="s">
        <v>3586</v>
      </c>
    </row>
    <row r="924" spans="1:17" ht="43.5" hidden="1" x14ac:dyDescent="0.35">
      <c r="A924" s="155" t="e">
        <f>#REF!+1</f>
        <v>#REF!</v>
      </c>
      <c r="B924" s="140" t="s">
        <v>18</v>
      </c>
      <c r="C924" s="140" t="s">
        <v>37</v>
      </c>
      <c r="D924" s="140" t="s">
        <v>1515</v>
      </c>
      <c r="E924" s="140" t="s">
        <v>2100</v>
      </c>
      <c r="F924" s="140" t="s">
        <v>388</v>
      </c>
      <c r="G924" s="140" t="s">
        <v>389</v>
      </c>
      <c r="H924" s="140" t="s">
        <v>391</v>
      </c>
      <c r="I924" s="140" t="s">
        <v>609</v>
      </c>
      <c r="J924" s="140">
        <v>75000000</v>
      </c>
      <c r="K924" s="155" t="s">
        <v>221</v>
      </c>
      <c r="L924" s="140">
        <v>2955420</v>
      </c>
      <c r="M924" s="155" t="s">
        <v>46</v>
      </c>
      <c r="N924" s="10">
        <v>300</v>
      </c>
      <c r="O924" s="10">
        <v>76200000</v>
      </c>
      <c r="P924" s="140"/>
      <c r="Q924" t="s">
        <v>3564</v>
      </c>
    </row>
    <row r="925" spans="1:17" ht="43.5" hidden="1" x14ac:dyDescent="0.35">
      <c r="A925" s="155" t="e">
        <f t="shared" si="14"/>
        <v>#REF!</v>
      </c>
      <c r="B925" s="140" t="s">
        <v>18</v>
      </c>
      <c r="C925" s="140" t="s">
        <v>37</v>
      </c>
      <c r="D925" s="140" t="s">
        <v>1515</v>
      </c>
      <c r="E925" s="140" t="s">
        <v>2626</v>
      </c>
      <c r="F925" s="140" t="s">
        <v>48</v>
      </c>
      <c r="G925" s="140" t="s">
        <v>389</v>
      </c>
      <c r="H925" s="140" t="s">
        <v>394</v>
      </c>
      <c r="I925" s="140" t="s">
        <v>609</v>
      </c>
      <c r="J925" s="140">
        <v>25000000</v>
      </c>
      <c r="K925" s="155" t="s">
        <v>221</v>
      </c>
      <c r="L925" s="140" t="s">
        <v>48</v>
      </c>
      <c r="M925" s="155" t="s">
        <v>46</v>
      </c>
      <c r="N925" s="10">
        <v>200</v>
      </c>
      <c r="O925" s="10">
        <v>50800000</v>
      </c>
      <c r="P925" s="140"/>
      <c r="Q925" t="s">
        <v>3564</v>
      </c>
    </row>
    <row r="926" spans="1:17" ht="43.5" hidden="1" x14ac:dyDescent="0.35">
      <c r="A926" s="155" t="e">
        <f t="shared" si="14"/>
        <v>#REF!</v>
      </c>
      <c r="B926" s="140" t="s">
        <v>18</v>
      </c>
      <c r="C926" s="140" t="s">
        <v>37</v>
      </c>
      <c r="D926" s="140" t="s">
        <v>1570</v>
      </c>
      <c r="E926" s="140" t="s">
        <v>2627</v>
      </c>
      <c r="F926" s="140" t="s">
        <v>388</v>
      </c>
      <c r="G926" s="140" t="s">
        <v>389</v>
      </c>
      <c r="H926" s="140" t="s">
        <v>396</v>
      </c>
      <c r="I926" s="140" t="s">
        <v>609</v>
      </c>
      <c r="J926" s="140">
        <v>75000000</v>
      </c>
      <c r="K926" s="155" t="s">
        <v>221</v>
      </c>
      <c r="L926" s="140" t="s">
        <v>48</v>
      </c>
      <c r="M926" s="155" t="s">
        <v>46</v>
      </c>
      <c r="N926" s="10"/>
      <c r="O926" s="10">
        <v>75000000</v>
      </c>
      <c r="P926" s="140"/>
      <c r="Q926" t="s">
        <v>3586</v>
      </c>
    </row>
    <row r="927" spans="1:17" ht="43.5" hidden="1" x14ac:dyDescent="0.35">
      <c r="A927" s="155" t="e">
        <f>#REF!+1</f>
        <v>#REF!</v>
      </c>
      <c r="B927" s="140" t="s">
        <v>18</v>
      </c>
      <c r="C927" s="140" t="s">
        <v>37</v>
      </c>
      <c r="D927" s="140" t="s">
        <v>1515</v>
      </c>
      <c r="E927" s="140" t="s">
        <v>1872</v>
      </c>
      <c r="F927" s="140" t="s">
        <v>388</v>
      </c>
      <c r="G927" s="140" t="s">
        <v>389</v>
      </c>
      <c r="H927" s="140" t="s">
        <v>398</v>
      </c>
      <c r="I927" s="140" t="s">
        <v>609</v>
      </c>
      <c r="J927" s="140">
        <v>75000000</v>
      </c>
      <c r="K927" s="155" t="s">
        <v>221</v>
      </c>
      <c r="L927" s="140">
        <v>2955297</v>
      </c>
      <c r="M927" s="155" t="s">
        <v>46</v>
      </c>
      <c r="N927" s="10">
        <v>300</v>
      </c>
      <c r="O927" s="10">
        <v>76200000</v>
      </c>
      <c r="P927" s="140"/>
      <c r="Q927" t="s">
        <v>3564</v>
      </c>
    </row>
    <row r="928" spans="1:17" ht="43.5" hidden="1" x14ac:dyDescent="0.35">
      <c r="A928" s="155" t="e">
        <f t="shared" si="14"/>
        <v>#REF!</v>
      </c>
      <c r="B928" s="140" t="s">
        <v>18</v>
      </c>
      <c r="C928" s="140" t="s">
        <v>37</v>
      </c>
      <c r="D928" s="140" t="s">
        <v>476</v>
      </c>
      <c r="E928" s="140" t="s">
        <v>2170</v>
      </c>
      <c r="F928" s="140" t="s">
        <v>388</v>
      </c>
      <c r="G928" s="140" t="s">
        <v>389</v>
      </c>
      <c r="H928" s="140" t="s">
        <v>399</v>
      </c>
      <c r="I928" s="140">
        <v>1</v>
      </c>
      <c r="J928" s="140">
        <v>25000000</v>
      </c>
      <c r="K928" s="155" t="s">
        <v>221</v>
      </c>
      <c r="L928" s="140">
        <v>3008778</v>
      </c>
      <c r="M928" s="155" t="s">
        <v>46</v>
      </c>
      <c r="N928" s="10" t="s">
        <v>2628</v>
      </c>
      <c r="O928" s="10">
        <v>245729760</v>
      </c>
      <c r="P928" s="140" t="s">
        <v>2629</v>
      </c>
      <c r="Q928" t="s">
        <v>3586</v>
      </c>
    </row>
    <row r="929" spans="1:17" ht="43.5" hidden="1" x14ac:dyDescent="0.35">
      <c r="A929" s="155" t="e">
        <f>#REF!+1</f>
        <v>#REF!</v>
      </c>
      <c r="B929" s="140" t="s">
        <v>18</v>
      </c>
      <c r="C929" s="140" t="s">
        <v>37</v>
      </c>
      <c r="D929" s="140" t="s">
        <v>1521</v>
      </c>
      <c r="E929" s="140" t="s">
        <v>2630</v>
      </c>
      <c r="F929" s="140" t="s">
        <v>48</v>
      </c>
      <c r="G929" s="140" t="s">
        <v>49</v>
      </c>
      <c r="H929" s="140" t="s">
        <v>49</v>
      </c>
      <c r="I929" s="140" t="s">
        <v>1031</v>
      </c>
      <c r="J929" s="140">
        <v>225000000</v>
      </c>
      <c r="K929" s="155" t="s">
        <v>221</v>
      </c>
      <c r="L929" s="140">
        <v>2819233</v>
      </c>
      <c r="M929" s="155" t="s">
        <v>46</v>
      </c>
      <c r="N929" s="10" t="s">
        <v>2631</v>
      </c>
      <c r="O929" s="10">
        <v>225000000</v>
      </c>
      <c r="P929" s="140"/>
      <c r="Q929" t="s">
        <v>3586</v>
      </c>
    </row>
    <row r="930" spans="1:17" ht="43.5" hidden="1" x14ac:dyDescent="0.35">
      <c r="A930" s="155" t="e">
        <f t="shared" ref="A930:A993" si="15">A929+1</f>
        <v>#REF!</v>
      </c>
      <c r="B930" s="140" t="s">
        <v>18</v>
      </c>
      <c r="C930" s="140" t="s">
        <v>37</v>
      </c>
      <c r="D930" s="140" t="s">
        <v>1521</v>
      </c>
      <c r="E930" s="140" t="s">
        <v>2632</v>
      </c>
      <c r="F930" s="140" t="s">
        <v>48</v>
      </c>
      <c r="G930" s="140" t="s">
        <v>49</v>
      </c>
      <c r="H930" s="140" t="s">
        <v>613</v>
      </c>
      <c r="I930" s="140" t="s">
        <v>1031</v>
      </c>
      <c r="J930" s="140">
        <v>200000000</v>
      </c>
      <c r="K930" s="155" t="s">
        <v>221</v>
      </c>
      <c r="L930" s="140">
        <v>2819270</v>
      </c>
      <c r="M930" s="155" t="s">
        <v>46</v>
      </c>
      <c r="N930" s="10">
        <v>234</v>
      </c>
      <c r="O930" s="10">
        <v>200000000</v>
      </c>
      <c r="P930" s="140"/>
      <c r="Q930" t="s">
        <v>3586</v>
      </c>
    </row>
    <row r="931" spans="1:17" ht="43.5" hidden="1" x14ac:dyDescent="0.35">
      <c r="A931" s="155" t="e">
        <f t="shared" si="15"/>
        <v>#REF!</v>
      </c>
      <c r="B931" s="140" t="s">
        <v>18</v>
      </c>
      <c r="C931" s="140" t="s">
        <v>37</v>
      </c>
      <c r="D931" s="140" t="s">
        <v>1634</v>
      </c>
      <c r="E931" s="140" t="s">
        <v>2054</v>
      </c>
      <c r="F931" s="140" t="s">
        <v>48</v>
      </c>
      <c r="G931" s="140" t="s">
        <v>49</v>
      </c>
      <c r="H931" s="140" t="s">
        <v>2633</v>
      </c>
      <c r="I931" s="140" t="s">
        <v>2009</v>
      </c>
      <c r="J931" s="140">
        <v>120000000</v>
      </c>
      <c r="K931" s="155" t="s">
        <v>221</v>
      </c>
      <c r="L931" s="140">
        <v>2819615</v>
      </c>
      <c r="M931" s="155" t="s">
        <v>46</v>
      </c>
      <c r="N931" s="10">
        <v>8</v>
      </c>
      <c r="O931" s="10">
        <v>200000000</v>
      </c>
      <c r="P931" s="140"/>
      <c r="Q931" t="s">
        <v>3564</v>
      </c>
    </row>
    <row r="932" spans="1:17" ht="43.5" hidden="1" x14ac:dyDescent="0.35">
      <c r="A932" s="155" t="e">
        <f t="shared" si="15"/>
        <v>#REF!</v>
      </c>
      <c r="B932" s="140" t="s">
        <v>18</v>
      </c>
      <c r="C932" s="140" t="s">
        <v>37</v>
      </c>
      <c r="D932" s="140" t="s">
        <v>1521</v>
      </c>
      <c r="E932" s="140" t="s">
        <v>2028</v>
      </c>
      <c r="F932" s="140"/>
      <c r="G932" s="140" t="s">
        <v>2634</v>
      </c>
      <c r="H932" s="140" t="s">
        <v>2635</v>
      </c>
      <c r="I932" s="140" t="s">
        <v>1524</v>
      </c>
      <c r="J932" s="140">
        <v>200000000</v>
      </c>
      <c r="K932" s="155" t="s">
        <v>221</v>
      </c>
      <c r="L932" s="140">
        <v>2796032</v>
      </c>
      <c r="M932" s="155" t="s">
        <v>46</v>
      </c>
      <c r="N932" s="10">
        <v>71.89</v>
      </c>
      <c r="O932" s="10">
        <v>200000000</v>
      </c>
      <c r="P932" s="140"/>
      <c r="Q932" t="s">
        <v>3586</v>
      </c>
    </row>
    <row r="933" spans="1:17" ht="43.5" hidden="1" x14ac:dyDescent="0.35">
      <c r="A933" s="155" t="e">
        <f t="shared" si="15"/>
        <v>#REF!</v>
      </c>
      <c r="B933" s="140" t="s">
        <v>18</v>
      </c>
      <c r="C933" s="140" t="s">
        <v>37</v>
      </c>
      <c r="D933" s="140" t="s">
        <v>1570</v>
      </c>
      <c r="E933" s="140" t="s">
        <v>1571</v>
      </c>
      <c r="F933" s="140"/>
      <c r="G933" s="140" t="s">
        <v>2634</v>
      </c>
      <c r="H933" s="140" t="s">
        <v>2636</v>
      </c>
      <c r="I933" s="140" t="s">
        <v>1524</v>
      </c>
      <c r="J933" s="140">
        <v>200000000</v>
      </c>
      <c r="K933" s="155" t="s">
        <v>221</v>
      </c>
      <c r="L933" s="140">
        <v>2797720</v>
      </c>
      <c r="M933" s="155" t="s">
        <v>46</v>
      </c>
      <c r="N933" s="10">
        <v>150</v>
      </c>
      <c r="O933" s="10">
        <v>417300000</v>
      </c>
      <c r="P933" s="140"/>
      <c r="Q933" t="s">
        <v>3586</v>
      </c>
    </row>
    <row r="934" spans="1:17" ht="43.5" hidden="1" x14ac:dyDescent="0.35">
      <c r="A934" s="155" t="e">
        <f t="shared" si="15"/>
        <v>#REF!</v>
      </c>
      <c r="B934" s="140" t="s">
        <v>18</v>
      </c>
      <c r="C934" s="140" t="s">
        <v>37</v>
      </c>
      <c r="D934" s="140" t="s">
        <v>1570</v>
      </c>
      <c r="E934" s="140" t="s">
        <v>1571</v>
      </c>
      <c r="F934" s="140"/>
      <c r="G934" s="140" t="s">
        <v>2634</v>
      </c>
      <c r="H934" s="140" t="s">
        <v>2637</v>
      </c>
      <c r="I934" s="140" t="s">
        <v>1524</v>
      </c>
      <c r="J934" s="140">
        <v>200000000</v>
      </c>
      <c r="K934" s="155" t="s">
        <v>221</v>
      </c>
      <c r="L934" s="140">
        <v>2798485</v>
      </c>
      <c r="M934" s="155" t="s">
        <v>46</v>
      </c>
      <c r="N934" s="10">
        <v>150</v>
      </c>
      <c r="O934" s="10">
        <v>417300000</v>
      </c>
      <c r="P934" s="140"/>
      <c r="Q934" t="s">
        <v>3586</v>
      </c>
    </row>
    <row r="935" spans="1:17" ht="43.5" hidden="1" x14ac:dyDescent="0.35">
      <c r="A935" s="155" t="e">
        <f t="shared" si="15"/>
        <v>#REF!</v>
      </c>
      <c r="B935" s="140" t="s">
        <v>18</v>
      </c>
      <c r="C935" s="140" t="s">
        <v>37</v>
      </c>
      <c r="D935" s="140" t="s">
        <v>1521</v>
      </c>
      <c r="E935" s="140" t="s">
        <v>2625</v>
      </c>
      <c r="F935" s="140" t="s">
        <v>48</v>
      </c>
      <c r="G935" s="140" t="s">
        <v>405</v>
      </c>
      <c r="H935" s="140" t="s">
        <v>406</v>
      </c>
      <c r="I935" s="140" t="s">
        <v>1524</v>
      </c>
      <c r="J935" s="140">
        <v>150000000</v>
      </c>
      <c r="K935" s="155" t="s">
        <v>221</v>
      </c>
      <c r="L935" s="140">
        <v>2794951</v>
      </c>
      <c r="M935" s="155" t="s">
        <v>46</v>
      </c>
      <c r="N935" s="10" t="s">
        <v>2638</v>
      </c>
      <c r="O935" s="10">
        <v>150000000</v>
      </c>
      <c r="P935" s="140"/>
      <c r="Q935" t="s">
        <v>3586</v>
      </c>
    </row>
    <row r="936" spans="1:17" ht="43.5" hidden="1" x14ac:dyDescent="0.35">
      <c r="A936" s="155" t="e">
        <f t="shared" si="15"/>
        <v>#REF!</v>
      </c>
      <c r="B936" s="140" t="s">
        <v>18</v>
      </c>
      <c r="C936" s="140" t="s">
        <v>37</v>
      </c>
      <c r="D936" s="140" t="s">
        <v>1521</v>
      </c>
      <c r="E936" s="140" t="s">
        <v>2625</v>
      </c>
      <c r="F936" s="140" t="s">
        <v>48</v>
      </c>
      <c r="G936" s="140" t="s">
        <v>405</v>
      </c>
      <c r="H936" s="140" t="s">
        <v>742</v>
      </c>
      <c r="I936" s="140" t="s">
        <v>1398</v>
      </c>
      <c r="J936" s="140">
        <v>155000000</v>
      </c>
      <c r="K936" s="155" t="s">
        <v>221</v>
      </c>
      <c r="L936" s="140">
        <v>2794951</v>
      </c>
      <c r="M936" s="155" t="s">
        <v>46</v>
      </c>
      <c r="N936" s="10" t="s">
        <v>2639</v>
      </c>
      <c r="O936" s="10">
        <v>150000000</v>
      </c>
      <c r="P936" s="140"/>
      <c r="Q936" t="s">
        <v>3586</v>
      </c>
    </row>
    <row r="937" spans="1:17" ht="43.5" hidden="1" x14ac:dyDescent="0.35">
      <c r="A937" s="155" t="e">
        <f t="shared" si="15"/>
        <v>#REF!</v>
      </c>
      <c r="B937" s="140" t="s">
        <v>18</v>
      </c>
      <c r="C937" s="140" t="s">
        <v>37</v>
      </c>
      <c r="D937" s="140" t="s">
        <v>1634</v>
      </c>
      <c r="E937" s="140" t="s">
        <v>2054</v>
      </c>
      <c r="F937" s="140"/>
      <c r="G937" s="140" t="s">
        <v>410</v>
      </c>
      <c r="H937" s="140" t="s">
        <v>899</v>
      </c>
      <c r="I937" s="140" t="s">
        <v>2640</v>
      </c>
      <c r="J937" s="140">
        <v>125000000</v>
      </c>
      <c r="K937" s="155" t="s">
        <v>221</v>
      </c>
      <c r="L937" s="140">
        <v>2800825</v>
      </c>
      <c r="M937" s="155" t="s">
        <v>46</v>
      </c>
      <c r="N937" s="10" t="s">
        <v>2640</v>
      </c>
      <c r="O937" s="10">
        <v>125000000</v>
      </c>
      <c r="P937" s="140"/>
      <c r="Q937" t="s">
        <v>3564</v>
      </c>
    </row>
    <row r="938" spans="1:17" ht="43.5" hidden="1" x14ac:dyDescent="0.35">
      <c r="A938" s="155" t="e">
        <f>#REF!+1</f>
        <v>#REF!</v>
      </c>
      <c r="B938" s="140" t="s">
        <v>18</v>
      </c>
      <c r="C938" s="140" t="s">
        <v>37</v>
      </c>
      <c r="D938" s="140" t="s">
        <v>1634</v>
      </c>
      <c r="E938" s="140" t="s">
        <v>2054</v>
      </c>
      <c r="F938" s="140" t="s">
        <v>2641</v>
      </c>
      <c r="G938" s="140" t="s">
        <v>1531</v>
      </c>
      <c r="H938" s="140" t="s">
        <v>2642</v>
      </c>
      <c r="I938" s="140" t="s">
        <v>2640</v>
      </c>
      <c r="J938" s="140">
        <v>175000000</v>
      </c>
      <c r="K938" s="155" t="s">
        <v>221</v>
      </c>
      <c r="L938" s="140">
        <v>2950964</v>
      </c>
      <c r="M938" s="155" t="s">
        <v>46</v>
      </c>
      <c r="N938" s="10">
        <v>5</v>
      </c>
      <c r="O938" s="10">
        <v>175000000</v>
      </c>
      <c r="P938" s="140"/>
      <c r="Q938" t="s">
        <v>3564</v>
      </c>
    </row>
    <row r="939" spans="1:17" ht="43.5" hidden="1" x14ac:dyDescent="0.35">
      <c r="A939" s="155" t="e">
        <f t="shared" si="15"/>
        <v>#REF!</v>
      </c>
      <c r="B939" s="140" t="s">
        <v>18</v>
      </c>
      <c r="C939" s="140" t="s">
        <v>37</v>
      </c>
      <c r="D939" s="140" t="s">
        <v>1634</v>
      </c>
      <c r="E939" s="140" t="s">
        <v>2054</v>
      </c>
      <c r="F939" s="140" t="s">
        <v>2641</v>
      </c>
      <c r="G939" s="140" t="s">
        <v>1531</v>
      </c>
      <c r="H939" s="140" t="s">
        <v>2643</v>
      </c>
      <c r="I939" s="140" t="s">
        <v>2640</v>
      </c>
      <c r="J939" s="140">
        <v>175000000</v>
      </c>
      <c r="K939" s="155" t="s">
        <v>221</v>
      </c>
      <c r="L939" s="140">
        <v>2950997</v>
      </c>
      <c r="M939" s="155" t="s">
        <v>46</v>
      </c>
      <c r="N939" s="10">
        <v>5</v>
      </c>
      <c r="O939" s="10">
        <v>175000000</v>
      </c>
      <c r="P939" s="140"/>
      <c r="Q939" t="s">
        <v>3564</v>
      </c>
    </row>
    <row r="940" spans="1:17" ht="101.5" hidden="1" x14ac:dyDescent="0.35">
      <c r="A940" s="155" t="e">
        <f t="shared" si="15"/>
        <v>#REF!</v>
      </c>
      <c r="B940" s="140" t="s">
        <v>18</v>
      </c>
      <c r="C940" s="140" t="s">
        <v>37</v>
      </c>
      <c r="D940" s="140" t="s">
        <v>1515</v>
      </c>
      <c r="E940" s="140" t="s">
        <v>2644</v>
      </c>
      <c r="F940" s="140"/>
      <c r="G940" s="140" t="s">
        <v>415</v>
      </c>
      <c r="H940" s="140" t="s">
        <v>168</v>
      </c>
      <c r="I940" s="140" t="s">
        <v>2645</v>
      </c>
      <c r="J940" s="140">
        <v>85000000</v>
      </c>
      <c r="K940" s="155" t="s">
        <v>221</v>
      </c>
      <c r="L940" s="140">
        <v>2876661</v>
      </c>
      <c r="M940" s="155" t="s">
        <v>46</v>
      </c>
      <c r="N940" s="10">
        <v>300</v>
      </c>
      <c r="O940" s="10">
        <v>98400000</v>
      </c>
      <c r="P940" s="140"/>
      <c r="Q940" t="s">
        <v>3564</v>
      </c>
    </row>
    <row r="941" spans="1:17" ht="43.5" hidden="1" x14ac:dyDescent="0.35">
      <c r="A941" s="155" t="e">
        <f t="shared" si="15"/>
        <v>#REF!</v>
      </c>
      <c r="B941" s="140" t="s">
        <v>18</v>
      </c>
      <c r="C941" s="140" t="s">
        <v>37</v>
      </c>
      <c r="D941" s="140" t="s">
        <v>1634</v>
      </c>
      <c r="E941" s="140" t="s">
        <v>2054</v>
      </c>
      <c r="F941" s="140"/>
      <c r="G941" s="140" t="s">
        <v>415</v>
      </c>
      <c r="H941" s="155" t="s">
        <v>168</v>
      </c>
      <c r="I941" s="140" t="s">
        <v>169</v>
      </c>
      <c r="J941" s="140">
        <v>100000000</v>
      </c>
      <c r="K941" s="155" t="s">
        <v>221</v>
      </c>
      <c r="L941" s="140">
        <v>2877010</v>
      </c>
      <c r="M941" s="155" t="s">
        <v>46</v>
      </c>
      <c r="N941" s="10">
        <v>4</v>
      </c>
      <c r="O941" s="10">
        <v>100000000</v>
      </c>
      <c r="P941" s="140"/>
      <c r="Q941" t="s">
        <v>3564</v>
      </c>
    </row>
    <row r="942" spans="1:17" ht="43.5" hidden="1" x14ac:dyDescent="0.35">
      <c r="A942" s="155" t="e">
        <f t="shared" si="15"/>
        <v>#REF!</v>
      </c>
      <c r="B942" s="140" t="s">
        <v>18</v>
      </c>
      <c r="C942" s="140" t="s">
        <v>37</v>
      </c>
      <c r="D942" s="140" t="s">
        <v>1521</v>
      </c>
      <c r="E942" s="140" t="s">
        <v>2632</v>
      </c>
      <c r="F942" s="140"/>
      <c r="G942" s="140" t="s">
        <v>415</v>
      </c>
      <c r="H942" s="140" t="s">
        <v>2646</v>
      </c>
      <c r="I942" s="140" t="s">
        <v>2647</v>
      </c>
      <c r="J942" s="140">
        <v>120000000</v>
      </c>
      <c r="K942" s="155" t="s">
        <v>221</v>
      </c>
      <c r="L942" s="140">
        <v>2934217</v>
      </c>
      <c r="M942" s="155" t="s">
        <v>46</v>
      </c>
      <c r="N942" s="10">
        <v>43.13</v>
      </c>
      <c r="O942" s="10">
        <v>120000000</v>
      </c>
      <c r="P942" s="140"/>
      <c r="Q942" t="s">
        <v>3586</v>
      </c>
    </row>
    <row r="943" spans="1:17" ht="43.5" hidden="1" x14ac:dyDescent="0.35">
      <c r="A943" s="155" t="e">
        <f t="shared" si="15"/>
        <v>#REF!</v>
      </c>
      <c r="B943" s="140" t="s">
        <v>18</v>
      </c>
      <c r="C943" s="140" t="s">
        <v>37</v>
      </c>
      <c r="D943" s="140" t="s">
        <v>1570</v>
      </c>
      <c r="E943" s="140" t="s">
        <v>1571</v>
      </c>
      <c r="F943" s="140"/>
      <c r="G943" s="140" t="s">
        <v>415</v>
      </c>
      <c r="H943" s="155" t="s">
        <v>2646</v>
      </c>
      <c r="I943" s="140" t="s">
        <v>2647</v>
      </c>
      <c r="J943" s="140">
        <v>80000000</v>
      </c>
      <c r="K943" s="155" t="s">
        <v>221</v>
      </c>
      <c r="L943" s="140">
        <v>2934477</v>
      </c>
      <c r="M943" s="155" t="s">
        <v>46</v>
      </c>
      <c r="N943" s="10">
        <v>200</v>
      </c>
      <c r="O943" s="10">
        <v>80000000</v>
      </c>
      <c r="P943" s="140" t="s">
        <v>1728</v>
      </c>
      <c r="Q943" t="s">
        <v>3586</v>
      </c>
    </row>
    <row r="944" spans="1:17" ht="101.5" hidden="1" x14ac:dyDescent="0.35">
      <c r="A944" s="155" t="e">
        <f t="shared" si="15"/>
        <v>#REF!</v>
      </c>
      <c r="B944" s="140" t="s">
        <v>18</v>
      </c>
      <c r="C944" s="140" t="s">
        <v>37</v>
      </c>
      <c r="D944" s="140" t="s">
        <v>1515</v>
      </c>
      <c r="E944" s="140" t="s">
        <v>2648</v>
      </c>
      <c r="F944" s="140"/>
      <c r="G944" s="140" t="s">
        <v>415</v>
      </c>
      <c r="H944" s="140" t="s">
        <v>2649</v>
      </c>
      <c r="I944" s="140" t="s">
        <v>2650</v>
      </c>
      <c r="J944" s="140">
        <v>125000000</v>
      </c>
      <c r="K944" s="155" t="s">
        <v>221</v>
      </c>
      <c r="L944" s="140">
        <v>2876661</v>
      </c>
      <c r="M944" s="155" t="s">
        <v>46</v>
      </c>
      <c r="N944" s="10">
        <v>375</v>
      </c>
      <c r="O944" s="10">
        <v>123000000</v>
      </c>
      <c r="P944" s="140"/>
      <c r="Q944" t="s">
        <v>3564</v>
      </c>
    </row>
    <row r="945" spans="1:17" ht="43.5" hidden="1" x14ac:dyDescent="0.35">
      <c r="A945" s="155" t="e">
        <f t="shared" si="15"/>
        <v>#REF!</v>
      </c>
      <c r="B945" s="140" t="s">
        <v>18</v>
      </c>
      <c r="C945" s="140" t="s">
        <v>37</v>
      </c>
      <c r="D945" s="140" t="s">
        <v>476</v>
      </c>
      <c r="E945" s="140" t="s">
        <v>2651</v>
      </c>
      <c r="F945" s="140"/>
      <c r="G945" s="140" t="s">
        <v>415</v>
      </c>
      <c r="H945" s="155" t="s">
        <v>2649</v>
      </c>
      <c r="I945" s="140" t="s">
        <v>376</v>
      </c>
      <c r="J945" s="140">
        <v>75000000</v>
      </c>
      <c r="K945" s="155" t="s">
        <v>221</v>
      </c>
      <c r="L945" s="140"/>
      <c r="M945" s="155" t="s">
        <v>46</v>
      </c>
      <c r="N945" s="10" t="s">
        <v>408</v>
      </c>
      <c r="O945" s="10">
        <v>150000000</v>
      </c>
      <c r="P945" s="140"/>
      <c r="Q945" t="s">
        <v>3586</v>
      </c>
    </row>
    <row r="946" spans="1:17" ht="43.5" hidden="1" x14ac:dyDescent="0.35">
      <c r="A946" s="155" t="e">
        <f t="shared" si="15"/>
        <v>#REF!</v>
      </c>
      <c r="B946" s="140" t="s">
        <v>18</v>
      </c>
      <c r="C946" s="140" t="s">
        <v>37</v>
      </c>
      <c r="D946" s="140" t="s">
        <v>1634</v>
      </c>
      <c r="E946" s="140" t="s">
        <v>2054</v>
      </c>
      <c r="F946" s="140" t="s">
        <v>2641</v>
      </c>
      <c r="G946" s="140" t="s">
        <v>418</v>
      </c>
      <c r="H946" s="140" t="s">
        <v>419</v>
      </c>
      <c r="I946" s="140" t="s">
        <v>366</v>
      </c>
      <c r="J946" s="140">
        <v>75000000</v>
      </c>
      <c r="K946" s="155" t="s">
        <v>221</v>
      </c>
      <c r="L946" s="140">
        <v>2792794</v>
      </c>
      <c r="M946" s="155" t="s">
        <v>46</v>
      </c>
      <c r="N946" s="10">
        <v>3</v>
      </c>
      <c r="O946" s="10">
        <v>75000000</v>
      </c>
      <c r="P946" s="140"/>
      <c r="Q946" t="s">
        <v>3564</v>
      </c>
    </row>
    <row r="947" spans="1:17" ht="43.5" hidden="1" x14ac:dyDescent="0.35">
      <c r="A947" s="155" t="e">
        <f t="shared" si="15"/>
        <v>#REF!</v>
      </c>
      <c r="B947" s="140" t="s">
        <v>18</v>
      </c>
      <c r="C947" s="140" t="s">
        <v>37</v>
      </c>
      <c r="D947" s="140" t="s">
        <v>1515</v>
      </c>
      <c r="E947" s="140" t="s">
        <v>2652</v>
      </c>
      <c r="F947" s="140" t="s">
        <v>373</v>
      </c>
      <c r="G947" s="140" t="s">
        <v>418</v>
      </c>
      <c r="H947" s="140" t="s">
        <v>419</v>
      </c>
      <c r="I947" s="140" t="s">
        <v>1809</v>
      </c>
      <c r="J947" s="140">
        <v>200000000</v>
      </c>
      <c r="K947" s="155" t="s">
        <v>221</v>
      </c>
      <c r="L947" s="140">
        <v>2795061</v>
      </c>
      <c r="M947" s="155" t="s">
        <v>46</v>
      </c>
      <c r="N947" s="10">
        <v>260</v>
      </c>
      <c r="O947" s="10">
        <v>102960000</v>
      </c>
      <c r="P947" s="140"/>
      <c r="Q947" t="s">
        <v>3564</v>
      </c>
    </row>
    <row r="948" spans="1:17" ht="43.5" hidden="1" x14ac:dyDescent="0.35">
      <c r="A948" s="155" t="e">
        <f t="shared" si="15"/>
        <v>#REF!</v>
      </c>
      <c r="B948" s="140" t="s">
        <v>18</v>
      </c>
      <c r="C948" s="140" t="s">
        <v>37</v>
      </c>
      <c r="D948" s="140" t="s">
        <v>1515</v>
      </c>
      <c r="E948" s="140" t="s">
        <v>2653</v>
      </c>
      <c r="F948" s="140" t="s">
        <v>373</v>
      </c>
      <c r="G948" s="140" t="s">
        <v>418</v>
      </c>
      <c r="H948" s="140" t="s">
        <v>418</v>
      </c>
      <c r="I948" s="140" t="s">
        <v>1809</v>
      </c>
      <c r="J948" s="140">
        <v>200000000</v>
      </c>
      <c r="K948" s="155" t="s">
        <v>221</v>
      </c>
      <c r="L948" s="140">
        <v>2795391</v>
      </c>
      <c r="M948" s="155" t="s">
        <v>46</v>
      </c>
      <c r="N948" s="10">
        <v>400</v>
      </c>
      <c r="O948" s="10">
        <v>101600000</v>
      </c>
      <c r="P948" s="140"/>
      <c r="Q948" t="s">
        <v>3564</v>
      </c>
    </row>
    <row r="949" spans="1:17" ht="43.5" hidden="1" x14ac:dyDescent="0.35">
      <c r="A949" s="155" t="e">
        <f t="shared" si="15"/>
        <v>#REF!</v>
      </c>
      <c r="B949" s="140" t="s">
        <v>18</v>
      </c>
      <c r="C949" s="140" t="s">
        <v>37</v>
      </c>
      <c r="D949" s="140" t="s">
        <v>1634</v>
      </c>
      <c r="E949" s="140" t="s">
        <v>2054</v>
      </c>
      <c r="F949" s="140" t="s">
        <v>2641</v>
      </c>
      <c r="G949" s="140" t="s">
        <v>418</v>
      </c>
      <c r="H949" s="140" t="s">
        <v>418</v>
      </c>
      <c r="I949" s="140" t="s">
        <v>366</v>
      </c>
      <c r="J949" s="140">
        <v>75000000</v>
      </c>
      <c r="K949" s="155" t="s">
        <v>221</v>
      </c>
      <c r="L949" s="140">
        <v>2792794</v>
      </c>
      <c r="M949" s="155" t="s">
        <v>46</v>
      </c>
      <c r="N949" s="10">
        <v>3</v>
      </c>
      <c r="O949" s="10">
        <v>75000000</v>
      </c>
      <c r="P949" s="140"/>
      <c r="Q949" t="s">
        <v>3564</v>
      </c>
    </row>
    <row r="950" spans="1:17" ht="43.5" hidden="1" x14ac:dyDescent="0.35">
      <c r="A950" s="155" t="e">
        <f t="shared" si="15"/>
        <v>#REF!</v>
      </c>
      <c r="B950" s="140" t="s">
        <v>18</v>
      </c>
      <c r="C950" s="140" t="s">
        <v>37</v>
      </c>
      <c r="D950" s="140" t="s">
        <v>1515</v>
      </c>
      <c r="E950" s="140" t="s">
        <v>2654</v>
      </c>
      <c r="F950" s="140" t="s">
        <v>373</v>
      </c>
      <c r="G950" s="140" t="s">
        <v>418</v>
      </c>
      <c r="H950" s="140" t="s">
        <v>420</v>
      </c>
      <c r="I950" s="140" t="s">
        <v>1809</v>
      </c>
      <c r="J950" s="140">
        <v>200000000</v>
      </c>
      <c r="K950" s="155" t="s">
        <v>221</v>
      </c>
      <c r="L950" s="140">
        <v>2795166</v>
      </c>
      <c r="M950" s="155" t="s">
        <v>46</v>
      </c>
      <c r="N950" s="10">
        <v>100</v>
      </c>
      <c r="O950" s="10">
        <v>25400000</v>
      </c>
      <c r="P950" s="140"/>
      <c r="Q950" t="s">
        <v>3564</v>
      </c>
    </row>
    <row r="951" spans="1:17" ht="43.5" hidden="1" x14ac:dyDescent="0.35">
      <c r="A951" s="155" t="e">
        <f>#REF!+1</f>
        <v>#REF!</v>
      </c>
      <c r="B951" s="140" t="s">
        <v>18</v>
      </c>
      <c r="C951" s="140" t="s">
        <v>37</v>
      </c>
      <c r="D951" s="140" t="s">
        <v>1634</v>
      </c>
      <c r="E951" s="140" t="s">
        <v>2054</v>
      </c>
      <c r="F951" s="140" t="s">
        <v>2655</v>
      </c>
      <c r="G951" s="140" t="s">
        <v>209</v>
      </c>
      <c r="H951" s="140" t="s">
        <v>2656</v>
      </c>
      <c r="I951" s="140" t="s">
        <v>1809</v>
      </c>
      <c r="J951" s="140">
        <v>50000000</v>
      </c>
      <c r="K951" s="155" t="s">
        <v>221</v>
      </c>
      <c r="L951" s="140">
        <v>2913339</v>
      </c>
      <c r="M951" s="155" t="s">
        <v>46</v>
      </c>
      <c r="N951" s="10">
        <v>2</v>
      </c>
      <c r="O951" s="10">
        <v>50000000</v>
      </c>
      <c r="P951" s="140"/>
      <c r="Q951" t="s">
        <v>3564</v>
      </c>
    </row>
    <row r="952" spans="1:17" ht="43.5" hidden="1" x14ac:dyDescent="0.35">
      <c r="A952" s="155" t="e">
        <f>#REF!+1</f>
        <v>#REF!</v>
      </c>
      <c r="B952" s="140" t="s">
        <v>18</v>
      </c>
      <c r="C952" s="140" t="s">
        <v>37</v>
      </c>
      <c r="D952" s="140" t="s">
        <v>1634</v>
      </c>
      <c r="E952" s="140" t="s">
        <v>2054</v>
      </c>
      <c r="F952" s="140" t="s">
        <v>2655</v>
      </c>
      <c r="G952" s="140" t="s">
        <v>209</v>
      </c>
      <c r="H952" s="140" t="s">
        <v>210</v>
      </c>
      <c r="I952" s="140" t="s">
        <v>1809</v>
      </c>
      <c r="J952" s="140">
        <v>50000000</v>
      </c>
      <c r="K952" s="155" t="s">
        <v>221</v>
      </c>
      <c r="L952" s="140">
        <v>2913339</v>
      </c>
      <c r="M952" s="155" t="s">
        <v>46</v>
      </c>
      <c r="N952" s="10">
        <v>2</v>
      </c>
      <c r="O952" s="10">
        <v>50000000</v>
      </c>
      <c r="P952" s="140"/>
      <c r="Q952" t="s">
        <v>3564</v>
      </c>
    </row>
    <row r="953" spans="1:17" ht="43.5" hidden="1" x14ac:dyDescent="0.35">
      <c r="A953" s="155" t="e">
        <f>#REF!+1</f>
        <v>#REF!</v>
      </c>
      <c r="B953" s="140" t="s">
        <v>18</v>
      </c>
      <c r="C953" s="140" t="s">
        <v>37</v>
      </c>
      <c r="D953" s="140" t="s">
        <v>1634</v>
      </c>
      <c r="E953" s="140" t="s">
        <v>2054</v>
      </c>
      <c r="F953" s="140" t="s">
        <v>2655</v>
      </c>
      <c r="G953" s="140" t="s">
        <v>209</v>
      </c>
      <c r="H953" s="140" t="s">
        <v>212</v>
      </c>
      <c r="I953" s="140" t="s">
        <v>1809</v>
      </c>
      <c r="J953" s="140">
        <v>50000000</v>
      </c>
      <c r="K953" s="155" t="s">
        <v>221</v>
      </c>
      <c r="L953" s="140">
        <v>2913339</v>
      </c>
      <c r="M953" s="155" t="s">
        <v>46</v>
      </c>
      <c r="N953" s="10">
        <v>2</v>
      </c>
      <c r="O953" s="10">
        <v>50000000</v>
      </c>
      <c r="P953" s="140"/>
      <c r="Q953" t="s">
        <v>3564</v>
      </c>
    </row>
    <row r="954" spans="1:17" ht="43.5" hidden="1" x14ac:dyDescent="0.35">
      <c r="A954" s="155" t="e">
        <f>#REF!+1</f>
        <v>#REF!</v>
      </c>
      <c r="B954" s="140" t="s">
        <v>18</v>
      </c>
      <c r="C954" s="140" t="s">
        <v>37</v>
      </c>
      <c r="D954" s="140" t="s">
        <v>1634</v>
      </c>
      <c r="E954" s="140" t="s">
        <v>2054</v>
      </c>
      <c r="F954" s="140" t="s">
        <v>2655</v>
      </c>
      <c r="G954" s="140" t="s">
        <v>209</v>
      </c>
      <c r="H954" s="140" t="s">
        <v>2657</v>
      </c>
      <c r="I954" s="140" t="s">
        <v>1809</v>
      </c>
      <c r="J954" s="140">
        <v>50000000</v>
      </c>
      <c r="K954" s="155" t="s">
        <v>221</v>
      </c>
      <c r="L954" s="140">
        <v>2913339</v>
      </c>
      <c r="M954" s="155" t="s">
        <v>46</v>
      </c>
      <c r="N954" s="10">
        <v>2</v>
      </c>
      <c r="O954" s="10">
        <v>50000000</v>
      </c>
      <c r="P954" s="140"/>
      <c r="Q954" t="s">
        <v>3564</v>
      </c>
    </row>
    <row r="955" spans="1:17" ht="43.5" hidden="1" x14ac:dyDescent="0.35">
      <c r="A955" s="155" t="e">
        <f>#REF!+1</f>
        <v>#REF!</v>
      </c>
      <c r="B955" s="140" t="s">
        <v>18</v>
      </c>
      <c r="C955" s="140" t="s">
        <v>37</v>
      </c>
      <c r="D955" s="140" t="s">
        <v>1521</v>
      </c>
      <c r="E955" s="140" t="s">
        <v>2054</v>
      </c>
      <c r="F955" s="140" t="s">
        <v>2655</v>
      </c>
      <c r="G955" s="140" t="s">
        <v>209</v>
      </c>
      <c r="H955" s="140" t="s">
        <v>2658</v>
      </c>
      <c r="I955" s="140" t="s">
        <v>2659</v>
      </c>
      <c r="J955" s="140">
        <v>50000000</v>
      </c>
      <c r="K955" s="155" t="s">
        <v>221</v>
      </c>
      <c r="L955" s="140">
        <v>2914649</v>
      </c>
      <c r="M955" s="155" t="s">
        <v>46</v>
      </c>
      <c r="N955" s="10" t="s">
        <v>122</v>
      </c>
      <c r="O955" s="10">
        <v>50000000</v>
      </c>
      <c r="P955" s="140" t="s">
        <v>1678</v>
      </c>
      <c r="Q955" t="s">
        <v>3586</v>
      </c>
    </row>
    <row r="956" spans="1:17" ht="43.5" hidden="1" x14ac:dyDescent="0.35">
      <c r="A956" s="155" t="e">
        <f t="shared" si="15"/>
        <v>#REF!</v>
      </c>
      <c r="B956" s="140" t="s">
        <v>18</v>
      </c>
      <c r="C956" s="140" t="s">
        <v>37</v>
      </c>
      <c r="D956" s="140" t="s">
        <v>1634</v>
      </c>
      <c r="E956" s="140" t="s">
        <v>2054</v>
      </c>
      <c r="F956" s="140" t="s">
        <v>48</v>
      </c>
      <c r="G956" s="140" t="s">
        <v>209</v>
      </c>
      <c r="H956" s="140" t="s">
        <v>214</v>
      </c>
      <c r="I956" s="140" t="s">
        <v>1809</v>
      </c>
      <c r="J956" s="140">
        <v>50000000</v>
      </c>
      <c r="K956" s="155" t="s">
        <v>221</v>
      </c>
      <c r="L956" s="140">
        <v>2913339</v>
      </c>
      <c r="M956" s="155" t="s">
        <v>46</v>
      </c>
      <c r="N956" s="10">
        <v>2</v>
      </c>
      <c r="O956" s="10">
        <v>50000000</v>
      </c>
      <c r="P956" s="140"/>
      <c r="Q956" t="s">
        <v>3564</v>
      </c>
    </row>
    <row r="957" spans="1:17" ht="43.5" hidden="1" x14ac:dyDescent="0.35">
      <c r="A957" s="155" t="e">
        <f>#REF!+1</f>
        <v>#REF!</v>
      </c>
      <c r="B957" s="140" t="s">
        <v>18</v>
      </c>
      <c r="C957" s="140" t="s">
        <v>37</v>
      </c>
      <c r="D957" s="140" t="s">
        <v>1634</v>
      </c>
      <c r="E957" s="140" t="s">
        <v>2054</v>
      </c>
      <c r="F957" s="140" t="s">
        <v>48</v>
      </c>
      <c r="G957" s="140" t="s">
        <v>209</v>
      </c>
      <c r="H957" s="140" t="s">
        <v>425</v>
      </c>
      <c r="I957" s="140" t="s">
        <v>1809</v>
      </c>
      <c r="J957" s="140">
        <v>50000000</v>
      </c>
      <c r="K957" s="155" t="s">
        <v>221</v>
      </c>
      <c r="L957" s="140">
        <v>2913339</v>
      </c>
      <c r="M957" s="155" t="s">
        <v>46</v>
      </c>
      <c r="N957" s="10">
        <v>2</v>
      </c>
      <c r="O957" s="10">
        <v>50000000</v>
      </c>
      <c r="P957" s="140"/>
      <c r="Q957" t="s">
        <v>3564</v>
      </c>
    </row>
    <row r="958" spans="1:17" ht="43.5" hidden="1" x14ac:dyDescent="0.35">
      <c r="A958" s="155" t="e">
        <f t="shared" si="15"/>
        <v>#REF!</v>
      </c>
      <c r="B958" s="140" t="s">
        <v>18</v>
      </c>
      <c r="C958" s="140" t="s">
        <v>37</v>
      </c>
      <c r="D958" s="140" t="s">
        <v>1634</v>
      </c>
      <c r="E958" s="140" t="s">
        <v>2054</v>
      </c>
      <c r="F958" s="140" t="s">
        <v>48</v>
      </c>
      <c r="G958" s="140" t="s">
        <v>209</v>
      </c>
      <c r="H958" s="140" t="s">
        <v>2660</v>
      </c>
      <c r="I958" s="140" t="s">
        <v>1809</v>
      </c>
      <c r="J958" s="140">
        <v>50000000</v>
      </c>
      <c r="K958" s="155" t="s">
        <v>221</v>
      </c>
      <c r="L958" s="140">
        <v>2913339</v>
      </c>
      <c r="M958" s="155" t="s">
        <v>46</v>
      </c>
      <c r="N958" s="10">
        <v>2</v>
      </c>
      <c r="O958" s="10">
        <v>50000000</v>
      </c>
      <c r="P958" s="140"/>
      <c r="Q958" t="s">
        <v>3564</v>
      </c>
    </row>
    <row r="959" spans="1:17" ht="43.5" hidden="1" x14ac:dyDescent="0.35">
      <c r="A959" s="155" t="e">
        <f t="shared" si="15"/>
        <v>#REF!</v>
      </c>
      <c r="B959" s="140" t="s">
        <v>18</v>
      </c>
      <c r="C959" s="140" t="s">
        <v>37</v>
      </c>
      <c r="D959" s="140" t="s">
        <v>1570</v>
      </c>
      <c r="E959" s="140" t="s">
        <v>2661</v>
      </c>
      <c r="F959" s="140" t="s">
        <v>48</v>
      </c>
      <c r="G959" s="140" t="s">
        <v>209</v>
      </c>
      <c r="H959" s="140" t="s">
        <v>2660</v>
      </c>
      <c r="I959" s="140" t="s">
        <v>2662</v>
      </c>
      <c r="J959" s="140">
        <v>50000000</v>
      </c>
      <c r="K959" s="155" t="s">
        <v>221</v>
      </c>
      <c r="L959" s="140" t="s">
        <v>48</v>
      </c>
      <c r="M959" s="155" t="s">
        <v>46</v>
      </c>
      <c r="N959" s="10" t="s">
        <v>2663</v>
      </c>
      <c r="O959" s="10">
        <v>50000000</v>
      </c>
      <c r="P959" s="140"/>
      <c r="Q959" t="s">
        <v>3586</v>
      </c>
    </row>
    <row r="960" spans="1:17" ht="43.5" hidden="1" x14ac:dyDescent="0.35">
      <c r="A960" s="155" t="e">
        <f>#REF!+1</f>
        <v>#REF!</v>
      </c>
      <c r="B960" s="140" t="s">
        <v>18</v>
      </c>
      <c r="C960" s="140" t="s">
        <v>37</v>
      </c>
      <c r="D960" s="140" t="s">
        <v>1634</v>
      </c>
      <c r="E960" s="140" t="s">
        <v>2054</v>
      </c>
      <c r="F960" s="140" t="s">
        <v>48</v>
      </c>
      <c r="G960" s="140" t="s">
        <v>209</v>
      </c>
      <c r="H960" s="140" t="s">
        <v>2664</v>
      </c>
      <c r="I960" s="140" t="s">
        <v>1809</v>
      </c>
      <c r="J960" s="140">
        <v>50000000</v>
      </c>
      <c r="K960" s="155" t="s">
        <v>221</v>
      </c>
      <c r="L960" s="140">
        <v>2913339</v>
      </c>
      <c r="M960" s="155" t="s">
        <v>46</v>
      </c>
      <c r="N960" s="10">
        <v>2</v>
      </c>
      <c r="O960" s="10">
        <v>50000000</v>
      </c>
      <c r="P960" s="140"/>
      <c r="Q960" t="s">
        <v>3564</v>
      </c>
    </row>
    <row r="961" spans="1:17" ht="43.5" hidden="1" x14ac:dyDescent="0.35">
      <c r="A961" s="155" t="e">
        <f>#REF!+1</f>
        <v>#REF!</v>
      </c>
      <c r="B961" s="140" t="s">
        <v>18</v>
      </c>
      <c r="C961" s="140" t="s">
        <v>37</v>
      </c>
      <c r="D961" s="140" t="s">
        <v>1634</v>
      </c>
      <c r="E961" s="140" t="s">
        <v>2054</v>
      </c>
      <c r="F961" s="140" t="s">
        <v>48</v>
      </c>
      <c r="G961" s="140" t="s">
        <v>209</v>
      </c>
      <c r="H961" s="140" t="s">
        <v>215</v>
      </c>
      <c r="I961" s="140" t="s">
        <v>1809</v>
      </c>
      <c r="J961" s="140">
        <v>50000000</v>
      </c>
      <c r="K961" s="155" t="s">
        <v>221</v>
      </c>
      <c r="L961" s="140">
        <v>2913339</v>
      </c>
      <c r="M961" s="155" t="s">
        <v>46</v>
      </c>
      <c r="N961" s="10">
        <v>2</v>
      </c>
      <c r="O961" s="10">
        <v>50000000</v>
      </c>
      <c r="P961" s="140"/>
      <c r="Q961" t="s">
        <v>3564</v>
      </c>
    </row>
    <row r="962" spans="1:17" ht="58" hidden="1" x14ac:dyDescent="0.35">
      <c r="A962" s="155" t="e">
        <f t="shared" si="15"/>
        <v>#REF!</v>
      </c>
      <c r="B962" s="140" t="s">
        <v>18</v>
      </c>
      <c r="C962" s="140" t="s">
        <v>37</v>
      </c>
      <c r="D962" s="140" t="s">
        <v>1515</v>
      </c>
      <c r="E962" s="140" t="s">
        <v>2665</v>
      </c>
      <c r="F962" s="140" t="s">
        <v>2666</v>
      </c>
      <c r="G962" s="140" t="s">
        <v>171</v>
      </c>
      <c r="H962" s="140" t="s">
        <v>2667</v>
      </c>
      <c r="I962" s="140" t="s">
        <v>2668</v>
      </c>
      <c r="J962" s="140">
        <v>100000000</v>
      </c>
      <c r="K962" s="155" t="s">
        <v>221</v>
      </c>
      <c r="L962" s="140">
        <v>2859677</v>
      </c>
      <c r="M962" s="155" t="s">
        <v>173</v>
      </c>
      <c r="N962" s="10">
        <v>250</v>
      </c>
      <c r="O962" s="10">
        <v>82000000</v>
      </c>
      <c r="P962" s="140" t="s">
        <v>2669</v>
      </c>
      <c r="Q962" t="s">
        <v>3564</v>
      </c>
    </row>
    <row r="963" spans="1:17" ht="43.5" hidden="1" x14ac:dyDescent="0.35">
      <c r="A963" s="155" t="e">
        <f t="shared" si="15"/>
        <v>#REF!</v>
      </c>
      <c r="B963" s="140" t="s">
        <v>18</v>
      </c>
      <c r="C963" s="140" t="s">
        <v>37</v>
      </c>
      <c r="D963" s="140" t="s">
        <v>1515</v>
      </c>
      <c r="E963" s="140" t="s">
        <v>2670</v>
      </c>
      <c r="F963" s="140" t="s">
        <v>2671</v>
      </c>
      <c r="G963" s="140" t="s">
        <v>171</v>
      </c>
      <c r="H963" s="140" t="s">
        <v>623</v>
      </c>
      <c r="I963" s="140" t="s">
        <v>2672</v>
      </c>
      <c r="J963" s="140">
        <v>150000000</v>
      </c>
      <c r="K963" s="155" t="s">
        <v>221</v>
      </c>
      <c r="L963" s="140">
        <v>2858898</v>
      </c>
      <c r="M963" s="155" t="s">
        <v>173</v>
      </c>
      <c r="N963" s="10">
        <v>1050</v>
      </c>
      <c r="O963" s="10">
        <v>246000000</v>
      </c>
      <c r="P963" s="140" t="s">
        <v>2669</v>
      </c>
      <c r="Q963" t="s">
        <v>3564</v>
      </c>
    </row>
    <row r="964" spans="1:17" ht="43.5" hidden="1" x14ac:dyDescent="0.35">
      <c r="A964" s="155" t="e">
        <f t="shared" si="15"/>
        <v>#REF!</v>
      </c>
      <c r="B964" s="140" t="s">
        <v>18</v>
      </c>
      <c r="C964" s="140" t="s">
        <v>37</v>
      </c>
      <c r="D964" s="140" t="s">
        <v>1515</v>
      </c>
      <c r="E964" s="140" t="s">
        <v>2673</v>
      </c>
      <c r="F964" s="140" t="s">
        <v>2674</v>
      </c>
      <c r="G964" s="140" t="s">
        <v>171</v>
      </c>
      <c r="H964" s="140" t="s">
        <v>2675</v>
      </c>
      <c r="I964" s="140" t="s">
        <v>2676</v>
      </c>
      <c r="J964" s="140">
        <v>125000000</v>
      </c>
      <c r="K964" s="155" t="s">
        <v>221</v>
      </c>
      <c r="L964" s="140">
        <v>2859797</v>
      </c>
      <c r="M964" s="155" t="s">
        <v>173</v>
      </c>
      <c r="N964" s="10">
        <v>170</v>
      </c>
      <c r="O964" s="10">
        <v>68000000</v>
      </c>
      <c r="P964" s="140" t="s">
        <v>2677</v>
      </c>
      <c r="Q964" t="s">
        <v>3564</v>
      </c>
    </row>
    <row r="965" spans="1:17" ht="58" hidden="1" x14ac:dyDescent="0.35">
      <c r="A965" s="155" t="e">
        <f t="shared" si="15"/>
        <v>#REF!</v>
      </c>
      <c r="B965" s="140" t="s">
        <v>18</v>
      </c>
      <c r="C965" s="140" t="s">
        <v>37</v>
      </c>
      <c r="D965" s="140" t="s">
        <v>1515</v>
      </c>
      <c r="E965" s="140" t="s">
        <v>2678</v>
      </c>
      <c r="F965" s="140" t="s">
        <v>2679</v>
      </c>
      <c r="G965" s="140" t="s">
        <v>171</v>
      </c>
      <c r="H965" s="140" t="s">
        <v>2680</v>
      </c>
      <c r="I965" s="140" t="s">
        <v>2681</v>
      </c>
      <c r="J965" s="140">
        <v>52500000</v>
      </c>
      <c r="K965" s="155" t="s">
        <v>221</v>
      </c>
      <c r="L965" s="140">
        <v>2901647</v>
      </c>
      <c r="M965" s="155" t="s">
        <v>173</v>
      </c>
      <c r="N965" s="10">
        <v>140</v>
      </c>
      <c r="O965" s="10">
        <v>56000000</v>
      </c>
      <c r="P965" s="140">
        <v>0</v>
      </c>
      <c r="Q965" t="s">
        <v>3564</v>
      </c>
    </row>
    <row r="966" spans="1:17" ht="43.5" hidden="1" x14ac:dyDescent="0.35">
      <c r="A966" s="155" t="e">
        <f t="shared" si="15"/>
        <v>#REF!</v>
      </c>
      <c r="B966" s="140" t="s">
        <v>18</v>
      </c>
      <c r="C966" s="140" t="s">
        <v>37</v>
      </c>
      <c r="D966" s="140" t="s">
        <v>1570</v>
      </c>
      <c r="E966" s="140" t="s">
        <v>2682</v>
      </c>
      <c r="F966" s="140" t="s">
        <v>2683</v>
      </c>
      <c r="G966" s="140" t="s">
        <v>906</v>
      </c>
      <c r="H966" s="140" t="s">
        <v>2684</v>
      </c>
      <c r="I966" s="140" t="s">
        <v>2650</v>
      </c>
      <c r="J966" s="140">
        <v>82050000</v>
      </c>
      <c r="K966" s="155" t="s">
        <v>221</v>
      </c>
      <c r="L966" s="140">
        <v>2955537</v>
      </c>
      <c r="M966" s="155" t="s">
        <v>173</v>
      </c>
      <c r="N966" s="10">
        <v>200</v>
      </c>
      <c r="O966" s="10">
        <v>113500000</v>
      </c>
      <c r="P966" s="140" t="s">
        <v>2685</v>
      </c>
      <c r="Q966" t="s">
        <v>3586</v>
      </c>
    </row>
    <row r="967" spans="1:17" ht="43.5" hidden="1" x14ac:dyDescent="0.35">
      <c r="A967" s="155" t="e">
        <f t="shared" si="15"/>
        <v>#REF!</v>
      </c>
      <c r="B967" s="140" t="s">
        <v>18</v>
      </c>
      <c r="C967" s="140" t="s">
        <v>37</v>
      </c>
      <c r="D967" s="140" t="s">
        <v>1570</v>
      </c>
      <c r="E967" s="140" t="s">
        <v>2686</v>
      </c>
      <c r="F967" s="140" t="s">
        <v>2687</v>
      </c>
      <c r="G967" s="140" t="s">
        <v>906</v>
      </c>
      <c r="H967" s="140" t="s">
        <v>2684</v>
      </c>
      <c r="I967" s="140" t="s">
        <v>2650</v>
      </c>
      <c r="J967" s="140">
        <v>82050000</v>
      </c>
      <c r="K967" s="155" t="s">
        <v>221</v>
      </c>
      <c r="L967" s="140">
        <v>2955537</v>
      </c>
      <c r="M967" s="155" t="s">
        <v>173</v>
      </c>
      <c r="N967" s="10">
        <v>200</v>
      </c>
      <c r="O967" s="10">
        <v>113500000</v>
      </c>
      <c r="P967" s="140" t="s">
        <v>2685</v>
      </c>
      <c r="Q967" t="s">
        <v>3586</v>
      </c>
    </row>
    <row r="968" spans="1:17" ht="43.5" hidden="1" x14ac:dyDescent="0.35">
      <c r="A968" s="155" t="e">
        <f t="shared" si="15"/>
        <v>#REF!</v>
      </c>
      <c r="B968" s="140" t="s">
        <v>18</v>
      </c>
      <c r="C968" s="140" t="s">
        <v>37</v>
      </c>
      <c r="D968" s="140" t="s">
        <v>1634</v>
      </c>
      <c r="E968" s="140" t="s">
        <v>2688</v>
      </c>
      <c r="F968" s="140" t="s">
        <v>2689</v>
      </c>
      <c r="G968" s="140" t="s">
        <v>906</v>
      </c>
      <c r="H968" s="140" t="s">
        <v>2684</v>
      </c>
      <c r="I968" s="140" t="s">
        <v>164</v>
      </c>
      <c r="J968" s="140">
        <v>100000000</v>
      </c>
      <c r="K968" s="155" t="s">
        <v>221</v>
      </c>
      <c r="L968" s="140">
        <v>2973418</v>
      </c>
      <c r="M968" s="155" t="s">
        <v>173</v>
      </c>
      <c r="N968" s="10">
        <v>3</v>
      </c>
      <c r="O968" s="10">
        <v>75000000</v>
      </c>
      <c r="P968" s="140" t="s">
        <v>2107</v>
      </c>
      <c r="Q968" t="s">
        <v>3564</v>
      </c>
    </row>
    <row r="969" spans="1:17" ht="43.5" hidden="1" x14ac:dyDescent="0.35">
      <c r="A969" s="155" t="e">
        <f t="shared" si="15"/>
        <v>#REF!</v>
      </c>
      <c r="B969" s="140" t="s">
        <v>18</v>
      </c>
      <c r="C969" s="140" t="s">
        <v>37</v>
      </c>
      <c r="D969" s="140" t="s">
        <v>1515</v>
      </c>
      <c r="E969" s="140" t="s">
        <v>2690</v>
      </c>
      <c r="F969" s="140" t="s">
        <v>2691</v>
      </c>
      <c r="G969" s="140" t="s">
        <v>906</v>
      </c>
      <c r="H969" s="140" t="s">
        <v>2692</v>
      </c>
      <c r="I969" s="140" t="s">
        <v>2650</v>
      </c>
      <c r="J969" s="140">
        <v>82050000</v>
      </c>
      <c r="K969" s="155" t="s">
        <v>221</v>
      </c>
      <c r="L969" s="140">
        <v>2870547</v>
      </c>
      <c r="M969" s="155" t="s">
        <v>173</v>
      </c>
      <c r="N969" s="10">
        <v>75</v>
      </c>
      <c r="O969" s="10">
        <v>113500000</v>
      </c>
      <c r="P969" s="140" t="s">
        <v>2685</v>
      </c>
      <c r="Q969" t="s">
        <v>3564</v>
      </c>
    </row>
    <row r="970" spans="1:17" ht="43.5" hidden="1" x14ac:dyDescent="0.35">
      <c r="A970" s="155" t="e">
        <f t="shared" si="15"/>
        <v>#REF!</v>
      </c>
      <c r="B970" s="140" t="s">
        <v>18</v>
      </c>
      <c r="C970" s="140" t="s">
        <v>37</v>
      </c>
      <c r="D970" s="140" t="s">
        <v>1515</v>
      </c>
      <c r="E970" s="140" t="s">
        <v>2693</v>
      </c>
      <c r="F970" s="140" t="s">
        <v>2694</v>
      </c>
      <c r="G970" s="140" t="s">
        <v>906</v>
      </c>
      <c r="H970" s="140" t="s">
        <v>2692</v>
      </c>
      <c r="I970" s="140" t="s">
        <v>2695</v>
      </c>
      <c r="J970" s="140">
        <v>95400000</v>
      </c>
      <c r="K970" s="155" t="s">
        <v>221</v>
      </c>
      <c r="L970" s="140">
        <v>2873746</v>
      </c>
      <c r="M970" s="155" t="s">
        <v>173</v>
      </c>
      <c r="N970" s="10">
        <v>200</v>
      </c>
      <c r="O970" s="10">
        <v>113500000</v>
      </c>
      <c r="P970" s="140" t="s">
        <v>2696</v>
      </c>
      <c r="Q970" t="s">
        <v>3564</v>
      </c>
    </row>
    <row r="971" spans="1:17" ht="43.5" hidden="1" x14ac:dyDescent="0.35">
      <c r="A971" s="155" t="e">
        <f t="shared" si="15"/>
        <v>#REF!</v>
      </c>
      <c r="B971" s="140" t="s">
        <v>18</v>
      </c>
      <c r="C971" s="140" t="s">
        <v>37</v>
      </c>
      <c r="D971" s="140" t="s">
        <v>1634</v>
      </c>
      <c r="E971" s="140" t="s">
        <v>2688</v>
      </c>
      <c r="F971" s="140" t="s">
        <v>2694</v>
      </c>
      <c r="G971" s="140" t="s">
        <v>906</v>
      </c>
      <c r="H971" s="140" t="s">
        <v>2692</v>
      </c>
      <c r="I971" s="140" t="s">
        <v>164</v>
      </c>
      <c r="J971" s="140">
        <v>100000000</v>
      </c>
      <c r="K971" s="155" t="s">
        <v>221</v>
      </c>
      <c r="L971" s="140">
        <v>2973418</v>
      </c>
      <c r="M971" s="155" t="s">
        <v>173</v>
      </c>
      <c r="N971" s="10">
        <v>3</v>
      </c>
      <c r="O971" s="10">
        <v>75000000</v>
      </c>
      <c r="P971" s="140" t="s">
        <v>2107</v>
      </c>
      <c r="Q971" t="s">
        <v>3564</v>
      </c>
    </row>
    <row r="972" spans="1:17" ht="43.5" hidden="1" x14ac:dyDescent="0.35">
      <c r="A972" s="155" t="e">
        <f t="shared" si="15"/>
        <v>#REF!</v>
      </c>
      <c r="B972" s="140" t="s">
        <v>18</v>
      </c>
      <c r="C972" s="140" t="s">
        <v>37</v>
      </c>
      <c r="D972" s="140" t="s">
        <v>1634</v>
      </c>
      <c r="E972" s="140" t="s">
        <v>2688</v>
      </c>
      <c r="F972" s="140" t="s">
        <v>2697</v>
      </c>
      <c r="G972" s="140" t="s">
        <v>906</v>
      </c>
      <c r="H972" s="140" t="s">
        <v>907</v>
      </c>
      <c r="I972" s="140" t="s">
        <v>164</v>
      </c>
      <c r="J972" s="140">
        <v>100000000</v>
      </c>
      <c r="K972" s="155" t="s">
        <v>221</v>
      </c>
      <c r="L972" s="140">
        <v>2955429</v>
      </c>
      <c r="M972" s="155" t="s">
        <v>173</v>
      </c>
      <c r="N972" s="10">
        <v>3</v>
      </c>
      <c r="O972" s="10">
        <v>75000000</v>
      </c>
      <c r="P972" s="140" t="s">
        <v>2107</v>
      </c>
      <c r="Q972" t="s">
        <v>3564</v>
      </c>
    </row>
    <row r="973" spans="1:17" ht="43.5" hidden="1" x14ac:dyDescent="0.35">
      <c r="A973" s="155" t="e">
        <f t="shared" si="15"/>
        <v>#REF!</v>
      </c>
      <c r="B973" s="140" t="s">
        <v>18</v>
      </c>
      <c r="C973" s="140" t="s">
        <v>37</v>
      </c>
      <c r="D973" s="140" t="s">
        <v>1515</v>
      </c>
      <c r="E973" s="140" t="s">
        <v>2698</v>
      </c>
      <c r="F973" s="140" t="s">
        <v>2699</v>
      </c>
      <c r="G973" s="140" t="s">
        <v>906</v>
      </c>
      <c r="H973" s="140" t="s">
        <v>2700</v>
      </c>
      <c r="I973" s="140" t="s">
        <v>2650</v>
      </c>
      <c r="J973" s="140">
        <v>82050000</v>
      </c>
      <c r="K973" s="155" t="s">
        <v>221</v>
      </c>
      <c r="L973" s="140">
        <v>2870585</v>
      </c>
      <c r="M973" s="155" t="s">
        <v>173</v>
      </c>
      <c r="N973" s="10">
        <v>200</v>
      </c>
      <c r="O973" s="10">
        <v>113500000</v>
      </c>
      <c r="P973" s="140" t="s">
        <v>2685</v>
      </c>
      <c r="Q973" t="s">
        <v>3564</v>
      </c>
    </row>
    <row r="974" spans="1:17" ht="43.5" hidden="1" x14ac:dyDescent="0.35">
      <c r="A974" s="155" t="e">
        <f t="shared" si="15"/>
        <v>#REF!</v>
      </c>
      <c r="B974" s="140" t="s">
        <v>18</v>
      </c>
      <c r="C974" s="140" t="s">
        <v>37</v>
      </c>
      <c r="D974" s="140" t="s">
        <v>1515</v>
      </c>
      <c r="E974" s="140" t="s">
        <v>2701</v>
      </c>
      <c r="F974" s="140" t="s">
        <v>2702</v>
      </c>
      <c r="G974" s="140" t="s">
        <v>906</v>
      </c>
      <c r="H974" s="140" t="s">
        <v>2700</v>
      </c>
      <c r="I974" s="140" t="s">
        <v>2695</v>
      </c>
      <c r="J974" s="140">
        <v>95400000</v>
      </c>
      <c r="K974" s="155" t="s">
        <v>221</v>
      </c>
      <c r="L974" s="140">
        <v>2872996</v>
      </c>
      <c r="M974" s="155" t="s">
        <v>173</v>
      </c>
      <c r="N974" s="10">
        <v>300</v>
      </c>
      <c r="O974" s="10">
        <v>102500000</v>
      </c>
      <c r="P974" s="140" t="s">
        <v>2696</v>
      </c>
      <c r="Q974" t="s">
        <v>3564</v>
      </c>
    </row>
    <row r="975" spans="1:17" ht="43.5" hidden="1" x14ac:dyDescent="0.35">
      <c r="A975" s="155" t="e">
        <f t="shared" si="15"/>
        <v>#REF!</v>
      </c>
      <c r="B975" s="140" t="s">
        <v>18</v>
      </c>
      <c r="C975" s="140" t="s">
        <v>37</v>
      </c>
      <c r="D975" s="140" t="s">
        <v>1634</v>
      </c>
      <c r="E975" s="140" t="s">
        <v>2688</v>
      </c>
      <c r="F975" s="140" t="s">
        <v>2702</v>
      </c>
      <c r="G975" s="140" t="s">
        <v>906</v>
      </c>
      <c r="H975" s="140" t="s">
        <v>2700</v>
      </c>
      <c r="I975" s="140" t="s">
        <v>164</v>
      </c>
      <c r="J975" s="140">
        <v>100000000</v>
      </c>
      <c r="K975" s="155" t="s">
        <v>221</v>
      </c>
      <c r="L975" s="140">
        <v>2973418</v>
      </c>
      <c r="M975" s="155" t="s">
        <v>173</v>
      </c>
      <c r="N975" s="10">
        <v>3</v>
      </c>
      <c r="O975" s="10">
        <v>75000000</v>
      </c>
      <c r="P975" s="140" t="s">
        <v>2107</v>
      </c>
      <c r="Q975" t="s">
        <v>3564</v>
      </c>
    </row>
    <row r="976" spans="1:17" ht="43.5" hidden="1" x14ac:dyDescent="0.35">
      <c r="A976" s="155" t="e">
        <f t="shared" si="15"/>
        <v>#REF!</v>
      </c>
      <c r="B976" s="140" t="s">
        <v>18</v>
      </c>
      <c r="C976" s="140" t="s">
        <v>37</v>
      </c>
      <c r="D976" s="140" t="s">
        <v>1570</v>
      </c>
      <c r="E976" s="140" t="s">
        <v>2703</v>
      </c>
      <c r="F976" s="140" t="s">
        <v>911</v>
      </c>
      <c r="G976" s="140" t="s">
        <v>912</v>
      </c>
      <c r="H976" s="140" t="s">
        <v>913</v>
      </c>
      <c r="I976" s="140" t="s">
        <v>561</v>
      </c>
      <c r="J976" s="140">
        <v>100000000</v>
      </c>
      <c r="K976" s="155" t="s">
        <v>221</v>
      </c>
      <c r="L976" s="140">
        <v>2790470</v>
      </c>
      <c r="M976" s="155" t="s">
        <v>173</v>
      </c>
      <c r="N976" s="10">
        <v>250</v>
      </c>
      <c r="O976" s="10">
        <v>100000000</v>
      </c>
      <c r="P976" s="140" t="s">
        <v>2677</v>
      </c>
      <c r="Q976" t="s">
        <v>3586</v>
      </c>
    </row>
    <row r="977" spans="1:17" ht="43.5" hidden="1" x14ac:dyDescent="0.35">
      <c r="A977" s="155" t="e">
        <f t="shared" si="15"/>
        <v>#REF!</v>
      </c>
      <c r="B977" s="140" t="s">
        <v>18</v>
      </c>
      <c r="C977" s="140" t="s">
        <v>37</v>
      </c>
      <c r="D977" s="140" t="s">
        <v>1515</v>
      </c>
      <c r="E977" s="140" t="s">
        <v>2704</v>
      </c>
      <c r="F977" s="140" t="s">
        <v>2705</v>
      </c>
      <c r="G977" s="140" t="s">
        <v>912</v>
      </c>
      <c r="H977" s="140" t="s">
        <v>2706</v>
      </c>
      <c r="I977" s="140" t="s">
        <v>561</v>
      </c>
      <c r="J977" s="140">
        <v>100000000</v>
      </c>
      <c r="K977" s="155" t="s">
        <v>221</v>
      </c>
      <c r="L977" s="140">
        <v>2790642</v>
      </c>
      <c r="M977" s="155" t="s">
        <v>173</v>
      </c>
      <c r="N977" s="10">
        <v>300</v>
      </c>
      <c r="O977" s="10">
        <v>100000000</v>
      </c>
      <c r="P977" s="140" t="s">
        <v>2677</v>
      </c>
      <c r="Q977" t="s">
        <v>3564</v>
      </c>
    </row>
    <row r="978" spans="1:17" ht="43.5" hidden="1" x14ac:dyDescent="0.35">
      <c r="A978" s="155" t="e">
        <f t="shared" si="15"/>
        <v>#REF!</v>
      </c>
      <c r="B978" s="140" t="s">
        <v>18</v>
      </c>
      <c r="C978" s="140" t="s">
        <v>37</v>
      </c>
      <c r="D978" s="140" t="s">
        <v>1570</v>
      </c>
      <c r="E978" s="140" t="s">
        <v>2707</v>
      </c>
      <c r="F978" s="140" t="s">
        <v>2708</v>
      </c>
      <c r="G978" s="140" t="s">
        <v>912</v>
      </c>
      <c r="H978" s="140" t="s">
        <v>1352</v>
      </c>
      <c r="I978" s="140" t="s">
        <v>2709</v>
      </c>
      <c r="J978" s="140">
        <v>100000000</v>
      </c>
      <c r="K978" s="155" t="s">
        <v>221</v>
      </c>
      <c r="L978" s="140">
        <v>2790595</v>
      </c>
      <c r="M978" s="155" t="s">
        <v>173</v>
      </c>
      <c r="N978" s="10">
        <v>105</v>
      </c>
      <c r="O978" s="10">
        <v>100000000</v>
      </c>
      <c r="P978" s="140" t="s">
        <v>2710</v>
      </c>
      <c r="Q978" t="s">
        <v>3586</v>
      </c>
    </row>
    <row r="979" spans="1:17" ht="43.5" hidden="1" x14ac:dyDescent="0.35">
      <c r="A979" s="155" t="e">
        <f>#REF!+1</f>
        <v>#REF!</v>
      </c>
      <c r="B979" s="140" t="s">
        <v>18</v>
      </c>
      <c r="C979" s="140" t="s">
        <v>37</v>
      </c>
      <c r="D979" s="140" t="s">
        <v>1634</v>
      </c>
      <c r="E979" s="140" t="s">
        <v>2711</v>
      </c>
      <c r="F979" s="140" t="s">
        <v>2712</v>
      </c>
      <c r="G979" s="140" t="s">
        <v>912</v>
      </c>
      <c r="H979" s="140" t="s">
        <v>2713</v>
      </c>
      <c r="I979" s="140" t="s">
        <v>2714</v>
      </c>
      <c r="J979" s="140">
        <v>105000000</v>
      </c>
      <c r="K979" s="155" t="s">
        <v>221</v>
      </c>
      <c r="L979" s="140">
        <v>2790563</v>
      </c>
      <c r="M979" s="155" t="s">
        <v>173</v>
      </c>
      <c r="N979" s="10">
        <v>3</v>
      </c>
      <c r="O979" s="10">
        <v>75000000</v>
      </c>
      <c r="P979" s="140"/>
      <c r="Q979" t="s">
        <v>3564</v>
      </c>
    </row>
    <row r="980" spans="1:17" ht="43.5" hidden="1" x14ac:dyDescent="0.35">
      <c r="A980" s="155" t="e">
        <f t="shared" si="15"/>
        <v>#REF!</v>
      </c>
      <c r="B980" s="140" t="s">
        <v>18</v>
      </c>
      <c r="C980" s="140" t="s">
        <v>37</v>
      </c>
      <c r="D980" s="140" t="s">
        <v>1515</v>
      </c>
      <c r="E980" s="140" t="s">
        <v>2715</v>
      </c>
      <c r="F980" s="140" t="s">
        <v>2712</v>
      </c>
      <c r="G980" s="140" t="s">
        <v>912</v>
      </c>
      <c r="H980" s="140" t="s">
        <v>2713</v>
      </c>
      <c r="I980" s="140" t="s">
        <v>1484</v>
      </c>
      <c r="J980" s="140">
        <v>100000000</v>
      </c>
      <c r="K980" s="155" t="s">
        <v>221</v>
      </c>
      <c r="L980" s="140">
        <v>2790673</v>
      </c>
      <c r="M980" s="155" t="s">
        <v>173</v>
      </c>
      <c r="N980" s="10">
        <v>112</v>
      </c>
      <c r="O980" s="10">
        <v>100000000</v>
      </c>
      <c r="P980" s="140" t="s">
        <v>2716</v>
      </c>
      <c r="Q980" t="s">
        <v>3564</v>
      </c>
    </row>
    <row r="981" spans="1:17" ht="43.5" hidden="1" x14ac:dyDescent="0.35">
      <c r="A981" s="155" t="e">
        <f t="shared" si="15"/>
        <v>#REF!</v>
      </c>
      <c r="B981" s="140" t="s">
        <v>18</v>
      </c>
      <c r="C981" s="140" t="s">
        <v>37</v>
      </c>
      <c r="D981" s="140" t="s">
        <v>1570</v>
      </c>
      <c r="E981" s="140" t="s">
        <v>2717</v>
      </c>
      <c r="F981" s="140" t="s">
        <v>2718</v>
      </c>
      <c r="G981" s="140" t="s">
        <v>912</v>
      </c>
      <c r="H981" s="140" t="s">
        <v>918</v>
      </c>
      <c r="I981" s="140" t="s">
        <v>1173</v>
      </c>
      <c r="J981" s="140">
        <v>100000000</v>
      </c>
      <c r="K981" s="155" t="s">
        <v>221</v>
      </c>
      <c r="L981" s="140">
        <v>2790449</v>
      </c>
      <c r="M981" s="155" t="s">
        <v>173</v>
      </c>
      <c r="N981" s="10">
        <v>50</v>
      </c>
      <c r="O981" s="10">
        <v>100000000</v>
      </c>
      <c r="P981" s="140" t="s">
        <v>2710</v>
      </c>
      <c r="Q981" t="s">
        <v>3586</v>
      </c>
    </row>
    <row r="982" spans="1:17" ht="43.5" hidden="1" x14ac:dyDescent="0.35">
      <c r="A982" s="155" t="e">
        <f t="shared" si="15"/>
        <v>#REF!</v>
      </c>
      <c r="B982" s="140" t="s">
        <v>18</v>
      </c>
      <c r="C982" s="140" t="s">
        <v>37</v>
      </c>
      <c r="D982" s="140" t="s">
        <v>1515</v>
      </c>
      <c r="E982" s="140" t="s">
        <v>2719</v>
      </c>
      <c r="F982" s="140" t="s">
        <v>2720</v>
      </c>
      <c r="G982" s="140" t="s">
        <v>912</v>
      </c>
      <c r="H982" s="140" t="s">
        <v>2721</v>
      </c>
      <c r="I982" s="140" t="s">
        <v>561</v>
      </c>
      <c r="J982" s="140">
        <v>100000000</v>
      </c>
      <c r="K982" s="155" t="s">
        <v>221</v>
      </c>
      <c r="L982" s="140">
        <v>2790415</v>
      </c>
      <c r="M982" s="155" t="s">
        <v>173</v>
      </c>
      <c r="N982" s="10">
        <v>50</v>
      </c>
      <c r="O982" s="10">
        <v>100000000</v>
      </c>
      <c r="P982" s="140" t="s">
        <v>2710</v>
      </c>
      <c r="Q982" t="s">
        <v>3564</v>
      </c>
    </row>
    <row r="983" spans="1:17" ht="43.5" hidden="1" x14ac:dyDescent="0.35">
      <c r="A983" s="155" t="e">
        <f t="shared" si="15"/>
        <v>#REF!</v>
      </c>
      <c r="B983" s="140" t="s">
        <v>18</v>
      </c>
      <c r="C983" s="140" t="s">
        <v>37</v>
      </c>
      <c r="D983" s="140" t="s">
        <v>1570</v>
      </c>
      <c r="E983" s="140" t="s">
        <v>1571</v>
      </c>
      <c r="F983" s="140" t="s">
        <v>2722</v>
      </c>
      <c r="G983" s="140" t="s">
        <v>749</v>
      </c>
      <c r="H983" s="140" t="s">
        <v>2723</v>
      </c>
      <c r="I983" s="140" t="s">
        <v>2724</v>
      </c>
      <c r="J983" s="140">
        <v>50000000</v>
      </c>
      <c r="K983" s="155" t="s">
        <v>221</v>
      </c>
      <c r="L983" s="140">
        <v>2979602</v>
      </c>
      <c r="M983" s="155" t="s">
        <v>173</v>
      </c>
      <c r="N983" s="10">
        <v>35</v>
      </c>
      <c r="O983" s="10">
        <v>100000000</v>
      </c>
      <c r="P983" s="140"/>
      <c r="Q983" t="s">
        <v>3586</v>
      </c>
    </row>
    <row r="984" spans="1:17" ht="43.5" hidden="1" x14ac:dyDescent="0.35">
      <c r="A984" s="155" t="e">
        <f t="shared" si="15"/>
        <v>#REF!</v>
      </c>
      <c r="B984" s="140" t="s">
        <v>18</v>
      </c>
      <c r="C984" s="140" t="s">
        <v>37</v>
      </c>
      <c r="D984" s="140" t="s">
        <v>1515</v>
      </c>
      <c r="E984" s="140" t="s">
        <v>2725</v>
      </c>
      <c r="F984" s="140" t="s">
        <v>2726</v>
      </c>
      <c r="G984" s="140" t="s">
        <v>749</v>
      </c>
      <c r="H984" s="140" t="s">
        <v>2727</v>
      </c>
      <c r="I984" s="140" t="s">
        <v>2037</v>
      </c>
      <c r="J984" s="140">
        <v>50000000</v>
      </c>
      <c r="K984" s="155" t="s">
        <v>221</v>
      </c>
      <c r="L984" s="140">
        <v>3011245</v>
      </c>
      <c r="M984" s="155" t="s">
        <v>173</v>
      </c>
      <c r="N984" s="10">
        <v>165</v>
      </c>
      <c r="O984" s="10">
        <v>100000000</v>
      </c>
      <c r="P984" s="140">
        <v>55</v>
      </c>
      <c r="Q984" t="s">
        <v>3564</v>
      </c>
    </row>
    <row r="985" spans="1:17" ht="43.5" hidden="1" x14ac:dyDescent="0.35">
      <c r="A985" s="155" t="e">
        <f t="shared" si="15"/>
        <v>#REF!</v>
      </c>
      <c r="B985" s="140" t="s">
        <v>18</v>
      </c>
      <c r="C985" s="140" t="s">
        <v>37</v>
      </c>
      <c r="D985" s="140" t="s">
        <v>1515</v>
      </c>
      <c r="E985" s="140" t="s">
        <v>2728</v>
      </c>
      <c r="F985" s="140" t="s">
        <v>2729</v>
      </c>
      <c r="G985" s="140" t="s">
        <v>749</v>
      </c>
      <c r="H985" s="140" t="s">
        <v>2730</v>
      </c>
      <c r="I985" s="140" t="s">
        <v>2184</v>
      </c>
      <c r="J985" s="140">
        <v>62700000</v>
      </c>
      <c r="K985" s="155" t="s">
        <v>221</v>
      </c>
      <c r="L985" s="140">
        <v>3011115</v>
      </c>
      <c r="M985" s="155" t="s">
        <v>173</v>
      </c>
      <c r="N985" s="10" t="s">
        <v>2731</v>
      </c>
      <c r="O985" s="10">
        <v>100000000</v>
      </c>
      <c r="P985" s="140"/>
      <c r="Q985" t="s">
        <v>3564</v>
      </c>
    </row>
    <row r="986" spans="1:17" ht="43.5" hidden="1" x14ac:dyDescent="0.35">
      <c r="A986" s="155" t="e">
        <f t="shared" si="15"/>
        <v>#REF!</v>
      </c>
      <c r="B986" s="140" t="s">
        <v>18</v>
      </c>
      <c r="C986" s="140" t="s">
        <v>37</v>
      </c>
      <c r="D986" s="140" t="s">
        <v>1515</v>
      </c>
      <c r="E986" s="140" t="s">
        <v>2732</v>
      </c>
      <c r="F986" s="140" t="s">
        <v>2733</v>
      </c>
      <c r="G986" s="140" t="s">
        <v>749</v>
      </c>
      <c r="H986" s="140" t="s">
        <v>2734</v>
      </c>
      <c r="I986" s="140" t="s">
        <v>1219</v>
      </c>
      <c r="J986" s="140">
        <v>100000000</v>
      </c>
      <c r="K986" s="155" t="s">
        <v>221</v>
      </c>
      <c r="L986" s="140">
        <v>2935104</v>
      </c>
      <c r="M986" s="155" t="s">
        <v>173</v>
      </c>
      <c r="N986" s="10" t="s">
        <v>2735</v>
      </c>
      <c r="O986" s="10">
        <v>100000000</v>
      </c>
      <c r="P986" s="140"/>
      <c r="Q986" t="s">
        <v>3564</v>
      </c>
    </row>
    <row r="987" spans="1:17" ht="43.5" hidden="1" x14ac:dyDescent="0.35">
      <c r="A987" s="155" t="e">
        <f t="shared" si="15"/>
        <v>#REF!</v>
      </c>
      <c r="B987" s="140" t="s">
        <v>18</v>
      </c>
      <c r="C987" s="140" t="s">
        <v>37</v>
      </c>
      <c r="D987" s="140" t="s">
        <v>1515</v>
      </c>
      <c r="E987" s="140" t="s">
        <v>2736</v>
      </c>
      <c r="F987" s="140" t="s">
        <v>2737</v>
      </c>
      <c r="G987" s="140" t="s">
        <v>749</v>
      </c>
      <c r="H987" s="140" t="s">
        <v>2738</v>
      </c>
      <c r="I987" s="140" t="s">
        <v>1426</v>
      </c>
      <c r="J987" s="140">
        <v>100000000</v>
      </c>
      <c r="K987" s="155" t="s">
        <v>221</v>
      </c>
      <c r="L987" s="140">
        <v>2979790</v>
      </c>
      <c r="M987" s="155" t="s">
        <v>173</v>
      </c>
      <c r="N987" s="10" t="s">
        <v>2739</v>
      </c>
      <c r="O987" s="10">
        <v>100000000</v>
      </c>
      <c r="P987" s="140"/>
      <c r="Q987" t="s">
        <v>3564</v>
      </c>
    </row>
    <row r="988" spans="1:17" ht="87" hidden="1" x14ac:dyDescent="0.35">
      <c r="A988" s="155" t="e">
        <f t="shared" si="15"/>
        <v>#REF!</v>
      </c>
      <c r="B988" s="140" t="s">
        <v>18</v>
      </c>
      <c r="C988" s="140" t="s">
        <v>37</v>
      </c>
      <c r="D988" s="140" t="s">
        <v>1515</v>
      </c>
      <c r="E988" s="140" t="s">
        <v>2740</v>
      </c>
      <c r="F988" s="140" t="s">
        <v>2741</v>
      </c>
      <c r="G988" s="140" t="s">
        <v>626</v>
      </c>
      <c r="H988" s="140" t="s">
        <v>2742</v>
      </c>
      <c r="I988" s="140" t="s">
        <v>2743</v>
      </c>
      <c r="J988" s="140">
        <v>100000000</v>
      </c>
      <c r="K988" s="155" t="s">
        <v>221</v>
      </c>
      <c r="L988" s="140">
        <v>2852435</v>
      </c>
      <c r="M988" s="155" t="s">
        <v>173</v>
      </c>
      <c r="N988" s="10">
        <v>150</v>
      </c>
      <c r="O988" s="10">
        <v>100000000</v>
      </c>
      <c r="P988" s="140" t="s">
        <v>2744</v>
      </c>
      <c r="Q988" t="s">
        <v>3564</v>
      </c>
    </row>
    <row r="989" spans="1:17" ht="87" hidden="1" x14ac:dyDescent="0.35">
      <c r="A989" s="155" t="e">
        <f t="shared" si="15"/>
        <v>#REF!</v>
      </c>
      <c r="B989" s="140" t="s">
        <v>18</v>
      </c>
      <c r="C989" s="140" t="s">
        <v>37</v>
      </c>
      <c r="D989" s="140" t="s">
        <v>1515</v>
      </c>
      <c r="E989" s="140" t="s">
        <v>2745</v>
      </c>
      <c r="F989" s="140" t="s">
        <v>2746</v>
      </c>
      <c r="G989" s="140" t="s">
        <v>626</v>
      </c>
      <c r="H989" s="140" t="s">
        <v>2747</v>
      </c>
      <c r="I989" s="140" t="s">
        <v>628</v>
      </c>
      <c r="J989" s="140">
        <v>50000000</v>
      </c>
      <c r="K989" s="155" t="s">
        <v>221</v>
      </c>
      <c r="L989" s="140">
        <v>2872834</v>
      </c>
      <c r="M989" s="155" t="s">
        <v>173</v>
      </c>
      <c r="N989" s="10">
        <v>300</v>
      </c>
      <c r="O989" s="10">
        <v>98400000</v>
      </c>
      <c r="P989" s="140" t="s">
        <v>2744</v>
      </c>
      <c r="Q989" t="s">
        <v>3564</v>
      </c>
    </row>
    <row r="990" spans="1:17" ht="58" hidden="1" x14ac:dyDescent="0.35">
      <c r="A990" s="155" t="e">
        <f t="shared" si="15"/>
        <v>#REF!</v>
      </c>
      <c r="B990" s="140" t="s">
        <v>18</v>
      </c>
      <c r="C990" s="140" t="s">
        <v>37</v>
      </c>
      <c r="D990" s="140" t="s">
        <v>1515</v>
      </c>
      <c r="E990" s="140" t="s">
        <v>2748</v>
      </c>
      <c r="F990" s="140" t="s">
        <v>2749</v>
      </c>
      <c r="G990" s="140" t="s">
        <v>626</v>
      </c>
      <c r="H990" s="140" t="s">
        <v>2750</v>
      </c>
      <c r="I990" s="140" t="s">
        <v>48</v>
      </c>
      <c r="J990" s="140">
        <v>100000000</v>
      </c>
      <c r="K990" s="155" t="s">
        <v>221</v>
      </c>
      <c r="L990" s="140">
        <v>2953196</v>
      </c>
      <c r="M990" s="155" t="s">
        <v>173</v>
      </c>
      <c r="N990" s="10">
        <v>150</v>
      </c>
      <c r="O990" s="10">
        <v>100000000</v>
      </c>
      <c r="P990" s="140" t="s">
        <v>2751</v>
      </c>
      <c r="Q990" t="s">
        <v>3564</v>
      </c>
    </row>
    <row r="991" spans="1:17" ht="87" hidden="1" x14ac:dyDescent="0.35">
      <c r="A991" s="155" t="e">
        <f t="shared" si="15"/>
        <v>#REF!</v>
      </c>
      <c r="B991" s="140" t="s">
        <v>18</v>
      </c>
      <c r="C991" s="140" t="s">
        <v>37</v>
      </c>
      <c r="D991" s="140" t="s">
        <v>1515</v>
      </c>
      <c r="E991" s="140" t="s">
        <v>2752</v>
      </c>
      <c r="F991" s="140" t="s">
        <v>2753</v>
      </c>
      <c r="G991" s="140" t="s">
        <v>626</v>
      </c>
      <c r="H991" s="140" t="s">
        <v>2754</v>
      </c>
      <c r="I991" s="140" t="s">
        <v>628</v>
      </c>
      <c r="J991" s="140">
        <v>100000000</v>
      </c>
      <c r="K991" s="155" t="s">
        <v>221</v>
      </c>
      <c r="L991" s="140">
        <v>2889488</v>
      </c>
      <c r="M991" s="155" t="s">
        <v>173</v>
      </c>
      <c r="N991" s="10">
        <v>100</v>
      </c>
      <c r="O991" s="10">
        <v>171705000</v>
      </c>
      <c r="P991" s="140" t="s">
        <v>2755</v>
      </c>
      <c r="Q991" t="s">
        <v>3564</v>
      </c>
    </row>
    <row r="992" spans="1:17" ht="72.5" hidden="1" x14ac:dyDescent="0.35">
      <c r="A992" s="155" t="e">
        <f t="shared" si="15"/>
        <v>#REF!</v>
      </c>
      <c r="B992" s="140" t="s">
        <v>18</v>
      </c>
      <c r="C992" s="140" t="s">
        <v>37</v>
      </c>
      <c r="D992" s="140" t="s">
        <v>1515</v>
      </c>
      <c r="E992" s="140" t="s">
        <v>2756</v>
      </c>
      <c r="F992" s="140" t="s">
        <v>2757</v>
      </c>
      <c r="G992" s="140" t="s">
        <v>626</v>
      </c>
      <c r="H992" s="140" t="s">
        <v>2758</v>
      </c>
      <c r="I992" s="140" t="s">
        <v>628</v>
      </c>
      <c r="J992" s="140">
        <v>50000000</v>
      </c>
      <c r="K992" s="155" t="s">
        <v>221</v>
      </c>
      <c r="L992" s="140">
        <v>2963843</v>
      </c>
      <c r="M992" s="155" t="s">
        <v>173</v>
      </c>
      <c r="N992" s="10">
        <v>180</v>
      </c>
      <c r="O992" s="10">
        <v>53946000</v>
      </c>
      <c r="P992" s="140" t="s">
        <v>2759</v>
      </c>
      <c r="Q992" t="s">
        <v>3564</v>
      </c>
    </row>
    <row r="993" spans="1:17" ht="72.5" hidden="1" x14ac:dyDescent="0.35">
      <c r="A993" s="155" t="e">
        <f t="shared" si="15"/>
        <v>#REF!</v>
      </c>
      <c r="B993" s="140" t="s">
        <v>18</v>
      </c>
      <c r="C993" s="140" t="s">
        <v>37</v>
      </c>
      <c r="D993" s="140" t="s">
        <v>1515</v>
      </c>
      <c r="E993" s="140" t="s">
        <v>2760</v>
      </c>
      <c r="F993" s="140" t="s">
        <v>2757</v>
      </c>
      <c r="G993" s="140" t="s">
        <v>626</v>
      </c>
      <c r="H993" s="140" t="s">
        <v>2758</v>
      </c>
      <c r="I993" s="140" t="s">
        <v>628</v>
      </c>
      <c r="J993" s="140">
        <v>50000000</v>
      </c>
      <c r="K993" s="155" t="s">
        <v>221</v>
      </c>
      <c r="L993" s="140">
        <v>2964119</v>
      </c>
      <c r="M993" s="155" t="s">
        <v>173</v>
      </c>
      <c r="N993" s="10">
        <v>170</v>
      </c>
      <c r="O993" s="10">
        <v>50949000</v>
      </c>
      <c r="P993" s="140" t="s">
        <v>2759</v>
      </c>
      <c r="Q993" t="s">
        <v>3564</v>
      </c>
    </row>
    <row r="994" spans="1:17" ht="58" hidden="1" x14ac:dyDescent="0.35">
      <c r="A994" s="155" t="e">
        <f t="shared" ref="A994:A1057" si="16">A993+1</f>
        <v>#REF!</v>
      </c>
      <c r="B994" s="140" t="s">
        <v>71</v>
      </c>
      <c r="C994" s="140" t="s">
        <v>551</v>
      </c>
      <c r="D994" s="140" t="s">
        <v>1515</v>
      </c>
      <c r="E994" s="140" t="s">
        <v>2761</v>
      </c>
      <c r="F994" s="140" t="s">
        <v>2762</v>
      </c>
      <c r="G994" s="140" t="s">
        <v>626</v>
      </c>
      <c r="H994" s="140" t="s">
        <v>634</v>
      </c>
      <c r="I994" s="140" t="s">
        <v>35</v>
      </c>
      <c r="J994" s="140">
        <v>100000000</v>
      </c>
      <c r="K994" s="155" t="s">
        <v>221</v>
      </c>
      <c r="L994" s="140">
        <v>2895344</v>
      </c>
      <c r="M994" s="155" t="s">
        <v>173</v>
      </c>
      <c r="N994" s="10">
        <v>100</v>
      </c>
      <c r="O994" s="10">
        <v>175000000</v>
      </c>
      <c r="P994" s="140" t="s">
        <v>2763</v>
      </c>
      <c r="Q994" t="s">
        <v>3564</v>
      </c>
    </row>
    <row r="995" spans="1:17" ht="43.5" hidden="1" x14ac:dyDescent="0.35">
      <c r="A995" s="155" t="e">
        <f t="shared" si="16"/>
        <v>#REF!</v>
      </c>
      <c r="B995" s="140" t="s">
        <v>18</v>
      </c>
      <c r="C995" s="140" t="s">
        <v>37</v>
      </c>
      <c r="D995" s="140" t="s">
        <v>1570</v>
      </c>
      <c r="E995" s="140" t="s">
        <v>2764</v>
      </c>
      <c r="F995" s="140" t="s">
        <v>2765</v>
      </c>
      <c r="G995" s="140" t="s">
        <v>970</v>
      </c>
      <c r="H995" s="140" t="s">
        <v>2766</v>
      </c>
      <c r="I995" s="140" t="s">
        <v>2767</v>
      </c>
      <c r="J995" s="140">
        <v>79600000</v>
      </c>
      <c r="K995" s="155" t="s">
        <v>221</v>
      </c>
      <c r="L995" s="140">
        <v>3010328</v>
      </c>
      <c r="M995" s="155" t="s">
        <v>173</v>
      </c>
      <c r="N995" s="10">
        <v>75</v>
      </c>
      <c r="O995" s="10">
        <v>75000000</v>
      </c>
      <c r="P995" s="140" t="s">
        <v>2685</v>
      </c>
      <c r="Q995" t="s">
        <v>3586</v>
      </c>
    </row>
    <row r="996" spans="1:17" ht="43.5" hidden="1" x14ac:dyDescent="0.35">
      <c r="A996" s="155" t="e">
        <f t="shared" si="16"/>
        <v>#REF!</v>
      </c>
      <c r="B996" s="140" t="s">
        <v>18</v>
      </c>
      <c r="C996" s="140" t="s">
        <v>37</v>
      </c>
      <c r="D996" s="140" t="s">
        <v>1515</v>
      </c>
      <c r="E996" s="140" t="s">
        <v>2768</v>
      </c>
      <c r="F996" s="140" t="s">
        <v>2769</v>
      </c>
      <c r="G996" s="140" t="s">
        <v>970</v>
      </c>
      <c r="H996" s="140" t="s">
        <v>2770</v>
      </c>
      <c r="I996" s="140" t="s">
        <v>35</v>
      </c>
      <c r="J996" s="140">
        <v>88000000</v>
      </c>
      <c r="K996" s="155" t="s">
        <v>221</v>
      </c>
      <c r="L996" s="140">
        <v>3011820</v>
      </c>
      <c r="M996" s="155" t="s">
        <v>173</v>
      </c>
      <c r="N996" s="10">
        <v>300</v>
      </c>
      <c r="O996" s="10">
        <v>88800000</v>
      </c>
      <c r="P996" s="140" t="s">
        <v>2771</v>
      </c>
      <c r="Q996" t="s">
        <v>3564</v>
      </c>
    </row>
    <row r="997" spans="1:17" ht="43.5" hidden="1" x14ac:dyDescent="0.35">
      <c r="A997" s="155" t="e">
        <f t="shared" si="16"/>
        <v>#REF!</v>
      </c>
      <c r="B997" s="140" t="s">
        <v>18</v>
      </c>
      <c r="C997" s="140" t="s">
        <v>37</v>
      </c>
      <c r="D997" s="140" t="s">
        <v>1515</v>
      </c>
      <c r="E997" s="140" t="s">
        <v>2768</v>
      </c>
      <c r="F997" s="140" t="s">
        <v>2772</v>
      </c>
      <c r="G997" s="140" t="s">
        <v>970</v>
      </c>
      <c r="H997" s="140" t="s">
        <v>2773</v>
      </c>
      <c r="I997" s="140" t="s">
        <v>431</v>
      </c>
      <c r="J997" s="140">
        <v>50000000</v>
      </c>
      <c r="K997" s="155" t="s">
        <v>221</v>
      </c>
      <c r="L997" s="140">
        <v>3011731</v>
      </c>
      <c r="M997" s="155" t="s">
        <v>173</v>
      </c>
      <c r="N997" s="10">
        <v>300</v>
      </c>
      <c r="O997" s="10">
        <v>85000000</v>
      </c>
      <c r="P997" s="140" t="s">
        <v>2774</v>
      </c>
      <c r="Q997" t="s">
        <v>3564</v>
      </c>
    </row>
    <row r="998" spans="1:17" ht="43.5" hidden="1" x14ac:dyDescent="0.35">
      <c r="A998" s="155" t="e">
        <f t="shared" si="16"/>
        <v>#REF!</v>
      </c>
      <c r="B998" s="140" t="s">
        <v>18</v>
      </c>
      <c r="C998" s="140" t="s">
        <v>37</v>
      </c>
      <c r="D998" s="140" t="s">
        <v>1515</v>
      </c>
      <c r="E998" s="140" t="s">
        <v>2768</v>
      </c>
      <c r="F998" s="140" t="s">
        <v>2775</v>
      </c>
      <c r="G998" s="140" t="s">
        <v>970</v>
      </c>
      <c r="H998" s="140" t="s">
        <v>2776</v>
      </c>
      <c r="I998" s="140" t="s">
        <v>35</v>
      </c>
      <c r="J998" s="140">
        <v>59600000</v>
      </c>
      <c r="K998" s="155" t="s">
        <v>221</v>
      </c>
      <c r="L998" s="140">
        <v>3011739</v>
      </c>
      <c r="M998" s="155" t="s">
        <v>173</v>
      </c>
      <c r="N998" s="10">
        <v>220</v>
      </c>
      <c r="O998" s="10">
        <v>65000000</v>
      </c>
      <c r="P998" s="140" t="s">
        <v>2777</v>
      </c>
      <c r="Q998" t="s">
        <v>3564</v>
      </c>
    </row>
    <row r="999" spans="1:17" ht="43.5" hidden="1" x14ac:dyDescent="0.35">
      <c r="A999" s="155" t="e">
        <f t="shared" si="16"/>
        <v>#REF!</v>
      </c>
      <c r="B999" s="140" t="s">
        <v>18</v>
      </c>
      <c r="C999" s="140" t="s">
        <v>37</v>
      </c>
      <c r="D999" s="140" t="s">
        <v>1515</v>
      </c>
      <c r="E999" s="140" t="s">
        <v>2768</v>
      </c>
      <c r="F999" s="140" t="s">
        <v>2778</v>
      </c>
      <c r="G999" s="140" t="s">
        <v>970</v>
      </c>
      <c r="H999" s="140" t="s">
        <v>2779</v>
      </c>
      <c r="I999" s="140" t="s">
        <v>628</v>
      </c>
      <c r="J999" s="140">
        <v>79600000</v>
      </c>
      <c r="K999" s="155" t="s">
        <v>221</v>
      </c>
      <c r="L999" s="140">
        <v>3011756</v>
      </c>
      <c r="M999" s="155" t="s">
        <v>173</v>
      </c>
      <c r="N999" s="10">
        <v>280</v>
      </c>
      <c r="O999" s="10">
        <v>80000000</v>
      </c>
      <c r="P999" s="140" t="s">
        <v>2777</v>
      </c>
      <c r="Q999" t="s">
        <v>3564</v>
      </c>
    </row>
    <row r="1000" spans="1:17" ht="43.5" hidden="1" x14ac:dyDescent="0.35">
      <c r="A1000" s="155" t="e">
        <f t="shared" si="16"/>
        <v>#REF!</v>
      </c>
      <c r="B1000" s="140" t="s">
        <v>18</v>
      </c>
      <c r="C1000" s="140" t="s">
        <v>37</v>
      </c>
      <c r="D1000" s="140" t="s">
        <v>476</v>
      </c>
      <c r="E1000" s="140" t="s">
        <v>2780</v>
      </c>
      <c r="F1000" s="140" t="s">
        <v>2781</v>
      </c>
      <c r="G1000" s="140" t="s">
        <v>970</v>
      </c>
      <c r="H1000" s="140" t="s">
        <v>2782</v>
      </c>
      <c r="I1000" s="140" t="s">
        <v>431</v>
      </c>
      <c r="J1000" s="140">
        <v>85000000</v>
      </c>
      <c r="K1000" s="155" t="s">
        <v>221</v>
      </c>
      <c r="L1000" s="140">
        <v>3010845</v>
      </c>
      <c r="M1000" s="155" t="s">
        <v>173</v>
      </c>
      <c r="N1000" s="10">
        <v>10</v>
      </c>
      <c r="O1000" s="10">
        <v>314178000</v>
      </c>
      <c r="P1000" s="140" t="s">
        <v>1747</v>
      </c>
      <c r="Q1000" t="s">
        <v>3586</v>
      </c>
    </row>
    <row r="1001" spans="1:17" ht="43.5" hidden="1" x14ac:dyDescent="0.35">
      <c r="A1001" s="155" t="e">
        <f t="shared" si="16"/>
        <v>#REF!</v>
      </c>
      <c r="B1001" s="140" t="s">
        <v>18</v>
      </c>
      <c r="C1001" s="140" t="s">
        <v>37</v>
      </c>
      <c r="D1001" s="140" t="s">
        <v>1515</v>
      </c>
      <c r="E1001" s="140" t="s">
        <v>2783</v>
      </c>
      <c r="F1001" s="140" t="s">
        <v>2784</v>
      </c>
      <c r="G1001" s="140" t="s">
        <v>756</v>
      </c>
      <c r="H1001" s="140" t="s">
        <v>2785</v>
      </c>
      <c r="I1001" s="140" t="s">
        <v>1542</v>
      </c>
      <c r="J1001" s="140">
        <v>200000000</v>
      </c>
      <c r="K1001" s="155" t="s">
        <v>221</v>
      </c>
      <c r="L1001" s="140">
        <v>3149866</v>
      </c>
      <c r="M1001" s="155" t="s">
        <v>226</v>
      </c>
      <c r="N1001" s="10">
        <v>353</v>
      </c>
      <c r="O1001" s="10">
        <v>150000000</v>
      </c>
      <c r="P1001" s="140"/>
      <c r="Q1001" t="s">
        <v>3564</v>
      </c>
    </row>
    <row r="1002" spans="1:17" ht="43.5" hidden="1" x14ac:dyDescent="0.35">
      <c r="A1002" s="155" t="e">
        <f t="shared" si="16"/>
        <v>#REF!</v>
      </c>
      <c r="B1002" s="140" t="s">
        <v>18</v>
      </c>
      <c r="C1002" s="140" t="s">
        <v>37</v>
      </c>
      <c r="D1002" s="140" t="s">
        <v>1570</v>
      </c>
      <c r="E1002" s="140" t="s">
        <v>1256</v>
      </c>
      <c r="F1002" s="140" t="s">
        <v>2786</v>
      </c>
      <c r="G1002" s="140" t="s">
        <v>756</v>
      </c>
      <c r="H1002" s="140" t="s">
        <v>756</v>
      </c>
      <c r="I1002" s="140" t="s">
        <v>1870</v>
      </c>
      <c r="J1002" s="140">
        <v>300000000</v>
      </c>
      <c r="K1002" s="155" t="s">
        <v>221</v>
      </c>
      <c r="L1002" s="140">
        <v>3149861</v>
      </c>
      <c r="M1002" s="155" t="s">
        <v>226</v>
      </c>
      <c r="N1002" s="10">
        <v>353</v>
      </c>
      <c r="O1002" s="10">
        <v>300000000</v>
      </c>
      <c r="P1002" s="140"/>
      <c r="Q1002" t="s">
        <v>3586</v>
      </c>
    </row>
    <row r="1003" spans="1:17" ht="43.5" hidden="1" x14ac:dyDescent="0.35">
      <c r="A1003" s="155" t="e">
        <f t="shared" si="16"/>
        <v>#REF!</v>
      </c>
      <c r="B1003" s="140" t="s">
        <v>18</v>
      </c>
      <c r="C1003" s="140" t="s">
        <v>37</v>
      </c>
      <c r="D1003" s="140" t="s">
        <v>1570</v>
      </c>
      <c r="E1003" s="140" t="s">
        <v>2787</v>
      </c>
      <c r="F1003" s="140" t="s">
        <v>755</v>
      </c>
      <c r="G1003" s="140" t="s">
        <v>2788</v>
      </c>
      <c r="H1003" s="140" t="s">
        <v>2789</v>
      </c>
      <c r="I1003" s="140" t="s">
        <v>2790</v>
      </c>
      <c r="J1003" s="140">
        <v>100000000</v>
      </c>
      <c r="K1003" s="155" t="s">
        <v>221</v>
      </c>
      <c r="L1003" s="140">
        <v>2791858</v>
      </c>
      <c r="M1003" s="155" t="s">
        <v>226</v>
      </c>
      <c r="N1003" s="10">
        <v>118</v>
      </c>
      <c r="O1003" s="10">
        <v>100000000</v>
      </c>
      <c r="P1003" s="140"/>
      <c r="Q1003" t="s">
        <v>3586</v>
      </c>
    </row>
    <row r="1004" spans="1:17" ht="43.5" hidden="1" x14ac:dyDescent="0.35">
      <c r="A1004" s="155" t="e">
        <f t="shared" si="16"/>
        <v>#REF!</v>
      </c>
      <c r="B1004" s="140" t="s">
        <v>18</v>
      </c>
      <c r="C1004" s="140" t="s">
        <v>37</v>
      </c>
      <c r="D1004" s="140" t="s">
        <v>1515</v>
      </c>
      <c r="E1004" s="140" t="s">
        <v>2791</v>
      </c>
      <c r="F1004" s="140" t="s">
        <v>2792</v>
      </c>
      <c r="G1004" s="140" t="s">
        <v>2788</v>
      </c>
      <c r="H1004" s="140" t="s">
        <v>2793</v>
      </c>
      <c r="I1004" s="140" t="s">
        <v>2794</v>
      </c>
      <c r="J1004" s="140">
        <v>100000000</v>
      </c>
      <c r="K1004" s="155" t="s">
        <v>221</v>
      </c>
      <c r="L1004" s="140">
        <v>2792856</v>
      </c>
      <c r="M1004" s="155" t="s">
        <v>226</v>
      </c>
      <c r="N1004" s="10">
        <v>250</v>
      </c>
      <c r="O1004" s="10">
        <v>100000000</v>
      </c>
      <c r="P1004" s="140"/>
      <c r="Q1004" t="s">
        <v>3564</v>
      </c>
    </row>
    <row r="1005" spans="1:17" ht="43.5" hidden="1" x14ac:dyDescent="0.35">
      <c r="A1005" s="155" t="e">
        <f t="shared" si="16"/>
        <v>#REF!</v>
      </c>
      <c r="B1005" s="140" t="s">
        <v>18</v>
      </c>
      <c r="C1005" s="140" t="s">
        <v>37</v>
      </c>
      <c r="D1005" s="140" t="s">
        <v>1521</v>
      </c>
      <c r="E1005" s="140" t="s">
        <v>2795</v>
      </c>
      <c r="F1005" s="140" t="s">
        <v>2792</v>
      </c>
      <c r="G1005" s="140" t="s">
        <v>2788</v>
      </c>
      <c r="H1005" s="140" t="s">
        <v>2796</v>
      </c>
      <c r="I1005" s="140" t="s">
        <v>2797</v>
      </c>
      <c r="J1005" s="140">
        <v>100000000</v>
      </c>
      <c r="K1005" s="155" t="s">
        <v>221</v>
      </c>
      <c r="L1005" s="140">
        <v>2906135</v>
      </c>
      <c r="M1005" s="155" t="s">
        <v>226</v>
      </c>
      <c r="N1005" s="10">
        <v>10.5</v>
      </c>
      <c r="O1005" s="10">
        <v>100000000</v>
      </c>
      <c r="P1005" s="140"/>
      <c r="Q1005" t="s">
        <v>3586</v>
      </c>
    </row>
    <row r="1006" spans="1:17" ht="43.5" hidden="1" x14ac:dyDescent="0.35">
      <c r="A1006" s="155" t="e">
        <f t="shared" si="16"/>
        <v>#REF!</v>
      </c>
      <c r="B1006" s="140" t="s">
        <v>18</v>
      </c>
      <c r="C1006" s="140" t="s">
        <v>37</v>
      </c>
      <c r="D1006" s="140" t="s">
        <v>1515</v>
      </c>
      <c r="E1006" s="140" t="s">
        <v>2791</v>
      </c>
      <c r="F1006" s="140" t="s">
        <v>2792</v>
      </c>
      <c r="G1006" s="140" t="s">
        <v>2788</v>
      </c>
      <c r="H1006" s="140" t="s">
        <v>2798</v>
      </c>
      <c r="I1006" s="140" t="s">
        <v>2799</v>
      </c>
      <c r="J1006" s="140">
        <v>100000000</v>
      </c>
      <c r="K1006" s="155" t="s">
        <v>221</v>
      </c>
      <c r="L1006" s="140">
        <v>2932005</v>
      </c>
      <c r="M1006" s="155" t="s">
        <v>226</v>
      </c>
      <c r="N1006" s="10">
        <v>250</v>
      </c>
      <c r="O1006" s="10">
        <v>100000000</v>
      </c>
      <c r="P1006" s="140"/>
      <c r="Q1006" t="s">
        <v>3564</v>
      </c>
    </row>
    <row r="1007" spans="1:17" ht="43.5" hidden="1" x14ac:dyDescent="0.35">
      <c r="A1007" s="155" t="e">
        <f t="shared" si="16"/>
        <v>#REF!</v>
      </c>
      <c r="B1007" s="140" t="s">
        <v>18</v>
      </c>
      <c r="C1007" s="140" t="s">
        <v>37</v>
      </c>
      <c r="D1007" s="140" t="s">
        <v>1515</v>
      </c>
      <c r="E1007" s="140" t="s">
        <v>2791</v>
      </c>
      <c r="F1007" s="140" t="s">
        <v>2792</v>
      </c>
      <c r="G1007" s="140" t="s">
        <v>2788</v>
      </c>
      <c r="H1007" s="140" t="s">
        <v>2800</v>
      </c>
      <c r="I1007" s="140" t="s">
        <v>2799</v>
      </c>
      <c r="J1007" s="140">
        <v>100000000</v>
      </c>
      <c r="K1007" s="155" t="s">
        <v>221</v>
      </c>
      <c r="L1007" s="140">
        <v>2793776</v>
      </c>
      <c r="M1007" s="155" t="s">
        <v>226</v>
      </c>
      <c r="N1007" s="10">
        <v>250</v>
      </c>
      <c r="O1007" s="10">
        <v>100000000</v>
      </c>
      <c r="P1007" s="140"/>
      <c r="Q1007" t="s">
        <v>3564</v>
      </c>
    </row>
    <row r="1008" spans="1:17" ht="43.5" hidden="1" x14ac:dyDescent="0.35">
      <c r="A1008" s="155" t="e">
        <f t="shared" si="16"/>
        <v>#REF!</v>
      </c>
      <c r="B1008" s="140" t="s">
        <v>18</v>
      </c>
      <c r="C1008" s="140" t="s">
        <v>37</v>
      </c>
      <c r="D1008" s="140" t="s">
        <v>1515</v>
      </c>
      <c r="E1008" s="140" t="s">
        <v>2801</v>
      </c>
      <c r="F1008" s="140" t="s">
        <v>2792</v>
      </c>
      <c r="G1008" s="140" t="s">
        <v>2788</v>
      </c>
      <c r="H1008" s="140" t="s">
        <v>2802</v>
      </c>
      <c r="I1008" s="140" t="s">
        <v>2790</v>
      </c>
      <c r="J1008" s="140">
        <v>100000000</v>
      </c>
      <c r="K1008" s="155" t="s">
        <v>221</v>
      </c>
      <c r="L1008" s="140">
        <v>2817823</v>
      </c>
      <c r="M1008" s="155" t="s">
        <v>226</v>
      </c>
      <c r="N1008" s="10">
        <v>118</v>
      </c>
      <c r="O1008" s="10">
        <v>100000000</v>
      </c>
      <c r="P1008" s="140"/>
      <c r="Q1008" t="s">
        <v>3564</v>
      </c>
    </row>
    <row r="1009" spans="1:17" ht="43.5" hidden="1" x14ac:dyDescent="0.35">
      <c r="A1009" s="155" t="e">
        <f t="shared" si="16"/>
        <v>#REF!</v>
      </c>
      <c r="B1009" s="140" t="s">
        <v>18</v>
      </c>
      <c r="C1009" s="140" t="s">
        <v>37</v>
      </c>
      <c r="D1009" s="140" t="s">
        <v>1515</v>
      </c>
      <c r="E1009" s="140" t="s">
        <v>2791</v>
      </c>
      <c r="F1009" s="140" t="s">
        <v>2792</v>
      </c>
      <c r="G1009" s="140" t="s">
        <v>2788</v>
      </c>
      <c r="H1009" s="140" t="s">
        <v>2803</v>
      </c>
      <c r="I1009" s="140">
        <v>19</v>
      </c>
      <c r="J1009" s="140">
        <v>100000000</v>
      </c>
      <c r="K1009" s="155" t="s">
        <v>221</v>
      </c>
      <c r="L1009" s="140">
        <v>2932075</v>
      </c>
      <c r="M1009" s="155" t="s">
        <v>226</v>
      </c>
      <c r="N1009" s="10">
        <v>250</v>
      </c>
      <c r="O1009" s="10">
        <v>100000000</v>
      </c>
      <c r="P1009" s="140"/>
      <c r="Q1009" t="s">
        <v>3564</v>
      </c>
    </row>
    <row r="1010" spans="1:17" ht="43.5" hidden="1" x14ac:dyDescent="0.35">
      <c r="A1010" s="155" t="e">
        <f t="shared" si="16"/>
        <v>#REF!</v>
      </c>
      <c r="B1010" s="140" t="s">
        <v>18</v>
      </c>
      <c r="C1010" s="140" t="s">
        <v>37</v>
      </c>
      <c r="D1010" s="140" t="s">
        <v>1515</v>
      </c>
      <c r="E1010" s="140" t="s">
        <v>2804</v>
      </c>
      <c r="F1010" s="140" t="s">
        <v>2792</v>
      </c>
      <c r="G1010" s="140" t="s">
        <v>2788</v>
      </c>
      <c r="H1010" s="140" t="s">
        <v>2805</v>
      </c>
      <c r="I1010" s="140" t="s">
        <v>2806</v>
      </c>
      <c r="J1010" s="140">
        <v>100000000</v>
      </c>
      <c r="K1010" s="155" t="s">
        <v>221</v>
      </c>
      <c r="L1010" s="140">
        <v>2792764</v>
      </c>
      <c r="M1010" s="155" t="s">
        <v>226</v>
      </c>
      <c r="N1010" s="10">
        <v>250</v>
      </c>
      <c r="O1010" s="10">
        <v>100000000</v>
      </c>
      <c r="P1010" s="140"/>
      <c r="Q1010" t="s">
        <v>3564</v>
      </c>
    </row>
    <row r="1011" spans="1:17" ht="43.5" hidden="1" x14ac:dyDescent="0.35">
      <c r="A1011" s="155" t="e">
        <f t="shared" si="16"/>
        <v>#REF!</v>
      </c>
      <c r="B1011" s="140" t="s">
        <v>18</v>
      </c>
      <c r="C1011" s="140" t="s">
        <v>37</v>
      </c>
      <c r="D1011" s="140" t="s">
        <v>1515</v>
      </c>
      <c r="E1011" s="140" t="s">
        <v>2791</v>
      </c>
      <c r="F1011" s="140" t="s">
        <v>2792</v>
      </c>
      <c r="G1011" s="140" t="s">
        <v>2788</v>
      </c>
      <c r="H1011" s="140" t="s">
        <v>2807</v>
      </c>
      <c r="I1011" s="140" t="s">
        <v>2794</v>
      </c>
      <c r="J1011" s="140">
        <v>100000000</v>
      </c>
      <c r="K1011" s="155" t="s">
        <v>221</v>
      </c>
      <c r="L1011" s="140">
        <v>2820615</v>
      </c>
      <c r="M1011" s="155" t="s">
        <v>226</v>
      </c>
      <c r="N1011" s="10">
        <v>250</v>
      </c>
      <c r="O1011" s="10">
        <v>100000000</v>
      </c>
      <c r="P1011" s="140"/>
      <c r="Q1011" t="s">
        <v>3564</v>
      </c>
    </row>
    <row r="1012" spans="1:17" ht="43.5" hidden="1" x14ac:dyDescent="0.35">
      <c r="A1012" s="155" t="e">
        <f t="shared" si="16"/>
        <v>#REF!</v>
      </c>
      <c r="B1012" s="140" t="s">
        <v>18</v>
      </c>
      <c r="C1012" s="140" t="s">
        <v>37</v>
      </c>
      <c r="D1012" s="140" t="s">
        <v>1515</v>
      </c>
      <c r="E1012" s="140" t="s">
        <v>2804</v>
      </c>
      <c r="F1012" s="140" t="s">
        <v>2792</v>
      </c>
      <c r="G1012" s="140" t="s">
        <v>2788</v>
      </c>
      <c r="H1012" s="140" t="s">
        <v>2808</v>
      </c>
      <c r="I1012" s="140" t="s">
        <v>2806</v>
      </c>
      <c r="J1012" s="140">
        <v>100000000</v>
      </c>
      <c r="K1012" s="155" t="s">
        <v>221</v>
      </c>
      <c r="L1012" s="140">
        <v>2792822</v>
      </c>
      <c r="M1012" s="155" t="s">
        <v>226</v>
      </c>
      <c r="N1012" s="10">
        <v>250</v>
      </c>
      <c r="O1012" s="10">
        <v>100000000</v>
      </c>
      <c r="P1012" s="140"/>
      <c r="Q1012" t="s">
        <v>3564</v>
      </c>
    </row>
    <row r="1013" spans="1:17" ht="58" hidden="1" x14ac:dyDescent="0.35">
      <c r="A1013" s="155" t="e">
        <f t="shared" si="16"/>
        <v>#REF!</v>
      </c>
      <c r="B1013" s="140" t="s">
        <v>18</v>
      </c>
      <c r="C1013" s="140" t="s">
        <v>37</v>
      </c>
      <c r="D1013" s="140" t="s">
        <v>476</v>
      </c>
      <c r="E1013" s="140" t="s">
        <v>2809</v>
      </c>
      <c r="F1013" s="140" t="s">
        <v>2810</v>
      </c>
      <c r="G1013" s="140" t="s">
        <v>2811</v>
      </c>
      <c r="H1013" s="140" t="s">
        <v>2812</v>
      </c>
      <c r="I1013" s="140" t="s">
        <v>2813</v>
      </c>
      <c r="J1013" s="140">
        <v>1000000000</v>
      </c>
      <c r="K1013" s="155" t="s">
        <v>221</v>
      </c>
      <c r="L1013" s="140">
        <v>3011945</v>
      </c>
      <c r="M1013" s="155" t="s">
        <v>226</v>
      </c>
      <c r="N1013" s="10" t="s">
        <v>2814</v>
      </c>
      <c r="O1013" s="10">
        <v>1000000000</v>
      </c>
      <c r="P1013" s="140" t="s">
        <v>2815</v>
      </c>
      <c r="Q1013" t="s">
        <v>3586</v>
      </c>
    </row>
    <row r="1014" spans="1:17" ht="43.5" hidden="1" x14ac:dyDescent="0.35">
      <c r="A1014" s="155" t="e">
        <f t="shared" si="16"/>
        <v>#REF!</v>
      </c>
      <c r="B1014" s="140" t="s">
        <v>18</v>
      </c>
      <c r="C1014" s="140" t="s">
        <v>37</v>
      </c>
      <c r="D1014" s="140" t="s">
        <v>1515</v>
      </c>
      <c r="E1014" s="140" t="s">
        <v>1718</v>
      </c>
      <c r="F1014" s="140" t="s">
        <v>2816</v>
      </c>
      <c r="G1014" s="140" t="s">
        <v>1376</v>
      </c>
      <c r="H1014" s="140" t="s">
        <v>2817</v>
      </c>
      <c r="I1014" s="140" t="s">
        <v>2818</v>
      </c>
      <c r="J1014" s="140">
        <v>200000000</v>
      </c>
      <c r="K1014" s="155" t="s">
        <v>221</v>
      </c>
      <c r="L1014" s="140">
        <v>3174597</v>
      </c>
      <c r="M1014" s="155" t="s">
        <v>226</v>
      </c>
      <c r="N1014" s="10">
        <v>610.00000457500005</v>
      </c>
      <c r="O1014" s="10">
        <v>200000000</v>
      </c>
      <c r="P1014" s="140"/>
      <c r="Q1014" t="s">
        <v>3564</v>
      </c>
    </row>
    <row r="1015" spans="1:17" ht="43.5" hidden="1" x14ac:dyDescent="0.35">
      <c r="A1015" s="155" t="e">
        <f t="shared" si="16"/>
        <v>#REF!</v>
      </c>
      <c r="B1015" s="140" t="s">
        <v>18</v>
      </c>
      <c r="C1015" s="140" t="s">
        <v>37</v>
      </c>
      <c r="D1015" s="140" t="s">
        <v>1515</v>
      </c>
      <c r="E1015" s="140" t="s">
        <v>1718</v>
      </c>
      <c r="F1015" s="140" t="s">
        <v>2816</v>
      </c>
      <c r="G1015" s="140" t="s">
        <v>1376</v>
      </c>
      <c r="H1015" s="140" t="s">
        <v>2819</v>
      </c>
      <c r="I1015" s="140" t="s">
        <v>2818</v>
      </c>
      <c r="J1015" s="140">
        <v>200000000</v>
      </c>
      <c r="K1015" s="155" t="s">
        <v>221</v>
      </c>
      <c r="L1015" s="140">
        <v>3174597</v>
      </c>
      <c r="M1015" s="155" t="s">
        <v>226</v>
      </c>
      <c r="N1015" s="10">
        <v>610.00000457500005</v>
      </c>
      <c r="O1015" s="10">
        <v>200000000</v>
      </c>
      <c r="P1015" s="140">
        <v>327868.84999999998</v>
      </c>
      <c r="Q1015" t="s">
        <v>3564</v>
      </c>
    </row>
    <row r="1016" spans="1:17" ht="43.5" hidden="1" x14ac:dyDescent="0.35">
      <c r="A1016" s="155" t="e">
        <f t="shared" si="16"/>
        <v>#REF!</v>
      </c>
      <c r="B1016" s="140" t="s">
        <v>18</v>
      </c>
      <c r="C1016" s="140" t="s">
        <v>37</v>
      </c>
      <c r="D1016" s="140" t="s">
        <v>1515</v>
      </c>
      <c r="E1016" s="140" t="s">
        <v>1718</v>
      </c>
      <c r="F1016" s="140" t="s">
        <v>2816</v>
      </c>
      <c r="G1016" s="140" t="s">
        <v>1376</v>
      </c>
      <c r="H1016" s="140" t="s">
        <v>1377</v>
      </c>
      <c r="I1016" s="140" t="s">
        <v>2820</v>
      </c>
      <c r="J1016" s="140">
        <v>100000000</v>
      </c>
      <c r="K1016" s="155" t="s">
        <v>221</v>
      </c>
      <c r="L1016" s="140">
        <v>3174597</v>
      </c>
      <c r="M1016" s="155" t="s">
        <v>226</v>
      </c>
      <c r="N1016" s="10">
        <v>305.00000228750002</v>
      </c>
      <c r="O1016" s="10">
        <v>100000000</v>
      </c>
      <c r="P1016" s="140"/>
      <c r="Q1016" t="s">
        <v>3564</v>
      </c>
    </row>
    <row r="1017" spans="1:17" ht="43.5" hidden="1" x14ac:dyDescent="0.35">
      <c r="A1017" s="155" t="e">
        <f>#REF!+1</f>
        <v>#REF!</v>
      </c>
      <c r="B1017" s="140" t="s">
        <v>18</v>
      </c>
      <c r="C1017" s="140" t="s">
        <v>37</v>
      </c>
      <c r="D1017" s="140" t="s">
        <v>1515</v>
      </c>
      <c r="E1017" s="140" t="s">
        <v>1718</v>
      </c>
      <c r="F1017" s="140" t="s">
        <v>2816</v>
      </c>
      <c r="G1017" s="140" t="s">
        <v>1376</v>
      </c>
      <c r="H1017" s="140" t="s">
        <v>2821</v>
      </c>
      <c r="I1017" s="140" t="s">
        <v>2822</v>
      </c>
      <c r="J1017" s="140">
        <v>145000000</v>
      </c>
      <c r="K1017" s="155" t="s">
        <v>221</v>
      </c>
      <c r="L1017" s="140">
        <v>3174597</v>
      </c>
      <c r="M1017" s="155" t="s">
        <v>226</v>
      </c>
      <c r="N1017" s="10">
        <v>442.25000331687505</v>
      </c>
      <c r="O1017" s="10">
        <v>144755100</v>
      </c>
      <c r="P1017" s="140"/>
      <c r="Q1017" t="s">
        <v>3564</v>
      </c>
    </row>
    <row r="1018" spans="1:17" ht="43.5" hidden="1" x14ac:dyDescent="0.35">
      <c r="A1018" s="155" t="e">
        <f t="shared" si="16"/>
        <v>#REF!</v>
      </c>
      <c r="B1018" s="140" t="s">
        <v>18</v>
      </c>
      <c r="C1018" s="140" t="s">
        <v>37</v>
      </c>
      <c r="D1018" s="140" t="s">
        <v>1515</v>
      </c>
      <c r="E1018" s="140" t="s">
        <v>1718</v>
      </c>
      <c r="F1018" s="140" t="s">
        <v>2816</v>
      </c>
      <c r="G1018" s="140" t="s">
        <v>1376</v>
      </c>
      <c r="H1018" s="140" t="s">
        <v>2823</v>
      </c>
      <c r="I1018" s="140" t="s">
        <v>2818</v>
      </c>
      <c r="J1018" s="140">
        <v>200000000</v>
      </c>
      <c r="K1018" s="155" t="s">
        <v>221</v>
      </c>
      <c r="L1018" s="140">
        <v>3174597</v>
      </c>
      <c r="M1018" s="155" t="s">
        <v>226</v>
      </c>
      <c r="N1018" s="10">
        <v>610.00000457500005</v>
      </c>
      <c r="O1018" s="10">
        <v>200000000</v>
      </c>
      <c r="P1018" s="140"/>
      <c r="Q1018" t="s">
        <v>3564</v>
      </c>
    </row>
    <row r="1019" spans="1:17" ht="43.5" hidden="1" x14ac:dyDescent="0.35">
      <c r="A1019" s="155" t="e">
        <f t="shared" si="16"/>
        <v>#REF!</v>
      </c>
      <c r="B1019" s="140" t="s">
        <v>18</v>
      </c>
      <c r="C1019" s="140" t="s">
        <v>37</v>
      </c>
      <c r="D1019" s="140" t="s">
        <v>1515</v>
      </c>
      <c r="E1019" s="140" t="s">
        <v>1544</v>
      </c>
      <c r="F1019" s="140" t="s">
        <v>2824</v>
      </c>
      <c r="G1019" s="140" t="s">
        <v>1545</v>
      </c>
      <c r="H1019" s="140" t="s">
        <v>2825</v>
      </c>
      <c r="I1019" s="140" t="s">
        <v>1547</v>
      </c>
      <c r="J1019" s="140">
        <v>100000000</v>
      </c>
      <c r="K1019" s="155" t="s">
        <v>221</v>
      </c>
      <c r="L1019" s="140">
        <v>2971269</v>
      </c>
      <c r="M1019" s="155" t="s">
        <v>226</v>
      </c>
      <c r="N1019" s="10">
        <v>250</v>
      </c>
      <c r="O1019" s="10">
        <v>100000000</v>
      </c>
      <c r="P1019" s="140"/>
      <c r="Q1019" t="s">
        <v>3564</v>
      </c>
    </row>
    <row r="1020" spans="1:17" ht="43.5" hidden="1" x14ac:dyDescent="0.35">
      <c r="A1020" s="155" t="e">
        <f t="shared" si="16"/>
        <v>#REF!</v>
      </c>
      <c r="B1020" s="140" t="s">
        <v>18</v>
      </c>
      <c r="C1020" s="140" t="s">
        <v>37</v>
      </c>
      <c r="D1020" s="140" t="s">
        <v>1515</v>
      </c>
      <c r="E1020" s="140" t="s">
        <v>1544</v>
      </c>
      <c r="F1020" s="140" t="s">
        <v>2824</v>
      </c>
      <c r="G1020" s="140" t="s">
        <v>1545</v>
      </c>
      <c r="H1020" s="140" t="s">
        <v>2826</v>
      </c>
      <c r="I1020" s="140" t="s">
        <v>1547</v>
      </c>
      <c r="J1020" s="140">
        <v>100000000</v>
      </c>
      <c r="K1020" s="155" t="s">
        <v>221</v>
      </c>
      <c r="L1020" s="140">
        <v>2971618</v>
      </c>
      <c r="M1020" s="155" t="s">
        <v>226</v>
      </c>
      <c r="N1020" s="10">
        <v>250</v>
      </c>
      <c r="O1020" s="10">
        <v>100000000</v>
      </c>
      <c r="P1020" s="140"/>
      <c r="Q1020" t="s">
        <v>3564</v>
      </c>
    </row>
    <row r="1021" spans="1:17" ht="43.5" hidden="1" x14ac:dyDescent="0.35">
      <c r="A1021" s="155" t="e">
        <f t="shared" si="16"/>
        <v>#REF!</v>
      </c>
      <c r="B1021" s="140" t="s">
        <v>18</v>
      </c>
      <c r="C1021" s="140" t="s">
        <v>37</v>
      </c>
      <c r="D1021" s="140" t="s">
        <v>1515</v>
      </c>
      <c r="E1021" s="140" t="s">
        <v>1544</v>
      </c>
      <c r="F1021" s="140" t="s">
        <v>2824</v>
      </c>
      <c r="G1021" s="140" t="s">
        <v>1545</v>
      </c>
      <c r="H1021" s="140" t="s">
        <v>2827</v>
      </c>
      <c r="I1021" s="140" t="s">
        <v>1547</v>
      </c>
      <c r="J1021" s="140">
        <v>100000000</v>
      </c>
      <c r="K1021" s="155" t="s">
        <v>221</v>
      </c>
      <c r="L1021" s="140">
        <v>2871445</v>
      </c>
      <c r="M1021" s="155" t="s">
        <v>226</v>
      </c>
      <c r="N1021" s="10">
        <v>250</v>
      </c>
      <c r="O1021" s="10">
        <v>100000000</v>
      </c>
      <c r="P1021" s="140"/>
      <c r="Q1021" t="s">
        <v>3564</v>
      </c>
    </row>
    <row r="1022" spans="1:17" ht="43.5" hidden="1" x14ac:dyDescent="0.35">
      <c r="A1022" s="155" t="e">
        <f t="shared" si="16"/>
        <v>#REF!</v>
      </c>
      <c r="B1022" s="140" t="s">
        <v>18</v>
      </c>
      <c r="C1022" s="140" t="s">
        <v>37</v>
      </c>
      <c r="D1022" s="140" t="s">
        <v>1515</v>
      </c>
      <c r="E1022" s="140" t="s">
        <v>1544</v>
      </c>
      <c r="F1022" s="140" t="s">
        <v>2824</v>
      </c>
      <c r="G1022" s="140" t="s">
        <v>1545</v>
      </c>
      <c r="H1022" s="140" t="s">
        <v>2828</v>
      </c>
      <c r="I1022" s="140" t="s">
        <v>1547</v>
      </c>
      <c r="J1022" s="140">
        <v>100000000</v>
      </c>
      <c r="K1022" s="155" t="s">
        <v>221</v>
      </c>
      <c r="L1022" s="140">
        <v>2971950</v>
      </c>
      <c r="M1022" s="155" t="s">
        <v>226</v>
      </c>
      <c r="N1022" s="10">
        <v>250</v>
      </c>
      <c r="O1022" s="10">
        <v>100000000</v>
      </c>
      <c r="P1022" s="140"/>
      <c r="Q1022" t="s">
        <v>3564</v>
      </c>
    </row>
    <row r="1023" spans="1:17" ht="43.5" hidden="1" x14ac:dyDescent="0.35">
      <c r="A1023" s="155" t="e">
        <f t="shared" si="16"/>
        <v>#REF!</v>
      </c>
      <c r="B1023" s="140" t="s">
        <v>18</v>
      </c>
      <c r="C1023" s="140" t="s">
        <v>37</v>
      </c>
      <c r="D1023" s="140" t="s">
        <v>1515</v>
      </c>
      <c r="E1023" s="140" t="s">
        <v>1544</v>
      </c>
      <c r="F1023" s="140" t="s">
        <v>2824</v>
      </c>
      <c r="G1023" s="140" t="s">
        <v>1545</v>
      </c>
      <c r="H1023" s="140" t="s">
        <v>2829</v>
      </c>
      <c r="I1023" s="140" t="s">
        <v>1547</v>
      </c>
      <c r="J1023" s="140">
        <v>100000000</v>
      </c>
      <c r="K1023" s="155" t="s">
        <v>221</v>
      </c>
      <c r="L1023" s="140">
        <v>2971769</v>
      </c>
      <c r="M1023" s="155" t="s">
        <v>226</v>
      </c>
      <c r="N1023" s="10">
        <v>250</v>
      </c>
      <c r="O1023" s="10">
        <v>100000000</v>
      </c>
      <c r="P1023" s="140"/>
      <c r="Q1023" t="s">
        <v>3564</v>
      </c>
    </row>
    <row r="1024" spans="1:17" ht="43.5" hidden="1" x14ac:dyDescent="0.35">
      <c r="A1024" s="155" t="e">
        <f t="shared" si="16"/>
        <v>#REF!</v>
      </c>
      <c r="B1024" s="140" t="s">
        <v>18</v>
      </c>
      <c r="C1024" s="140" t="s">
        <v>37</v>
      </c>
      <c r="D1024" s="140" t="s">
        <v>1515</v>
      </c>
      <c r="E1024" s="140" t="s">
        <v>1544</v>
      </c>
      <c r="F1024" s="140" t="s">
        <v>2824</v>
      </c>
      <c r="G1024" s="140" t="s">
        <v>1545</v>
      </c>
      <c r="H1024" s="140" t="s">
        <v>2830</v>
      </c>
      <c r="I1024" s="140" t="s">
        <v>1547</v>
      </c>
      <c r="J1024" s="140">
        <v>100000000</v>
      </c>
      <c r="K1024" s="155" t="s">
        <v>221</v>
      </c>
      <c r="L1024" s="140">
        <v>2871335</v>
      </c>
      <c r="M1024" s="155" t="s">
        <v>226</v>
      </c>
      <c r="N1024" s="10">
        <v>250</v>
      </c>
      <c r="O1024" s="10">
        <v>100000000</v>
      </c>
      <c r="P1024" s="140"/>
      <c r="Q1024" t="s">
        <v>3564</v>
      </c>
    </row>
    <row r="1025" spans="1:17" ht="43.5" hidden="1" x14ac:dyDescent="0.35">
      <c r="A1025" s="155" t="e">
        <f t="shared" si="16"/>
        <v>#REF!</v>
      </c>
      <c r="B1025" s="140" t="s">
        <v>18</v>
      </c>
      <c r="C1025" s="140" t="s">
        <v>37</v>
      </c>
      <c r="D1025" s="140" t="s">
        <v>1515</v>
      </c>
      <c r="E1025" s="140" t="s">
        <v>1544</v>
      </c>
      <c r="F1025" s="140" t="s">
        <v>2824</v>
      </c>
      <c r="G1025" s="140" t="s">
        <v>1545</v>
      </c>
      <c r="H1025" s="140" t="s">
        <v>2831</v>
      </c>
      <c r="I1025" s="140" t="s">
        <v>1547</v>
      </c>
      <c r="J1025" s="140">
        <v>100000000</v>
      </c>
      <c r="K1025" s="155" t="s">
        <v>221</v>
      </c>
      <c r="L1025" s="140">
        <v>2871164</v>
      </c>
      <c r="M1025" s="155" t="s">
        <v>226</v>
      </c>
      <c r="N1025" s="10">
        <v>250</v>
      </c>
      <c r="O1025" s="10">
        <v>100000000</v>
      </c>
      <c r="P1025" s="140"/>
      <c r="Q1025" t="s">
        <v>3564</v>
      </c>
    </row>
    <row r="1026" spans="1:17" ht="43.5" hidden="1" x14ac:dyDescent="0.35">
      <c r="A1026" s="155" t="e">
        <f t="shared" si="16"/>
        <v>#REF!</v>
      </c>
      <c r="B1026" s="140" t="s">
        <v>18</v>
      </c>
      <c r="C1026" s="140" t="s">
        <v>37</v>
      </c>
      <c r="D1026" s="140" t="s">
        <v>1515</v>
      </c>
      <c r="E1026" s="140" t="s">
        <v>1544</v>
      </c>
      <c r="F1026" s="140" t="s">
        <v>2824</v>
      </c>
      <c r="G1026" s="140" t="s">
        <v>1545</v>
      </c>
      <c r="H1026" s="140" t="s">
        <v>2832</v>
      </c>
      <c r="I1026" s="140" t="s">
        <v>1547</v>
      </c>
      <c r="J1026" s="140">
        <v>100000000</v>
      </c>
      <c r="K1026" s="155" t="s">
        <v>221</v>
      </c>
      <c r="L1026" s="140">
        <v>2871244</v>
      </c>
      <c r="M1026" s="155" t="s">
        <v>226</v>
      </c>
      <c r="N1026" s="10">
        <v>250</v>
      </c>
      <c r="O1026" s="10">
        <v>100000000</v>
      </c>
      <c r="P1026" s="140"/>
      <c r="Q1026" t="s">
        <v>3564</v>
      </c>
    </row>
    <row r="1027" spans="1:17" ht="43.5" hidden="1" x14ac:dyDescent="0.35">
      <c r="A1027" s="155" t="e">
        <f t="shared" si="16"/>
        <v>#REF!</v>
      </c>
      <c r="B1027" s="140" t="s">
        <v>18</v>
      </c>
      <c r="C1027" s="140" t="s">
        <v>37</v>
      </c>
      <c r="D1027" s="140" t="s">
        <v>1515</v>
      </c>
      <c r="E1027" s="140" t="s">
        <v>1544</v>
      </c>
      <c r="F1027" s="140" t="s">
        <v>2824</v>
      </c>
      <c r="G1027" s="140" t="s">
        <v>1545</v>
      </c>
      <c r="H1027" s="140" t="s">
        <v>2833</v>
      </c>
      <c r="I1027" s="140" t="s">
        <v>1547</v>
      </c>
      <c r="J1027" s="140">
        <v>100000000</v>
      </c>
      <c r="K1027" s="155" t="s">
        <v>221</v>
      </c>
      <c r="L1027" s="140">
        <v>2871098</v>
      </c>
      <c r="M1027" s="155" t="s">
        <v>226</v>
      </c>
      <c r="N1027" s="10">
        <v>250</v>
      </c>
      <c r="O1027" s="10">
        <v>100000000</v>
      </c>
      <c r="P1027" s="140"/>
      <c r="Q1027" t="s">
        <v>3564</v>
      </c>
    </row>
    <row r="1028" spans="1:17" ht="43.5" hidden="1" x14ac:dyDescent="0.35">
      <c r="A1028" s="155" t="e">
        <f t="shared" si="16"/>
        <v>#REF!</v>
      </c>
      <c r="B1028" s="140" t="s">
        <v>18</v>
      </c>
      <c r="C1028" s="140" t="s">
        <v>37</v>
      </c>
      <c r="D1028" s="140" t="s">
        <v>1515</v>
      </c>
      <c r="E1028" s="140" t="s">
        <v>1544</v>
      </c>
      <c r="F1028" s="140" t="s">
        <v>2824</v>
      </c>
      <c r="G1028" s="140" t="s">
        <v>1545</v>
      </c>
      <c r="H1028" s="140" t="s">
        <v>2834</v>
      </c>
      <c r="I1028" s="140" t="s">
        <v>1547</v>
      </c>
      <c r="J1028" s="140">
        <v>100000000</v>
      </c>
      <c r="K1028" s="155" t="s">
        <v>221</v>
      </c>
      <c r="L1028" s="140">
        <v>2870962</v>
      </c>
      <c r="M1028" s="155" t="s">
        <v>226</v>
      </c>
      <c r="N1028" s="10">
        <v>250</v>
      </c>
      <c r="O1028" s="10">
        <v>100000000</v>
      </c>
      <c r="P1028" s="140"/>
      <c r="Q1028" t="s">
        <v>3564</v>
      </c>
    </row>
    <row r="1029" spans="1:17" ht="43.5" hidden="1" x14ac:dyDescent="0.35">
      <c r="A1029" s="155" t="e">
        <f t="shared" si="16"/>
        <v>#REF!</v>
      </c>
      <c r="B1029" s="140" t="s">
        <v>18</v>
      </c>
      <c r="C1029" s="140" t="s">
        <v>37</v>
      </c>
      <c r="D1029" s="140" t="s">
        <v>1521</v>
      </c>
      <c r="E1029" s="140" t="s">
        <v>2625</v>
      </c>
      <c r="F1029" s="140" t="s">
        <v>48</v>
      </c>
      <c r="G1029" s="140" t="s">
        <v>429</v>
      </c>
      <c r="H1029" s="140" t="s">
        <v>2835</v>
      </c>
      <c r="I1029" s="140" t="s">
        <v>1259</v>
      </c>
      <c r="J1029" s="140">
        <v>142500000</v>
      </c>
      <c r="K1029" s="155" t="s">
        <v>221</v>
      </c>
      <c r="L1029" s="140">
        <v>2895840</v>
      </c>
      <c r="M1029" s="155" t="s">
        <v>226</v>
      </c>
      <c r="N1029" s="10">
        <v>15</v>
      </c>
      <c r="O1029" s="10">
        <v>179985000</v>
      </c>
      <c r="P1029" s="140"/>
      <c r="Q1029" t="s">
        <v>3586</v>
      </c>
    </row>
    <row r="1030" spans="1:17" ht="43.5" hidden="1" x14ac:dyDescent="0.35">
      <c r="A1030" s="155" t="e">
        <f t="shared" si="16"/>
        <v>#REF!</v>
      </c>
      <c r="B1030" s="140" t="s">
        <v>18</v>
      </c>
      <c r="C1030" s="140" t="s">
        <v>37</v>
      </c>
      <c r="D1030" s="140" t="s">
        <v>1521</v>
      </c>
      <c r="E1030" s="140" t="s">
        <v>2836</v>
      </c>
      <c r="F1030" s="140" t="s">
        <v>48</v>
      </c>
      <c r="G1030" s="140" t="s">
        <v>429</v>
      </c>
      <c r="H1030" s="140" t="s">
        <v>2837</v>
      </c>
      <c r="I1030" s="140" t="s">
        <v>1187</v>
      </c>
      <c r="J1030" s="140">
        <v>100000000</v>
      </c>
      <c r="K1030" s="155" t="s">
        <v>221</v>
      </c>
      <c r="L1030" s="140">
        <v>2895706</v>
      </c>
      <c r="M1030" s="155" t="s">
        <v>226</v>
      </c>
      <c r="N1030" s="10">
        <v>200</v>
      </c>
      <c r="O1030" s="10">
        <v>31140000</v>
      </c>
      <c r="P1030" s="140"/>
      <c r="Q1030" t="s">
        <v>3586</v>
      </c>
    </row>
    <row r="1031" spans="1:17" ht="43.5" hidden="1" x14ac:dyDescent="0.35">
      <c r="A1031" s="155" t="e">
        <f t="shared" si="16"/>
        <v>#REF!</v>
      </c>
      <c r="B1031" s="140" t="s">
        <v>18</v>
      </c>
      <c r="C1031" s="140" t="s">
        <v>37</v>
      </c>
      <c r="D1031" s="140" t="s">
        <v>1515</v>
      </c>
      <c r="E1031" s="140" t="s">
        <v>2838</v>
      </c>
      <c r="F1031" s="140" t="s">
        <v>48</v>
      </c>
      <c r="G1031" s="140" t="s">
        <v>429</v>
      </c>
      <c r="H1031" s="140" t="s">
        <v>2837</v>
      </c>
      <c r="I1031" s="140" t="s">
        <v>341</v>
      </c>
      <c r="J1031" s="140">
        <v>70000000</v>
      </c>
      <c r="K1031" s="155" t="s">
        <v>221</v>
      </c>
      <c r="L1031" s="140">
        <v>2905974</v>
      </c>
      <c r="M1031" s="155" t="s">
        <v>226</v>
      </c>
      <c r="N1031" s="10">
        <v>50</v>
      </c>
      <c r="O1031" s="10">
        <v>139100000</v>
      </c>
      <c r="P1031" s="140"/>
      <c r="Q1031" t="s">
        <v>3564</v>
      </c>
    </row>
    <row r="1032" spans="1:17" ht="43.5" hidden="1" x14ac:dyDescent="0.35">
      <c r="A1032" s="155" t="e">
        <f t="shared" si="16"/>
        <v>#REF!</v>
      </c>
      <c r="B1032" s="140" t="s">
        <v>18</v>
      </c>
      <c r="C1032" s="140" t="s">
        <v>37</v>
      </c>
      <c r="D1032" s="140" t="s">
        <v>1515</v>
      </c>
      <c r="E1032" s="140" t="s">
        <v>2839</v>
      </c>
      <c r="F1032" s="140" t="s">
        <v>2816</v>
      </c>
      <c r="G1032" s="140" t="s">
        <v>429</v>
      </c>
      <c r="H1032" s="140" t="s">
        <v>430</v>
      </c>
      <c r="I1032" s="140" t="s">
        <v>1213</v>
      </c>
      <c r="J1032" s="140">
        <v>75000000</v>
      </c>
      <c r="K1032" s="155" t="s">
        <v>221</v>
      </c>
      <c r="L1032" s="140">
        <v>2906000</v>
      </c>
      <c r="M1032" s="155" t="s">
        <v>226</v>
      </c>
      <c r="N1032" s="10">
        <v>187.5</v>
      </c>
      <c r="O1032" s="10">
        <v>75000000</v>
      </c>
      <c r="P1032" s="140"/>
      <c r="Q1032" t="s">
        <v>3564</v>
      </c>
    </row>
    <row r="1033" spans="1:17" ht="43.5" hidden="1" x14ac:dyDescent="0.35">
      <c r="A1033" s="155" t="e">
        <f t="shared" si="16"/>
        <v>#REF!</v>
      </c>
      <c r="B1033" s="140" t="s">
        <v>18</v>
      </c>
      <c r="C1033" s="140" t="s">
        <v>37</v>
      </c>
      <c r="D1033" s="140" t="s">
        <v>1521</v>
      </c>
      <c r="E1033" s="140" t="s">
        <v>2840</v>
      </c>
      <c r="F1033" s="140" t="s">
        <v>48</v>
      </c>
      <c r="G1033" s="140" t="s">
        <v>429</v>
      </c>
      <c r="H1033" s="140" t="s">
        <v>433</v>
      </c>
      <c r="I1033" s="140" t="s">
        <v>1187</v>
      </c>
      <c r="J1033" s="140">
        <v>100000000</v>
      </c>
      <c r="K1033" s="155" t="s">
        <v>221</v>
      </c>
      <c r="L1033" s="140">
        <v>2895743</v>
      </c>
      <c r="M1033" s="155" t="s">
        <v>226</v>
      </c>
      <c r="N1033" s="10">
        <v>400</v>
      </c>
      <c r="O1033" s="10">
        <v>62280000</v>
      </c>
      <c r="P1033" s="140"/>
      <c r="Q1033" t="s">
        <v>3586</v>
      </c>
    </row>
    <row r="1034" spans="1:17" ht="43.5" hidden="1" x14ac:dyDescent="0.35">
      <c r="A1034" s="155" t="e">
        <f t="shared" si="16"/>
        <v>#REF!</v>
      </c>
      <c r="B1034" s="140" t="s">
        <v>18</v>
      </c>
      <c r="C1034" s="140" t="s">
        <v>37</v>
      </c>
      <c r="D1034" s="140" t="s">
        <v>1515</v>
      </c>
      <c r="E1034" s="140" t="s">
        <v>2839</v>
      </c>
      <c r="F1034" s="140" t="s">
        <v>2816</v>
      </c>
      <c r="G1034" s="140" t="s">
        <v>429</v>
      </c>
      <c r="H1034" s="140" t="s">
        <v>433</v>
      </c>
      <c r="I1034" s="140" t="s">
        <v>341</v>
      </c>
      <c r="J1034" s="140">
        <v>55000000</v>
      </c>
      <c r="K1034" s="155" t="s">
        <v>221</v>
      </c>
      <c r="L1034" s="140">
        <v>2906000</v>
      </c>
      <c r="M1034" s="155" t="s">
        <v>226</v>
      </c>
      <c r="N1034" s="10">
        <v>137.5</v>
      </c>
      <c r="O1034" s="10">
        <v>55000000</v>
      </c>
      <c r="P1034" s="140"/>
      <c r="Q1034" t="s">
        <v>3564</v>
      </c>
    </row>
    <row r="1035" spans="1:17" ht="43.5" hidden="1" x14ac:dyDescent="0.35">
      <c r="A1035" s="155" t="e">
        <f t="shared" si="16"/>
        <v>#REF!</v>
      </c>
      <c r="B1035" s="140" t="s">
        <v>18</v>
      </c>
      <c r="C1035" s="140" t="s">
        <v>37</v>
      </c>
      <c r="D1035" s="140" t="s">
        <v>1515</v>
      </c>
      <c r="E1035" s="140" t="s">
        <v>2839</v>
      </c>
      <c r="F1035" s="140" t="s">
        <v>2816</v>
      </c>
      <c r="G1035" s="140" t="s">
        <v>429</v>
      </c>
      <c r="H1035" s="140" t="s">
        <v>1380</v>
      </c>
      <c r="I1035" s="140" t="s">
        <v>1259</v>
      </c>
      <c r="J1035" s="140">
        <v>35000000</v>
      </c>
      <c r="K1035" s="155" t="s">
        <v>221</v>
      </c>
      <c r="L1035" s="140">
        <v>2906000</v>
      </c>
      <c r="M1035" s="155" t="s">
        <v>226</v>
      </c>
      <c r="N1035" s="10">
        <v>87.5</v>
      </c>
      <c r="O1035" s="10">
        <v>35000000</v>
      </c>
      <c r="P1035" s="140"/>
      <c r="Q1035" t="s">
        <v>3564</v>
      </c>
    </row>
    <row r="1036" spans="1:17" ht="43.5" hidden="1" x14ac:dyDescent="0.35">
      <c r="A1036" s="155" t="e">
        <f t="shared" si="16"/>
        <v>#REF!</v>
      </c>
      <c r="B1036" s="140" t="s">
        <v>18</v>
      </c>
      <c r="C1036" s="140" t="s">
        <v>37</v>
      </c>
      <c r="D1036" s="140" t="s">
        <v>1515</v>
      </c>
      <c r="E1036" s="140" t="s">
        <v>2839</v>
      </c>
      <c r="F1036" s="140" t="s">
        <v>2816</v>
      </c>
      <c r="G1036" s="140" t="s">
        <v>429</v>
      </c>
      <c r="H1036" s="140" t="s">
        <v>762</v>
      </c>
      <c r="I1036" s="140" t="s">
        <v>2841</v>
      </c>
      <c r="J1036" s="140">
        <v>135000000</v>
      </c>
      <c r="K1036" s="155" t="s">
        <v>221</v>
      </c>
      <c r="L1036" s="140">
        <v>2906000</v>
      </c>
      <c r="M1036" s="155" t="s">
        <v>226</v>
      </c>
      <c r="N1036" s="10">
        <v>337.5</v>
      </c>
      <c r="O1036" s="10">
        <v>135000000</v>
      </c>
      <c r="P1036" s="140"/>
      <c r="Q1036" t="s">
        <v>3564</v>
      </c>
    </row>
    <row r="1037" spans="1:17" ht="43.5" hidden="1" x14ac:dyDescent="0.35">
      <c r="A1037" s="155" t="e">
        <f t="shared" si="16"/>
        <v>#REF!</v>
      </c>
      <c r="B1037" s="140" t="s">
        <v>18</v>
      </c>
      <c r="C1037" s="140" t="s">
        <v>37</v>
      </c>
      <c r="D1037" s="140" t="s">
        <v>1515</v>
      </c>
      <c r="E1037" s="140" t="s">
        <v>2842</v>
      </c>
      <c r="F1037" s="140" t="s">
        <v>48</v>
      </c>
      <c r="G1037" s="140" t="s">
        <v>436</v>
      </c>
      <c r="H1037" s="140" t="s">
        <v>2843</v>
      </c>
      <c r="I1037" s="140" t="s">
        <v>1599</v>
      </c>
      <c r="J1037" s="140">
        <v>50000000</v>
      </c>
      <c r="K1037" s="155" t="s">
        <v>221</v>
      </c>
      <c r="L1037" s="140">
        <v>2937677</v>
      </c>
      <c r="M1037" s="155" t="s">
        <v>226</v>
      </c>
      <c r="N1037" s="10" t="s">
        <v>1173</v>
      </c>
      <c r="O1037" s="10">
        <v>260000000</v>
      </c>
      <c r="P1037" s="140" t="s">
        <v>2844</v>
      </c>
      <c r="Q1037" t="s">
        <v>3564</v>
      </c>
    </row>
    <row r="1038" spans="1:17" ht="43.5" hidden="1" x14ac:dyDescent="0.35">
      <c r="A1038" s="155" t="e">
        <f t="shared" si="16"/>
        <v>#REF!</v>
      </c>
      <c r="B1038" s="140" t="s">
        <v>18</v>
      </c>
      <c r="C1038" s="140" t="s">
        <v>37</v>
      </c>
      <c r="D1038" s="140" t="s">
        <v>1515</v>
      </c>
      <c r="E1038" s="140" t="s">
        <v>2845</v>
      </c>
      <c r="F1038" s="140" t="s">
        <v>48</v>
      </c>
      <c r="G1038" s="140" t="s">
        <v>436</v>
      </c>
      <c r="H1038" s="140" t="s">
        <v>2846</v>
      </c>
      <c r="I1038" s="140" t="s">
        <v>2847</v>
      </c>
      <c r="J1038" s="140">
        <v>20000000</v>
      </c>
      <c r="K1038" s="155" t="s">
        <v>221</v>
      </c>
      <c r="L1038" s="140">
        <v>2946006</v>
      </c>
      <c r="M1038" s="155" t="s">
        <v>226</v>
      </c>
      <c r="N1038" s="10">
        <v>200</v>
      </c>
      <c r="O1038" s="10">
        <v>80000000</v>
      </c>
      <c r="P1038" s="140"/>
      <c r="Q1038" t="s">
        <v>3564</v>
      </c>
    </row>
    <row r="1039" spans="1:17" ht="43.5" hidden="1" x14ac:dyDescent="0.35">
      <c r="A1039" s="155" t="e">
        <f t="shared" si="16"/>
        <v>#REF!</v>
      </c>
      <c r="B1039" s="140" t="s">
        <v>18</v>
      </c>
      <c r="C1039" s="140" t="s">
        <v>37</v>
      </c>
      <c r="D1039" s="140" t="s">
        <v>1634</v>
      </c>
      <c r="E1039" s="140" t="s">
        <v>1635</v>
      </c>
      <c r="F1039" s="140" t="s">
        <v>48</v>
      </c>
      <c r="G1039" s="140" t="s">
        <v>436</v>
      </c>
      <c r="H1039" s="140" t="s">
        <v>2846</v>
      </c>
      <c r="I1039" s="140" t="s">
        <v>280</v>
      </c>
      <c r="J1039" s="140">
        <v>35000000</v>
      </c>
      <c r="K1039" s="155" t="s">
        <v>221</v>
      </c>
      <c r="L1039" s="140">
        <v>2901176</v>
      </c>
      <c r="M1039" s="155" t="s">
        <v>226</v>
      </c>
      <c r="N1039" s="10" t="s">
        <v>280</v>
      </c>
      <c r="O1039" s="10">
        <v>35000000</v>
      </c>
      <c r="P1039" s="140"/>
      <c r="Q1039" t="s">
        <v>3564</v>
      </c>
    </row>
    <row r="1040" spans="1:17" ht="43.5" hidden="1" x14ac:dyDescent="0.35">
      <c r="A1040" s="155" t="e">
        <f>#REF!+1</f>
        <v>#REF!</v>
      </c>
      <c r="B1040" s="140" t="s">
        <v>18</v>
      </c>
      <c r="C1040" s="140" t="s">
        <v>37</v>
      </c>
      <c r="D1040" s="140" t="s">
        <v>1634</v>
      </c>
      <c r="E1040" s="140" t="s">
        <v>1635</v>
      </c>
      <c r="F1040" s="140" t="s">
        <v>48</v>
      </c>
      <c r="G1040" s="140" t="s">
        <v>436</v>
      </c>
      <c r="H1040" s="140" t="s">
        <v>2848</v>
      </c>
      <c r="I1040" s="140" t="s">
        <v>280</v>
      </c>
      <c r="J1040" s="140">
        <v>35000000</v>
      </c>
      <c r="K1040" s="155" t="s">
        <v>221</v>
      </c>
      <c r="L1040" s="140">
        <v>2901176</v>
      </c>
      <c r="M1040" s="155" t="s">
        <v>226</v>
      </c>
      <c r="N1040" s="10" t="s">
        <v>280</v>
      </c>
      <c r="O1040" s="10">
        <v>35000000</v>
      </c>
      <c r="P1040" s="140"/>
      <c r="Q1040" t="s">
        <v>3564</v>
      </c>
    </row>
    <row r="1041" spans="1:17" ht="43.5" hidden="1" x14ac:dyDescent="0.35">
      <c r="A1041" s="155" t="e">
        <f t="shared" si="16"/>
        <v>#REF!</v>
      </c>
      <c r="B1041" s="140" t="s">
        <v>18</v>
      </c>
      <c r="C1041" s="140" t="s">
        <v>37</v>
      </c>
      <c r="D1041" s="140" t="s">
        <v>1634</v>
      </c>
      <c r="E1041" s="140" t="s">
        <v>1635</v>
      </c>
      <c r="F1041" s="140" t="s">
        <v>48</v>
      </c>
      <c r="G1041" s="140" t="s">
        <v>436</v>
      </c>
      <c r="H1041" s="140" t="s">
        <v>437</v>
      </c>
      <c r="I1041" s="140" t="s">
        <v>129</v>
      </c>
      <c r="J1041" s="140">
        <v>135000000</v>
      </c>
      <c r="K1041" s="155" t="s">
        <v>221</v>
      </c>
      <c r="L1041" s="140">
        <v>2901176</v>
      </c>
      <c r="M1041" s="155" t="s">
        <v>226</v>
      </c>
      <c r="N1041" s="10" t="s">
        <v>54</v>
      </c>
      <c r="O1041" s="10">
        <v>70000000</v>
      </c>
      <c r="P1041" s="140"/>
      <c r="Q1041" t="s">
        <v>3564</v>
      </c>
    </row>
    <row r="1042" spans="1:17" ht="43.5" hidden="1" x14ac:dyDescent="0.35">
      <c r="A1042" s="155" t="e">
        <f>#REF!+1</f>
        <v>#REF!</v>
      </c>
      <c r="B1042" s="140" t="s">
        <v>18</v>
      </c>
      <c r="C1042" s="140" t="s">
        <v>37</v>
      </c>
      <c r="D1042" s="140" t="s">
        <v>1515</v>
      </c>
      <c r="E1042" s="140" t="s">
        <v>2849</v>
      </c>
      <c r="F1042" s="140" t="s">
        <v>48</v>
      </c>
      <c r="G1042" s="140" t="s">
        <v>436</v>
      </c>
      <c r="H1042" s="140" t="s">
        <v>2850</v>
      </c>
      <c r="I1042" s="140" t="s">
        <v>48</v>
      </c>
      <c r="J1042" s="140">
        <v>50000000</v>
      </c>
      <c r="K1042" s="155" t="s">
        <v>221</v>
      </c>
      <c r="L1042" s="140">
        <v>2957141</v>
      </c>
      <c r="M1042" s="155" t="s">
        <v>226</v>
      </c>
      <c r="N1042" s="10" t="s">
        <v>561</v>
      </c>
      <c r="O1042" s="10">
        <v>150130000</v>
      </c>
      <c r="P1042" s="140"/>
      <c r="Q1042" t="s">
        <v>3564</v>
      </c>
    </row>
    <row r="1043" spans="1:17" ht="43.5" hidden="1" x14ac:dyDescent="0.35">
      <c r="A1043" s="155" t="e">
        <f>#REF!+1</f>
        <v>#REF!</v>
      </c>
      <c r="B1043" s="140" t="s">
        <v>18</v>
      </c>
      <c r="C1043" s="140" t="s">
        <v>37</v>
      </c>
      <c r="D1043" s="140" t="s">
        <v>1515</v>
      </c>
      <c r="E1043" s="140" t="s">
        <v>2851</v>
      </c>
      <c r="F1043" s="140" t="s">
        <v>48</v>
      </c>
      <c r="G1043" s="140" t="s">
        <v>436</v>
      </c>
      <c r="H1043" s="140" t="s">
        <v>2852</v>
      </c>
      <c r="I1043" s="140" t="s">
        <v>2853</v>
      </c>
      <c r="J1043" s="140">
        <v>34000000</v>
      </c>
      <c r="K1043" s="155" t="s">
        <v>221</v>
      </c>
      <c r="L1043" s="140">
        <v>2957188</v>
      </c>
      <c r="M1043" s="155" t="s">
        <v>226</v>
      </c>
      <c r="N1043" s="10">
        <v>35</v>
      </c>
      <c r="O1043" s="10">
        <v>97370000</v>
      </c>
      <c r="P1043" s="140"/>
      <c r="Q1043" t="s">
        <v>3564</v>
      </c>
    </row>
    <row r="1044" spans="1:17" ht="43.5" hidden="1" x14ac:dyDescent="0.35">
      <c r="A1044" s="155" t="e">
        <f t="shared" si="16"/>
        <v>#REF!</v>
      </c>
      <c r="B1044" s="140" t="s">
        <v>18</v>
      </c>
      <c r="C1044" s="140" t="s">
        <v>37</v>
      </c>
      <c r="D1044" s="140" t="s">
        <v>1515</v>
      </c>
      <c r="E1044" s="140" t="s">
        <v>2854</v>
      </c>
      <c r="F1044" s="140" t="s">
        <v>111</v>
      </c>
      <c r="G1044" s="140" t="s">
        <v>764</v>
      </c>
      <c r="H1044" s="140" t="s">
        <v>765</v>
      </c>
      <c r="I1044" s="140" t="s">
        <v>48</v>
      </c>
      <c r="J1044" s="140">
        <v>19166500</v>
      </c>
      <c r="K1044" s="155" t="s">
        <v>221</v>
      </c>
      <c r="L1044" s="140">
        <v>2933602</v>
      </c>
      <c r="M1044" s="155" t="s">
        <v>226</v>
      </c>
      <c r="N1044" s="10">
        <v>175</v>
      </c>
      <c r="O1044" s="10">
        <v>70000000</v>
      </c>
      <c r="P1044" s="140" t="s">
        <v>2855</v>
      </c>
      <c r="Q1044" t="s">
        <v>3564</v>
      </c>
    </row>
    <row r="1045" spans="1:17" ht="43.5" hidden="1" x14ac:dyDescent="0.35">
      <c r="A1045" s="155" t="e">
        <f t="shared" si="16"/>
        <v>#REF!</v>
      </c>
      <c r="B1045" s="140" t="s">
        <v>18</v>
      </c>
      <c r="C1045" s="140" t="s">
        <v>37</v>
      </c>
      <c r="D1045" s="140" t="s">
        <v>1515</v>
      </c>
      <c r="E1045" s="140" t="s">
        <v>2856</v>
      </c>
      <c r="F1045" s="140" t="s">
        <v>111</v>
      </c>
      <c r="G1045" s="140" t="s">
        <v>764</v>
      </c>
      <c r="H1045" s="140" t="s">
        <v>765</v>
      </c>
      <c r="I1045" s="140" t="s">
        <v>48</v>
      </c>
      <c r="J1045" s="140">
        <v>53478000</v>
      </c>
      <c r="K1045" s="155" t="s">
        <v>221</v>
      </c>
      <c r="L1045" s="140">
        <v>2933869</v>
      </c>
      <c r="M1045" s="155" t="s">
        <v>226</v>
      </c>
      <c r="N1045" s="10">
        <v>50</v>
      </c>
      <c r="O1045" s="10">
        <v>139100000</v>
      </c>
      <c r="P1045" s="140"/>
      <c r="Q1045" t="s">
        <v>3564</v>
      </c>
    </row>
    <row r="1046" spans="1:17" ht="43.5" hidden="1" x14ac:dyDescent="0.35">
      <c r="A1046" s="155" t="e">
        <f t="shared" si="16"/>
        <v>#REF!</v>
      </c>
      <c r="B1046" s="140" t="s">
        <v>18</v>
      </c>
      <c r="C1046" s="140" t="s">
        <v>37</v>
      </c>
      <c r="D1046" s="140" t="s">
        <v>1515</v>
      </c>
      <c r="E1046" s="140" t="s">
        <v>2856</v>
      </c>
      <c r="F1046" s="140" t="s">
        <v>111</v>
      </c>
      <c r="G1046" s="140" t="s">
        <v>764</v>
      </c>
      <c r="H1046" s="140" t="s">
        <v>2857</v>
      </c>
      <c r="I1046" s="140" t="s">
        <v>48</v>
      </c>
      <c r="J1046" s="140">
        <v>68932510</v>
      </c>
      <c r="K1046" s="155" t="s">
        <v>221</v>
      </c>
      <c r="L1046" s="140">
        <v>2934385</v>
      </c>
      <c r="M1046" s="155" t="s">
        <v>226</v>
      </c>
      <c r="N1046" s="10">
        <v>75</v>
      </c>
      <c r="O1046" s="10">
        <v>208650000</v>
      </c>
      <c r="P1046" s="140"/>
      <c r="Q1046" t="s">
        <v>3564</v>
      </c>
    </row>
    <row r="1047" spans="1:17" ht="43.5" hidden="1" x14ac:dyDescent="0.35">
      <c r="A1047" s="155" t="e">
        <f t="shared" si="16"/>
        <v>#REF!</v>
      </c>
      <c r="B1047" s="140" t="s">
        <v>18</v>
      </c>
      <c r="C1047" s="140" t="s">
        <v>37</v>
      </c>
      <c r="D1047" s="140" t="s">
        <v>1515</v>
      </c>
      <c r="E1047" s="140" t="s">
        <v>2856</v>
      </c>
      <c r="F1047" s="140" t="s">
        <v>111</v>
      </c>
      <c r="G1047" s="140" t="s">
        <v>764</v>
      </c>
      <c r="H1047" s="140" t="s">
        <v>2857</v>
      </c>
      <c r="I1047" s="140" t="s">
        <v>48</v>
      </c>
      <c r="J1047" s="140">
        <v>57206000</v>
      </c>
      <c r="K1047" s="155" t="s">
        <v>221</v>
      </c>
      <c r="L1047" s="140">
        <v>2934160</v>
      </c>
      <c r="M1047" s="155" t="s">
        <v>226</v>
      </c>
      <c r="N1047" s="10">
        <v>28</v>
      </c>
      <c r="O1047" s="10">
        <v>77896000</v>
      </c>
      <c r="P1047" s="140"/>
      <c r="Q1047" t="s">
        <v>3564</v>
      </c>
    </row>
    <row r="1048" spans="1:17" ht="43.5" hidden="1" x14ac:dyDescent="0.35">
      <c r="A1048" s="155" t="e">
        <f t="shared" si="16"/>
        <v>#REF!</v>
      </c>
      <c r="B1048" s="140" t="s">
        <v>18</v>
      </c>
      <c r="C1048" s="140" t="s">
        <v>37</v>
      </c>
      <c r="D1048" s="140" t="s">
        <v>1515</v>
      </c>
      <c r="E1048" s="140" t="s">
        <v>2854</v>
      </c>
      <c r="F1048" s="140" t="s">
        <v>111</v>
      </c>
      <c r="G1048" s="140" t="s">
        <v>764</v>
      </c>
      <c r="H1048" s="140" t="s">
        <v>1383</v>
      </c>
      <c r="I1048" s="140" t="s">
        <v>48</v>
      </c>
      <c r="J1048" s="140">
        <v>28821500</v>
      </c>
      <c r="K1048" s="155" t="s">
        <v>221</v>
      </c>
      <c r="L1048" s="140">
        <v>2934602</v>
      </c>
      <c r="M1048" s="155" t="s">
        <v>226</v>
      </c>
      <c r="N1048" s="10">
        <v>225</v>
      </c>
      <c r="O1048" s="10">
        <v>90000000</v>
      </c>
      <c r="P1048" s="140"/>
      <c r="Q1048" t="s">
        <v>3564</v>
      </c>
    </row>
    <row r="1049" spans="1:17" ht="43.5" hidden="1" x14ac:dyDescent="0.35">
      <c r="A1049" s="155" t="e">
        <f t="shared" si="16"/>
        <v>#REF!</v>
      </c>
      <c r="B1049" s="140" t="s">
        <v>18</v>
      </c>
      <c r="C1049" s="140" t="s">
        <v>37</v>
      </c>
      <c r="D1049" s="140" t="s">
        <v>1515</v>
      </c>
      <c r="E1049" s="140" t="s">
        <v>2858</v>
      </c>
      <c r="F1049" s="140" t="s">
        <v>111</v>
      </c>
      <c r="G1049" s="140" t="s">
        <v>764</v>
      </c>
      <c r="H1049" s="140" t="s">
        <v>2859</v>
      </c>
      <c r="I1049" s="140" t="s">
        <v>48</v>
      </c>
      <c r="J1049" s="140">
        <v>64340000</v>
      </c>
      <c r="K1049" s="155" t="s">
        <v>221</v>
      </c>
      <c r="L1049" s="140">
        <v>2933121</v>
      </c>
      <c r="M1049" s="155" t="s">
        <v>226</v>
      </c>
      <c r="N1049" s="10">
        <v>175</v>
      </c>
      <c r="O1049" s="10">
        <v>70000000</v>
      </c>
      <c r="P1049" s="140" t="s">
        <v>2860</v>
      </c>
      <c r="Q1049" t="s">
        <v>3564</v>
      </c>
    </row>
    <row r="1050" spans="1:17" ht="43.5" hidden="1" x14ac:dyDescent="0.35">
      <c r="A1050" s="155" t="e">
        <f t="shared" si="16"/>
        <v>#REF!</v>
      </c>
      <c r="B1050" s="140" t="s">
        <v>18</v>
      </c>
      <c r="C1050" s="140" t="s">
        <v>37</v>
      </c>
      <c r="D1050" s="140" t="s">
        <v>1521</v>
      </c>
      <c r="E1050" s="140" t="s">
        <v>2861</v>
      </c>
      <c r="F1050" s="140" t="s">
        <v>111</v>
      </c>
      <c r="G1050" s="140" t="s">
        <v>764</v>
      </c>
      <c r="H1050" s="140" t="s">
        <v>2862</v>
      </c>
      <c r="I1050" s="140" t="s">
        <v>48</v>
      </c>
      <c r="J1050" s="140">
        <v>67765500</v>
      </c>
      <c r="K1050" s="155" t="s">
        <v>221</v>
      </c>
      <c r="L1050" s="140">
        <v>2978802</v>
      </c>
      <c r="M1050" s="155" t="s">
        <v>226</v>
      </c>
      <c r="N1050" s="10">
        <v>24</v>
      </c>
      <c r="O1050" s="10">
        <v>66768000</v>
      </c>
      <c r="P1050" s="140" t="s">
        <v>2860</v>
      </c>
      <c r="Q1050" t="s">
        <v>3586</v>
      </c>
    </row>
    <row r="1051" spans="1:17" ht="43.5" hidden="1" x14ac:dyDescent="0.35">
      <c r="A1051" s="155" t="e">
        <f t="shared" si="16"/>
        <v>#REF!</v>
      </c>
      <c r="B1051" s="140" t="s">
        <v>18</v>
      </c>
      <c r="C1051" s="140" t="s">
        <v>37</v>
      </c>
      <c r="D1051" s="140" t="s">
        <v>1515</v>
      </c>
      <c r="E1051" s="140" t="s">
        <v>2854</v>
      </c>
      <c r="F1051" s="140" t="s">
        <v>111</v>
      </c>
      <c r="G1051" s="140" t="s">
        <v>764</v>
      </c>
      <c r="H1051" s="140" t="s">
        <v>2863</v>
      </c>
      <c r="I1051" s="140" t="s">
        <v>48</v>
      </c>
      <c r="J1051" s="140">
        <v>12121000</v>
      </c>
      <c r="K1051" s="155" t="s">
        <v>221</v>
      </c>
      <c r="L1051" s="140">
        <v>2939520</v>
      </c>
      <c r="M1051" s="155" t="s">
        <v>226</v>
      </c>
      <c r="N1051" s="10">
        <v>112.5</v>
      </c>
      <c r="O1051" s="10">
        <v>45000000</v>
      </c>
      <c r="P1051" s="140"/>
      <c r="Q1051" t="s">
        <v>3564</v>
      </c>
    </row>
    <row r="1052" spans="1:17" ht="43.5" hidden="1" x14ac:dyDescent="0.35">
      <c r="A1052" s="155" t="e">
        <f t="shared" si="16"/>
        <v>#REF!</v>
      </c>
      <c r="B1052" s="140" t="s">
        <v>18</v>
      </c>
      <c r="C1052" s="140" t="s">
        <v>37</v>
      </c>
      <c r="D1052" s="140" t="s">
        <v>1515</v>
      </c>
      <c r="E1052" s="140" t="s">
        <v>2864</v>
      </c>
      <c r="F1052" s="140" t="s">
        <v>2865</v>
      </c>
      <c r="G1052" s="140" t="s">
        <v>2866</v>
      </c>
      <c r="H1052" s="140" t="s">
        <v>2867</v>
      </c>
      <c r="I1052" s="140" t="s">
        <v>1233</v>
      </c>
      <c r="J1052" s="140">
        <v>100000000</v>
      </c>
      <c r="K1052" s="155" t="s">
        <v>221</v>
      </c>
      <c r="L1052" s="140" t="s">
        <v>48</v>
      </c>
      <c r="M1052" s="155" t="s">
        <v>226</v>
      </c>
      <c r="N1052" s="10">
        <v>117.64705882352941</v>
      </c>
      <c r="O1052" s="10">
        <v>100000000</v>
      </c>
      <c r="P1052" s="140" t="s">
        <v>2868</v>
      </c>
      <c r="Q1052" t="s">
        <v>3564</v>
      </c>
    </row>
    <row r="1053" spans="1:17" ht="43.5" hidden="1" x14ac:dyDescent="0.35">
      <c r="A1053" s="155" t="e">
        <f t="shared" si="16"/>
        <v>#REF!</v>
      </c>
      <c r="B1053" s="140" t="s">
        <v>18</v>
      </c>
      <c r="C1053" s="140" t="s">
        <v>37</v>
      </c>
      <c r="D1053" s="140" t="s">
        <v>1515</v>
      </c>
      <c r="E1053" s="140" t="s">
        <v>2869</v>
      </c>
      <c r="F1053" s="140" t="s">
        <v>2865</v>
      </c>
      <c r="G1053" s="140" t="s">
        <v>2866</v>
      </c>
      <c r="H1053" s="140" t="s">
        <v>2870</v>
      </c>
      <c r="I1053" s="140" t="s">
        <v>2871</v>
      </c>
      <c r="J1053" s="140">
        <v>100000000</v>
      </c>
      <c r="K1053" s="155" t="s">
        <v>221</v>
      </c>
      <c r="L1053" s="140">
        <v>2857879</v>
      </c>
      <c r="M1053" s="155" t="s">
        <v>226</v>
      </c>
      <c r="N1053" s="10">
        <v>250</v>
      </c>
      <c r="O1053" s="10">
        <v>100000000</v>
      </c>
      <c r="P1053" s="140"/>
      <c r="Q1053" t="s">
        <v>3564</v>
      </c>
    </row>
    <row r="1054" spans="1:17" ht="43.5" hidden="1" x14ac:dyDescent="0.35">
      <c r="A1054" s="155" t="e">
        <f t="shared" si="16"/>
        <v>#REF!</v>
      </c>
      <c r="B1054" s="140" t="s">
        <v>18</v>
      </c>
      <c r="C1054" s="140" t="s">
        <v>37</v>
      </c>
      <c r="D1054" s="140" t="s">
        <v>1515</v>
      </c>
      <c r="E1054" s="140" t="s">
        <v>2864</v>
      </c>
      <c r="F1054" s="140" t="s">
        <v>2865</v>
      </c>
      <c r="G1054" s="140" t="s">
        <v>2866</v>
      </c>
      <c r="H1054" s="140" t="s">
        <v>2872</v>
      </c>
      <c r="I1054" s="140" t="s">
        <v>1547</v>
      </c>
      <c r="J1054" s="140">
        <v>100000000</v>
      </c>
      <c r="K1054" s="155" t="s">
        <v>221</v>
      </c>
      <c r="L1054" s="140" t="s">
        <v>48</v>
      </c>
      <c r="M1054" s="155" t="s">
        <v>226</v>
      </c>
      <c r="N1054" s="10">
        <v>117.64705882352941</v>
      </c>
      <c r="O1054" s="10">
        <v>100000000</v>
      </c>
      <c r="P1054" s="140" t="s">
        <v>2873</v>
      </c>
      <c r="Q1054" t="s">
        <v>3564</v>
      </c>
    </row>
    <row r="1055" spans="1:17" ht="43.5" hidden="1" x14ac:dyDescent="0.35">
      <c r="A1055" s="155" t="e">
        <f t="shared" si="16"/>
        <v>#REF!</v>
      </c>
      <c r="B1055" s="140" t="s">
        <v>18</v>
      </c>
      <c r="C1055" s="140" t="s">
        <v>37</v>
      </c>
      <c r="D1055" s="140" t="s">
        <v>1515</v>
      </c>
      <c r="E1055" s="140" t="s">
        <v>2864</v>
      </c>
      <c r="F1055" s="140" t="s">
        <v>2865</v>
      </c>
      <c r="G1055" s="140" t="s">
        <v>2866</v>
      </c>
      <c r="H1055" s="140" t="s">
        <v>1397</v>
      </c>
      <c r="I1055" s="140" t="s">
        <v>2874</v>
      </c>
      <c r="J1055" s="140">
        <v>100000000</v>
      </c>
      <c r="K1055" s="155" t="s">
        <v>221</v>
      </c>
      <c r="L1055" s="140" t="s">
        <v>48</v>
      </c>
      <c r="M1055" s="155" t="s">
        <v>226</v>
      </c>
      <c r="N1055" s="10">
        <v>117.64705882352941</v>
      </c>
      <c r="O1055" s="10">
        <v>100000000</v>
      </c>
      <c r="P1055" s="140" t="s">
        <v>2873</v>
      </c>
      <c r="Q1055" t="s">
        <v>3564</v>
      </c>
    </row>
    <row r="1056" spans="1:17" ht="43.5" hidden="1" x14ac:dyDescent="0.35">
      <c r="A1056" s="155" t="e">
        <f t="shared" si="16"/>
        <v>#REF!</v>
      </c>
      <c r="B1056" s="140" t="s">
        <v>18</v>
      </c>
      <c r="C1056" s="140" t="s">
        <v>37</v>
      </c>
      <c r="D1056" s="140" t="s">
        <v>1515</v>
      </c>
      <c r="E1056" s="140" t="s">
        <v>2875</v>
      </c>
      <c r="F1056" s="140" t="s">
        <v>2865</v>
      </c>
      <c r="G1056" s="140" t="s">
        <v>2866</v>
      </c>
      <c r="H1056" s="140" t="s">
        <v>2876</v>
      </c>
      <c r="I1056" s="140" t="s">
        <v>2877</v>
      </c>
      <c r="J1056" s="140">
        <v>100000000</v>
      </c>
      <c r="K1056" s="155" t="s">
        <v>221</v>
      </c>
      <c r="L1056" s="140">
        <v>2857676</v>
      </c>
      <c r="M1056" s="155" t="s">
        <v>226</v>
      </c>
      <c r="N1056" s="10">
        <v>250</v>
      </c>
      <c r="O1056" s="10">
        <v>100000000</v>
      </c>
      <c r="P1056" s="140"/>
      <c r="Q1056" t="s">
        <v>3564</v>
      </c>
    </row>
    <row r="1057" spans="1:17" ht="43.5" hidden="1" x14ac:dyDescent="0.35">
      <c r="A1057" s="155" t="e">
        <f t="shared" si="16"/>
        <v>#REF!</v>
      </c>
      <c r="B1057" s="140" t="s">
        <v>18</v>
      </c>
      <c r="C1057" s="140" t="s">
        <v>37</v>
      </c>
      <c r="D1057" s="140" t="s">
        <v>1521</v>
      </c>
      <c r="E1057" s="140" t="s">
        <v>2625</v>
      </c>
      <c r="F1057" s="140" t="s">
        <v>2865</v>
      </c>
      <c r="G1057" s="140" t="s">
        <v>2866</v>
      </c>
      <c r="H1057" s="140" t="s">
        <v>2878</v>
      </c>
      <c r="I1057" s="140" t="s">
        <v>2847</v>
      </c>
      <c r="J1057" s="140">
        <v>50000000</v>
      </c>
      <c r="K1057" s="155" t="s">
        <v>221</v>
      </c>
      <c r="L1057" s="140">
        <v>2858119</v>
      </c>
      <c r="M1057" s="155" t="s">
        <v>226</v>
      </c>
      <c r="N1057" s="10">
        <v>29</v>
      </c>
      <c r="O1057" s="10">
        <v>50000000</v>
      </c>
      <c r="P1057" s="140" t="s">
        <v>1564</v>
      </c>
      <c r="Q1057" t="s">
        <v>3586</v>
      </c>
    </row>
    <row r="1058" spans="1:17" ht="43.5" hidden="1" x14ac:dyDescent="0.35">
      <c r="A1058" s="155" t="e">
        <f t="shared" ref="A1058:A1084" si="17">A1057+1</f>
        <v>#REF!</v>
      </c>
      <c r="B1058" s="140" t="s">
        <v>18</v>
      </c>
      <c r="C1058" s="140" t="s">
        <v>37</v>
      </c>
      <c r="D1058" s="140" t="s">
        <v>476</v>
      </c>
      <c r="E1058" s="140" t="s">
        <v>2879</v>
      </c>
      <c r="F1058" s="140" t="s">
        <v>2865</v>
      </c>
      <c r="G1058" s="140" t="s">
        <v>2866</v>
      </c>
      <c r="H1058" s="140" t="s">
        <v>2880</v>
      </c>
      <c r="I1058" s="140" t="s">
        <v>2881</v>
      </c>
      <c r="J1058" s="140">
        <v>100000000</v>
      </c>
      <c r="K1058" s="155" t="s">
        <v>221</v>
      </c>
      <c r="L1058" s="140" t="s">
        <v>48</v>
      </c>
      <c r="M1058" s="155" t="s">
        <v>226</v>
      </c>
      <c r="N1058" s="10"/>
      <c r="O1058" s="10">
        <v>143525000</v>
      </c>
      <c r="P1058" s="140" t="s">
        <v>1955</v>
      </c>
      <c r="Q1058" t="s">
        <v>3586</v>
      </c>
    </row>
    <row r="1059" spans="1:17" ht="43.5" hidden="1" x14ac:dyDescent="0.35">
      <c r="A1059" s="155" t="e">
        <f t="shared" si="17"/>
        <v>#REF!</v>
      </c>
      <c r="B1059" s="140" t="s">
        <v>18</v>
      </c>
      <c r="C1059" s="140" t="s">
        <v>37</v>
      </c>
      <c r="D1059" s="140" t="s">
        <v>1515</v>
      </c>
      <c r="E1059" s="140" t="s">
        <v>2864</v>
      </c>
      <c r="F1059" s="140" t="s">
        <v>2865</v>
      </c>
      <c r="G1059" s="140" t="s">
        <v>2866</v>
      </c>
      <c r="H1059" s="140" t="s">
        <v>2882</v>
      </c>
      <c r="I1059" s="140" t="s">
        <v>617</v>
      </c>
      <c r="J1059" s="140">
        <v>100000000</v>
      </c>
      <c r="K1059" s="155" t="s">
        <v>221</v>
      </c>
      <c r="L1059" s="140" t="s">
        <v>48</v>
      </c>
      <c r="M1059" s="155" t="s">
        <v>226</v>
      </c>
      <c r="N1059" s="10">
        <v>117.64705882352941</v>
      </c>
      <c r="O1059" s="10">
        <v>100000000</v>
      </c>
      <c r="P1059" s="140" t="s">
        <v>2873</v>
      </c>
      <c r="Q1059" t="s">
        <v>3564</v>
      </c>
    </row>
    <row r="1060" spans="1:17" ht="43.5" hidden="1" x14ac:dyDescent="0.35">
      <c r="A1060" s="155" t="e">
        <f t="shared" si="17"/>
        <v>#REF!</v>
      </c>
      <c r="B1060" s="140" t="s">
        <v>18</v>
      </c>
      <c r="C1060" s="140" t="s">
        <v>37</v>
      </c>
      <c r="D1060" s="140" t="s">
        <v>1515</v>
      </c>
      <c r="E1060" s="140" t="s">
        <v>992</v>
      </c>
      <c r="F1060" s="140" t="s">
        <v>48</v>
      </c>
      <c r="G1060" s="140" t="s">
        <v>978</v>
      </c>
      <c r="H1060" s="140" t="s">
        <v>2883</v>
      </c>
      <c r="I1060" s="140">
        <v>1</v>
      </c>
      <c r="J1060" s="140">
        <v>25000000</v>
      </c>
      <c r="K1060" s="155" t="s">
        <v>221</v>
      </c>
      <c r="L1060" s="140">
        <v>2857976</v>
      </c>
      <c r="M1060" s="155" t="s">
        <v>226</v>
      </c>
      <c r="N1060" s="10">
        <v>125</v>
      </c>
      <c r="O1060" s="10">
        <v>50000000</v>
      </c>
      <c r="P1060" s="140"/>
      <c r="Q1060" t="s">
        <v>3564</v>
      </c>
    </row>
    <row r="1061" spans="1:17" ht="43.5" hidden="1" x14ac:dyDescent="0.35">
      <c r="A1061" s="155" t="e">
        <f t="shared" si="17"/>
        <v>#REF!</v>
      </c>
      <c r="B1061" s="140" t="s">
        <v>18</v>
      </c>
      <c r="C1061" s="140" t="s">
        <v>37</v>
      </c>
      <c r="D1061" s="140" t="s">
        <v>1634</v>
      </c>
      <c r="E1061" s="140" t="s">
        <v>2884</v>
      </c>
      <c r="F1061" s="140" t="s">
        <v>48</v>
      </c>
      <c r="G1061" s="140" t="s">
        <v>978</v>
      </c>
      <c r="H1061" s="140" t="s">
        <v>2883</v>
      </c>
      <c r="I1061" s="140">
        <v>2</v>
      </c>
      <c r="J1061" s="140">
        <v>50000000</v>
      </c>
      <c r="K1061" s="155" t="s">
        <v>221</v>
      </c>
      <c r="L1061" s="140">
        <v>2857883</v>
      </c>
      <c r="M1061" s="155" t="s">
        <v>226</v>
      </c>
      <c r="N1061" s="10">
        <v>2</v>
      </c>
      <c r="O1061" s="10">
        <v>50000000</v>
      </c>
      <c r="P1061" s="140"/>
      <c r="Q1061" t="s">
        <v>3564</v>
      </c>
    </row>
    <row r="1062" spans="1:17" ht="43.5" hidden="1" x14ac:dyDescent="0.35">
      <c r="A1062" s="155" t="e">
        <f t="shared" si="17"/>
        <v>#REF!</v>
      </c>
      <c r="B1062" s="140" t="s">
        <v>18</v>
      </c>
      <c r="C1062" s="140" t="s">
        <v>37</v>
      </c>
      <c r="D1062" s="140" t="s">
        <v>1634</v>
      </c>
      <c r="E1062" s="140" t="s">
        <v>2884</v>
      </c>
      <c r="F1062" s="140" t="s">
        <v>48</v>
      </c>
      <c r="G1062" s="140" t="s">
        <v>978</v>
      </c>
      <c r="H1062" s="140" t="s">
        <v>1401</v>
      </c>
      <c r="I1062" s="140">
        <v>1</v>
      </c>
      <c r="J1062" s="140">
        <v>25000000</v>
      </c>
      <c r="K1062" s="155" t="s">
        <v>221</v>
      </c>
      <c r="L1062" s="140">
        <v>2857883</v>
      </c>
      <c r="M1062" s="155" t="s">
        <v>226</v>
      </c>
      <c r="N1062" s="10">
        <v>1</v>
      </c>
      <c r="O1062" s="10">
        <v>25000000</v>
      </c>
      <c r="P1062" s="140"/>
      <c r="Q1062" t="s">
        <v>3564</v>
      </c>
    </row>
    <row r="1063" spans="1:17" ht="43.5" hidden="1" x14ac:dyDescent="0.35">
      <c r="A1063" s="155" t="e">
        <f t="shared" si="17"/>
        <v>#REF!</v>
      </c>
      <c r="B1063" s="140" t="s">
        <v>18</v>
      </c>
      <c r="C1063" s="140" t="s">
        <v>37</v>
      </c>
      <c r="D1063" s="140" t="s">
        <v>1570</v>
      </c>
      <c r="E1063" s="140" t="s">
        <v>1221</v>
      </c>
      <c r="F1063" s="140" t="s">
        <v>48</v>
      </c>
      <c r="G1063" s="140" t="s">
        <v>978</v>
      </c>
      <c r="H1063" s="140" t="s">
        <v>1401</v>
      </c>
      <c r="I1063" s="140">
        <v>1</v>
      </c>
      <c r="J1063" s="140">
        <v>25000000</v>
      </c>
      <c r="K1063" s="155" t="s">
        <v>221</v>
      </c>
      <c r="L1063" s="140">
        <v>3012336</v>
      </c>
      <c r="M1063" s="155" t="s">
        <v>226</v>
      </c>
      <c r="N1063" s="10">
        <v>25</v>
      </c>
      <c r="O1063" s="10">
        <v>69550000</v>
      </c>
      <c r="P1063" s="140" t="s">
        <v>2885</v>
      </c>
      <c r="Q1063" t="s">
        <v>3586</v>
      </c>
    </row>
    <row r="1064" spans="1:17" ht="43.5" hidden="1" x14ac:dyDescent="0.35">
      <c r="A1064" s="155" t="e">
        <f t="shared" si="17"/>
        <v>#REF!</v>
      </c>
      <c r="B1064" s="140" t="s">
        <v>18</v>
      </c>
      <c r="C1064" s="140" t="s">
        <v>37</v>
      </c>
      <c r="D1064" s="140" t="s">
        <v>1515</v>
      </c>
      <c r="E1064" s="140" t="s">
        <v>992</v>
      </c>
      <c r="F1064" s="140" t="s">
        <v>48</v>
      </c>
      <c r="G1064" s="140" t="s">
        <v>978</v>
      </c>
      <c r="H1064" s="140" t="s">
        <v>2886</v>
      </c>
      <c r="I1064" s="140">
        <v>1</v>
      </c>
      <c r="J1064" s="140">
        <v>25000000</v>
      </c>
      <c r="K1064" s="155" t="s">
        <v>221</v>
      </c>
      <c r="L1064" s="140">
        <v>2936458</v>
      </c>
      <c r="M1064" s="155" t="s">
        <v>226</v>
      </c>
      <c r="N1064" s="10">
        <v>125</v>
      </c>
      <c r="O1064" s="10">
        <v>50000000</v>
      </c>
      <c r="P1064" s="140"/>
      <c r="Q1064" t="s">
        <v>3564</v>
      </c>
    </row>
    <row r="1065" spans="1:17" ht="43.5" hidden="1" x14ac:dyDescent="0.35">
      <c r="A1065" s="155" t="e">
        <f t="shared" si="17"/>
        <v>#REF!</v>
      </c>
      <c r="B1065" s="140" t="s">
        <v>18</v>
      </c>
      <c r="C1065" s="140" t="s">
        <v>37</v>
      </c>
      <c r="D1065" s="140" t="s">
        <v>1634</v>
      </c>
      <c r="E1065" s="140" t="s">
        <v>2884</v>
      </c>
      <c r="F1065" s="140" t="s">
        <v>48</v>
      </c>
      <c r="G1065" s="140" t="s">
        <v>978</v>
      </c>
      <c r="H1065" s="140" t="s">
        <v>2886</v>
      </c>
      <c r="I1065" s="140">
        <v>2</v>
      </c>
      <c r="J1065" s="140">
        <v>50000000</v>
      </c>
      <c r="K1065" s="155" t="s">
        <v>221</v>
      </c>
      <c r="L1065" s="140">
        <v>2857883</v>
      </c>
      <c r="M1065" s="155" t="s">
        <v>226</v>
      </c>
      <c r="N1065" s="10">
        <v>2</v>
      </c>
      <c r="O1065" s="10">
        <v>50000000</v>
      </c>
      <c r="P1065" s="140"/>
      <c r="Q1065" t="s">
        <v>3564</v>
      </c>
    </row>
    <row r="1066" spans="1:17" ht="43.5" hidden="1" x14ac:dyDescent="0.35">
      <c r="A1066" s="155" t="e">
        <f>#REF!+1</f>
        <v>#REF!</v>
      </c>
      <c r="B1066" s="140" t="s">
        <v>18</v>
      </c>
      <c r="C1066" s="140" t="s">
        <v>37</v>
      </c>
      <c r="D1066" s="140" t="s">
        <v>1634</v>
      </c>
      <c r="E1066" s="140" t="s">
        <v>2884</v>
      </c>
      <c r="F1066" s="140" t="s">
        <v>48</v>
      </c>
      <c r="G1066" s="140" t="s">
        <v>978</v>
      </c>
      <c r="H1066" s="140" t="s">
        <v>225</v>
      </c>
      <c r="I1066" s="140">
        <v>2</v>
      </c>
      <c r="J1066" s="140">
        <v>50000000</v>
      </c>
      <c r="K1066" s="155" t="s">
        <v>221</v>
      </c>
      <c r="L1066" s="140">
        <v>2857883</v>
      </c>
      <c r="M1066" s="155" t="s">
        <v>226</v>
      </c>
      <c r="N1066" s="10">
        <v>2</v>
      </c>
      <c r="O1066" s="10">
        <v>50000000</v>
      </c>
      <c r="P1066" s="140"/>
      <c r="Q1066" t="s">
        <v>3564</v>
      </c>
    </row>
    <row r="1067" spans="1:17" ht="43.5" hidden="1" x14ac:dyDescent="0.35">
      <c r="A1067" s="155" t="e">
        <f t="shared" si="17"/>
        <v>#REF!</v>
      </c>
      <c r="B1067" s="140" t="s">
        <v>18</v>
      </c>
      <c r="C1067" s="140" t="s">
        <v>37</v>
      </c>
      <c r="D1067" s="140" t="s">
        <v>1634</v>
      </c>
      <c r="E1067" s="140" t="s">
        <v>2884</v>
      </c>
      <c r="F1067" s="140" t="s">
        <v>48</v>
      </c>
      <c r="G1067" s="140" t="s">
        <v>978</v>
      </c>
      <c r="H1067" s="140" t="s">
        <v>1404</v>
      </c>
      <c r="I1067" s="140">
        <v>1</v>
      </c>
      <c r="J1067" s="140">
        <v>25000000</v>
      </c>
      <c r="K1067" s="155" t="s">
        <v>221</v>
      </c>
      <c r="L1067" s="140">
        <v>2857883</v>
      </c>
      <c r="M1067" s="155" t="s">
        <v>226</v>
      </c>
      <c r="N1067" s="10">
        <v>1</v>
      </c>
      <c r="O1067" s="10">
        <v>25000000</v>
      </c>
      <c r="P1067" s="140"/>
      <c r="Q1067" t="s">
        <v>3564</v>
      </c>
    </row>
    <row r="1068" spans="1:17" ht="43.5" hidden="1" x14ac:dyDescent="0.35">
      <c r="A1068" s="155" t="e">
        <f t="shared" si="17"/>
        <v>#REF!</v>
      </c>
      <c r="B1068" s="140" t="s">
        <v>18</v>
      </c>
      <c r="C1068" s="140" t="s">
        <v>37</v>
      </c>
      <c r="D1068" s="140" t="s">
        <v>1634</v>
      </c>
      <c r="E1068" s="140" t="s">
        <v>2884</v>
      </c>
      <c r="F1068" s="140" t="s">
        <v>48</v>
      </c>
      <c r="G1068" s="140" t="s">
        <v>978</v>
      </c>
      <c r="H1068" s="140" t="s">
        <v>979</v>
      </c>
      <c r="I1068" s="140">
        <v>1</v>
      </c>
      <c r="J1068" s="140">
        <v>25000000</v>
      </c>
      <c r="K1068" s="155" t="s">
        <v>221</v>
      </c>
      <c r="L1068" s="140">
        <v>2857883</v>
      </c>
      <c r="M1068" s="155" t="s">
        <v>226</v>
      </c>
      <c r="N1068" s="10">
        <v>1</v>
      </c>
      <c r="O1068" s="10">
        <v>25000000</v>
      </c>
      <c r="P1068" s="140"/>
      <c r="Q1068" t="s">
        <v>3564</v>
      </c>
    </row>
    <row r="1069" spans="1:17" ht="43.5" hidden="1" x14ac:dyDescent="0.35">
      <c r="A1069" s="155" t="e">
        <f t="shared" si="17"/>
        <v>#REF!</v>
      </c>
      <c r="B1069" s="140" t="s">
        <v>18</v>
      </c>
      <c r="C1069" s="140" t="s">
        <v>37</v>
      </c>
      <c r="D1069" s="140" t="s">
        <v>1515</v>
      </c>
      <c r="E1069" s="140" t="s">
        <v>992</v>
      </c>
      <c r="F1069" s="140" t="s">
        <v>48</v>
      </c>
      <c r="G1069" s="140" t="s">
        <v>978</v>
      </c>
      <c r="H1069" s="140" t="s">
        <v>2887</v>
      </c>
      <c r="I1069" s="140">
        <v>1</v>
      </c>
      <c r="J1069" s="140">
        <v>50000000</v>
      </c>
      <c r="K1069" s="155" t="s">
        <v>221</v>
      </c>
      <c r="L1069" s="140">
        <v>2936458</v>
      </c>
      <c r="M1069" s="155" t="s">
        <v>226</v>
      </c>
      <c r="N1069" s="10">
        <v>85</v>
      </c>
      <c r="O1069" s="10">
        <v>34000000</v>
      </c>
      <c r="P1069" s="140"/>
      <c r="Q1069" t="s">
        <v>3564</v>
      </c>
    </row>
    <row r="1070" spans="1:17" ht="43.5" hidden="1" x14ac:dyDescent="0.35">
      <c r="A1070" s="155" t="e">
        <f t="shared" si="17"/>
        <v>#REF!</v>
      </c>
      <c r="B1070" s="140" t="s">
        <v>18</v>
      </c>
      <c r="C1070" s="140" t="s">
        <v>37</v>
      </c>
      <c r="D1070" s="140" t="s">
        <v>1634</v>
      </c>
      <c r="E1070" s="140" t="s">
        <v>2884</v>
      </c>
      <c r="F1070" s="140" t="s">
        <v>48</v>
      </c>
      <c r="G1070" s="140" t="s">
        <v>978</v>
      </c>
      <c r="H1070" s="140" t="s">
        <v>2887</v>
      </c>
      <c r="I1070" s="140">
        <v>2</v>
      </c>
      <c r="J1070" s="140">
        <v>50000000</v>
      </c>
      <c r="K1070" s="155" t="s">
        <v>221</v>
      </c>
      <c r="L1070" s="140">
        <v>2857883</v>
      </c>
      <c r="M1070" s="155" t="s">
        <v>226</v>
      </c>
      <c r="N1070" s="10">
        <v>2</v>
      </c>
      <c r="O1070" s="10">
        <v>50000000</v>
      </c>
      <c r="P1070" s="140"/>
      <c r="Q1070" t="s">
        <v>3564</v>
      </c>
    </row>
    <row r="1071" spans="1:17" ht="43.5" hidden="1" x14ac:dyDescent="0.35">
      <c r="A1071" s="155" t="e">
        <f t="shared" si="17"/>
        <v>#REF!</v>
      </c>
      <c r="B1071" s="140" t="s">
        <v>18</v>
      </c>
      <c r="C1071" s="140" t="s">
        <v>37</v>
      </c>
      <c r="D1071" s="140" t="s">
        <v>1570</v>
      </c>
      <c r="E1071" s="140" t="s">
        <v>2888</v>
      </c>
      <c r="F1071" s="140" t="s">
        <v>2889</v>
      </c>
      <c r="G1071" s="140" t="s">
        <v>978</v>
      </c>
      <c r="H1071" s="140" t="s">
        <v>2890</v>
      </c>
      <c r="I1071" s="140">
        <v>1</v>
      </c>
      <c r="J1071" s="140">
        <v>100000000</v>
      </c>
      <c r="K1071" s="155" t="s">
        <v>221</v>
      </c>
      <c r="L1071" s="140">
        <v>3012336</v>
      </c>
      <c r="M1071" s="155" t="s">
        <v>226</v>
      </c>
      <c r="N1071" s="10">
        <v>25</v>
      </c>
      <c r="O1071" s="10">
        <v>69550000</v>
      </c>
      <c r="P1071" s="140"/>
      <c r="Q1071" t="s">
        <v>3586</v>
      </c>
    </row>
    <row r="1072" spans="1:17" ht="43.5" hidden="1" x14ac:dyDescent="0.35">
      <c r="A1072" s="155" t="e">
        <f t="shared" si="17"/>
        <v>#REF!</v>
      </c>
      <c r="B1072" s="140" t="s">
        <v>18</v>
      </c>
      <c r="C1072" s="140" t="s">
        <v>37</v>
      </c>
      <c r="D1072" s="140" t="s">
        <v>1634</v>
      </c>
      <c r="E1072" s="140" t="s">
        <v>2884</v>
      </c>
      <c r="F1072" s="140" t="s">
        <v>48</v>
      </c>
      <c r="G1072" s="140" t="s">
        <v>978</v>
      </c>
      <c r="H1072" s="140" t="s">
        <v>2890</v>
      </c>
      <c r="I1072" s="140">
        <v>2</v>
      </c>
      <c r="J1072" s="140">
        <v>50000000</v>
      </c>
      <c r="K1072" s="155" t="s">
        <v>221</v>
      </c>
      <c r="L1072" s="140">
        <v>2857883</v>
      </c>
      <c r="M1072" s="155" t="s">
        <v>226</v>
      </c>
      <c r="N1072" s="10">
        <v>2</v>
      </c>
      <c r="O1072" s="10">
        <v>50000000</v>
      </c>
      <c r="P1072" s="140"/>
      <c r="Q1072" t="s">
        <v>3564</v>
      </c>
    </row>
    <row r="1073" spans="1:17" ht="43.5" hidden="1" x14ac:dyDescent="0.35">
      <c r="A1073" s="155" t="e">
        <f>#REF!+1</f>
        <v>#REF!</v>
      </c>
      <c r="B1073" s="140" t="s">
        <v>18</v>
      </c>
      <c r="C1073" s="140" t="s">
        <v>37</v>
      </c>
      <c r="D1073" s="140" t="s">
        <v>1515</v>
      </c>
      <c r="E1073" s="140" t="s">
        <v>2891</v>
      </c>
      <c r="F1073" s="140" t="s">
        <v>768</v>
      </c>
      <c r="G1073" s="140" t="s">
        <v>769</v>
      </c>
      <c r="H1073" s="140" t="s">
        <v>770</v>
      </c>
      <c r="I1073" s="140" t="s">
        <v>431</v>
      </c>
      <c r="J1073" s="140">
        <v>60000000</v>
      </c>
      <c r="K1073" s="155" t="s">
        <v>221</v>
      </c>
      <c r="L1073" s="140">
        <v>2887894</v>
      </c>
      <c r="M1073" s="155" t="s">
        <v>226</v>
      </c>
      <c r="N1073" s="10">
        <v>236</v>
      </c>
      <c r="O1073" s="10">
        <v>60000000</v>
      </c>
      <c r="P1073" s="140" t="s">
        <v>1544</v>
      </c>
      <c r="Q1073" t="s">
        <v>3564</v>
      </c>
    </row>
    <row r="1074" spans="1:17" ht="43.5" hidden="1" x14ac:dyDescent="0.35">
      <c r="A1074" s="155" t="e">
        <f t="shared" si="17"/>
        <v>#REF!</v>
      </c>
      <c r="B1074" s="140" t="s">
        <v>18</v>
      </c>
      <c r="C1074" s="140" t="s">
        <v>37</v>
      </c>
      <c r="D1074" s="140" t="s">
        <v>1515</v>
      </c>
      <c r="E1074" s="140" t="s">
        <v>2891</v>
      </c>
      <c r="F1074" s="140" t="s">
        <v>768</v>
      </c>
      <c r="G1074" s="140" t="s">
        <v>769</v>
      </c>
      <c r="H1074" s="140" t="s">
        <v>773</v>
      </c>
      <c r="I1074" s="140" t="s">
        <v>431</v>
      </c>
      <c r="J1074" s="140">
        <v>60000000</v>
      </c>
      <c r="K1074" s="155" t="s">
        <v>221</v>
      </c>
      <c r="L1074" s="140">
        <v>2887894</v>
      </c>
      <c r="M1074" s="155" t="s">
        <v>226</v>
      </c>
      <c r="N1074" s="10">
        <v>71</v>
      </c>
      <c r="O1074" s="10">
        <v>60000000</v>
      </c>
      <c r="P1074" s="140" t="s">
        <v>2892</v>
      </c>
      <c r="Q1074" t="s">
        <v>3564</v>
      </c>
    </row>
    <row r="1075" spans="1:17" ht="43.5" hidden="1" x14ac:dyDescent="0.35">
      <c r="A1075" s="155" t="e">
        <f t="shared" si="17"/>
        <v>#REF!</v>
      </c>
      <c r="B1075" s="140" t="s">
        <v>18</v>
      </c>
      <c r="C1075" s="140" t="s">
        <v>37</v>
      </c>
      <c r="D1075" s="140" t="s">
        <v>1515</v>
      </c>
      <c r="E1075" s="140" t="s">
        <v>2891</v>
      </c>
      <c r="F1075" s="140" t="s">
        <v>768</v>
      </c>
      <c r="G1075" s="140" t="s">
        <v>769</v>
      </c>
      <c r="H1075" s="140" t="s">
        <v>774</v>
      </c>
      <c r="I1075" s="140" t="s">
        <v>431</v>
      </c>
      <c r="J1075" s="140">
        <v>60000000</v>
      </c>
      <c r="K1075" s="155" t="s">
        <v>221</v>
      </c>
      <c r="L1075" s="140">
        <v>2887894</v>
      </c>
      <c r="M1075" s="155" t="s">
        <v>226</v>
      </c>
      <c r="N1075" s="10">
        <v>236</v>
      </c>
      <c r="O1075" s="10">
        <v>60000000</v>
      </c>
      <c r="P1075" s="140" t="s">
        <v>1544</v>
      </c>
      <c r="Q1075" t="s">
        <v>3564</v>
      </c>
    </row>
    <row r="1076" spans="1:17" ht="43.5" hidden="1" x14ac:dyDescent="0.35">
      <c r="A1076" s="155" t="e">
        <f t="shared" si="17"/>
        <v>#REF!</v>
      </c>
      <c r="B1076" s="140" t="s">
        <v>18</v>
      </c>
      <c r="C1076" s="140" t="s">
        <v>37</v>
      </c>
      <c r="D1076" s="140" t="s">
        <v>1515</v>
      </c>
      <c r="E1076" s="140" t="s">
        <v>2891</v>
      </c>
      <c r="F1076" s="140" t="s">
        <v>768</v>
      </c>
      <c r="G1076" s="140" t="s">
        <v>769</v>
      </c>
      <c r="H1076" s="140" t="s">
        <v>775</v>
      </c>
      <c r="I1076" s="140" t="s">
        <v>431</v>
      </c>
      <c r="J1076" s="140">
        <v>60000000</v>
      </c>
      <c r="K1076" s="155" t="s">
        <v>221</v>
      </c>
      <c r="L1076" s="140">
        <v>2887894</v>
      </c>
      <c r="M1076" s="155" t="s">
        <v>226</v>
      </c>
      <c r="N1076" s="10">
        <v>71</v>
      </c>
      <c r="O1076" s="10">
        <v>60000000</v>
      </c>
      <c r="P1076" s="140" t="s">
        <v>2892</v>
      </c>
      <c r="Q1076" t="s">
        <v>3564</v>
      </c>
    </row>
    <row r="1077" spans="1:17" ht="43.5" hidden="1" x14ac:dyDescent="0.35">
      <c r="A1077" s="155" t="e">
        <f t="shared" si="17"/>
        <v>#REF!</v>
      </c>
      <c r="B1077" s="140" t="s">
        <v>18</v>
      </c>
      <c r="C1077" s="140" t="s">
        <v>37</v>
      </c>
      <c r="D1077" s="140" t="s">
        <v>1515</v>
      </c>
      <c r="E1077" s="140" t="s">
        <v>2891</v>
      </c>
      <c r="F1077" s="140" t="s">
        <v>768</v>
      </c>
      <c r="G1077" s="140" t="s">
        <v>769</v>
      </c>
      <c r="H1077" s="140" t="s">
        <v>776</v>
      </c>
      <c r="I1077" s="140" t="s">
        <v>431</v>
      </c>
      <c r="J1077" s="140">
        <v>60000000</v>
      </c>
      <c r="K1077" s="155" t="s">
        <v>221</v>
      </c>
      <c r="L1077" s="140">
        <v>2887894</v>
      </c>
      <c r="M1077" s="155" t="s">
        <v>226</v>
      </c>
      <c r="N1077" s="10">
        <v>236</v>
      </c>
      <c r="O1077" s="10">
        <v>60000000</v>
      </c>
      <c r="P1077" s="140" t="s">
        <v>1544</v>
      </c>
      <c r="Q1077" t="s">
        <v>3564</v>
      </c>
    </row>
    <row r="1078" spans="1:17" ht="43.5" hidden="1" x14ac:dyDescent="0.35">
      <c r="A1078" s="155" t="e">
        <f t="shared" si="17"/>
        <v>#REF!</v>
      </c>
      <c r="B1078" s="140" t="s">
        <v>18</v>
      </c>
      <c r="C1078" s="140" t="s">
        <v>37</v>
      </c>
      <c r="D1078" s="140" t="s">
        <v>1515</v>
      </c>
      <c r="E1078" s="140" t="s">
        <v>2891</v>
      </c>
      <c r="F1078" s="140" t="s">
        <v>768</v>
      </c>
      <c r="G1078" s="140" t="s">
        <v>769</v>
      </c>
      <c r="H1078" s="140" t="s">
        <v>777</v>
      </c>
      <c r="I1078" s="140" t="s">
        <v>431</v>
      </c>
      <c r="J1078" s="140">
        <v>60000000</v>
      </c>
      <c r="K1078" s="155" t="s">
        <v>221</v>
      </c>
      <c r="L1078" s="140">
        <v>2887894</v>
      </c>
      <c r="M1078" s="155" t="s">
        <v>226</v>
      </c>
      <c r="N1078" s="10">
        <v>150</v>
      </c>
      <c r="O1078" s="10">
        <v>60000000</v>
      </c>
      <c r="P1078" s="140" t="s">
        <v>2383</v>
      </c>
      <c r="Q1078" t="s">
        <v>3564</v>
      </c>
    </row>
    <row r="1079" spans="1:17" ht="43.5" hidden="1" x14ac:dyDescent="0.35">
      <c r="A1079" s="155" t="e">
        <f t="shared" si="17"/>
        <v>#REF!</v>
      </c>
      <c r="B1079" s="140" t="s">
        <v>18</v>
      </c>
      <c r="C1079" s="140" t="s">
        <v>37</v>
      </c>
      <c r="D1079" s="140" t="s">
        <v>1515</v>
      </c>
      <c r="E1079" s="140" t="s">
        <v>2891</v>
      </c>
      <c r="F1079" s="140" t="s">
        <v>768</v>
      </c>
      <c r="G1079" s="140" t="s">
        <v>769</v>
      </c>
      <c r="H1079" s="140" t="s">
        <v>778</v>
      </c>
      <c r="I1079" s="140" t="s">
        <v>431</v>
      </c>
      <c r="J1079" s="140">
        <v>60000000</v>
      </c>
      <c r="K1079" s="155" t="s">
        <v>221</v>
      </c>
      <c r="L1079" s="140">
        <v>2887894</v>
      </c>
      <c r="M1079" s="155" t="s">
        <v>226</v>
      </c>
      <c r="N1079" s="10">
        <v>236</v>
      </c>
      <c r="O1079" s="10">
        <v>60000000</v>
      </c>
      <c r="P1079" s="140" t="s">
        <v>2892</v>
      </c>
      <c r="Q1079" t="s">
        <v>3564</v>
      </c>
    </row>
    <row r="1080" spans="1:17" ht="43.5" hidden="1" x14ac:dyDescent="0.35">
      <c r="A1080" s="155" t="e">
        <f t="shared" si="17"/>
        <v>#REF!</v>
      </c>
      <c r="B1080" s="140" t="s">
        <v>18</v>
      </c>
      <c r="C1080" s="140" t="s">
        <v>37</v>
      </c>
      <c r="D1080" s="140" t="s">
        <v>1515</v>
      </c>
      <c r="E1080" s="140" t="s">
        <v>2891</v>
      </c>
      <c r="F1080" s="140" t="s">
        <v>768</v>
      </c>
      <c r="G1080" s="140" t="s">
        <v>769</v>
      </c>
      <c r="H1080" s="140" t="s">
        <v>779</v>
      </c>
      <c r="I1080" s="140" t="s">
        <v>431</v>
      </c>
      <c r="J1080" s="140">
        <v>60000000</v>
      </c>
      <c r="K1080" s="155" t="s">
        <v>221</v>
      </c>
      <c r="L1080" s="140">
        <v>2887894</v>
      </c>
      <c r="M1080" s="155" t="s">
        <v>226</v>
      </c>
      <c r="N1080" s="10">
        <v>236</v>
      </c>
      <c r="O1080" s="10">
        <v>60000000</v>
      </c>
      <c r="P1080" s="140" t="s">
        <v>2892</v>
      </c>
      <c r="Q1080" t="s">
        <v>3564</v>
      </c>
    </row>
    <row r="1081" spans="1:17" ht="43.5" hidden="1" x14ac:dyDescent="0.35">
      <c r="A1081" s="155" t="e">
        <f t="shared" si="17"/>
        <v>#REF!</v>
      </c>
      <c r="B1081" s="140" t="s">
        <v>18</v>
      </c>
      <c r="C1081" s="140" t="s">
        <v>37</v>
      </c>
      <c r="D1081" s="140" t="s">
        <v>1515</v>
      </c>
      <c r="E1081" s="140" t="s">
        <v>2891</v>
      </c>
      <c r="F1081" s="140" t="s">
        <v>768</v>
      </c>
      <c r="G1081" s="140" t="s">
        <v>769</v>
      </c>
      <c r="H1081" s="140" t="s">
        <v>780</v>
      </c>
      <c r="I1081" s="140" t="s">
        <v>431</v>
      </c>
      <c r="J1081" s="140">
        <v>60000000</v>
      </c>
      <c r="K1081" s="155" t="s">
        <v>221</v>
      </c>
      <c r="L1081" s="140">
        <v>2887894</v>
      </c>
      <c r="M1081" s="155" t="s">
        <v>226</v>
      </c>
      <c r="N1081" s="10">
        <v>236</v>
      </c>
      <c r="O1081" s="10">
        <v>60000000</v>
      </c>
      <c r="P1081" s="140" t="s">
        <v>1544</v>
      </c>
      <c r="Q1081" t="s">
        <v>3564</v>
      </c>
    </row>
    <row r="1082" spans="1:17" ht="43.5" hidden="1" x14ac:dyDescent="0.35">
      <c r="A1082" s="155" t="e">
        <f t="shared" si="17"/>
        <v>#REF!</v>
      </c>
      <c r="B1082" s="140" t="s">
        <v>18</v>
      </c>
      <c r="C1082" s="140" t="s">
        <v>37</v>
      </c>
      <c r="D1082" s="140" t="s">
        <v>1515</v>
      </c>
      <c r="E1082" s="140" t="s">
        <v>2893</v>
      </c>
      <c r="F1082" s="140" t="s">
        <v>297</v>
      </c>
      <c r="G1082" s="140" t="s">
        <v>783</v>
      </c>
      <c r="H1082" s="140" t="s">
        <v>2894</v>
      </c>
      <c r="I1082" s="140" t="s">
        <v>2895</v>
      </c>
      <c r="J1082" s="140">
        <v>252500000</v>
      </c>
      <c r="K1082" s="155" t="s">
        <v>221</v>
      </c>
      <c r="L1082" s="140"/>
      <c r="M1082" s="155" t="s">
        <v>226</v>
      </c>
      <c r="N1082" s="10" t="s">
        <v>2896</v>
      </c>
      <c r="O1082" s="10">
        <v>250000000</v>
      </c>
      <c r="P1082" s="140"/>
      <c r="Q1082" t="s">
        <v>3564</v>
      </c>
    </row>
    <row r="1083" spans="1:17" ht="43.5" hidden="1" x14ac:dyDescent="0.35">
      <c r="A1083" s="155" t="e">
        <f t="shared" si="17"/>
        <v>#REF!</v>
      </c>
      <c r="B1083" s="140" t="s">
        <v>18</v>
      </c>
      <c r="C1083" s="140" t="s">
        <v>37</v>
      </c>
      <c r="D1083" s="140" t="s">
        <v>1515</v>
      </c>
      <c r="E1083" s="140" t="s">
        <v>2897</v>
      </c>
      <c r="F1083" s="140" t="s">
        <v>297</v>
      </c>
      <c r="G1083" s="140" t="s">
        <v>783</v>
      </c>
      <c r="H1083" s="140" t="s">
        <v>2898</v>
      </c>
      <c r="I1083" s="140" t="s">
        <v>2899</v>
      </c>
      <c r="J1083" s="140">
        <v>187500000</v>
      </c>
      <c r="K1083" s="155" t="s">
        <v>221</v>
      </c>
      <c r="L1083" s="140"/>
      <c r="M1083" s="155" t="s">
        <v>226</v>
      </c>
      <c r="N1083" s="10" t="s">
        <v>2900</v>
      </c>
      <c r="O1083" s="10">
        <v>250000000</v>
      </c>
      <c r="P1083" s="140"/>
      <c r="Q1083" t="s">
        <v>3564</v>
      </c>
    </row>
    <row r="1084" spans="1:17" ht="43.5" hidden="1" x14ac:dyDescent="0.35">
      <c r="A1084" s="155" t="e">
        <f t="shared" si="17"/>
        <v>#REF!</v>
      </c>
      <c r="B1084" s="140" t="s">
        <v>18</v>
      </c>
      <c r="C1084" s="140" t="s">
        <v>37</v>
      </c>
      <c r="D1084" s="140" t="s">
        <v>476</v>
      </c>
      <c r="E1084" s="140" t="s">
        <v>2901</v>
      </c>
      <c r="F1084" s="140" t="s">
        <v>48</v>
      </c>
      <c r="G1084" s="140" t="s">
        <v>240</v>
      </c>
      <c r="H1084" s="140" t="s">
        <v>241</v>
      </c>
      <c r="I1084" s="140" t="s">
        <v>2902</v>
      </c>
      <c r="J1084" s="140">
        <v>20000000</v>
      </c>
      <c r="K1084" s="155" t="s">
        <v>221</v>
      </c>
      <c r="L1084" s="140">
        <v>2931751</v>
      </c>
      <c r="M1084" s="155" t="s">
        <v>226</v>
      </c>
      <c r="N1084" s="10">
        <v>1</v>
      </c>
      <c r="O1084" s="10">
        <v>81909920</v>
      </c>
      <c r="P1084" s="140" t="s">
        <v>2903</v>
      </c>
      <c r="Q1084" t="s">
        <v>3586</v>
      </c>
    </row>
    <row r="1085" spans="1:17" ht="43.5" hidden="1" x14ac:dyDescent="0.35">
      <c r="A1085" s="155" t="e">
        <f>#REF!+1</f>
        <v>#REF!</v>
      </c>
      <c r="B1085" s="140" t="s">
        <v>18</v>
      </c>
      <c r="C1085" s="140" t="s">
        <v>37</v>
      </c>
      <c r="D1085" s="140" t="s">
        <v>1515</v>
      </c>
      <c r="E1085" s="140" t="s">
        <v>2904</v>
      </c>
      <c r="F1085" s="140" t="s">
        <v>48</v>
      </c>
      <c r="G1085" s="140" t="s">
        <v>240</v>
      </c>
      <c r="H1085" s="140" t="s">
        <v>243</v>
      </c>
      <c r="I1085" s="140" t="s">
        <v>2905</v>
      </c>
      <c r="J1085" s="140">
        <v>10000000</v>
      </c>
      <c r="K1085" s="155" t="s">
        <v>221</v>
      </c>
      <c r="L1085" s="140">
        <v>2933133</v>
      </c>
      <c r="M1085" s="155" t="s">
        <v>226</v>
      </c>
      <c r="N1085" s="10">
        <v>1</v>
      </c>
      <c r="O1085" s="10">
        <v>81909920</v>
      </c>
      <c r="P1085" s="140" t="s">
        <v>2906</v>
      </c>
      <c r="Q1085" t="s">
        <v>3564</v>
      </c>
    </row>
    <row r="1086" spans="1:17" ht="43.5" hidden="1" x14ac:dyDescent="0.35">
      <c r="A1086" s="155" t="e">
        <f t="shared" ref="A1086:A1149" si="18">A1085+1</f>
        <v>#REF!</v>
      </c>
      <c r="B1086" s="140" t="s">
        <v>18</v>
      </c>
      <c r="C1086" s="140" t="s">
        <v>37</v>
      </c>
      <c r="D1086" s="140" t="s">
        <v>1515</v>
      </c>
      <c r="E1086" s="140" t="s">
        <v>2907</v>
      </c>
      <c r="F1086" s="140" t="s">
        <v>48</v>
      </c>
      <c r="G1086" s="140" t="s">
        <v>240</v>
      </c>
      <c r="H1086" s="140" t="s">
        <v>244</v>
      </c>
      <c r="I1086" s="140" t="s">
        <v>2908</v>
      </c>
      <c r="J1086" s="140">
        <v>80000000</v>
      </c>
      <c r="K1086" s="155" t="s">
        <v>221</v>
      </c>
      <c r="L1086" s="140">
        <v>2933978</v>
      </c>
      <c r="M1086" s="155" t="s">
        <v>226</v>
      </c>
      <c r="N1086" s="10">
        <v>144</v>
      </c>
      <c r="O1086" s="10">
        <v>57600000</v>
      </c>
      <c r="P1086" s="140" t="s">
        <v>2906</v>
      </c>
      <c r="Q1086" t="s">
        <v>3564</v>
      </c>
    </row>
    <row r="1087" spans="1:17" ht="43.5" hidden="1" x14ac:dyDescent="0.35">
      <c r="A1087" s="155" t="e">
        <f t="shared" si="18"/>
        <v>#REF!</v>
      </c>
      <c r="B1087" s="140" t="s">
        <v>18</v>
      </c>
      <c r="C1087" s="140" t="s">
        <v>37</v>
      </c>
      <c r="D1087" s="140" t="s">
        <v>1515</v>
      </c>
      <c r="E1087" s="140" t="s">
        <v>2909</v>
      </c>
      <c r="F1087" s="140" t="s">
        <v>48</v>
      </c>
      <c r="G1087" s="140" t="s">
        <v>240</v>
      </c>
      <c r="H1087" s="140" t="s">
        <v>245</v>
      </c>
      <c r="I1087" s="140" t="s">
        <v>2910</v>
      </c>
      <c r="J1087" s="140">
        <v>39000000</v>
      </c>
      <c r="K1087" s="155" t="s">
        <v>221</v>
      </c>
      <c r="L1087" s="140">
        <v>2934241</v>
      </c>
      <c r="M1087" s="155" t="s">
        <v>226</v>
      </c>
      <c r="N1087" s="10">
        <v>93</v>
      </c>
      <c r="O1087" s="10">
        <v>37200000</v>
      </c>
      <c r="P1087" s="140"/>
      <c r="Q1087" t="s">
        <v>3564</v>
      </c>
    </row>
    <row r="1088" spans="1:17" ht="43.5" hidden="1" x14ac:dyDescent="0.35">
      <c r="A1088" s="155" t="e">
        <f t="shared" si="18"/>
        <v>#REF!</v>
      </c>
      <c r="B1088" s="140" t="s">
        <v>18</v>
      </c>
      <c r="C1088" s="140" t="s">
        <v>37</v>
      </c>
      <c r="D1088" s="140" t="s">
        <v>1515</v>
      </c>
      <c r="E1088" s="140" t="s">
        <v>2909</v>
      </c>
      <c r="F1088" s="140" t="s">
        <v>48</v>
      </c>
      <c r="G1088" s="140" t="s">
        <v>240</v>
      </c>
      <c r="H1088" s="140" t="s">
        <v>245</v>
      </c>
      <c r="I1088" s="140" t="s">
        <v>2911</v>
      </c>
      <c r="J1088" s="140">
        <v>19000000</v>
      </c>
      <c r="K1088" s="155" t="s">
        <v>221</v>
      </c>
      <c r="L1088" s="140">
        <v>2934931</v>
      </c>
      <c r="M1088" s="155" t="s">
        <v>226</v>
      </c>
      <c r="N1088" s="10">
        <v>49.5</v>
      </c>
      <c r="O1088" s="10">
        <v>19800000</v>
      </c>
      <c r="P1088" s="140"/>
      <c r="Q1088" t="s">
        <v>3564</v>
      </c>
    </row>
    <row r="1089" spans="1:17" ht="43.5" hidden="1" x14ac:dyDescent="0.35">
      <c r="A1089" s="155" t="e">
        <f t="shared" si="18"/>
        <v>#REF!</v>
      </c>
      <c r="B1089" s="140" t="s">
        <v>18</v>
      </c>
      <c r="C1089" s="140" t="s">
        <v>37</v>
      </c>
      <c r="D1089" s="140" t="s">
        <v>1515</v>
      </c>
      <c r="E1089" s="140" t="s">
        <v>2909</v>
      </c>
      <c r="F1089" s="140" t="s">
        <v>48</v>
      </c>
      <c r="G1089" s="140" t="s">
        <v>240</v>
      </c>
      <c r="H1089" s="140" t="s">
        <v>245</v>
      </c>
      <c r="I1089" s="140" t="s">
        <v>2912</v>
      </c>
      <c r="J1089" s="140">
        <v>17000000</v>
      </c>
      <c r="K1089" s="155" t="s">
        <v>221</v>
      </c>
      <c r="L1089" s="140">
        <v>2934856</v>
      </c>
      <c r="M1089" s="155" t="s">
        <v>226</v>
      </c>
      <c r="N1089" s="10">
        <v>39</v>
      </c>
      <c r="O1089" s="10">
        <v>15600000</v>
      </c>
      <c r="P1089" s="140"/>
      <c r="Q1089" t="s">
        <v>3564</v>
      </c>
    </row>
    <row r="1090" spans="1:17" ht="43.5" hidden="1" x14ac:dyDescent="0.35">
      <c r="A1090" s="155" t="e">
        <f t="shared" si="18"/>
        <v>#REF!</v>
      </c>
      <c r="B1090" s="140" t="s">
        <v>18</v>
      </c>
      <c r="C1090" s="140" t="s">
        <v>37</v>
      </c>
      <c r="D1090" s="140" t="s">
        <v>1515</v>
      </c>
      <c r="E1090" s="140" t="s">
        <v>2907</v>
      </c>
      <c r="F1090" s="140" t="s">
        <v>48</v>
      </c>
      <c r="G1090" s="140" t="s">
        <v>240</v>
      </c>
      <c r="H1090" s="140" t="s">
        <v>245</v>
      </c>
      <c r="I1090" s="140" t="s">
        <v>2913</v>
      </c>
      <c r="J1090" s="140">
        <v>15000000</v>
      </c>
      <c r="K1090" s="155" t="s">
        <v>221</v>
      </c>
      <c r="L1090" s="140">
        <v>2935054</v>
      </c>
      <c r="M1090" s="155" t="s">
        <v>226</v>
      </c>
      <c r="N1090" s="10">
        <v>37.5</v>
      </c>
      <c r="O1090" s="10">
        <v>15000000</v>
      </c>
      <c r="P1090" s="140"/>
      <c r="Q1090" t="s">
        <v>3564</v>
      </c>
    </row>
    <row r="1091" spans="1:17" ht="43.5" hidden="1" x14ac:dyDescent="0.35">
      <c r="A1091" s="155" t="e">
        <f>#REF!+1</f>
        <v>#REF!</v>
      </c>
      <c r="B1091" s="140" t="s">
        <v>18</v>
      </c>
      <c r="C1091" s="140" t="s">
        <v>37</v>
      </c>
      <c r="D1091" s="140" t="s">
        <v>1515</v>
      </c>
      <c r="E1091" s="140" t="s">
        <v>2914</v>
      </c>
      <c r="F1091" s="140" t="s">
        <v>48</v>
      </c>
      <c r="G1091" s="140" t="s">
        <v>240</v>
      </c>
      <c r="H1091" s="140" t="s">
        <v>246</v>
      </c>
      <c r="I1091" s="140" t="s">
        <v>2915</v>
      </c>
      <c r="J1091" s="140">
        <v>30000000</v>
      </c>
      <c r="K1091" s="155" t="s">
        <v>221</v>
      </c>
      <c r="L1091" s="140">
        <v>2933630</v>
      </c>
      <c r="M1091" s="155" t="s">
        <v>226</v>
      </c>
      <c r="N1091" s="10">
        <v>1</v>
      </c>
      <c r="O1091" s="10">
        <v>81909920</v>
      </c>
      <c r="P1091" s="140"/>
      <c r="Q1091" t="s">
        <v>3564</v>
      </c>
    </row>
    <row r="1092" spans="1:17" ht="43.5" hidden="1" x14ac:dyDescent="0.35">
      <c r="A1092" s="155" t="e">
        <f t="shared" si="18"/>
        <v>#REF!</v>
      </c>
      <c r="B1092" s="140" t="s">
        <v>18</v>
      </c>
      <c r="C1092" s="140" t="s">
        <v>37</v>
      </c>
      <c r="D1092" s="140" t="s">
        <v>1515</v>
      </c>
      <c r="E1092" s="140" t="s">
        <v>2909</v>
      </c>
      <c r="F1092" s="140" t="s">
        <v>48</v>
      </c>
      <c r="G1092" s="140" t="s">
        <v>240</v>
      </c>
      <c r="H1092" s="140" t="s">
        <v>253</v>
      </c>
      <c r="I1092" s="140" t="s">
        <v>2916</v>
      </c>
      <c r="J1092" s="140">
        <v>40000000</v>
      </c>
      <c r="K1092" s="155" t="s">
        <v>221</v>
      </c>
      <c r="L1092" s="140">
        <v>2958673</v>
      </c>
      <c r="M1092" s="155" t="s">
        <v>226</v>
      </c>
      <c r="N1092" s="10">
        <v>112.5</v>
      </c>
      <c r="O1092" s="10">
        <v>45000000</v>
      </c>
      <c r="P1092" s="140"/>
      <c r="Q1092" t="s">
        <v>3564</v>
      </c>
    </row>
    <row r="1093" spans="1:17" ht="43.5" hidden="1" x14ac:dyDescent="0.35">
      <c r="A1093" s="155" t="e">
        <f t="shared" si="18"/>
        <v>#REF!</v>
      </c>
      <c r="B1093" s="140" t="s">
        <v>18</v>
      </c>
      <c r="C1093" s="140" t="s">
        <v>37</v>
      </c>
      <c r="D1093" s="140" t="s">
        <v>1515</v>
      </c>
      <c r="E1093" s="140" t="s">
        <v>2917</v>
      </c>
      <c r="F1093" s="140" t="s">
        <v>48</v>
      </c>
      <c r="G1093" s="140" t="s">
        <v>240</v>
      </c>
      <c r="H1093" s="140" t="s">
        <v>253</v>
      </c>
      <c r="I1093" s="140" t="s">
        <v>2918</v>
      </c>
      <c r="J1093" s="140">
        <v>21000000</v>
      </c>
      <c r="K1093" s="155" t="s">
        <v>221</v>
      </c>
      <c r="L1093" s="140">
        <v>2958638</v>
      </c>
      <c r="M1093" s="155" t="s">
        <v>226</v>
      </c>
      <c r="N1093" s="10">
        <v>37.5</v>
      </c>
      <c r="O1093" s="10">
        <v>15000000</v>
      </c>
      <c r="P1093" s="140"/>
      <c r="Q1093" t="s">
        <v>3564</v>
      </c>
    </row>
    <row r="1094" spans="1:17" ht="43.5" hidden="1" x14ac:dyDescent="0.35">
      <c r="A1094" s="155" t="e">
        <f t="shared" si="18"/>
        <v>#REF!</v>
      </c>
      <c r="B1094" s="140" t="s">
        <v>18</v>
      </c>
      <c r="C1094" s="140" t="s">
        <v>37</v>
      </c>
      <c r="D1094" s="140" t="s">
        <v>1515</v>
      </c>
      <c r="E1094" s="140" t="s">
        <v>2909</v>
      </c>
      <c r="F1094" s="140" t="s">
        <v>48</v>
      </c>
      <c r="G1094" s="140" t="s">
        <v>240</v>
      </c>
      <c r="H1094" s="140" t="s">
        <v>247</v>
      </c>
      <c r="I1094" s="140" t="s">
        <v>2919</v>
      </c>
      <c r="J1094" s="140">
        <v>25000000</v>
      </c>
      <c r="K1094" s="155" t="s">
        <v>221</v>
      </c>
      <c r="L1094" s="140">
        <v>2935978</v>
      </c>
      <c r="M1094" s="155" t="s">
        <v>226</v>
      </c>
      <c r="N1094" s="10">
        <v>111</v>
      </c>
      <c r="O1094" s="10">
        <v>44400000</v>
      </c>
      <c r="P1094" s="140"/>
      <c r="Q1094" t="s">
        <v>3564</v>
      </c>
    </row>
    <row r="1095" spans="1:17" ht="43.5" hidden="1" x14ac:dyDescent="0.35">
      <c r="A1095" s="155" t="e">
        <f t="shared" si="18"/>
        <v>#REF!</v>
      </c>
      <c r="B1095" s="140" t="s">
        <v>18</v>
      </c>
      <c r="C1095" s="140" t="s">
        <v>37</v>
      </c>
      <c r="D1095" s="140" t="s">
        <v>1515</v>
      </c>
      <c r="E1095" s="140" t="s">
        <v>2920</v>
      </c>
      <c r="F1095" s="140" t="s">
        <v>48</v>
      </c>
      <c r="G1095" s="140" t="s">
        <v>240</v>
      </c>
      <c r="H1095" s="140" t="s">
        <v>248</v>
      </c>
      <c r="I1095" s="140" t="s">
        <v>2921</v>
      </c>
      <c r="J1095" s="140">
        <v>27000000</v>
      </c>
      <c r="K1095" s="155" t="s">
        <v>221</v>
      </c>
      <c r="L1095" s="140">
        <v>2958537</v>
      </c>
      <c r="M1095" s="155" t="s">
        <v>226</v>
      </c>
      <c r="N1095" s="10">
        <v>150</v>
      </c>
      <c r="O1095" s="10">
        <v>60000000</v>
      </c>
      <c r="P1095" s="140"/>
      <c r="Q1095" t="s">
        <v>3564</v>
      </c>
    </row>
    <row r="1096" spans="1:17" ht="43.5" hidden="1" x14ac:dyDescent="0.35">
      <c r="A1096" s="155" t="e">
        <f t="shared" si="18"/>
        <v>#REF!</v>
      </c>
      <c r="B1096" s="140" t="s">
        <v>18</v>
      </c>
      <c r="C1096" s="140" t="s">
        <v>37</v>
      </c>
      <c r="D1096" s="140" t="s">
        <v>1515</v>
      </c>
      <c r="E1096" s="140" t="s">
        <v>2922</v>
      </c>
      <c r="F1096" s="140" t="s">
        <v>48</v>
      </c>
      <c r="G1096" s="140" t="s">
        <v>240</v>
      </c>
      <c r="H1096" s="140" t="s">
        <v>248</v>
      </c>
      <c r="I1096" s="140" t="s">
        <v>2923</v>
      </c>
      <c r="J1096" s="140">
        <v>39000000</v>
      </c>
      <c r="K1096" s="155" t="s">
        <v>221</v>
      </c>
      <c r="L1096" s="140">
        <v>2958509</v>
      </c>
      <c r="M1096" s="155" t="s">
        <v>226</v>
      </c>
      <c r="N1096" s="10">
        <v>160</v>
      </c>
      <c r="O1096" s="10">
        <v>64000000</v>
      </c>
      <c r="P1096" s="140" t="s">
        <v>1747</v>
      </c>
      <c r="Q1096" t="s">
        <v>3564</v>
      </c>
    </row>
    <row r="1097" spans="1:17" ht="43.5" hidden="1" x14ac:dyDescent="0.35">
      <c r="A1097" s="155" t="e">
        <f t="shared" si="18"/>
        <v>#REF!</v>
      </c>
      <c r="B1097" s="140" t="s">
        <v>18</v>
      </c>
      <c r="C1097" s="140" t="s">
        <v>37</v>
      </c>
      <c r="D1097" s="140" t="s">
        <v>1515</v>
      </c>
      <c r="E1097" s="140" t="s">
        <v>2922</v>
      </c>
      <c r="F1097" s="140" t="s">
        <v>48</v>
      </c>
      <c r="G1097" s="140" t="s">
        <v>240</v>
      </c>
      <c r="H1097" s="140" t="s">
        <v>2924</v>
      </c>
      <c r="I1097" s="140" t="s">
        <v>2925</v>
      </c>
      <c r="J1097" s="140">
        <v>100000000</v>
      </c>
      <c r="K1097" s="155" t="s">
        <v>221</v>
      </c>
      <c r="L1097" s="140">
        <v>2931680</v>
      </c>
      <c r="M1097" s="155" t="s">
        <v>226</v>
      </c>
      <c r="N1097" s="10">
        <v>200</v>
      </c>
      <c r="O1097" s="10">
        <v>80000000</v>
      </c>
      <c r="P1097" s="140" t="s">
        <v>1747</v>
      </c>
      <c r="Q1097" t="s">
        <v>3564</v>
      </c>
    </row>
    <row r="1098" spans="1:17" ht="43.5" hidden="1" x14ac:dyDescent="0.35">
      <c r="A1098" s="155" t="e">
        <f t="shared" si="18"/>
        <v>#REF!</v>
      </c>
      <c r="B1098" s="140" t="s">
        <v>18</v>
      </c>
      <c r="C1098" s="140" t="s">
        <v>37</v>
      </c>
      <c r="D1098" s="140" t="s">
        <v>1515</v>
      </c>
      <c r="E1098" s="140" t="s">
        <v>2909</v>
      </c>
      <c r="F1098" s="140" t="s">
        <v>48</v>
      </c>
      <c r="G1098" s="140" t="s">
        <v>240</v>
      </c>
      <c r="H1098" s="140" t="s">
        <v>249</v>
      </c>
      <c r="I1098" s="140" t="s">
        <v>2926</v>
      </c>
      <c r="J1098" s="140">
        <v>80000000</v>
      </c>
      <c r="K1098" s="155" t="s">
        <v>221</v>
      </c>
      <c r="L1098" s="140">
        <v>2936912</v>
      </c>
      <c r="M1098" s="155" t="s">
        <v>226</v>
      </c>
      <c r="N1098" s="10">
        <v>138</v>
      </c>
      <c r="O1098" s="10">
        <v>55200000</v>
      </c>
      <c r="P1098" s="140" t="s">
        <v>1747</v>
      </c>
      <c r="Q1098" t="s">
        <v>3564</v>
      </c>
    </row>
    <row r="1099" spans="1:17" ht="43.5" hidden="1" x14ac:dyDescent="0.35">
      <c r="A1099" s="155" t="e">
        <f t="shared" si="18"/>
        <v>#REF!</v>
      </c>
      <c r="B1099" s="140" t="s">
        <v>18</v>
      </c>
      <c r="C1099" s="140" t="s">
        <v>37</v>
      </c>
      <c r="D1099" s="140" t="s">
        <v>1515</v>
      </c>
      <c r="E1099" s="140" t="s">
        <v>2909</v>
      </c>
      <c r="F1099" s="140" t="s">
        <v>48</v>
      </c>
      <c r="G1099" s="140" t="s">
        <v>240</v>
      </c>
      <c r="H1099" s="140" t="s">
        <v>250</v>
      </c>
      <c r="I1099" s="140" t="s">
        <v>2927</v>
      </c>
      <c r="J1099" s="140">
        <v>50000000</v>
      </c>
      <c r="K1099" s="155" t="s">
        <v>221</v>
      </c>
      <c r="L1099" s="140">
        <v>2958442</v>
      </c>
      <c r="M1099" s="155" t="s">
        <v>226</v>
      </c>
      <c r="N1099" s="10">
        <v>154.5</v>
      </c>
      <c r="O1099" s="10">
        <v>61800000</v>
      </c>
      <c r="P1099" s="140"/>
      <c r="Q1099" t="s">
        <v>3564</v>
      </c>
    </row>
    <row r="1100" spans="1:17" ht="43.5" hidden="1" x14ac:dyDescent="0.35">
      <c r="A1100" s="155" t="e">
        <f t="shared" si="18"/>
        <v>#REF!</v>
      </c>
      <c r="B1100" s="140" t="s">
        <v>18</v>
      </c>
      <c r="C1100" s="140" t="s">
        <v>37</v>
      </c>
      <c r="D1100" s="140" t="s">
        <v>1515</v>
      </c>
      <c r="E1100" s="140" t="s">
        <v>2917</v>
      </c>
      <c r="F1100" s="140" t="s">
        <v>48</v>
      </c>
      <c r="G1100" s="140" t="s">
        <v>240</v>
      </c>
      <c r="H1100" s="140" t="s">
        <v>250</v>
      </c>
      <c r="I1100" s="140" t="s">
        <v>2928</v>
      </c>
      <c r="J1100" s="140">
        <v>30000000</v>
      </c>
      <c r="K1100" s="155" t="s">
        <v>221</v>
      </c>
      <c r="L1100" s="140">
        <v>2958464</v>
      </c>
      <c r="M1100" s="155" t="s">
        <v>226</v>
      </c>
      <c r="N1100" s="10">
        <v>78</v>
      </c>
      <c r="O1100" s="10">
        <v>31200000</v>
      </c>
      <c r="P1100" s="140"/>
      <c r="Q1100" t="s">
        <v>3564</v>
      </c>
    </row>
    <row r="1101" spans="1:17" ht="43.5" hidden="1" x14ac:dyDescent="0.35">
      <c r="A1101" s="155" t="e">
        <f>#REF!+1</f>
        <v>#REF!</v>
      </c>
      <c r="B1101" s="140" t="s">
        <v>18</v>
      </c>
      <c r="C1101" s="140" t="s">
        <v>37</v>
      </c>
      <c r="D1101" s="140" t="s">
        <v>1515</v>
      </c>
      <c r="E1101" s="140" t="s">
        <v>2929</v>
      </c>
      <c r="F1101" s="140" t="s">
        <v>2784</v>
      </c>
      <c r="G1101" s="140" t="s">
        <v>756</v>
      </c>
      <c r="H1101" s="140" t="s">
        <v>2930</v>
      </c>
      <c r="I1101" s="140" t="s">
        <v>2931</v>
      </c>
      <c r="J1101" s="140">
        <v>35000000</v>
      </c>
      <c r="K1101" s="155" t="s">
        <v>221</v>
      </c>
      <c r="L1101" s="140"/>
      <c r="M1101" s="155" t="s">
        <v>226</v>
      </c>
      <c r="N1101" s="10">
        <v>125</v>
      </c>
      <c r="O1101" s="10">
        <v>85000000</v>
      </c>
      <c r="P1101" s="140" t="s">
        <v>2932</v>
      </c>
      <c r="Q1101" t="s">
        <v>3564</v>
      </c>
    </row>
    <row r="1102" spans="1:17" ht="43.5" hidden="1" x14ac:dyDescent="0.35">
      <c r="A1102" s="155" t="e">
        <f t="shared" si="18"/>
        <v>#REF!</v>
      </c>
      <c r="B1102" s="140" t="s">
        <v>18</v>
      </c>
      <c r="C1102" s="140" t="s">
        <v>37</v>
      </c>
      <c r="D1102" s="140" t="s">
        <v>1515</v>
      </c>
      <c r="E1102" s="140" t="s">
        <v>2933</v>
      </c>
      <c r="F1102" s="140" t="s">
        <v>1410</v>
      </c>
      <c r="G1102" s="140" t="s">
        <v>177</v>
      </c>
      <c r="H1102" s="140" t="s">
        <v>1414</v>
      </c>
      <c r="I1102" s="140" t="s">
        <v>1259</v>
      </c>
      <c r="J1102" s="140">
        <v>20000000</v>
      </c>
      <c r="K1102" s="155" t="s">
        <v>221</v>
      </c>
      <c r="L1102" s="140">
        <v>2947414</v>
      </c>
      <c r="M1102" s="155" t="s">
        <v>180</v>
      </c>
      <c r="N1102" s="10">
        <v>160</v>
      </c>
      <c r="O1102" s="10">
        <v>50000000</v>
      </c>
      <c r="P1102" s="140">
        <v>200</v>
      </c>
      <c r="Q1102" t="s">
        <v>3564</v>
      </c>
    </row>
    <row r="1103" spans="1:17" ht="43.5" hidden="1" x14ac:dyDescent="0.35">
      <c r="A1103" s="155" t="e">
        <f t="shared" si="18"/>
        <v>#REF!</v>
      </c>
      <c r="B1103" s="140" t="s">
        <v>18</v>
      </c>
      <c r="C1103" s="140" t="s">
        <v>37</v>
      </c>
      <c r="D1103" s="140" t="s">
        <v>1515</v>
      </c>
      <c r="E1103" s="140" t="s">
        <v>1610</v>
      </c>
      <c r="F1103" s="140" t="s">
        <v>1410</v>
      </c>
      <c r="G1103" s="140" t="s">
        <v>177</v>
      </c>
      <c r="H1103" s="140" t="s">
        <v>1415</v>
      </c>
      <c r="I1103" s="140" t="s">
        <v>1129</v>
      </c>
      <c r="J1103" s="140">
        <v>20000000</v>
      </c>
      <c r="K1103" s="155" t="s">
        <v>221</v>
      </c>
      <c r="L1103" s="140">
        <v>2947414</v>
      </c>
      <c r="M1103" s="155" t="s">
        <v>180</v>
      </c>
      <c r="N1103" s="10">
        <v>125</v>
      </c>
      <c r="O1103" s="10">
        <v>31777777.5</v>
      </c>
      <c r="P1103" s="140"/>
      <c r="Q1103" t="s">
        <v>3564</v>
      </c>
    </row>
    <row r="1104" spans="1:17" ht="43.5" hidden="1" x14ac:dyDescent="0.35">
      <c r="A1104" s="155" t="e">
        <f t="shared" si="18"/>
        <v>#REF!</v>
      </c>
      <c r="B1104" s="140" t="s">
        <v>18</v>
      </c>
      <c r="C1104" s="140" t="s">
        <v>37</v>
      </c>
      <c r="D1104" s="140" t="s">
        <v>1570</v>
      </c>
      <c r="E1104" s="140" t="s">
        <v>1221</v>
      </c>
      <c r="F1104" s="140" t="s">
        <v>1410</v>
      </c>
      <c r="G1104" s="140" t="s">
        <v>177</v>
      </c>
      <c r="H1104" s="140" t="s">
        <v>2934</v>
      </c>
      <c r="I1104" s="140" t="s">
        <v>341</v>
      </c>
      <c r="J1104" s="140">
        <v>60000000</v>
      </c>
      <c r="K1104" s="155" t="s">
        <v>221</v>
      </c>
      <c r="L1104" s="140">
        <v>2945467</v>
      </c>
      <c r="M1104" s="155" t="s">
        <v>180</v>
      </c>
      <c r="N1104" s="10" t="s">
        <v>561</v>
      </c>
      <c r="O1104" s="10">
        <v>85000000</v>
      </c>
      <c r="P1104" s="140" t="s">
        <v>1571</v>
      </c>
      <c r="Q1104" t="s">
        <v>3586</v>
      </c>
    </row>
    <row r="1105" spans="1:17" ht="43.5" hidden="1" x14ac:dyDescent="0.35">
      <c r="A1105" s="155" t="e">
        <f t="shared" si="18"/>
        <v>#REF!</v>
      </c>
      <c r="B1105" s="140" t="s">
        <v>18</v>
      </c>
      <c r="C1105" s="140" t="s">
        <v>37</v>
      </c>
      <c r="D1105" s="140" t="s">
        <v>1515</v>
      </c>
      <c r="E1105" s="140" t="s">
        <v>1610</v>
      </c>
      <c r="F1105" s="140" t="s">
        <v>1410</v>
      </c>
      <c r="G1105" s="140" t="s">
        <v>177</v>
      </c>
      <c r="H1105" s="140" t="s">
        <v>2935</v>
      </c>
      <c r="I1105" s="140" t="s">
        <v>1259</v>
      </c>
      <c r="J1105" s="140">
        <v>40000000</v>
      </c>
      <c r="K1105" s="155" t="s">
        <v>221</v>
      </c>
      <c r="L1105" s="140">
        <v>2947414</v>
      </c>
      <c r="M1105" s="155" t="s">
        <v>180</v>
      </c>
      <c r="N1105" s="10">
        <v>200</v>
      </c>
      <c r="O1105" s="10">
        <v>72244443</v>
      </c>
      <c r="P1105" s="140" t="s">
        <v>2936</v>
      </c>
      <c r="Q1105" t="s">
        <v>3564</v>
      </c>
    </row>
    <row r="1106" spans="1:17" ht="43.5" hidden="1" x14ac:dyDescent="0.35">
      <c r="A1106" s="155" t="e">
        <f t="shared" si="18"/>
        <v>#REF!</v>
      </c>
      <c r="B1106" s="140" t="s">
        <v>18</v>
      </c>
      <c r="C1106" s="140" t="s">
        <v>37</v>
      </c>
      <c r="D1106" s="140" t="s">
        <v>1515</v>
      </c>
      <c r="E1106" s="140" t="s">
        <v>1221</v>
      </c>
      <c r="F1106" s="140" t="s">
        <v>1410</v>
      </c>
      <c r="G1106" s="140" t="s">
        <v>177</v>
      </c>
      <c r="H1106" s="140" t="s">
        <v>787</v>
      </c>
      <c r="I1106" s="140" t="s">
        <v>1426</v>
      </c>
      <c r="J1106" s="140">
        <v>45000000</v>
      </c>
      <c r="K1106" s="155" t="s">
        <v>221</v>
      </c>
      <c r="L1106" s="140">
        <v>2958755</v>
      </c>
      <c r="M1106" s="155" t="s">
        <v>180</v>
      </c>
      <c r="N1106" s="10">
        <v>100</v>
      </c>
      <c r="O1106" s="10">
        <v>88600000</v>
      </c>
      <c r="P1106" s="140"/>
      <c r="Q1106" t="s">
        <v>3564</v>
      </c>
    </row>
    <row r="1107" spans="1:17" ht="43.5" hidden="1" x14ac:dyDescent="0.35">
      <c r="A1107" s="155" t="e">
        <f t="shared" si="18"/>
        <v>#REF!</v>
      </c>
      <c r="B1107" s="140" t="s">
        <v>18</v>
      </c>
      <c r="C1107" s="140" t="s">
        <v>37</v>
      </c>
      <c r="D1107" s="140" t="s">
        <v>1515</v>
      </c>
      <c r="E1107" s="140" t="s">
        <v>1610</v>
      </c>
      <c r="F1107" s="140" t="s">
        <v>1410</v>
      </c>
      <c r="G1107" s="140" t="s">
        <v>177</v>
      </c>
      <c r="H1107" s="140" t="s">
        <v>2937</v>
      </c>
      <c r="I1107" s="140" t="s">
        <v>1426</v>
      </c>
      <c r="J1107" s="140">
        <v>60000000</v>
      </c>
      <c r="K1107" s="155" t="s">
        <v>221</v>
      </c>
      <c r="L1107" s="140">
        <v>2947414</v>
      </c>
      <c r="M1107" s="155" t="s">
        <v>180</v>
      </c>
      <c r="N1107" s="10">
        <v>300</v>
      </c>
      <c r="O1107" s="10">
        <v>76266600</v>
      </c>
      <c r="P1107" s="140"/>
      <c r="Q1107" t="s">
        <v>3564</v>
      </c>
    </row>
    <row r="1108" spans="1:17" ht="43.5" hidden="1" x14ac:dyDescent="0.35">
      <c r="A1108" s="155" t="e">
        <f t="shared" si="18"/>
        <v>#REF!</v>
      </c>
      <c r="B1108" s="140" t="s">
        <v>18</v>
      </c>
      <c r="C1108" s="140" t="s">
        <v>37</v>
      </c>
      <c r="D1108" s="140" t="s">
        <v>1515</v>
      </c>
      <c r="E1108" s="140" t="s">
        <v>1610</v>
      </c>
      <c r="F1108" s="140" t="s">
        <v>1410</v>
      </c>
      <c r="G1108" s="140" t="s">
        <v>177</v>
      </c>
      <c r="H1108" s="140" t="s">
        <v>2938</v>
      </c>
      <c r="I1108" s="140" t="s">
        <v>1259</v>
      </c>
      <c r="J1108" s="140">
        <v>40000000</v>
      </c>
      <c r="K1108" s="155" t="s">
        <v>221</v>
      </c>
      <c r="L1108" s="140">
        <v>2947414</v>
      </c>
      <c r="M1108" s="155" t="s">
        <v>180</v>
      </c>
      <c r="N1108" s="10">
        <v>250</v>
      </c>
      <c r="O1108" s="10">
        <v>85731179</v>
      </c>
      <c r="P1108" s="140" t="s">
        <v>2936</v>
      </c>
      <c r="Q1108" t="s">
        <v>3564</v>
      </c>
    </row>
    <row r="1109" spans="1:17" ht="43.5" hidden="1" x14ac:dyDescent="0.35">
      <c r="A1109" s="155" t="e">
        <f>#REF!+1</f>
        <v>#REF!</v>
      </c>
      <c r="B1109" s="140" t="s">
        <v>18</v>
      </c>
      <c r="C1109" s="140" t="s">
        <v>37</v>
      </c>
      <c r="D1109" s="140" t="s">
        <v>476</v>
      </c>
      <c r="E1109" s="140" t="s">
        <v>2939</v>
      </c>
      <c r="F1109" s="140" t="s">
        <v>791</v>
      </c>
      <c r="G1109" s="140" t="s">
        <v>792</v>
      </c>
      <c r="H1109" s="140" t="s">
        <v>2940</v>
      </c>
      <c r="I1109" s="140" t="s">
        <v>2941</v>
      </c>
      <c r="J1109" s="140">
        <v>20000000</v>
      </c>
      <c r="K1109" s="155" t="s">
        <v>221</v>
      </c>
      <c r="L1109" s="140">
        <v>2945145</v>
      </c>
      <c r="M1109" s="155" t="s">
        <v>180</v>
      </c>
      <c r="N1109" s="10">
        <v>7</v>
      </c>
      <c r="O1109" s="10">
        <v>172829517</v>
      </c>
      <c r="P1109" s="140" t="s">
        <v>1955</v>
      </c>
      <c r="Q1109" t="s">
        <v>3586</v>
      </c>
    </row>
    <row r="1110" spans="1:17" ht="43.5" hidden="1" x14ac:dyDescent="0.35">
      <c r="A1110" s="155" t="e">
        <f t="shared" si="18"/>
        <v>#REF!</v>
      </c>
      <c r="B1110" s="140" t="s">
        <v>18</v>
      </c>
      <c r="C1110" s="140" t="s">
        <v>37</v>
      </c>
      <c r="D1110" s="140" t="s">
        <v>1521</v>
      </c>
      <c r="E1110" s="140" t="s">
        <v>2942</v>
      </c>
      <c r="F1110" s="140" t="s">
        <v>791</v>
      </c>
      <c r="G1110" s="140" t="s">
        <v>792</v>
      </c>
      <c r="H1110" s="140" t="s">
        <v>2943</v>
      </c>
      <c r="I1110" s="140" t="s">
        <v>2944</v>
      </c>
      <c r="J1110" s="140">
        <v>35000000</v>
      </c>
      <c r="K1110" s="155" t="s">
        <v>221</v>
      </c>
      <c r="L1110" s="140">
        <v>2947562</v>
      </c>
      <c r="M1110" s="155" t="s">
        <v>180</v>
      </c>
      <c r="N1110" s="10"/>
      <c r="O1110" s="10">
        <v>50000000</v>
      </c>
      <c r="P1110" s="140" t="s">
        <v>1839</v>
      </c>
      <c r="Q1110" t="s">
        <v>3586</v>
      </c>
    </row>
    <row r="1111" spans="1:17" ht="43.5" hidden="1" x14ac:dyDescent="0.35">
      <c r="A1111" s="155" t="e">
        <f t="shared" si="18"/>
        <v>#REF!</v>
      </c>
      <c r="B1111" s="140" t="s">
        <v>18</v>
      </c>
      <c r="C1111" s="140" t="s">
        <v>37</v>
      </c>
      <c r="D1111" s="140" t="s">
        <v>476</v>
      </c>
      <c r="E1111" s="140" t="s">
        <v>2945</v>
      </c>
      <c r="F1111" s="140" t="s">
        <v>791</v>
      </c>
      <c r="G1111" s="140" t="s">
        <v>792</v>
      </c>
      <c r="H1111" s="140" t="s">
        <v>2943</v>
      </c>
      <c r="I1111" s="140" t="s">
        <v>2944</v>
      </c>
      <c r="J1111" s="140">
        <v>35000000</v>
      </c>
      <c r="K1111" s="155" t="s">
        <v>221</v>
      </c>
      <c r="L1111" s="140">
        <v>2947769</v>
      </c>
      <c r="M1111" s="155" t="s">
        <v>180</v>
      </c>
      <c r="N1111" s="10"/>
      <c r="O1111" s="10">
        <v>50000000</v>
      </c>
      <c r="P1111" s="140" t="s">
        <v>1839</v>
      </c>
      <c r="Q1111" t="s">
        <v>3586</v>
      </c>
    </row>
    <row r="1112" spans="1:17" ht="43.5" hidden="1" x14ac:dyDescent="0.35">
      <c r="A1112" s="155" t="e">
        <f t="shared" si="18"/>
        <v>#REF!</v>
      </c>
      <c r="B1112" s="140" t="s">
        <v>18</v>
      </c>
      <c r="C1112" s="140" t="s">
        <v>37</v>
      </c>
      <c r="D1112" s="140" t="s">
        <v>1521</v>
      </c>
      <c r="E1112" s="140" t="s">
        <v>2946</v>
      </c>
      <c r="F1112" s="140" t="s">
        <v>791</v>
      </c>
      <c r="G1112" s="140" t="s">
        <v>792</v>
      </c>
      <c r="H1112" s="140" t="s">
        <v>2947</v>
      </c>
      <c r="I1112" s="140" t="s">
        <v>1259</v>
      </c>
      <c r="J1112" s="140">
        <v>60000000</v>
      </c>
      <c r="K1112" s="155" t="s">
        <v>221</v>
      </c>
      <c r="L1112" s="140">
        <v>2947562</v>
      </c>
      <c r="M1112" s="155" t="s">
        <v>180</v>
      </c>
      <c r="N1112" s="10"/>
      <c r="O1112" s="10">
        <v>100000000</v>
      </c>
      <c r="P1112" s="310" t="s">
        <v>2932</v>
      </c>
      <c r="Q1112" t="s">
        <v>3586</v>
      </c>
    </row>
    <row r="1113" spans="1:17" ht="43.5" hidden="1" x14ac:dyDescent="0.35">
      <c r="A1113" s="155" t="e">
        <f>#REF!+1</f>
        <v>#REF!</v>
      </c>
      <c r="B1113" s="140" t="s">
        <v>18</v>
      </c>
      <c r="C1113" s="140" t="s">
        <v>37</v>
      </c>
      <c r="D1113" s="140" t="s">
        <v>1521</v>
      </c>
      <c r="E1113" s="140" t="s">
        <v>1714</v>
      </c>
      <c r="F1113" s="140" t="s">
        <v>791</v>
      </c>
      <c r="G1113" s="140" t="s">
        <v>792</v>
      </c>
      <c r="H1113" s="140" t="s">
        <v>2948</v>
      </c>
      <c r="I1113" s="140" t="s">
        <v>2949</v>
      </c>
      <c r="J1113" s="140">
        <v>125000000</v>
      </c>
      <c r="K1113" s="155" t="s">
        <v>221</v>
      </c>
      <c r="L1113" s="140">
        <v>2963407</v>
      </c>
      <c r="M1113" s="155" t="s">
        <v>180</v>
      </c>
      <c r="N1113" s="10"/>
      <c r="O1113" s="10">
        <v>100000000</v>
      </c>
      <c r="P1113" s="140" t="s">
        <v>2936</v>
      </c>
      <c r="Q1113" t="s">
        <v>3586</v>
      </c>
    </row>
    <row r="1114" spans="1:17" ht="43.5" hidden="1" x14ac:dyDescent="0.35">
      <c r="A1114" s="155" t="e">
        <f t="shared" si="18"/>
        <v>#REF!</v>
      </c>
      <c r="B1114" s="140" t="s">
        <v>18</v>
      </c>
      <c r="C1114" s="140" t="s">
        <v>37</v>
      </c>
      <c r="D1114" s="140" t="s">
        <v>476</v>
      </c>
      <c r="E1114" s="140" t="s">
        <v>2950</v>
      </c>
      <c r="F1114" s="140" t="s">
        <v>791</v>
      </c>
      <c r="G1114" s="140" t="s">
        <v>792</v>
      </c>
      <c r="H1114" s="140" t="s">
        <v>795</v>
      </c>
      <c r="I1114" s="140" t="s">
        <v>2951</v>
      </c>
      <c r="J1114" s="140">
        <v>40000000</v>
      </c>
      <c r="K1114" s="155" t="s">
        <v>221</v>
      </c>
      <c r="L1114" s="140">
        <v>2943601</v>
      </c>
      <c r="M1114" s="155" t="s">
        <v>180</v>
      </c>
      <c r="N1114" s="10">
        <v>4</v>
      </c>
      <c r="O1114" s="10">
        <v>180000000</v>
      </c>
      <c r="P1114" s="140" t="s">
        <v>2952</v>
      </c>
      <c r="Q1114" t="s">
        <v>3586</v>
      </c>
    </row>
    <row r="1115" spans="1:17" ht="43.5" hidden="1" x14ac:dyDescent="0.35">
      <c r="A1115" s="155" t="e">
        <f>#REF!+1</f>
        <v>#REF!</v>
      </c>
      <c r="B1115" s="140" t="s">
        <v>18</v>
      </c>
      <c r="C1115" s="140" t="s">
        <v>37</v>
      </c>
      <c r="D1115" s="140" t="s">
        <v>1570</v>
      </c>
      <c r="E1115" s="140" t="s">
        <v>2719</v>
      </c>
      <c r="F1115" s="140" t="s">
        <v>798</v>
      </c>
      <c r="G1115" s="140" t="s">
        <v>185</v>
      </c>
      <c r="H1115" s="140" t="s">
        <v>2953</v>
      </c>
      <c r="I1115" s="140" t="s">
        <v>2954</v>
      </c>
      <c r="J1115" s="140">
        <v>91200000</v>
      </c>
      <c r="K1115" s="155" t="s">
        <v>221</v>
      </c>
      <c r="L1115" s="140">
        <v>2928774</v>
      </c>
      <c r="M1115" s="155" t="s">
        <v>180</v>
      </c>
      <c r="N1115" s="10">
        <v>160</v>
      </c>
      <c r="O1115" s="10">
        <v>141760000</v>
      </c>
      <c r="P1115" s="310" t="s">
        <v>2955</v>
      </c>
      <c r="Q1115" t="s">
        <v>3586</v>
      </c>
    </row>
    <row r="1116" spans="1:17" ht="43.5" hidden="1" x14ac:dyDescent="0.35">
      <c r="A1116" s="155" t="e">
        <f t="shared" si="18"/>
        <v>#REF!</v>
      </c>
      <c r="B1116" s="140" t="s">
        <v>18</v>
      </c>
      <c r="C1116" s="140" t="s">
        <v>37</v>
      </c>
      <c r="D1116" s="140" t="s">
        <v>1570</v>
      </c>
      <c r="E1116" s="140" t="s">
        <v>2719</v>
      </c>
      <c r="F1116" s="140" t="s">
        <v>798</v>
      </c>
      <c r="G1116" s="140" t="s">
        <v>185</v>
      </c>
      <c r="H1116" s="140" t="s">
        <v>2956</v>
      </c>
      <c r="I1116" s="140" t="s">
        <v>2957</v>
      </c>
      <c r="J1116" s="140">
        <v>60600000</v>
      </c>
      <c r="K1116" s="155" t="s">
        <v>221</v>
      </c>
      <c r="L1116" s="140">
        <v>2928878</v>
      </c>
      <c r="M1116" s="155" t="s">
        <v>180</v>
      </c>
      <c r="N1116" s="10">
        <v>160</v>
      </c>
      <c r="O1116" s="10">
        <v>141760000</v>
      </c>
      <c r="P1116" s="310" t="s">
        <v>2955</v>
      </c>
      <c r="Q1116" t="s">
        <v>3586</v>
      </c>
    </row>
    <row r="1117" spans="1:17" ht="43.5" hidden="1" x14ac:dyDescent="0.35">
      <c r="A1117" s="155" t="e">
        <f t="shared" si="18"/>
        <v>#REF!</v>
      </c>
      <c r="B1117" s="140" t="s">
        <v>18</v>
      </c>
      <c r="C1117" s="140" t="s">
        <v>37</v>
      </c>
      <c r="D1117" s="140" t="s">
        <v>1515</v>
      </c>
      <c r="E1117" s="140" t="s">
        <v>2958</v>
      </c>
      <c r="F1117" s="140" t="s">
        <v>798</v>
      </c>
      <c r="G1117" s="140" t="s">
        <v>185</v>
      </c>
      <c r="H1117" s="140" t="s">
        <v>799</v>
      </c>
      <c r="I1117" s="140" t="s">
        <v>2959</v>
      </c>
      <c r="J1117" s="140">
        <v>34500000</v>
      </c>
      <c r="K1117" s="155" t="s">
        <v>221</v>
      </c>
      <c r="L1117" s="140">
        <v>2933502</v>
      </c>
      <c r="M1117" s="155" t="s">
        <v>180</v>
      </c>
      <c r="N1117" s="10">
        <v>200</v>
      </c>
      <c r="O1117" s="10">
        <v>50154317</v>
      </c>
      <c r="P1117" s="140"/>
      <c r="Q1117" t="s">
        <v>3564</v>
      </c>
    </row>
    <row r="1118" spans="1:17" ht="43.5" hidden="1" x14ac:dyDescent="0.35">
      <c r="A1118" s="155" t="e">
        <f>#REF!+1</f>
        <v>#REF!</v>
      </c>
      <c r="B1118" s="140" t="s">
        <v>18</v>
      </c>
      <c r="C1118" s="140" t="s">
        <v>37</v>
      </c>
      <c r="D1118" s="140" t="s">
        <v>1515</v>
      </c>
      <c r="E1118" s="140" t="s">
        <v>2960</v>
      </c>
      <c r="F1118" s="140" t="s">
        <v>798</v>
      </c>
      <c r="G1118" s="140" t="s">
        <v>185</v>
      </c>
      <c r="H1118" s="140" t="s">
        <v>799</v>
      </c>
      <c r="I1118" s="140" t="s">
        <v>2961</v>
      </c>
      <c r="J1118" s="140">
        <v>39000000</v>
      </c>
      <c r="K1118" s="155" t="s">
        <v>221</v>
      </c>
      <c r="L1118" s="140">
        <v>2933742</v>
      </c>
      <c r="M1118" s="155" t="s">
        <v>180</v>
      </c>
      <c r="N1118" s="10">
        <v>240</v>
      </c>
      <c r="O1118" s="10">
        <v>61013332.799999997</v>
      </c>
      <c r="P1118" s="140"/>
      <c r="Q1118" t="s">
        <v>3564</v>
      </c>
    </row>
    <row r="1119" spans="1:17" ht="43.5" hidden="1" x14ac:dyDescent="0.35">
      <c r="A1119" s="155" t="e">
        <f t="shared" si="18"/>
        <v>#REF!</v>
      </c>
      <c r="B1119" s="140" t="s">
        <v>18</v>
      </c>
      <c r="C1119" s="140" t="s">
        <v>37</v>
      </c>
      <c r="D1119" s="140" t="s">
        <v>1521</v>
      </c>
      <c r="E1119" s="140" t="s">
        <v>2962</v>
      </c>
      <c r="F1119" s="140" t="s">
        <v>798</v>
      </c>
      <c r="G1119" s="140" t="s">
        <v>185</v>
      </c>
      <c r="H1119" s="140" t="s">
        <v>2963</v>
      </c>
      <c r="I1119" s="140" t="s">
        <v>2964</v>
      </c>
      <c r="J1119" s="140">
        <v>82000000</v>
      </c>
      <c r="K1119" s="155" t="s">
        <v>221</v>
      </c>
      <c r="L1119" s="140">
        <v>2929025</v>
      </c>
      <c r="M1119" s="155" t="s">
        <v>180</v>
      </c>
      <c r="N1119" s="10">
        <v>200</v>
      </c>
      <c r="O1119" s="10">
        <v>165000000</v>
      </c>
      <c r="P1119" s="140" t="s">
        <v>2965</v>
      </c>
      <c r="Q1119" t="s">
        <v>3586</v>
      </c>
    </row>
    <row r="1120" spans="1:17" ht="43.5" hidden="1" x14ac:dyDescent="0.35">
      <c r="A1120" s="155" t="e">
        <f>#REF!+1</f>
        <v>#REF!</v>
      </c>
      <c r="B1120" s="140" t="s">
        <v>18</v>
      </c>
      <c r="C1120" s="140" t="s">
        <v>37</v>
      </c>
      <c r="D1120" s="140" t="s">
        <v>1570</v>
      </c>
      <c r="E1120" s="140" t="s">
        <v>2966</v>
      </c>
      <c r="F1120" s="140" t="s">
        <v>798</v>
      </c>
      <c r="G1120" s="140" t="s">
        <v>185</v>
      </c>
      <c r="H1120" s="140" t="s">
        <v>2967</v>
      </c>
      <c r="I1120" s="140" t="s">
        <v>2968</v>
      </c>
      <c r="J1120" s="140">
        <v>70400000</v>
      </c>
      <c r="K1120" s="155" t="s">
        <v>221</v>
      </c>
      <c r="L1120" s="140">
        <v>2929079</v>
      </c>
      <c r="M1120" s="155" t="s">
        <v>180</v>
      </c>
      <c r="N1120" s="10">
        <v>145</v>
      </c>
      <c r="O1120" s="10">
        <v>128470000</v>
      </c>
      <c r="P1120" s="140" t="s">
        <v>2969</v>
      </c>
      <c r="Q1120" t="s">
        <v>3586</v>
      </c>
    </row>
    <row r="1121" spans="1:17" ht="43.5" hidden="1" x14ac:dyDescent="0.35">
      <c r="A1121" s="155" t="e">
        <f t="shared" si="18"/>
        <v>#REF!</v>
      </c>
      <c r="B1121" s="140" t="s">
        <v>18</v>
      </c>
      <c r="C1121" s="140" t="s">
        <v>37</v>
      </c>
      <c r="D1121" s="140" t="s">
        <v>1515</v>
      </c>
      <c r="E1121" s="140" t="s">
        <v>2958</v>
      </c>
      <c r="F1121" s="140" t="s">
        <v>798</v>
      </c>
      <c r="G1121" s="140" t="s">
        <v>185</v>
      </c>
      <c r="H1121" s="140" t="s">
        <v>664</v>
      </c>
      <c r="I1121" s="140" t="s">
        <v>2970</v>
      </c>
      <c r="J1121" s="140">
        <v>72400000</v>
      </c>
      <c r="K1121" s="155" t="s">
        <v>221</v>
      </c>
      <c r="L1121" s="140">
        <v>2929199</v>
      </c>
      <c r="M1121" s="155" t="s">
        <v>180</v>
      </c>
      <c r="N1121" s="10">
        <v>350</v>
      </c>
      <c r="O1121" s="10">
        <v>88977700</v>
      </c>
      <c r="P1121" s="140"/>
      <c r="Q1121" t="s">
        <v>3564</v>
      </c>
    </row>
    <row r="1122" spans="1:17" ht="43.5" hidden="1" x14ac:dyDescent="0.35">
      <c r="A1122" s="155" t="e">
        <f t="shared" si="18"/>
        <v>#REF!</v>
      </c>
      <c r="B1122" s="140" t="s">
        <v>18</v>
      </c>
      <c r="C1122" s="140" t="s">
        <v>37</v>
      </c>
      <c r="D1122" s="140" t="s">
        <v>1515</v>
      </c>
      <c r="E1122" s="140" t="s">
        <v>2971</v>
      </c>
      <c r="F1122" s="140" t="s">
        <v>798</v>
      </c>
      <c r="G1122" s="140" t="s">
        <v>185</v>
      </c>
      <c r="H1122" s="140" t="s">
        <v>664</v>
      </c>
      <c r="I1122" s="140" t="s">
        <v>2972</v>
      </c>
      <c r="J1122" s="140">
        <v>54600000</v>
      </c>
      <c r="K1122" s="155" t="s">
        <v>221</v>
      </c>
      <c r="L1122" s="140">
        <v>2929205</v>
      </c>
      <c r="M1122" s="155" t="s">
        <v>180</v>
      </c>
      <c r="N1122" s="10">
        <v>300</v>
      </c>
      <c r="O1122" s="10">
        <v>76266600</v>
      </c>
      <c r="P1122" s="140"/>
      <c r="Q1122" t="s">
        <v>3564</v>
      </c>
    </row>
    <row r="1123" spans="1:17" ht="43.5" hidden="1" x14ac:dyDescent="0.35">
      <c r="A1123" s="155" t="e">
        <f t="shared" si="18"/>
        <v>#REF!</v>
      </c>
      <c r="B1123" s="140" t="s">
        <v>18</v>
      </c>
      <c r="C1123" s="140" t="s">
        <v>37</v>
      </c>
      <c r="D1123" s="140" t="s">
        <v>1570</v>
      </c>
      <c r="E1123" s="140" t="s">
        <v>1571</v>
      </c>
      <c r="F1123" s="140" t="s">
        <v>636</v>
      </c>
      <c r="G1123" s="140" t="s">
        <v>182</v>
      </c>
      <c r="H1123" s="140" t="s">
        <v>2973</v>
      </c>
      <c r="I1123" s="140" t="s">
        <v>2974</v>
      </c>
      <c r="J1123" s="140">
        <v>100000000</v>
      </c>
      <c r="K1123" s="155" t="s">
        <v>221</v>
      </c>
      <c r="L1123" s="140">
        <v>2920905</v>
      </c>
      <c r="M1123" s="155" t="s">
        <v>180</v>
      </c>
      <c r="N1123" s="10">
        <v>100</v>
      </c>
      <c r="O1123" s="10">
        <v>88600000</v>
      </c>
      <c r="P1123" s="140" t="s">
        <v>2975</v>
      </c>
      <c r="Q1123" t="s">
        <v>3586</v>
      </c>
    </row>
    <row r="1124" spans="1:17" ht="43.5" hidden="1" x14ac:dyDescent="0.35">
      <c r="A1124" s="155" t="e">
        <f t="shared" si="18"/>
        <v>#REF!</v>
      </c>
      <c r="B1124" s="140" t="s">
        <v>18</v>
      </c>
      <c r="C1124" s="140" t="s">
        <v>37</v>
      </c>
      <c r="D1124" s="140" t="s">
        <v>1515</v>
      </c>
      <c r="E1124" s="140" t="s">
        <v>2100</v>
      </c>
      <c r="F1124" s="140" t="s">
        <v>636</v>
      </c>
      <c r="G1124" s="140" t="s">
        <v>182</v>
      </c>
      <c r="H1124" s="140" t="s">
        <v>2976</v>
      </c>
      <c r="I1124" s="140" t="s">
        <v>2977</v>
      </c>
      <c r="J1124" s="140">
        <v>100000000</v>
      </c>
      <c r="K1124" s="155" t="s">
        <v>221</v>
      </c>
      <c r="L1124" s="140">
        <v>2946884</v>
      </c>
      <c r="M1124" s="155" t="s">
        <v>180</v>
      </c>
      <c r="N1124" s="10">
        <v>300</v>
      </c>
      <c r="O1124" s="10">
        <v>88600000</v>
      </c>
      <c r="P1124" s="140" t="s">
        <v>2966</v>
      </c>
      <c r="Q1124" t="s">
        <v>3564</v>
      </c>
    </row>
    <row r="1125" spans="1:17" ht="43.5" hidden="1" x14ac:dyDescent="0.35">
      <c r="A1125" s="155" t="e">
        <f t="shared" si="18"/>
        <v>#REF!</v>
      </c>
      <c r="B1125" s="140" t="s">
        <v>18</v>
      </c>
      <c r="C1125" s="140" t="s">
        <v>37</v>
      </c>
      <c r="D1125" s="140" t="s">
        <v>1570</v>
      </c>
      <c r="E1125" s="140" t="s">
        <v>1571</v>
      </c>
      <c r="F1125" s="140" t="s">
        <v>636</v>
      </c>
      <c r="G1125" s="140" t="s">
        <v>182</v>
      </c>
      <c r="H1125" s="140" t="s">
        <v>93</v>
      </c>
      <c r="I1125" s="140" t="s">
        <v>1821</v>
      </c>
      <c r="J1125" s="140">
        <v>65000000</v>
      </c>
      <c r="K1125" s="155" t="s">
        <v>221</v>
      </c>
      <c r="L1125" s="140">
        <v>2947049</v>
      </c>
      <c r="M1125" s="155" t="s">
        <v>180</v>
      </c>
      <c r="N1125" s="10"/>
      <c r="O1125" s="10">
        <v>100000000</v>
      </c>
      <c r="P1125" s="140" t="s">
        <v>2978</v>
      </c>
      <c r="Q1125" t="s">
        <v>3586</v>
      </c>
    </row>
    <row r="1126" spans="1:17" ht="43.5" hidden="1" x14ac:dyDescent="0.35">
      <c r="A1126" s="155" t="e">
        <f t="shared" si="18"/>
        <v>#REF!</v>
      </c>
      <c r="B1126" s="140" t="s">
        <v>18</v>
      </c>
      <c r="C1126" s="140" t="s">
        <v>37</v>
      </c>
      <c r="D1126" s="140" t="s">
        <v>476</v>
      </c>
      <c r="E1126" s="140" t="s">
        <v>2394</v>
      </c>
      <c r="F1126" s="140" t="s">
        <v>636</v>
      </c>
      <c r="G1126" s="140" t="s">
        <v>182</v>
      </c>
      <c r="H1126" s="140" t="s">
        <v>185</v>
      </c>
      <c r="I1126" s="140" t="s">
        <v>1821</v>
      </c>
      <c r="J1126" s="140">
        <v>100000000</v>
      </c>
      <c r="K1126" s="155" t="s">
        <v>221</v>
      </c>
      <c r="L1126" s="140">
        <v>2947088</v>
      </c>
      <c r="M1126" s="155" t="s">
        <v>180</v>
      </c>
      <c r="N1126" s="10"/>
      <c r="O1126" s="10">
        <v>100000000</v>
      </c>
      <c r="P1126" s="140" t="s">
        <v>1839</v>
      </c>
      <c r="Q1126" t="s">
        <v>3586</v>
      </c>
    </row>
    <row r="1127" spans="1:17" ht="101.5" hidden="1" x14ac:dyDescent="0.35">
      <c r="A1127" s="155" t="e">
        <f>#REF!+1</f>
        <v>#REF!</v>
      </c>
      <c r="B1127" s="140" t="s">
        <v>18</v>
      </c>
      <c r="C1127" s="140" t="s">
        <v>37</v>
      </c>
      <c r="D1127" s="140" t="s">
        <v>1515</v>
      </c>
      <c r="E1127" s="140" t="s">
        <v>1979</v>
      </c>
      <c r="F1127" s="140" t="s">
        <v>2979</v>
      </c>
      <c r="G1127" s="140" t="s">
        <v>1424</v>
      </c>
      <c r="H1127" s="140" t="s">
        <v>2980</v>
      </c>
      <c r="I1127" s="140"/>
      <c r="J1127" s="140">
        <v>100000000</v>
      </c>
      <c r="K1127" s="155" t="s">
        <v>221</v>
      </c>
      <c r="L1127" s="140">
        <v>2765823</v>
      </c>
      <c r="M1127" s="155" t="s">
        <v>180</v>
      </c>
      <c r="N1127" s="10">
        <v>45</v>
      </c>
      <c r="O1127" s="10">
        <v>100000000</v>
      </c>
      <c r="P1127" s="140"/>
      <c r="Q1127" t="s">
        <v>3564</v>
      </c>
    </row>
    <row r="1128" spans="1:17" ht="101.5" hidden="1" x14ac:dyDescent="0.35">
      <c r="A1128" s="155" t="e">
        <f t="shared" si="18"/>
        <v>#REF!</v>
      </c>
      <c r="B1128" s="140" t="s">
        <v>18</v>
      </c>
      <c r="C1128" s="140" t="s">
        <v>37</v>
      </c>
      <c r="D1128" s="140" t="s">
        <v>1521</v>
      </c>
      <c r="E1128" s="140" t="s">
        <v>1979</v>
      </c>
      <c r="F1128" s="140" t="s">
        <v>2979</v>
      </c>
      <c r="G1128" s="140" t="s">
        <v>1424</v>
      </c>
      <c r="H1128" s="140" t="s">
        <v>2981</v>
      </c>
      <c r="I1128" s="140" t="s">
        <v>1259</v>
      </c>
      <c r="J1128" s="140">
        <v>75000000</v>
      </c>
      <c r="K1128" s="155" t="s">
        <v>221</v>
      </c>
      <c r="L1128" s="140">
        <v>2764515</v>
      </c>
      <c r="M1128" s="155" t="s">
        <v>180</v>
      </c>
      <c r="N1128" s="10">
        <v>250</v>
      </c>
      <c r="O1128" s="10">
        <v>100000000</v>
      </c>
      <c r="P1128" s="140" t="s">
        <v>1839</v>
      </c>
      <c r="Q1128" t="s">
        <v>3586</v>
      </c>
    </row>
    <row r="1129" spans="1:17" ht="101.5" hidden="1" x14ac:dyDescent="0.35">
      <c r="A1129" s="155" t="e">
        <f t="shared" si="18"/>
        <v>#REF!</v>
      </c>
      <c r="B1129" s="140" t="s">
        <v>18</v>
      </c>
      <c r="C1129" s="140" t="s">
        <v>37</v>
      </c>
      <c r="D1129" s="140" t="s">
        <v>1515</v>
      </c>
      <c r="E1129" s="140" t="s">
        <v>1979</v>
      </c>
      <c r="F1129" s="140" t="s">
        <v>2979</v>
      </c>
      <c r="G1129" s="140" t="s">
        <v>1424</v>
      </c>
      <c r="H1129" s="140" t="s">
        <v>2982</v>
      </c>
      <c r="I1129" s="140" t="s">
        <v>341</v>
      </c>
      <c r="J1129" s="140">
        <v>100000000</v>
      </c>
      <c r="K1129" s="155" t="s">
        <v>221</v>
      </c>
      <c r="L1129" s="140">
        <v>2797829</v>
      </c>
      <c r="M1129" s="155" t="s">
        <v>180</v>
      </c>
      <c r="N1129" s="10"/>
      <c r="O1129" s="10">
        <v>100000000</v>
      </c>
      <c r="P1129" s="140" t="s">
        <v>2983</v>
      </c>
      <c r="Q1129" t="s">
        <v>3564</v>
      </c>
    </row>
    <row r="1130" spans="1:17" ht="101.5" hidden="1" x14ac:dyDescent="0.35">
      <c r="A1130" s="155" t="e">
        <f t="shared" si="18"/>
        <v>#REF!</v>
      </c>
      <c r="B1130" s="140" t="s">
        <v>18</v>
      </c>
      <c r="C1130" s="140" t="s">
        <v>37</v>
      </c>
      <c r="D1130" s="140" t="s">
        <v>1515</v>
      </c>
      <c r="E1130" s="140" t="s">
        <v>1979</v>
      </c>
      <c r="F1130" s="140" t="s">
        <v>2979</v>
      </c>
      <c r="G1130" s="140" t="s">
        <v>1424</v>
      </c>
      <c r="H1130" s="140" t="s">
        <v>2984</v>
      </c>
      <c r="I1130" s="140" t="s">
        <v>341</v>
      </c>
      <c r="J1130" s="140">
        <v>100000000</v>
      </c>
      <c r="K1130" s="155" t="s">
        <v>221</v>
      </c>
      <c r="L1130" s="140">
        <v>2797641</v>
      </c>
      <c r="M1130" s="155" t="s">
        <v>180</v>
      </c>
      <c r="N1130" s="10">
        <v>500</v>
      </c>
      <c r="O1130" s="10">
        <v>127111000</v>
      </c>
      <c r="P1130" s="140" t="s">
        <v>2985</v>
      </c>
      <c r="Q1130" t="s">
        <v>3564</v>
      </c>
    </row>
    <row r="1131" spans="1:17" ht="101.5" hidden="1" x14ac:dyDescent="0.35">
      <c r="A1131" s="155" t="e">
        <f t="shared" si="18"/>
        <v>#REF!</v>
      </c>
      <c r="B1131" s="140" t="s">
        <v>18</v>
      </c>
      <c r="C1131" s="140" t="s">
        <v>37</v>
      </c>
      <c r="D1131" s="140" t="s">
        <v>1515</v>
      </c>
      <c r="E1131" s="140" t="s">
        <v>1979</v>
      </c>
      <c r="F1131" s="140" t="s">
        <v>2979</v>
      </c>
      <c r="G1131" s="140" t="s">
        <v>1424</v>
      </c>
      <c r="H1131" s="140" t="s">
        <v>2986</v>
      </c>
      <c r="I1131" s="140" t="s">
        <v>1742</v>
      </c>
      <c r="J1131" s="140">
        <v>40000000</v>
      </c>
      <c r="K1131" s="155" t="s">
        <v>221</v>
      </c>
      <c r="L1131" s="140">
        <v>2797710</v>
      </c>
      <c r="M1131" s="155" t="s">
        <v>180</v>
      </c>
      <c r="N1131" s="10" t="s">
        <v>2987</v>
      </c>
      <c r="O1131" s="10">
        <v>75000000</v>
      </c>
      <c r="P1131" s="140" t="s">
        <v>2985</v>
      </c>
      <c r="Q1131" t="s">
        <v>3564</v>
      </c>
    </row>
    <row r="1132" spans="1:17" ht="101.5" hidden="1" x14ac:dyDescent="0.35">
      <c r="A1132" s="155" t="e">
        <f t="shared" si="18"/>
        <v>#REF!</v>
      </c>
      <c r="B1132" s="140" t="s">
        <v>18</v>
      </c>
      <c r="C1132" s="140" t="s">
        <v>37</v>
      </c>
      <c r="D1132" s="140" t="s">
        <v>1515</v>
      </c>
      <c r="E1132" s="140" t="s">
        <v>1979</v>
      </c>
      <c r="F1132" s="140" t="s">
        <v>2979</v>
      </c>
      <c r="G1132" s="140" t="s">
        <v>1424</v>
      </c>
      <c r="H1132" s="140" t="s">
        <v>2988</v>
      </c>
      <c r="I1132" s="140" t="s">
        <v>1259</v>
      </c>
      <c r="J1132" s="140">
        <v>100000000</v>
      </c>
      <c r="K1132" s="155" t="s">
        <v>221</v>
      </c>
      <c r="L1132" s="140">
        <v>2797749</v>
      </c>
      <c r="M1132" s="155" t="s">
        <v>180</v>
      </c>
      <c r="N1132" s="10">
        <v>500</v>
      </c>
      <c r="O1132" s="10">
        <v>100000000</v>
      </c>
      <c r="P1132" s="140" t="s">
        <v>2989</v>
      </c>
      <c r="Q1132" t="s">
        <v>3564</v>
      </c>
    </row>
    <row r="1133" spans="1:17" ht="101.5" hidden="1" x14ac:dyDescent="0.35">
      <c r="A1133" s="155" t="e">
        <f t="shared" si="18"/>
        <v>#REF!</v>
      </c>
      <c r="B1133" s="140" t="s">
        <v>18</v>
      </c>
      <c r="C1133" s="140" t="s">
        <v>37</v>
      </c>
      <c r="D1133" s="140" t="s">
        <v>1515</v>
      </c>
      <c r="E1133" s="140" t="s">
        <v>1979</v>
      </c>
      <c r="F1133" s="140" t="s">
        <v>2979</v>
      </c>
      <c r="G1133" s="140" t="s">
        <v>1424</v>
      </c>
      <c r="H1133" s="140" t="s">
        <v>2990</v>
      </c>
      <c r="I1133" s="140" t="s">
        <v>341</v>
      </c>
      <c r="J1133" s="140">
        <v>100000000</v>
      </c>
      <c r="K1133" s="155" t="s">
        <v>221</v>
      </c>
      <c r="L1133" s="140">
        <v>2797892</v>
      </c>
      <c r="M1133" s="155" t="s">
        <v>180</v>
      </c>
      <c r="N1133" s="10">
        <v>500</v>
      </c>
      <c r="O1133" s="10">
        <v>100000000</v>
      </c>
      <c r="P1133" s="140" t="s">
        <v>2989</v>
      </c>
      <c r="Q1133" t="s">
        <v>3564</v>
      </c>
    </row>
    <row r="1134" spans="1:17" ht="101.5" hidden="1" x14ac:dyDescent="0.35">
      <c r="A1134" s="155" t="e">
        <f t="shared" si="18"/>
        <v>#REF!</v>
      </c>
      <c r="B1134" s="140" t="s">
        <v>18</v>
      </c>
      <c r="C1134" s="140" t="s">
        <v>37</v>
      </c>
      <c r="D1134" s="140" t="s">
        <v>1515</v>
      </c>
      <c r="E1134" s="140" t="s">
        <v>1979</v>
      </c>
      <c r="F1134" s="140" t="s">
        <v>2979</v>
      </c>
      <c r="G1134" s="140" t="s">
        <v>1424</v>
      </c>
      <c r="H1134" s="140" t="s">
        <v>2991</v>
      </c>
      <c r="I1134" s="140" t="s">
        <v>2128</v>
      </c>
      <c r="J1134" s="140">
        <v>100000000</v>
      </c>
      <c r="K1134" s="155" t="s">
        <v>221</v>
      </c>
      <c r="L1134" s="140">
        <v>2797724</v>
      </c>
      <c r="M1134" s="155" t="s">
        <v>180</v>
      </c>
      <c r="N1134" s="10">
        <v>500</v>
      </c>
      <c r="O1134" s="10">
        <v>100000000</v>
      </c>
      <c r="P1134" s="140" t="s">
        <v>2989</v>
      </c>
      <c r="Q1134" t="s">
        <v>3564</v>
      </c>
    </row>
    <row r="1135" spans="1:17" ht="101.5" hidden="1" x14ac:dyDescent="0.35">
      <c r="A1135" s="155" t="e">
        <f t="shared" si="18"/>
        <v>#REF!</v>
      </c>
      <c r="B1135" s="140" t="s">
        <v>18</v>
      </c>
      <c r="C1135" s="140" t="s">
        <v>37</v>
      </c>
      <c r="D1135" s="140" t="s">
        <v>1515</v>
      </c>
      <c r="E1135" s="140" t="s">
        <v>1979</v>
      </c>
      <c r="F1135" s="140" t="s">
        <v>2979</v>
      </c>
      <c r="G1135" s="140" t="s">
        <v>1424</v>
      </c>
      <c r="H1135" s="140" t="s">
        <v>2992</v>
      </c>
      <c r="I1135" s="140" t="s">
        <v>341</v>
      </c>
      <c r="J1135" s="140">
        <v>100000000</v>
      </c>
      <c r="K1135" s="155" t="s">
        <v>221</v>
      </c>
      <c r="L1135" s="140">
        <v>2797803</v>
      </c>
      <c r="M1135" s="155" t="s">
        <v>180</v>
      </c>
      <c r="N1135" s="10">
        <v>500</v>
      </c>
      <c r="O1135" s="10">
        <v>107111000</v>
      </c>
      <c r="P1135" s="140" t="s">
        <v>2989</v>
      </c>
      <c r="Q1135" t="s">
        <v>3564</v>
      </c>
    </row>
    <row r="1136" spans="1:17" ht="101.5" hidden="1" x14ac:dyDescent="0.35">
      <c r="A1136" s="155" t="e">
        <f t="shared" si="18"/>
        <v>#REF!</v>
      </c>
      <c r="B1136" s="140" t="s">
        <v>18</v>
      </c>
      <c r="C1136" s="140" t="s">
        <v>37</v>
      </c>
      <c r="D1136" s="140" t="s">
        <v>1515</v>
      </c>
      <c r="E1136" s="140" t="s">
        <v>1979</v>
      </c>
      <c r="F1136" s="140" t="s">
        <v>2979</v>
      </c>
      <c r="G1136" s="140" t="s">
        <v>1424</v>
      </c>
      <c r="H1136" s="140" t="s">
        <v>2993</v>
      </c>
      <c r="I1136" s="140" t="s">
        <v>2128</v>
      </c>
      <c r="J1136" s="140">
        <v>100000000</v>
      </c>
      <c r="K1136" s="155" t="s">
        <v>221</v>
      </c>
      <c r="L1136" s="140">
        <v>2797872</v>
      </c>
      <c r="M1136" s="155" t="s">
        <v>180</v>
      </c>
      <c r="N1136" s="10">
        <v>625</v>
      </c>
      <c r="O1136" s="10">
        <v>60000000</v>
      </c>
      <c r="P1136" s="140" t="s">
        <v>2989</v>
      </c>
      <c r="Q1136" t="s">
        <v>3564</v>
      </c>
    </row>
    <row r="1137" spans="1:17" ht="43.5" hidden="1" x14ac:dyDescent="0.35">
      <c r="A1137" s="155" t="e">
        <f t="shared" si="18"/>
        <v>#REF!</v>
      </c>
      <c r="B1137" s="140" t="s">
        <v>18</v>
      </c>
      <c r="C1137" s="140" t="s">
        <v>37</v>
      </c>
      <c r="D1137" s="140" t="s">
        <v>1570</v>
      </c>
      <c r="E1137" s="140" t="s">
        <v>1256</v>
      </c>
      <c r="F1137" s="140" t="s">
        <v>2979</v>
      </c>
      <c r="G1137" s="140" t="s">
        <v>1424</v>
      </c>
      <c r="H1137" s="140" t="s">
        <v>1424</v>
      </c>
      <c r="I1137" s="140" t="s">
        <v>1426</v>
      </c>
      <c r="J1137" s="140">
        <v>100000000</v>
      </c>
      <c r="K1137" s="155" t="s">
        <v>221</v>
      </c>
      <c r="L1137" s="140">
        <v>2800200</v>
      </c>
      <c r="M1137" s="155" t="s">
        <v>180</v>
      </c>
      <c r="N1137" s="10">
        <v>375</v>
      </c>
      <c r="O1137" s="10">
        <v>127500000</v>
      </c>
      <c r="P1137" s="140" t="s">
        <v>2994</v>
      </c>
      <c r="Q1137" t="s">
        <v>3586</v>
      </c>
    </row>
    <row r="1138" spans="1:17" ht="43.5" hidden="1" x14ac:dyDescent="0.35">
      <c r="A1138" s="155" t="e">
        <f t="shared" si="18"/>
        <v>#REF!</v>
      </c>
      <c r="B1138" s="140" t="s">
        <v>18</v>
      </c>
      <c r="C1138" s="140" t="s">
        <v>37</v>
      </c>
      <c r="D1138" s="140" t="s">
        <v>1515</v>
      </c>
      <c r="E1138" s="140" t="s">
        <v>1544</v>
      </c>
      <c r="F1138" s="140" t="s">
        <v>441</v>
      </c>
      <c r="G1138" s="140" t="s">
        <v>442</v>
      </c>
      <c r="H1138" s="140" t="s">
        <v>443</v>
      </c>
      <c r="I1138" s="140" t="s">
        <v>341</v>
      </c>
      <c r="J1138" s="140">
        <v>70000000</v>
      </c>
      <c r="K1138" s="155" t="s">
        <v>221</v>
      </c>
      <c r="L1138" s="140">
        <v>2959469</v>
      </c>
      <c r="M1138" s="155" t="s">
        <v>180</v>
      </c>
      <c r="N1138" s="10"/>
      <c r="O1138" s="10">
        <v>66500000</v>
      </c>
      <c r="P1138" s="140" t="s">
        <v>2936</v>
      </c>
      <c r="Q1138" t="s">
        <v>3564</v>
      </c>
    </row>
    <row r="1139" spans="1:17" ht="43.5" hidden="1" x14ac:dyDescent="0.35">
      <c r="A1139" s="155" t="e">
        <f t="shared" si="18"/>
        <v>#REF!</v>
      </c>
      <c r="B1139" s="140" t="s">
        <v>18</v>
      </c>
      <c r="C1139" s="140" t="s">
        <v>37</v>
      </c>
      <c r="D1139" s="140" t="s">
        <v>1521</v>
      </c>
      <c r="E1139" s="140" t="s">
        <v>2995</v>
      </c>
      <c r="F1139" s="140" t="s">
        <v>441</v>
      </c>
      <c r="G1139" s="140" t="s">
        <v>442</v>
      </c>
      <c r="H1139" s="140" t="s">
        <v>2996</v>
      </c>
      <c r="I1139" s="140" t="s">
        <v>1426</v>
      </c>
      <c r="J1139" s="140">
        <v>50000000</v>
      </c>
      <c r="K1139" s="155" t="s">
        <v>221</v>
      </c>
      <c r="L1139" s="140">
        <v>3012175</v>
      </c>
      <c r="M1139" s="155" t="s">
        <v>180</v>
      </c>
      <c r="N1139" s="10">
        <v>1</v>
      </c>
      <c r="O1139" s="10">
        <v>300000000</v>
      </c>
      <c r="P1139" s="310" t="s">
        <v>1724</v>
      </c>
      <c r="Q1139" t="s">
        <v>3586</v>
      </c>
    </row>
    <row r="1140" spans="1:17" ht="43.5" hidden="1" x14ac:dyDescent="0.35">
      <c r="A1140" s="155" t="e">
        <f t="shared" si="18"/>
        <v>#REF!</v>
      </c>
      <c r="B1140" s="140" t="s">
        <v>18</v>
      </c>
      <c r="C1140" s="140" t="s">
        <v>37</v>
      </c>
      <c r="D1140" s="140" t="s">
        <v>1515</v>
      </c>
      <c r="E1140" s="140" t="s">
        <v>1544</v>
      </c>
      <c r="F1140" s="140" t="s">
        <v>441</v>
      </c>
      <c r="G1140" s="140" t="s">
        <v>442</v>
      </c>
      <c r="H1140" s="140" t="s">
        <v>2997</v>
      </c>
      <c r="I1140" s="140" t="s">
        <v>341</v>
      </c>
      <c r="J1140" s="140">
        <v>75000000</v>
      </c>
      <c r="K1140" s="155" t="s">
        <v>221</v>
      </c>
      <c r="L1140" s="140">
        <v>3012263</v>
      </c>
      <c r="M1140" s="155" t="s">
        <v>180</v>
      </c>
      <c r="N1140" s="10">
        <v>321</v>
      </c>
      <c r="O1140" s="10">
        <v>100000000</v>
      </c>
      <c r="P1140" s="140" t="s">
        <v>2936</v>
      </c>
      <c r="Q1140" t="s">
        <v>3564</v>
      </c>
    </row>
    <row r="1141" spans="1:17" ht="43.5" hidden="1" x14ac:dyDescent="0.35">
      <c r="A1141" s="155" t="e">
        <f t="shared" si="18"/>
        <v>#REF!</v>
      </c>
      <c r="B1141" s="140" t="s">
        <v>18</v>
      </c>
      <c r="C1141" s="140" t="s">
        <v>37</v>
      </c>
      <c r="D1141" s="140" t="s">
        <v>1515</v>
      </c>
      <c r="E1141" s="140" t="s">
        <v>1544</v>
      </c>
      <c r="F1141" s="140" t="s">
        <v>441</v>
      </c>
      <c r="G1141" s="140" t="s">
        <v>442</v>
      </c>
      <c r="H1141" s="140" t="s">
        <v>615</v>
      </c>
      <c r="I1141" s="140" t="s">
        <v>2128</v>
      </c>
      <c r="J1141" s="140">
        <v>100000000</v>
      </c>
      <c r="K1141" s="155" t="s">
        <v>221</v>
      </c>
      <c r="L1141" s="140">
        <v>3012263</v>
      </c>
      <c r="M1141" s="155" t="s">
        <v>180</v>
      </c>
      <c r="N1141" s="10">
        <v>750</v>
      </c>
      <c r="O1141" s="10">
        <v>100000000</v>
      </c>
      <c r="P1141" s="140" t="s">
        <v>2936</v>
      </c>
      <c r="Q1141" t="s">
        <v>3564</v>
      </c>
    </row>
    <row r="1142" spans="1:17" ht="43.5" hidden="1" x14ac:dyDescent="0.35">
      <c r="A1142" s="155" t="e">
        <f t="shared" si="18"/>
        <v>#REF!</v>
      </c>
      <c r="B1142" s="140" t="s">
        <v>18</v>
      </c>
      <c r="C1142" s="140" t="s">
        <v>37</v>
      </c>
      <c r="D1142" s="140" t="s">
        <v>1521</v>
      </c>
      <c r="E1142" s="140" t="s">
        <v>1714</v>
      </c>
      <c r="F1142" s="140" t="s">
        <v>441</v>
      </c>
      <c r="G1142" s="140" t="s">
        <v>442</v>
      </c>
      <c r="H1142" s="140" t="s">
        <v>1429</v>
      </c>
      <c r="I1142" s="140" t="s">
        <v>1213</v>
      </c>
      <c r="J1142" s="140">
        <v>75000000</v>
      </c>
      <c r="K1142" s="155" t="s">
        <v>221</v>
      </c>
      <c r="L1142" s="140">
        <v>3010913</v>
      </c>
      <c r="M1142" s="155" t="s">
        <v>180</v>
      </c>
      <c r="N1142" s="10">
        <v>58.6</v>
      </c>
      <c r="O1142" s="10">
        <v>100000000</v>
      </c>
      <c r="P1142" s="140" t="s">
        <v>2936</v>
      </c>
      <c r="Q1142" t="s">
        <v>3586</v>
      </c>
    </row>
    <row r="1143" spans="1:17" ht="43.5" hidden="1" x14ac:dyDescent="0.35">
      <c r="A1143" s="155" t="e">
        <f t="shared" si="18"/>
        <v>#REF!</v>
      </c>
      <c r="B1143" s="140" t="s">
        <v>18</v>
      </c>
      <c r="C1143" s="140" t="s">
        <v>37</v>
      </c>
      <c r="D1143" s="140" t="s">
        <v>1515</v>
      </c>
      <c r="E1143" s="140" t="s">
        <v>2998</v>
      </c>
      <c r="F1143" s="140" t="s">
        <v>441</v>
      </c>
      <c r="G1143" s="140" t="s">
        <v>442</v>
      </c>
      <c r="H1143" s="140" t="s">
        <v>2999</v>
      </c>
      <c r="I1143" s="140" t="s">
        <v>2128</v>
      </c>
      <c r="J1143" s="140">
        <v>100000000</v>
      </c>
      <c r="K1143" s="155" t="s">
        <v>221</v>
      </c>
      <c r="L1143" s="140">
        <v>3012263</v>
      </c>
      <c r="M1143" s="155" t="s">
        <v>180</v>
      </c>
      <c r="N1143" s="10">
        <v>300</v>
      </c>
      <c r="O1143" s="10">
        <v>100000000</v>
      </c>
      <c r="P1143" s="140" t="s">
        <v>2936</v>
      </c>
      <c r="Q1143" t="s">
        <v>3564</v>
      </c>
    </row>
    <row r="1144" spans="1:17" ht="43.5" hidden="1" x14ac:dyDescent="0.35">
      <c r="A1144" s="155" t="e">
        <f t="shared" si="18"/>
        <v>#REF!</v>
      </c>
      <c r="B1144" s="140" t="s">
        <v>18</v>
      </c>
      <c r="C1144" s="140" t="s">
        <v>37</v>
      </c>
      <c r="D1144" s="140" t="s">
        <v>1515</v>
      </c>
      <c r="E1144" s="140" t="s">
        <v>1544</v>
      </c>
      <c r="F1144" s="140" t="s">
        <v>441</v>
      </c>
      <c r="G1144" s="140" t="s">
        <v>442</v>
      </c>
      <c r="H1144" s="140" t="s">
        <v>3000</v>
      </c>
      <c r="I1144" s="140" t="s">
        <v>1259</v>
      </c>
      <c r="J1144" s="140">
        <v>40000000</v>
      </c>
      <c r="K1144" s="155" t="s">
        <v>221</v>
      </c>
      <c r="L1144" s="140">
        <v>3012263</v>
      </c>
      <c r="M1144" s="155" t="s">
        <v>180</v>
      </c>
      <c r="N1144" s="10"/>
      <c r="O1144" s="10">
        <v>100000000</v>
      </c>
      <c r="P1144" s="140" t="s">
        <v>2936</v>
      </c>
      <c r="Q1144" t="s">
        <v>3564</v>
      </c>
    </row>
    <row r="1145" spans="1:17" ht="58" hidden="1" x14ac:dyDescent="0.35">
      <c r="A1145" s="155" t="e">
        <f>#REF!+1</f>
        <v>#REF!</v>
      </c>
      <c r="B1145" s="140" t="s">
        <v>18</v>
      </c>
      <c r="C1145" s="140" t="s">
        <v>37</v>
      </c>
      <c r="D1145" s="140" t="s">
        <v>1515</v>
      </c>
      <c r="E1145" s="140" t="s">
        <v>2153</v>
      </c>
      <c r="F1145" s="140" t="s">
        <v>448</v>
      </c>
      <c r="G1145" s="140" t="s">
        <v>449</v>
      </c>
      <c r="H1145" s="140" t="s">
        <v>1456</v>
      </c>
      <c r="I1145" s="140" t="s">
        <v>1259</v>
      </c>
      <c r="J1145" s="140">
        <v>30000000</v>
      </c>
      <c r="K1145" s="155" t="s">
        <v>221</v>
      </c>
      <c r="L1145" s="140">
        <v>2768360</v>
      </c>
      <c r="M1145" s="155" t="s">
        <v>180</v>
      </c>
      <c r="N1145" s="10">
        <v>250</v>
      </c>
      <c r="O1145" s="10">
        <v>75000000</v>
      </c>
      <c r="P1145" s="140" t="s">
        <v>2936</v>
      </c>
      <c r="Q1145" t="s">
        <v>3564</v>
      </c>
    </row>
    <row r="1146" spans="1:17" ht="58" hidden="1" x14ac:dyDescent="0.35">
      <c r="A1146" s="155" t="e">
        <f t="shared" si="18"/>
        <v>#REF!</v>
      </c>
      <c r="B1146" s="140" t="s">
        <v>18</v>
      </c>
      <c r="C1146" s="140" t="s">
        <v>37</v>
      </c>
      <c r="D1146" s="140" t="s">
        <v>1515</v>
      </c>
      <c r="E1146" s="140" t="s">
        <v>2153</v>
      </c>
      <c r="F1146" s="140"/>
      <c r="G1146" s="140" t="s">
        <v>449</v>
      </c>
      <c r="H1146" s="140" t="s">
        <v>3001</v>
      </c>
      <c r="I1146" s="140" t="s">
        <v>1426</v>
      </c>
      <c r="J1146" s="140">
        <v>45000000</v>
      </c>
      <c r="K1146" s="155" t="s">
        <v>221</v>
      </c>
      <c r="L1146" s="140">
        <v>2768360</v>
      </c>
      <c r="M1146" s="155" t="s">
        <v>180</v>
      </c>
      <c r="N1146" s="10">
        <v>375</v>
      </c>
      <c r="O1146" s="10">
        <v>75000000</v>
      </c>
      <c r="P1146" s="140" t="s">
        <v>2936</v>
      </c>
      <c r="Q1146" t="s">
        <v>3564</v>
      </c>
    </row>
    <row r="1147" spans="1:17" ht="58" hidden="1" x14ac:dyDescent="0.35">
      <c r="A1147" s="155" t="e">
        <f t="shared" si="18"/>
        <v>#REF!</v>
      </c>
      <c r="B1147" s="140" t="s">
        <v>18</v>
      </c>
      <c r="C1147" s="140" t="s">
        <v>37</v>
      </c>
      <c r="D1147" s="140" t="s">
        <v>1515</v>
      </c>
      <c r="E1147" s="140" t="s">
        <v>2153</v>
      </c>
      <c r="F1147" s="140" t="s">
        <v>448</v>
      </c>
      <c r="G1147" s="140" t="s">
        <v>449</v>
      </c>
      <c r="H1147" s="140" t="s">
        <v>3002</v>
      </c>
      <c r="I1147" s="140" t="s">
        <v>1426</v>
      </c>
      <c r="J1147" s="140">
        <v>30000000</v>
      </c>
      <c r="K1147" s="155" t="s">
        <v>221</v>
      </c>
      <c r="L1147" s="140">
        <v>2768360</v>
      </c>
      <c r="M1147" s="155" t="s">
        <v>180</v>
      </c>
      <c r="N1147" s="10">
        <v>375</v>
      </c>
      <c r="O1147" s="10">
        <v>75000000</v>
      </c>
      <c r="P1147" s="140" t="s">
        <v>2936</v>
      </c>
      <c r="Q1147" t="s">
        <v>3564</v>
      </c>
    </row>
    <row r="1148" spans="1:17" ht="58" hidden="1" x14ac:dyDescent="0.35">
      <c r="A1148" s="155" t="e">
        <f t="shared" si="18"/>
        <v>#REF!</v>
      </c>
      <c r="B1148" s="140" t="s">
        <v>18</v>
      </c>
      <c r="C1148" s="140" t="s">
        <v>37</v>
      </c>
      <c r="D1148" s="140" t="s">
        <v>1515</v>
      </c>
      <c r="E1148" s="140" t="s">
        <v>2153</v>
      </c>
      <c r="F1148" s="140" t="s">
        <v>448</v>
      </c>
      <c r="G1148" s="140" t="s">
        <v>449</v>
      </c>
      <c r="H1148" s="140" t="s">
        <v>3003</v>
      </c>
      <c r="I1148" s="140">
        <v>100</v>
      </c>
      <c r="J1148" s="140">
        <v>30000000</v>
      </c>
      <c r="K1148" s="155" t="s">
        <v>221</v>
      </c>
      <c r="L1148" s="140">
        <v>2768360</v>
      </c>
      <c r="M1148" s="155" t="s">
        <v>180</v>
      </c>
      <c r="N1148" s="10">
        <v>250</v>
      </c>
      <c r="O1148" s="10">
        <v>75000000</v>
      </c>
      <c r="P1148" s="140" t="s">
        <v>2936</v>
      </c>
      <c r="Q1148" t="s">
        <v>3564</v>
      </c>
    </row>
    <row r="1149" spans="1:17" ht="58" hidden="1" x14ac:dyDescent="0.35">
      <c r="A1149" s="155" t="e">
        <f t="shared" si="18"/>
        <v>#REF!</v>
      </c>
      <c r="B1149" s="140" t="s">
        <v>18</v>
      </c>
      <c r="C1149" s="140" t="s">
        <v>37</v>
      </c>
      <c r="D1149" s="140" t="s">
        <v>1515</v>
      </c>
      <c r="E1149" s="140" t="s">
        <v>2153</v>
      </c>
      <c r="F1149" s="140" t="s">
        <v>448</v>
      </c>
      <c r="G1149" s="140" t="s">
        <v>449</v>
      </c>
      <c r="H1149" s="140" t="s">
        <v>3004</v>
      </c>
      <c r="I1149" s="140" t="s">
        <v>341</v>
      </c>
      <c r="J1149" s="140">
        <v>60000000</v>
      </c>
      <c r="K1149" s="155" t="s">
        <v>221</v>
      </c>
      <c r="L1149" s="140">
        <v>2768360</v>
      </c>
      <c r="M1149" s="155" t="s">
        <v>180</v>
      </c>
      <c r="N1149" s="10">
        <v>500</v>
      </c>
      <c r="O1149" s="10">
        <v>75000000</v>
      </c>
      <c r="P1149" s="140" t="s">
        <v>2936</v>
      </c>
      <c r="Q1149" t="s">
        <v>3564</v>
      </c>
    </row>
    <row r="1150" spans="1:17" ht="58" hidden="1" x14ac:dyDescent="0.35">
      <c r="A1150" s="155" t="e">
        <f t="shared" ref="A1150:A1196" si="19">A1149+1</f>
        <v>#REF!</v>
      </c>
      <c r="B1150" s="140" t="s">
        <v>18</v>
      </c>
      <c r="C1150" s="140" t="s">
        <v>37</v>
      </c>
      <c r="D1150" s="140" t="s">
        <v>1515</v>
      </c>
      <c r="E1150" s="140" t="s">
        <v>2153</v>
      </c>
      <c r="F1150" s="140" t="s">
        <v>448</v>
      </c>
      <c r="G1150" s="140" t="s">
        <v>449</v>
      </c>
      <c r="H1150" s="140" t="s">
        <v>3005</v>
      </c>
      <c r="I1150" s="140" t="s">
        <v>1426</v>
      </c>
      <c r="J1150" s="140">
        <v>35000000</v>
      </c>
      <c r="K1150" s="155" t="s">
        <v>221</v>
      </c>
      <c r="L1150" s="140">
        <v>2768360</v>
      </c>
      <c r="M1150" s="155" t="s">
        <v>180</v>
      </c>
      <c r="N1150" s="10">
        <v>375</v>
      </c>
      <c r="O1150" s="10">
        <v>75000000</v>
      </c>
      <c r="P1150" s="140" t="s">
        <v>2936</v>
      </c>
      <c r="Q1150" t="s">
        <v>3564</v>
      </c>
    </row>
    <row r="1151" spans="1:17" ht="58" hidden="1" x14ac:dyDescent="0.35">
      <c r="A1151" s="155" t="e">
        <f t="shared" si="19"/>
        <v>#REF!</v>
      </c>
      <c r="B1151" s="140" t="s">
        <v>18</v>
      </c>
      <c r="C1151" s="140" t="s">
        <v>37</v>
      </c>
      <c r="D1151" s="140" t="s">
        <v>1515</v>
      </c>
      <c r="E1151" s="140" t="s">
        <v>2153</v>
      </c>
      <c r="F1151" s="140" t="s">
        <v>448</v>
      </c>
      <c r="G1151" s="140" t="s">
        <v>449</v>
      </c>
      <c r="H1151" s="140" t="s">
        <v>3006</v>
      </c>
      <c r="I1151" s="140">
        <v>300</v>
      </c>
      <c r="J1151" s="140">
        <v>75000000</v>
      </c>
      <c r="K1151" s="155" t="s">
        <v>221</v>
      </c>
      <c r="L1151" s="140">
        <v>2768360</v>
      </c>
      <c r="M1151" s="155" t="s">
        <v>180</v>
      </c>
      <c r="N1151" s="10">
        <v>750</v>
      </c>
      <c r="O1151" s="10">
        <v>75000000</v>
      </c>
      <c r="P1151" s="140" t="s">
        <v>2936</v>
      </c>
      <c r="Q1151" t="s">
        <v>3564</v>
      </c>
    </row>
    <row r="1152" spans="1:17" ht="101.5" hidden="1" x14ac:dyDescent="0.35">
      <c r="A1152" s="155" t="e">
        <f t="shared" si="19"/>
        <v>#REF!</v>
      </c>
      <c r="B1152" s="140" t="s">
        <v>18</v>
      </c>
      <c r="C1152" s="140" t="s">
        <v>37</v>
      </c>
      <c r="D1152" s="140" t="s">
        <v>1521</v>
      </c>
      <c r="E1152" s="140" t="s">
        <v>1979</v>
      </c>
      <c r="F1152" s="140" t="s">
        <v>3007</v>
      </c>
      <c r="G1152" s="140" t="s">
        <v>989</v>
      </c>
      <c r="H1152" s="140" t="s">
        <v>3008</v>
      </c>
      <c r="I1152" s="140" t="s">
        <v>3009</v>
      </c>
      <c r="J1152" s="140">
        <v>100000000</v>
      </c>
      <c r="K1152" s="155" t="s">
        <v>221</v>
      </c>
      <c r="L1152" s="140">
        <v>2900380</v>
      </c>
      <c r="M1152" s="155" t="s">
        <v>180</v>
      </c>
      <c r="N1152" s="10">
        <v>375</v>
      </c>
      <c r="O1152" s="10">
        <v>100000000</v>
      </c>
      <c r="P1152" s="140"/>
      <c r="Q1152" t="s">
        <v>3586</v>
      </c>
    </row>
    <row r="1153" spans="1:17" ht="101.5" hidden="1" x14ac:dyDescent="0.35">
      <c r="A1153" s="155" t="e">
        <f t="shared" si="19"/>
        <v>#REF!</v>
      </c>
      <c r="B1153" s="140" t="s">
        <v>18</v>
      </c>
      <c r="C1153" s="140" t="s">
        <v>37</v>
      </c>
      <c r="D1153" s="140" t="s">
        <v>476</v>
      </c>
      <c r="E1153" s="140" t="s">
        <v>1979</v>
      </c>
      <c r="F1153" s="140" t="s">
        <v>3007</v>
      </c>
      <c r="G1153" s="140" t="s">
        <v>989</v>
      </c>
      <c r="H1153" s="140" t="s">
        <v>990</v>
      </c>
      <c r="I1153" s="140" t="s">
        <v>3010</v>
      </c>
      <c r="J1153" s="140">
        <v>70000000</v>
      </c>
      <c r="K1153" s="155" t="s">
        <v>221</v>
      </c>
      <c r="L1153" s="140">
        <v>2900396</v>
      </c>
      <c r="M1153" s="155" t="s">
        <v>180</v>
      </c>
      <c r="N1153" s="10">
        <v>300</v>
      </c>
      <c r="O1153" s="10">
        <v>70000000</v>
      </c>
      <c r="P1153" s="140" t="s">
        <v>1839</v>
      </c>
      <c r="Q1153" t="s">
        <v>3586</v>
      </c>
    </row>
    <row r="1154" spans="1:17" ht="101.5" hidden="1" x14ac:dyDescent="0.35">
      <c r="A1154" s="155" t="e">
        <f t="shared" si="19"/>
        <v>#REF!</v>
      </c>
      <c r="B1154" s="140" t="s">
        <v>18</v>
      </c>
      <c r="C1154" s="140" t="s">
        <v>37</v>
      </c>
      <c r="D1154" s="140" t="s">
        <v>476</v>
      </c>
      <c r="E1154" s="140" t="s">
        <v>1979</v>
      </c>
      <c r="F1154" s="140" t="s">
        <v>3007</v>
      </c>
      <c r="G1154" s="140" t="s">
        <v>989</v>
      </c>
      <c r="H1154" s="140" t="s">
        <v>3011</v>
      </c>
      <c r="I1154" s="140" t="s">
        <v>3009</v>
      </c>
      <c r="J1154" s="140">
        <v>100000000</v>
      </c>
      <c r="K1154" s="155" t="s">
        <v>221</v>
      </c>
      <c r="L1154" s="140">
        <v>2900410</v>
      </c>
      <c r="M1154" s="155" t="s">
        <v>180</v>
      </c>
      <c r="N1154" s="10">
        <v>375</v>
      </c>
      <c r="O1154" s="10">
        <v>100000000</v>
      </c>
      <c r="P1154" s="140" t="s">
        <v>1839</v>
      </c>
      <c r="Q1154" t="s">
        <v>3586</v>
      </c>
    </row>
    <row r="1155" spans="1:17" ht="101.5" hidden="1" x14ac:dyDescent="0.35">
      <c r="A1155" s="155" t="e">
        <f t="shared" si="19"/>
        <v>#REF!</v>
      </c>
      <c r="B1155" s="140" t="s">
        <v>18</v>
      </c>
      <c r="C1155" s="140" t="s">
        <v>37</v>
      </c>
      <c r="D1155" s="140" t="s">
        <v>476</v>
      </c>
      <c r="E1155" s="140" t="s">
        <v>1979</v>
      </c>
      <c r="F1155" s="140" t="s">
        <v>3007</v>
      </c>
      <c r="G1155" s="140" t="s">
        <v>989</v>
      </c>
      <c r="H1155" s="140" t="s">
        <v>3012</v>
      </c>
      <c r="I1155" s="140" t="s">
        <v>3009</v>
      </c>
      <c r="J1155" s="140">
        <v>100000000</v>
      </c>
      <c r="K1155" s="155" t="s">
        <v>221</v>
      </c>
      <c r="L1155" s="140">
        <v>2900427</v>
      </c>
      <c r="M1155" s="155" t="s">
        <v>180</v>
      </c>
      <c r="N1155" s="10">
        <v>375</v>
      </c>
      <c r="O1155" s="10">
        <v>100000000</v>
      </c>
      <c r="P1155" s="140" t="s">
        <v>1839</v>
      </c>
      <c r="Q1155" t="s">
        <v>3586</v>
      </c>
    </row>
    <row r="1156" spans="1:17" ht="101.5" hidden="1" x14ac:dyDescent="0.35">
      <c r="A1156" s="155" t="e">
        <f t="shared" si="19"/>
        <v>#REF!</v>
      </c>
      <c r="B1156" s="140" t="s">
        <v>18</v>
      </c>
      <c r="C1156" s="140" t="s">
        <v>37</v>
      </c>
      <c r="D1156" s="140" t="s">
        <v>1515</v>
      </c>
      <c r="E1156" s="140" t="s">
        <v>1979</v>
      </c>
      <c r="F1156" s="140" t="s">
        <v>3007</v>
      </c>
      <c r="G1156" s="140" t="s">
        <v>989</v>
      </c>
      <c r="H1156" s="140" t="s">
        <v>3013</v>
      </c>
      <c r="I1156" s="140" t="s">
        <v>3009</v>
      </c>
      <c r="J1156" s="140">
        <v>100000000</v>
      </c>
      <c r="K1156" s="155" t="s">
        <v>221</v>
      </c>
      <c r="L1156" s="140">
        <v>2900434</v>
      </c>
      <c r="M1156" s="155" t="s">
        <v>180</v>
      </c>
      <c r="N1156" s="10">
        <v>375</v>
      </c>
      <c r="O1156" s="10">
        <v>100000000</v>
      </c>
      <c r="P1156" s="140" t="s">
        <v>992</v>
      </c>
      <c r="Q1156" t="s">
        <v>3564</v>
      </c>
    </row>
    <row r="1157" spans="1:17" ht="101.5" hidden="1" x14ac:dyDescent="0.35">
      <c r="A1157" s="155" t="e">
        <f t="shared" si="19"/>
        <v>#REF!</v>
      </c>
      <c r="B1157" s="140" t="s">
        <v>18</v>
      </c>
      <c r="C1157" s="140" t="s">
        <v>37</v>
      </c>
      <c r="D1157" s="140" t="s">
        <v>476</v>
      </c>
      <c r="E1157" s="140" t="s">
        <v>1979</v>
      </c>
      <c r="F1157" s="140" t="s">
        <v>3007</v>
      </c>
      <c r="G1157" s="140" t="s">
        <v>989</v>
      </c>
      <c r="H1157" s="140" t="s">
        <v>3014</v>
      </c>
      <c r="I1157" s="140" t="s">
        <v>3009</v>
      </c>
      <c r="J1157" s="140">
        <v>100000000</v>
      </c>
      <c r="K1157" s="155" t="s">
        <v>221</v>
      </c>
      <c r="L1157" s="140">
        <v>2900441</v>
      </c>
      <c r="M1157" s="155" t="s">
        <v>180</v>
      </c>
      <c r="N1157" s="10">
        <v>375</v>
      </c>
      <c r="O1157" s="10">
        <v>100000000</v>
      </c>
      <c r="P1157" s="140" t="s">
        <v>1839</v>
      </c>
      <c r="Q1157" t="s">
        <v>3586</v>
      </c>
    </row>
    <row r="1158" spans="1:17" ht="101.5" hidden="1" x14ac:dyDescent="0.35">
      <c r="A1158" s="155" t="e">
        <f t="shared" si="19"/>
        <v>#REF!</v>
      </c>
      <c r="B1158" s="140" t="s">
        <v>18</v>
      </c>
      <c r="C1158" s="140" t="s">
        <v>37</v>
      </c>
      <c r="D1158" s="140" t="s">
        <v>1515</v>
      </c>
      <c r="E1158" s="140" t="s">
        <v>1979</v>
      </c>
      <c r="F1158" s="140" t="s">
        <v>3007</v>
      </c>
      <c r="G1158" s="140" t="s">
        <v>989</v>
      </c>
      <c r="H1158" s="140" t="s">
        <v>3015</v>
      </c>
      <c r="I1158" s="140" t="s">
        <v>3009</v>
      </c>
      <c r="J1158" s="140">
        <v>100000000</v>
      </c>
      <c r="K1158" s="155" t="s">
        <v>221</v>
      </c>
      <c r="L1158" s="140">
        <v>2900445</v>
      </c>
      <c r="M1158" s="155" t="s">
        <v>180</v>
      </c>
      <c r="N1158" s="10">
        <v>375</v>
      </c>
      <c r="O1158" s="10">
        <v>100000000</v>
      </c>
      <c r="P1158" s="140" t="s">
        <v>992</v>
      </c>
      <c r="Q1158" t="s">
        <v>3564</v>
      </c>
    </row>
    <row r="1159" spans="1:17" ht="101.5" hidden="1" x14ac:dyDescent="0.35">
      <c r="A1159" s="155" t="e">
        <f t="shared" si="19"/>
        <v>#REF!</v>
      </c>
      <c r="B1159" s="140" t="s">
        <v>18</v>
      </c>
      <c r="C1159" s="140" t="s">
        <v>37</v>
      </c>
      <c r="D1159" s="140" t="s">
        <v>476</v>
      </c>
      <c r="E1159" s="140" t="s">
        <v>1979</v>
      </c>
      <c r="F1159" s="140" t="s">
        <v>3007</v>
      </c>
      <c r="G1159" s="140" t="s">
        <v>989</v>
      </c>
      <c r="H1159" s="140" t="s">
        <v>3016</v>
      </c>
      <c r="I1159" s="140" t="s">
        <v>3009</v>
      </c>
      <c r="J1159" s="140">
        <v>100000000</v>
      </c>
      <c r="K1159" s="155" t="s">
        <v>221</v>
      </c>
      <c r="L1159" s="140">
        <v>2900454</v>
      </c>
      <c r="M1159" s="155" t="s">
        <v>180</v>
      </c>
      <c r="N1159" s="10">
        <v>375</v>
      </c>
      <c r="O1159" s="10">
        <v>100000000</v>
      </c>
      <c r="P1159" s="140" t="s">
        <v>1839</v>
      </c>
      <c r="Q1159" t="s">
        <v>3586</v>
      </c>
    </row>
    <row r="1160" spans="1:17" ht="101.5" hidden="1" x14ac:dyDescent="0.35">
      <c r="A1160" s="155" t="e">
        <f t="shared" si="19"/>
        <v>#REF!</v>
      </c>
      <c r="B1160" s="140" t="s">
        <v>18</v>
      </c>
      <c r="C1160" s="140" t="s">
        <v>37</v>
      </c>
      <c r="D1160" s="140" t="s">
        <v>1515</v>
      </c>
      <c r="E1160" s="140" t="s">
        <v>1979</v>
      </c>
      <c r="F1160" s="140" t="s">
        <v>3007</v>
      </c>
      <c r="G1160" s="140" t="s">
        <v>989</v>
      </c>
      <c r="H1160" s="140" t="s">
        <v>3017</v>
      </c>
      <c r="I1160" s="140" t="s">
        <v>3018</v>
      </c>
      <c r="J1160" s="140">
        <v>100000000</v>
      </c>
      <c r="K1160" s="155" t="s">
        <v>221</v>
      </c>
      <c r="L1160" s="140">
        <v>2900459</v>
      </c>
      <c r="M1160" s="155" t="s">
        <v>180</v>
      </c>
      <c r="N1160" s="10">
        <v>375</v>
      </c>
      <c r="O1160" s="10">
        <v>100000000</v>
      </c>
      <c r="P1160" s="140" t="s">
        <v>992</v>
      </c>
      <c r="Q1160" t="s">
        <v>3564</v>
      </c>
    </row>
    <row r="1161" spans="1:17" ht="101.5" hidden="1" x14ac:dyDescent="0.35">
      <c r="A1161" s="155" t="e">
        <f t="shared" si="19"/>
        <v>#REF!</v>
      </c>
      <c r="B1161" s="140" t="s">
        <v>18</v>
      </c>
      <c r="C1161" s="140" t="s">
        <v>37</v>
      </c>
      <c r="D1161" s="140" t="s">
        <v>1515</v>
      </c>
      <c r="E1161" s="140" t="s">
        <v>1979</v>
      </c>
      <c r="F1161" s="140" t="s">
        <v>3007</v>
      </c>
      <c r="G1161" s="140" t="s">
        <v>989</v>
      </c>
      <c r="H1161" s="140" t="s">
        <v>3019</v>
      </c>
      <c r="I1161" s="140" t="s">
        <v>3020</v>
      </c>
      <c r="J1161" s="140"/>
      <c r="K1161" s="155" t="s">
        <v>221</v>
      </c>
      <c r="L1161" s="140">
        <v>2900463</v>
      </c>
      <c r="M1161" s="155" t="s">
        <v>180</v>
      </c>
      <c r="N1161" s="10">
        <v>150</v>
      </c>
      <c r="O1161" s="10">
        <v>100000000</v>
      </c>
      <c r="P1161" s="140" t="s">
        <v>992</v>
      </c>
      <c r="Q1161" t="s">
        <v>3564</v>
      </c>
    </row>
    <row r="1162" spans="1:17" ht="101.5" hidden="1" x14ac:dyDescent="0.35">
      <c r="A1162" s="155" t="e">
        <f t="shared" si="19"/>
        <v>#REF!</v>
      </c>
      <c r="B1162" s="140" t="s">
        <v>18</v>
      </c>
      <c r="C1162" s="140" t="s">
        <v>37</v>
      </c>
      <c r="D1162" s="140" t="s">
        <v>476</v>
      </c>
      <c r="E1162" s="140" t="s">
        <v>1979</v>
      </c>
      <c r="F1162" s="140" t="s">
        <v>3007</v>
      </c>
      <c r="G1162" s="140" t="s">
        <v>989</v>
      </c>
      <c r="H1162" s="140" t="s">
        <v>3021</v>
      </c>
      <c r="I1162" s="140" t="s">
        <v>3022</v>
      </c>
      <c r="J1162" s="140">
        <v>100000000</v>
      </c>
      <c r="K1162" s="155" t="s">
        <v>221</v>
      </c>
      <c r="L1162" s="140">
        <v>2901600</v>
      </c>
      <c r="M1162" s="155" t="s">
        <v>180</v>
      </c>
      <c r="N1162" s="10">
        <v>861</v>
      </c>
      <c r="O1162" s="10">
        <v>100000000</v>
      </c>
      <c r="P1162" s="140" t="s">
        <v>1839</v>
      </c>
      <c r="Q1162" t="s">
        <v>3586</v>
      </c>
    </row>
    <row r="1163" spans="1:17" ht="101.5" hidden="1" x14ac:dyDescent="0.35">
      <c r="A1163" s="155" t="e">
        <f t="shared" si="19"/>
        <v>#REF!</v>
      </c>
      <c r="B1163" s="140" t="s">
        <v>18</v>
      </c>
      <c r="C1163" s="140" t="s">
        <v>37</v>
      </c>
      <c r="D1163" s="140" t="s">
        <v>1515</v>
      </c>
      <c r="E1163" s="140" t="s">
        <v>1979</v>
      </c>
      <c r="F1163" s="140" t="s">
        <v>451</v>
      </c>
      <c r="G1163" s="140" t="s">
        <v>452</v>
      </c>
      <c r="H1163" s="140" t="s">
        <v>3023</v>
      </c>
      <c r="I1163" s="140" t="s">
        <v>3024</v>
      </c>
      <c r="J1163" s="140">
        <v>100000000</v>
      </c>
      <c r="K1163" s="155" t="s">
        <v>221</v>
      </c>
      <c r="L1163" s="140">
        <v>2959549</v>
      </c>
      <c r="M1163" s="155" t="s">
        <v>180</v>
      </c>
      <c r="N1163" s="10">
        <v>600</v>
      </c>
      <c r="O1163" s="10">
        <v>100000000</v>
      </c>
      <c r="P1163" s="140" t="s">
        <v>3025</v>
      </c>
      <c r="Q1163" t="s">
        <v>3564</v>
      </c>
    </row>
    <row r="1164" spans="1:17" ht="101.5" hidden="1" x14ac:dyDescent="0.35">
      <c r="A1164" s="155" t="e">
        <f t="shared" si="19"/>
        <v>#REF!</v>
      </c>
      <c r="B1164" s="140" t="s">
        <v>18</v>
      </c>
      <c r="C1164" s="140" t="s">
        <v>37</v>
      </c>
      <c r="D1164" s="140" t="s">
        <v>1515</v>
      </c>
      <c r="E1164" s="140" t="s">
        <v>1979</v>
      </c>
      <c r="F1164" s="140" t="s">
        <v>451</v>
      </c>
      <c r="G1164" s="140" t="s">
        <v>452</v>
      </c>
      <c r="H1164" s="140" t="s">
        <v>3026</v>
      </c>
      <c r="I1164" s="140" t="s">
        <v>3027</v>
      </c>
      <c r="J1164" s="140">
        <v>100000000</v>
      </c>
      <c r="K1164" s="155" t="s">
        <v>221</v>
      </c>
      <c r="L1164" s="140">
        <v>2959371</v>
      </c>
      <c r="M1164" s="155" t="s">
        <v>180</v>
      </c>
      <c r="N1164" s="10">
        <v>600</v>
      </c>
      <c r="O1164" s="10">
        <v>100000000</v>
      </c>
      <c r="P1164" s="140" t="s">
        <v>3025</v>
      </c>
      <c r="Q1164" t="s">
        <v>3564</v>
      </c>
    </row>
    <row r="1165" spans="1:17" ht="43.5" hidden="1" x14ac:dyDescent="0.35">
      <c r="A1165" s="155" t="e">
        <f t="shared" si="19"/>
        <v>#REF!</v>
      </c>
      <c r="B1165" s="140" t="s">
        <v>18</v>
      </c>
      <c r="C1165" s="140" t="s">
        <v>37</v>
      </c>
      <c r="D1165" s="140" t="s">
        <v>1521</v>
      </c>
      <c r="E1165" s="140" t="s">
        <v>2625</v>
      </c>
      <c r="F1165" s="140" t="s">
        <v>451</v>
      </c>
      <c r="G1165" s="140" t="s">
        <v>452</v>
      </c>
      <c r="H1165" s="140" t="s">
        <v>3028</v>
      </c>
      <c r="I1165" s="140" t="s">
        <v>3029</v>
      </c>
      <c r="J1165" s="140">
        <v>100000000</v>
      </c>
      <c r="K1165" s="155" t="s">
        <v>221</v>
      </c>
      <c r="L1165" s="140">
        <v>2960136</v>
      </c>
      <c r="M1165" s="155" t="s">
        <v>180</v>
      </c>
      <c r="N1165" s="10"/>
      <c r="O1165" s="10">
        <v>100000000</v>
      </c>
      <c r="P1165" s="140" t="s">
        <v>3030</v>
      </c>
      <c r="Q1165" t="s">
        <v>3586</v>
      </c>
    </row>
    <row r="1166" spans="1:17" ht="101.5" hidden="1" x14ac:dyDescent="0.35">
      <c r="A1166" s="155" t="e">
        <f t="shared" si="19"/>
        <v>#REF!</v>
      </c>
      <c r="B1166" s="140" t="s">
        <v>18</v>
      </c>
      <c r="C1166" s="140" t="s">
        <v>37</v>
      </c>
      <c r="D1166" s="140" t="s">
        <v>1515</v>
      </c>
      <c r="E1166" s="140" t="s">
        <v>1979</v>
      </c>
      <c r="F1166" s="140" t="s">
        <v>451</v>
      </c>
      <c r="G1166" s="140" t="s">
        <v>452</v>
      </c>
      <c r="H1166" s="140" t="s">
        <v>3031</v>
      </c>
      <c r="I1166" s="140" t="s">
        <v>3032</v>
      </c>
      <c r="J1166" s="140">
        <v>50000000</v>
      </c>
      <c r="K1166" s="155" t="s">
        <v>221</v>
      </c>
      <c r="L1166" s="140">
        <v>2959627</v>
      </c>
      <c r="M1166" s="155" t="s">
        <v>180</v>
      </c>
      <c r="N1166" s="10">
        <v>300</v>
      </c>
      <c r="O1166" s="10">
        <v>100000000</v>
      </c>
      <c r="P1166" s="140" t="s">
        <v>3025</v>
      </c>
      <c r="Q1166" t="s">
        <v>3564</v>
      </c>
    </row>
    <row r="1167" spans="1:17" ht="43.5" hidden="1" x14ac:dyDescent="0.35">
      <c r="A1167" s="155" t="e">
        <f t="shared" si="19"/>
        <v>#REF!</v>
      </c>
      <c r="B1167" s="140" t="s">
        <v>18</v>
      </c>
      <c r="C1167" s="140" t="s">
        <v>37</v>
      </c>
      <c r="D1167" s="140" t="s">
        <v>1521</v>
      </c>
      <c r="E1167" s="140" t="s">
        <v>2625</v>
      </c>
      <c r="F1167" s="140" t="s">
        <v>451</v>
      </c>
      <c r="G1167" s="140" t="s">
        <v>452</v>
      </c>
      <c r="H1167" s="140" t="s">
        <v>3033</v>
      </c>
      <c r="I1167" s="140" t="s">
        <v>3034</v>
      </c>
      <c r="J1167" s="140">
        <v>100000000</v>
      </c>
      <c r="K1167" s="155" t="s">
        <v>221</v>
      </c>
      <c r="L1167" s="140">
        <v>2961307</v>
      </c>
      <c r="M1167" s="155" t="s">
        <v>180</v>
      </c>
      <c r="N1167" s="10"/>
      <c r="O1167" s="10">
        <v>100000000</v>
      </c>
      <c r="P1167" s="140" t="s">
        <v>3030</v>
      </c>
      <c r="Q1167" t="s">
        <v>3586</v>
      </c>
    </row>
    <row r="1168" spans="1:17" ht="101.5" hidden="1" x14ac:dyDescent="0.35">
      <c r="A1168" s="155" t="e">
        <f t="shared" si="19"/>
        <v>#REF!</v>
      </c>
      <c r="B1168" s="140" t="s">
        <v>18</v>
      </c>
      <c r="C1168" s="140" t="s">
        <v>37</v>
      </c>
      <c r="D1168" s="140" t="s">
        <v>1515</v>
      </c>
      <c r="E1168" s="140" t="s">
        <v>1979</v>
      </c>
      <c r="F1168" s="140" t="s">
        <v>451</v>
      </c>
      <c r="G1168" s="140" t="s">
        <v>452</v>
      </c>
      <c r="H1168" s="140" t="s">
        <v>1459</v>
      </c>
      <c r="I1168" s="140" t="s">
        <v>3032</v>
      </c>
      <c r="J1168" s="140">
        <v>70000000</v>
      </c>
      <c r="K1168" s="155" t="s">
        <v>221</v>
      </c>
      <c r="L1168" s="140">
        <v>2961617</v>
      </c>
      <c r="M1168" s="155" t="s">
        <v>180</v>
      </c>
      <c r="N1168" s="10">
        <v>100</v>
      </c>
      <c r="O1168" s="10">
        <v>80750000</v>
      </c>
      <c r="P1168" s="140" t="s">
        <v>3035</v>
      </c>
      <c r="Q1168" t="s">
        <v>3564</v>
      </c>
    </row>
    <row r="1169" spans="1:17" ht="101.5" hidden="1" x14ac:dyDescent="0.35">
      <c r="A1169" s="155" t="e">
        <f>#REF!+1</f>
        <v>#REF!</v>
      </c>
      <c r="B1169" s="140" t="s">
        <v>18</v>
      </c>
      <c r="C1169" s="140" t="s">
        <v>37</v>
      </c>
      <c r="D1169" s="140" t="s">
        <v>1515</v>
      </c>
      <c r="E1169" s="140" t="s">
        <v>1979</v>
      </c>
      <c r="F1169" s="140" t="s">
        <v>451</v>
      </c>
      <c r="G1169" s="140" t="s">
        <v>452</v>
      </c>
      <c r="H1169" s="140" t="s">
        <v>3036</v>
      </c>
      <c r="I1169" s="140" t="s">
        <v>3027</v>
      </c>
      <c r="J1169" s="140">
        <v>100000000</v>
      </c>
      <c r="K1169" s="155" t="s">
        <v>221</v>
      </c>
      <c r="L1169" s="140">
        <v>2960309</v>
      </c>
      <c r="M1169" s="155" t="s">
        <v>180</v>
      </c>
      <c r="N1169" s="10">
        <v>600</v>
      </c>
      <c r="O1169" s="10">
        <v>100000000</v>
      </c>
      <c r="P1169" s="140" t="s">
        <v>3037</v>
      </c>
      <c r="Q1169" t="s">
        <v>3564</v>
      </c>
    </row>
    <row r="1170" spans="1:17" ht="43.5" hidden="1" x14ac:dyDescent="0.35">
      <c r="A1170" s="155" t="e">
        <f t="shared" si="19"/>
        <v>#REF!</v>
      </c>
      <c r="B1170" s="140" t="s">
        <v>18</v>
      </c>
      <c r="C1170" s="140" t="s">
        <v>37</v>
      </c>
      <c r="D1170" s="140" t="s">
        <v>476</v>
      </c>
      <c r="E1170" s="140" t="s">
        <v>2394</v>
      </c>
      <c r="F1170" s="140" t="s">
        <v>451</v>
      </c>
      <c r="G1170" s="140" t="s">
        <v>452</v>
      </c>
      <c r="H1170" s="140" t="s">
        <v>3038</v>
      </c>
      <c r="I1170" s="140" t="s">
        <v>3027</v>
      </c>
      <c r="J1170" s="140">
        <v>100000000</v>
      </c>
      <c r="K1170" s="155" t="s">
        <v>221</v>
      </c>
      <c r="L1170" s="140">
        <v>2757834</v>
      </c>
      <c r="M1170" s="155" t="s">
        <v>180</v>
      </c>
      <c r="N1170" s="10">
        <v>4.2</v>
      </c>
      <c r="O1170" s="10">
        <v>100000000</v>
      </c>
      <c r="P1170" s="140" t="s">
        <v>1839</v>
      </c>
      <c r="Q1170" t="s">
        <v>3586</v>
      </c>
    </row>
    <row r="1171" spans="1:17" ht="101.5" hidden="1" x14ac:dyDescent="0.35">
      <c r="A1171" s="155" t="e">
        <f t="shared" si="19"/>
        <v>#REF!</v>
      </c>
      <c r="B1171" s="140" t="s">
        <v>18</v>
      </c>
      <c r="C1171" s="140" t="s">
        <v>37</v>
      </c>
      <c r="D1171" s="140" t="s">
        <v>1515</v>
      </c>
      <c r="E1171" s="140" t="s">
        <v>1979</v>
      </c>
      <c r="F1171" s="140" t="s">
        <v>451</v>
      </c>
      <c r="G1171" s="140" t="s">
        <v>452</v>
      </c>
      <c r="H1171" s="140" t="s">
        <v>3039</v>
      </c>
      <c r="I1171" s="140" t="s">
        <v>3027</v>
      </c>
      <c r="J1171" s="140">
        <v>100000000</v>
      </c>
      <c r="K1171" s="155" t="s">
        <v>221</v>
      </c>
      <c r="L1171" s="140">
        <v>2960309</v>
      </c>
      <c r="M1171" s="155" t="s">
        <v>180</v>
      </c>
      <c r="N1171" s="10">
        <v>600</v>
      </c>
      <c r="O1171" s="10">
        <v>100000000</v>
      </c>
      <c r="P1171" s="140" t="s">
        <v>3037</v>
      </c>
      <c r="Q1171" t="s">
        <v>3564</v>
      </c>
    </row>
    <row r="1172" spans="1:17" ht="101.5" hidden="1" x14ac:dyDescent="0.35">
      <c r="A1172" s="155" t="e">
        <f t="shared" si="19"/>
        <v>#REF!</v>
      </c>
      <c r="B1172" s="140" t="s">
        <v>18</v>
      </c>
      <c r="C1172" s="140" t="s">
        <v>37</v>
      </c>
      <c r="D1172" s="140" t="s">
        <v>1515</v>
      </c>
      <c r="E1172" s="140" t="s">
        <v>1979</v>
      </c>
      <c r="F1172" s="140" t="s">
        <v>451</v>
      </c>
      <c r="G1172" s="140" t="s">
        <v>452</v>
      </c>
      <c r="H1172" s="140" t="s">
        <v>3040</v>
      </c>
      <c r="I1172" s="140" t="s">
        <v>3041</v>
      </c>
      <c r="J1172" s="140">
        <v>100000000</v>
      </c>
      <c r="K1172" s="155" t="s">
        <v>221</v>
      </c>
      <c r="L1172" s="140">
        <v>2960371</v>
      </c>
      <c r="M1172" s="155" t="s">
        <v>180</v>
      </c>
      <c r="N1172" s="10">
        <v>600</v>
      </c>
      <c r="O1172" s="10">
        <v>100000000</v>
      </c>
      <c r="P1172" s="140" t="s">
        <v>3037</v>
      </c>
      <c r="Q1172" t="s">
        <v>3564</v>
      </c>
    </row>
    <row r="1173" spans="1:17" ht="29" hidden="1" x14ac:dyDescent="0.35">
      <c r="A1173" s="155" t="e">
        <f t="shared" si="19"/>
        <v>#REF!</v>
      </c>
      <c r="B1173" s="140" t="s">
        <v>576</v>
      </c>
      <c r="C1173" s="140" t="s">
        <v>3042</v>
      </c>
      <c r="D1173" s="140" t="s">
        <v>1515</v>
      </c>
      <c r="E1173" s="140" t="s">
        <v>992</v>
      </c>
      <c r="F1173" s="140" t="s">
        <v>3043</v>
      </c>
      <c r="G1173" s="155" t="s">
        <v>469</v>
      </c>
      <c r="H1173" s="155" t="s">
        <v>3044</v>
      </c>
      <c r="I1173" s="155">
        <v>450</v>
      </c>
      <c r="J1173" s="269">
        <v>100000000</v>
      </c>
      <c r="K1173" s="155" t="s">
        <v>221</v>
      </c>
      <c r="L1173" s="155" t="s">
        <v>62</v>
      </c>
      <c r="M1173" s="155" t="s">
        <v>55</v>
      </c>
      <c r="N1173" s="155">
        <v>450</v>
      </c>
      <c r="O1173" s="17">
        <v>114300000</v>
      </c>
      <c r="P1173" s="305" t="s">
        <v>995</v>
      </c>
      <c r="Q1173" t="s">
        <v>3564</v>
      </c>
    </row>
    <row r="1174" spans="1:17" ht="43.5" hidden="1" x14ac:dyDescent="0.35">
      <c r="A1174" s="155" t="e">
        <f t="shared" si="19"/>
        <v>#REF!</v>
      </c>
      <c r="B1174" s="140" t="s">
        <v>18</v>
      </c>
      <c r="C1174" s="140" t="s">
        <v>37</v>
      </c>
      <c r="D1174" s="140" t="s">
        <v>1515</v>
      </c>
      <c r="E1174" s="140" t="s">
        <v>992</v>
      </c>
      <c r="F1174" s="140" t="s">
        <v>3045</v>
      </c>
      <c r="G1174" s="155" t="s">
        <v>1003</v>
      </c>
      <c r="H1174" s="155" t="s">
        <v>3046</v>
      </c>
      <c r="I1174" s="155" t="s">
        <v>1213</v>
      </c>
      <c r="J1174" s="269">
        <v>100000000</v>
      </c>
      <c r="K1174" s="155" t="s">
        <v>221</v>
      </c>
      <c r="L1174" s="155">
        <v>2951281</v>
      </c>
      <c r="M1174" s="155" t="s">
        <v>55</v>
      </c>
      <c r="N1174" s="155">
        <v>450</v>
      </c>
      <c r="O1174" s="13">
        <v>114300000</v>
      </c>
      <c r="P1174" s="305"/>
      <c r="Q1174" t="s">
        <v>3564</v>
      </c>
    </row>
    <row r="1175" spans="1:17" ht="43.5" hidden="1" x14ac:dyDescent="0.35">
      <c r="A1175" s="155" t="e">
        <f t="shared" si="19"/>
        <v>#REF!</v>
      </c>
      <c r="B1175" s="140" t="s">
        <v>18</v>
      </c>
      <c r="C1175" s="140" t="s">
        <v>37</v>
      </c>
      <c r="D1175" s="140" t="s">
        <v>1515</v>
      </c>
      <c r="E1175" s="140" t="s">
        <v>992</v>
      </c>
      <c r="F1175" s="140" t="s">
        <v>3047</v>
      </c>
      <c r="G1175" s="155" t="s">
        <v>1003</v>
      </c>
      <c r="H1175" s="155" t="s">
        <v>3048</v>
      </c>
      <c r="I1175" s="155" t="s">
        <v>1213</v>
      </c>
      <c r="J1175" s="269">
        <v>100000000</v>
      </c>
      <c r="K1175" s="155" t="s">
        <v>221</v>
      </c>
      <c r="L1175" s="155">
        <v>2951498</v>
      </c>
      <c r="M1175" s="155" t="s">
        <v>55</v>
      </c>
      <c r="N1175" s="155">
        <v>450</v>
      </c>
      <c r="O1175" s="13">
        <v>114300000</v>
      </c>
      <c r="P1175" s="305"/>
      <c r="Q1175" t="s">
        <v>3564</v>
      </c>
    </row>
    <row r="1176" spans="1:17" ht="43.5" hidden="1" x14ac:dyDescent="0.35">
      <c r="A1176" s="155" t="e">
        <f t="shared" si="19"/>
        <v>#REF!</v>
      </c>
      <c r="B1176" s="140" t="s">
        <v>18</v>
      </c>
      <c r="C1176" s="140" t="s">
        <v>37</v>
      </c>
      <c r="D1176" s="140" t="s">
        <v>1515</v>
      </c>
      <c r="E1176" s="140" t="s">
        <v>992</v>
      </c>
      <c r="F1176" s="140" t="s">
        <v>3049</v>
      </c>
      <c r="G1176" s="155" t="s">
        <v>1003</v>
      </c>
      <c r="H1176" s="155" t="s">
        <v>3050</v>
      </c>
      <c r="I1176" s="155" t="s">
        <v>1213</v>
      </c>
      <c r="J1176" s="269">
        <v>100000000</v>
      </c>
      <c r="K1176" s="155" t="s">
        <v>221</v>
      </c>
      <c r="L1176" s="155">
        <v>2951205</v>
      </c>
      <c r="M1176" s="155" t="s">
        <v>55</v>
      </c>
      <c r="N1176" s="155">
        <v>450</v>
      </c>
      <c r="O1176" s="13">
        <v>114300000</v>
      </c>
      <c r="P1176" s="311">
        <v>1.5</v>
      </c>
      <c r="Q1176" t="s">
        <v>3564</v>
      </c>
    </row>
    <row r="1177" spans="1:17" ht="43.5" hidden="1" x14ac:dyDescent="0.35">
      <c r="A1177" s="155" t="e">
        <f>#REF!+1</f>
        <v>#REF!</v>
      </c>
      <c r="B1177" s="140" t="s">
        <v>18</v>
      </c>
      <c r="C1177" s="140" t="s">
        <v>37</v>
      </c>
      <c r="D1177" s="140" t="s">
        <v>1515</v>
      </c>
      <c r="E1177" s="140" t="s">
        <v>992</v>
      </c>
      <c r="F1177" s="140" t="s">
        <v>3051</v>
      </c>
      <c r="G1177" s="155" t="s">
        <v>1003</v>
      </c>
      <c r="H1177" s="155" t="s">
        <v>3052</v>
      </c>
      <c r="I1177" s="155" t="s">
        <v>1213</v>
      </c>
      <c r="J1177" s="269">
        <v>100000000</v>
      </c>
      <c r="K1177" s="155" t="s">
        <v>221</v>
      </c>
      <c r="L1177" s="155">
        <v>2951379</v>
      </c>
      <c r="M1177" s="155" t="s">
        <v>55</v>
      </c>
      <c r="N1177" s="155">
        <v>450</v>
      </c>
      <c r="O1177" s="13">
        <v>114300000</v>
      </c>
      <c r="P1177" s="305"/>
      <c r="Q1177" t="s">
        <v>3564</v>
      </c>
    </row>
    <row r="1178" spans="1:17" ht="43.5" hidden="1" x14ac:dyDescent="0.35">
      <c r="A1178" s="155" t="e">
        <f t="shared" si="19"/>
        <v>#REF!</v>
      </c>
      <c r="B1178" s="140" t="s">
        <v>18</v>
      </c>
      <c r="C1178" s="140" t="s">
        <v>37</v>
      </c>
      <c r="D1178" s="140" t="s">
        <v>1515</v>
      </c>
      <c r="E1178" s="140" t="s">
        <v>992</v>
      </c>
      <c r="F1178" s="140" t="s">
        <v>3053</v>
      </c>
      <c r="G1178" s="155" t="s">
        <v>1003</v>
      </c>
      <c r="H1178" s="155" t="s">
        <v>3054</v>
      </c>
      <c r="I1178" s="155" t="s">
        <v>1272</v>
      </c>
      <c r="J1178" s="269">
        <v>100000000</v>
      </c>
      <c r="K1178" s="155" t="s">
        <v>221</v>
      </c>
      <c r="L1178" s="155">
        <v>2951085</v>
      </c>
      <c r="M1178" s="155" t="s">
        <v>55</v>
      </c>
      <c r="N1178" s="155">
        <v>450</v>
      </c>
      <c r="O1178" s="13">
        <v>114300000</v>
      </c>
      <c r="P1178" s="305"/>
      <c r="Q1178" t="s">
        <v>3564</v>
      </c>
    </row>
    <row r="1179" spans="1:17" ht="43.5" hidden="1" x14ac:dyDescent="0.35">
      <c r="A1179" s="155" t="e">
        <f t="shared" si="19"/>
        <v>#REF!</v>
      </c>
      <c r="B1179" s="140" t="s">
        <v>18</v>
      </c>
      <c r="C1179" s="140" t="s">
        <v>37</v>
      </c>
      <c r="D1179" s="277" t="s">
        <v>1570</v>
      </c>
      <c r="E1179" s="140" t="s">
        <v>2327</v>
      </c>
      <c r="F1179" s="140" t="s">
        <v>3055</v>
      </c>
      <c r="G1179" s="155" t="s">
        <v>1003</v>
      </c>
      <c r="H1179" s="155" t="s">
        <v>3056</v>
      </c>
      <c r="I1179" s="155" t="s">
        <v>1213</v>
      </c>
      <c r="J1179" s="269">
        <v>100000000</v>
      </c>
      <c r="K1179" s="155" t="s">
        <v>221</v>
      </c>
      <c r="L1179" s="155">
        <v>2951700</v>
      </c>
      <c r="M1179" s="155" t="s">
        <v>55</v>
      </c>
      <c r="N1179" s="155">
        <v>40</v>
      </c>
      <c r="O1179" s="13">
        <v>111280000</v>
      </c>
      <c r="P1179" s="305"/>
      <c r="Q1179" t="s">
        <v>3586</v>
      </c>
    </row>
    <row r="1180" spans="1:17" ht="43.5" hidden="1" x14ac:dyDescent="0.35">
      <c r="A1180" s="155" t="e">
        <f t="shared" si="19"/>
        <v>#REF!</v>
      </c>
      <c r="B1180" s="140" t="s">
        <v>18</v>
      </c>
      <c r="C1180" s="140" t="s">
        <v>37</v>
      </c>
      <c r="D1180" s="140" t="s">
        <v>1515</v>
      </c>
      <c r="E1180" s="140" t="s">
        <v>992</v>
      </c>
      <c r="F1180" s="140" t="s">
        <v>3057</v>
      </c>
      <c r="G1180" s="155" t="s">
        <v>1003</v>
      </c>
      <c r="H1180" s="155" t="s">
        <v>3058</v>
      </c>
      <c r="I1180" s="155" t="s">
        <v>1213</v>
      </c>
      <c r="J1180" s="269">
        <v>100000000</v>
      </c>
      <c r="K1180" s="155" t="s">
        <v>221</v>
      </c>
      <c r="L1180" s="155">
        <v>2951459</v>
      </c>
      <c r="M1180" s="155" t="s">
        <v>55</v>
      </c>
      <c r="N1180" s="155">
        <v>450</v>
      </c>
      <c r="O1180" s="13">
        <v>114300000</v>
      </c>
      <c r="P1180" s="305"/>
      <c r="Q1180" t="s">
        <v>3564</v>
      </c>
    </row>
    <row r="1181" spans="1:17" ht="43.5" hidden="1" x14ac:dyDescent="0.35">
      <c r="A1181" s="155" t="e">
        <f t="shared" si="19"/>
        <v>#REF!</v>
      </c>
      <c r="B1181" s="140" t="s">
        <v>18</v>
      </c>
      <c r="C1181" s="140" t="s">
        <v>37</v>
      </c>
      <c r="D1181" s="140" t="s">
        <v>1515</v>
      </c>
      <c r="E1181" s="140" t="s">
        <v>992</v>
      </c>
      <c r="F1181" s="140" t="s">
        <v>3059</v>
      </c>
      <c r="G1181" s="155" t="s">
        <v>1003</v>
      </c>
      <c r="H1181" s="155" t="s">
        <v>3060</v>
      </c>
      <c r="I1181" s="155" t="s">
        <v>1272</v>
      </c>
      <c r="J1181" s="269">
        <v>100000000</v>
      </c>
      <c r="K1181" s="155" t="s">
        <v>221</v>
      </c>
      <c r="L1181" s="155">
        <v>2951435</v>
      </c>
      <c r="M1181" s="155" t="s">
        <v>55</v>
      </c>
      <c r="N1181" s="155">
        <v>450</v>
      </c>
      <c r="O1181" s="13">
        <v>114300000</v>
      </c>
      <c r="P1181" s="305"/>
      <c r="Q1181" t="s">
        <v>3564</v>
      </c>
    </row>
    <row r="1182" spans="1:17" ht="43.5" hidden="1" x14ac:dyDescent="0.35">
      <c r="A1182" s="155" t="e">
        <f t="shared" si="19"/>
        <v>#REF!</v>
      </c>
      <c r="B1182" s="140" t="s">
        <v>18</v>
      </c>
      <c r="C1182" s="140" t="s">
        <v>37</v>
      </c>
      <c r="D1182" s="140" t="s">
        <v>1515</v>
      </c>
      <c r="E1182" s="140" t="s">
        <v>992</v>
      </c>
      <c r="F1182" s="140" t="s">
        <v>3061</v>
      </c>
      <c r="G1182" s="155" t="s">
        <v>469</v>
      </c>
      <c r="H1182" s="155" t="s">
        <v>3062</v>
      </c>
      <c r="I1182" s="155">
        <v>450</v>
      </c>
      <c r="J1182" s="269">
        <v>100000000</v>
      </c>
      <c r="K1182" s="155" t="s">
        <v>221</v>
      </c>
      <c r="L1182" s="155">
        <v>2968863</v>
      </c>
      <c r="M1182" s="155" t="s">
        <v>55</v>
      </c>
      <c r="N1182" s="155">
        <v>450</v>
      </c>
      <c r="O1182" s="13">
        <v>114300000</v>
      </c>
      <c r="P1182" s="312">
        <v>5.35</v>
      </c>
      <c r="Q1182" t="s">
        <v>3564</v>
      </c>
    </row>
    <row r="1183" spans="1:17" ht="43.5" hidden="1" x14ac:dyDescent="0.35">
      <c r="A1183" s="155" t="e">
        <f t="shared" si="19"/>
        <v>#REF!</v>
      </c>
      <c r="B1183" s="140" t="s">
        <v>18</v>
      </c>
      <c r="C1183" s="140" t="s">
        <v>37</v>
      </c>
      <c r="D1183" s="140" t="s">
        <v>1515</v>
      </c>
      <c r="E1183" s="140" t="s">
        <v>992</v>
      </c>
      <c r="F1183" s="140" t="s">
        <v>3063</v>
      </c>
      <c r="G1183" s="155" t="s">
        <v>469</v>
      </c>
      <c r="H1183" s="155" t="s">
        <v>3064</v>
      </c>
      <c r="I1183" s="155">
        <v>450</v>
      </c>
      <c r="J1183" s="269">
        <v>100000000</v>
      </c>
      <c r="K1183" s="155" t="s">
        <v>221</v>
      </c>
      <c r="L1183" s="155">
        <v>2969006</v>
      </c>
      <c r="M1183" s="155" t="s">
        <v>55</v>
      </c>
      <c r="N1183" s="155">
        <v>450</v>
      </c>
      <c r="O1183" s="13">
        <v>114300000</v>
      </c>
      <c r="P1183" s="305"/>
      <c r="Q1183" t="s">
        <v>3564</v>
      </c>
    </row>
    <row r="1184" spans="1:17" ht="43.5" hidden="1" x14ac:dyDescent="0.35">
      <c r="A1184" s="155" t="e">
        <f t="shared" si="19"/>
        <v>#REF!</v>
      </c>
      <c r="B1184" s="140" t="s">
        <v>18</v>
      </c>
      <c r="C1184" s="140" t="s">
        <v>37</v>
      </c>
      <c r="D1184" s="140" t="s">
        <v>1521</v>
      </c>
      <c r="E1184" s="140" t="s">
        <v>992</v>
      </c>
      <c r="F1184" s="140" t="s">
        <v>3065</v>
      </c>
      <c r="G1184" s="155" t="s">
        <v>469</v>
      </c>
      <c r="H1184" s="155" t="s">
        <v>3066</v>
      </c>
      <c r="I1184" s="155">
        <v>450</v>
      </c>
      <c r="J1184" s="269">
        <v>100000000</v>
      </c>
      <c r="K1184" s="155" t="s">
        <v>221</v>
      </c>
      <c r="L1184" s="155" t="s">
        <v>62</v>
      </c>
      <c r="M1184" s="155" t="s">
        <v>55</v>
      </c>
      <c r="N1184" s="155">
        <v>450</v>
      </c>
      <c r="O1184" s="13">
        <v>114300000</v>
      </c>
      <c r="P1184" s="305" t="s">
        <v>995</v>
      </c>
      <c r="Q1184" t="s">
        <v>3586</v>
      </c>
    </row>
    <row r="1185" spans="1:17" ht="43.5" hidden="1" x14ac:dyDescent="0.35">
      <c r="A1185" s="155" t="e">
        <f t="shared" si="19"/>
        <v>#REF!</v>
      </c>
      <c r="B1185" s="140" t="s">
        <v>18</v>
      </c>
      <c r="C1185" s="140" t="s">
        <v>37</v>
      </c>
      <c r="D1185" s="140" t="s">
        <v>1515</v>
      </c>
      <c r="E1185" s="140" t="s">
        <v>992</v>
      </c>
      <c r="F1185" s="140" t="s">
        <v>3067</v>
      </c>
      <c r="G1185" s="155" t="s">
        <v>469</v>
      </c>
      <c r="H1185" s="155" t="s">
        <v>3068</v>
      </c>
      <c r="I1185" s="155" t="s">
        <v>1272</v>
      </c>
      <c r="J1185" s="269">
        <v>100000000</v>
      </c>
      <c r="K1185" s="155" t="s">
        <v>221</v>
      </c>
      <c r="L1185" s="155">
        <v>2969193</v>
      </c>
      <c r="M1185" s="155" t="s">
        <v>55</v>
      </c>
      <c r="N1185" s="155">
        <v>750</v>
      </c>
      <c r="O1185" s="13">
        <v>190500000</v>
      </c>
      <c r="P1185" s="305"/>
      <c r="Q1185" t="s">
        <v>3564</v>
      </c>
    </row>
    <row r="1186" spans="1:17" ht="43.5" hidden="1" x14ac:dyDescent="0.35">
      <c r="A1186" s="155" t="e">
        <f t="shared" si="19"/>
        <v>#REF!</v>
      </c>
      <c r="B1186" s="140" t="s">
        <v>18</v>
      </c>
      <c r="C1186" s="140" t="s">
        <v>37</v>
      </c>
      <c r="D1186" s="140" t="s">
        <v>1515</v>
      </c>
      <c r="E1186" s="140" t="s">
        <v>3069</v>
      </c>
      <c r="F1186" s="140" t="s">
        <v>3070</v>
      </c>
      <c r="G1186" s="155" t="s">
        <v>469</v>
      </c>
      <c r="H1186" s="155" t="s">
        <v>3071</v>
      </c>
      <c r="I1186" s="155" t="s">
        <v>1272</v>
      </c>
      <c r="J1186" s="269">
        <v>100000000</v>
      </c>
      <c r="K1186" s="155" t="s">
        <v>221</v>
      </c>
      <c r="L1186" s="155">
        <v>2968539</v>
      </c>
      <c r="M1186" s="155" t="s">
        <v>55</v>
      </c>
      <c r="N1186" s="155">
        <v>450</v>
      </c>
      <c r="O1186" s="13">
        <v>114300000</v>
      </c>
      <c r="P1186" s="305"/>
      <c r="Q1186" t="s">
        <v>3564</v>
      </c>
    </row>
    <row r="1187" spans="1:17" ht="43.5" hidden="1" x14ac:dyDescent="0.35">
      <c r="A1187" s="155" t="e">
        <f t="shared" si="19"/>
        <v>#REF!</v>
      </c>
      <c r="B1187" s="140" t="s">
        <v>18</v>
      </c>
      <c r="C1187" s="140" t="s">
        <v>37</v>
      </c>
      <c r="D1187" s="140" t="s">
        <v>1521</v>
      </c>
      <c r="E1187" s="140" t="s">
        <v>992</v>
      </c>
      <c r="F1187" s="140" t="s">
        <v>3072</v>
      </c>
      <c r="G1187" s="155" t="s">
        <v>469</v>
      </c>
      <c r="H1187" s="155" t="s">
        <v>3073</v>
      </c>
      <c r="I1187" s="155">
        <v>450</v>
      </c>
      <c r="J1187" s="269">
        <v>100000000</v>
      </c>
      <c r="K1187" s="155" t="s">
        <v>221</v>
      </c>
      <c r="L1187" s="155" t="s">
        <v>62</v>
      </c>
      <c r="M1187" s="155" t="s">
        <v>55</v>
      </c>
      <c r="N1187" s="155">
        <v>450</v>
      </c>
      <c r="O1187" s="13">
        <v>114300000</v>
      </c>
      <c r="P1187" s="305" t="s">
        <v>995</v>
      </c>
      <c r="Q1187" t="s">
        <v>3586</v>
      </c>
    </row>
    <row r="1188" spans="1:17" ht="43.5" hidden="1" x14ac:dyDescent="0.35">
      <c r="A1188" s="155" t="e">
        <f>#REF!+1</f>
        <v>#REF!</v>
      </c>
      <c r="B1188" s="140" t="s">
        <v>18</v>
      </c>
      <c r="C1188" s="140" t="s">
        <v>37</v>
      </c>
      <c r="D1188" s="140" t="s">
        <v>1521</v>
      </c>
      <c r="E1188" s="140" t="s">
        <v>992</v>
      </c>
      <c r="F1188" s="140" t="s">
        <v>3074</v>
      </c>
      <c r="G1188" s="155" t="s">
        <v>469</v>
      </c>
      <c r="H1188" s="155" t="s">
        <v>3075</v>
      </c>
      <c r="I1188" s="155">
        <v>450</v>
      </c>
      <c r="J1188" s="269">
        <v>100000000</v>
      </c>
      <c r="K1188" s="155" t="s">
        <v>221</v>
      </c>
      <c r="L1188" s="155" t="s">
        <v>62</v>
      </c>
      <c r="M1188" s="155" t="s">
        <v>55</v>
      </c>
      <c r="N1188" s="155">
        <v>450</v>
      </c>
      <c r="O1188" s="13">
        <v>114300000</v>
      </c>
      <c r="P1188" s="305" t="s">
        <v>3076</v>
      </c>
      <c r="Q1188" t="s">
        <v>3586</v>
      </c>
    </row>
    <row r="1189" spans="1:17" ht="43.5" hidden="1" x14ac:dyDescent="0.35">
      <c r="A1189" s="155" t="e">
        <f t="shared" si="19"/>
        <v>#REF!</v>
      </c>
      <c r="B1189" s="140" t="s">
        <v>18</v>
      </c>
      <c r="C1189" s="140" t="s">
        <v>37</v>
      </c>
      <c r="D1189" s="140" t="s">
        <v>1521</v>
      </c>
      <c r="E1189" s="140" t="s">
        <v>992</v>
      </c>
      <c r="F1189" s="140" t="s">
        <v>3077</v>
      </c>
      <c r="G1189" s="155" t="s">
        <v>469</v>
      </c>
      <c r="H1189" s="155" t="s">
        <v>3078</v>
      </c>
      <c r="I1189" s="155">
        <v>450</v>
      </c>
      <c r="J1189" s="269">
        <v>100000000</v>
      </c>
      <c r="K1189" s="155" t="s">
        <v>221</v>
      </c>
      <c r="L1189" s="155" t="s">
        <v>62</v>
      </c>
      <c r="M1189" s="155" t="s">
        <v>55</v>
      </c>
      <c r="N1189" s="155">
        <v>450</v>
      </c>
      <c r="O1189" s="13">
        <v>114300000</v>
      </c>
      <c r="P1189" s="305" t="s">
        <v>3076</v>
      </c>
      <c r="Q1189" t="s">
        <v>3586</v>
      </c>
    </row>
    <row r="1190" spans="1:17" ht="43.5" hidden="1" x14ac:dyDescent="0.35">
      <c r="A1190" s="155" t="e">
        <f>#REF!+1</f>
        <v>#REF!</v>
      </c>
      <c r="B1190" s="140" t="s">
        <v>18</v>
      </c>
      <c r="C1190" s="140" t="s">
        <v>37</v>
      </c>
      <c r="D1190" s="277" t="s">
        <v>476</v>
      </c>
      <c r="E1190" s="279" t="s">
        <v>3079</v>
      </c>
      <c r="F1190" s="140" t="s">
        <v>3080</v>
      </c>
      <c r="G1190" s="155" t="s">
        <v>469</v>
      </c>
      <c r="H1190" s="155" t="s">
        <v>3081</v>
      </c>
      <c r="I1190" s="155" t="s">
        <v>1272</v>
      </c>
      <c r="J1190" s="269">
        <v>100000000</v>
      </c>
      <c r="K1190" s="155" t="s">
        <v>221</v>
      </c>
      <c r="L1190" s="155">
        <v>2878654</v>
      </c>
      <c r="M1190" s="155" t="s">
        <v>55</v>
      </c>
      <c r="N1190" s="155">
        <v>450</v>
      </c>
      <c r="O1190" s="13">
        <v>114300000</v>
      </c>
      <c r="P1190" s="305" t="s">
        <v>1955</v>
      </c>
      <c r="Q1190" t="s">
        <v>3586</v>
      </c>
    </row>
    <row r="1191" spans="1:17" ht="43.5" hidden="1" x14ac:dyDescent="0.35">
      <c r="A1191" s="155" t="e">
        <f>#REF!+1</f>
        <v>#REF!</v>
      </c>
      <c r="B1191" s="140" t="s">
        <v>18</v>
      </c>
      <c r="C1191" s="140" t="s">
        <v>37</v>
      </c>
      <c r="D1191" s="140" t="s">
        <v>1521</v>
      </c>
      <c r="E1191" s="279" t="s">
        <v>3079</v>
      </c>
      <c r="F1191" s="279" t="s">
        <v>3082</v>
      </c>
      <c r="G1191" s="155" t="s">
        <v>469</v>
      </c>
      <c r="H1191" s="155" t="s">
        <v>3083</v>
      </c>
      <c r="I1191" s="155">
        <v>450</v>
      </c>
      <c r="J1191" s="269">
        <v>100000000</v>
      </c>
      <c r="K1191" s="155" t="s">
        <v>221</v>
      </c>
      <c r="L1191" s="155" t="s">
        <v>62</v>
      </c>
      <c r="M1191" s="155" t="s">
        <v>55</v>
      </c>
      <c r="N1191" s="155">
        <v>450</v>
      </c>
      <c r="O1191" s="13">
        <v>114300000</v>
      </c>
      <c r="P1191" s="305" t="s">
        <v>1955</v>
      </c>
      <c r="Q1191" t="s">
        <v>3586</v>
      </c>
    </row>
    <row r="1192" spans="1:17" ht="43.5" hidden="1" x14ac:dyDescent="0.35">
      <c r="A1192" s="155" t="e">
        <f t="shared" si="19"/>
        <v>#REF!</v>
      </c>
      <c r="B1192" s="140" t="s">
        <v>18</v>
      </c>
      <c r="C1192" s="140" t="s">
        <v>37</v>
      </c>
      <c r="D1192" s="140" t="s">
        <v>1521</v>
      </c>
      <c r="E1192" s="279" t="s">
        <v>3084</v>
      </c>
      <c r="F1192" s="279" t="s">
        <v>3085</v>
      </c>
      <c r="G1192" s="155" t="s">
        <v>469</v>
      </c>
      <c r="H1192" s="155" t="s">
        <v>3086</v>
      </c>
      <c r="I1192" s="155" t="s">
        <v>341</v>
      </c>
      <c r="J1192" s="269">
        <v>100000000</v>
      </c>
      <c r="K1192" s="155" t="s">
        <v>221</v>
      </c>
      <c r="L1192" s="155">
        <v>2959570</v>
      </c>
      <c r="M1192" s="155" t="s">
        <v>55</v>
      </c>
      <c r="N1192" s="155">
        <v>40</v>
      </c>
      <c r="O1192" s="13">
        <v>111280000</v>
      </c>
      <c r="P1192" s="305" t="s">
        <v>3076</v>
      </c>
      <c r="Q1192" t="s">
        <v>3586</v>
      </c>
    </row>
    <row r="1193" spans="1:17" ht="43.5" hidden="1" x14ac:dyDescent="0.35">
      <c r="A1193" s="155" t="e">
        <f t="shared" si="19"/>
        <v>#REF!</v>
      </c>
      <c r="B1193" s="140" t="s">
        <v>18</v>
      </c>
      <c r="C1193" s="140" t="s">
        <v>37</v>
      </c>
      <c r="D1193" s="140" t="s">
        <v>1515</v>
      </c>
      <c r="E1193" s="279" t="s">
        <v>992</v>
      </c>
      <c r="F1193" s="279" t="s">
        <v>3087</v>
      </c>
      <c r="G1193" s="155" t="s">
        <v>469</v>
      </c>
      <c r="H1193" s="155" t="s">
        <v>3088</v>
      </c>
      <c r="I1193" s="155" t="s">
        <v>1213</v>
      </c>
      <c r="J1193" s="269">
        <v>100000000</v>
      </c>
      <c r="K1193" s="155" t="s">
        <v>221</v>
      </c>
      <c r="L1193" s="155">
        <v>2968136</v>
      </c>
      <c r="M1193" s="155" t="s">
        <v>55</v>
      </c>
      <c r="N1193" s="155">
        <v>450</v>
      </c>
      <c r="O1193" s="13">
        <v>114300000</v>
      </c>
      <c r="P1193" s="305"/>
      <c r="Q1193" t="s">
        <v>3564</v>
      </c>
    </row>
    <row r="1194" spans="1:17" ht="43.5" hidden="1" x14ac:dyDescent="0.35">
      <c r="A1194" s="155" t="e">
        <f>#REF!+1</f>
        <v>#REF!</v>
      </c>
      <c r="B1194" s="140" t="s">
        <v>18</v>
      </c>
      <c r="C1194" s="140" t="s">
        <v>37</v>
      </c>
      <c r="D1194" s="277" t="s">
        <v>1521</v>
      </c>
      <c r="E1194" s="279" t="s">
        <v>992</v>
      </c>
      <c r="F1194" s="279" t="s">
        <v>3089</v>
      </c>
      <c r="G1194" s="155" t="s">
        <v>469</v>
      </c>
      <c r="H1194" s="155" t="s">
        <v>3090</v>
      </c>
      <c r="I1194" s="155">
        <v>450</v>
      </c>
      <c r="J1194" s="269">
        <v>100000000</v>
      </c>
      <c r="K1194" s="155" t="s">
        <v>221</v>
      </c>
      <c r="L1194" s="155" t="s">
        <v>62</v>
      </c>
      <c r="M1194" s="155" t="s">
        <v>55</v>
      </c>
      <c r="N1194" s="155">
        <v>450</v>
      </c>
      <c r="O1194" s="13">
        <v>114300000</v>
      </c>
      <c r="P1194" s="305" t="s">
        <v>1955</v>
      </c>
      <c r="Q1194" t="s">
        <v>3586</v>
      </c>
    </row>
    <row r="1195" spans="1:17" ht="43.5" hidden="1" x14ac:dyDescent="0.35">
      <c r="A1195" s="155" t="e">
        <f t="shared" si="19"/>
        <v>#REF!</v>
      </c>
      <c r="B1195" s="140" t="s">
        <v>18</v>
      </c>
      <c r="C1195" s="140" t="s">
        <v>37</v>
      </c>
      <c r="D1195" s="140" t="s">
        <v>1521</v>
      </c>
      <c r="E1195" s="279" t="s">
        <v>3091</v>
      </c>
      <c r="F1195" s="279" t="s">
        <v>3092</v>
      </c>
      <c r="G1195" s="155" t="s">
        <v>469</v>
      </c>
      <c r="H1195" s="155" t="s">
        <v>3093</v>
      </c>
      <c r="I1195" s="155" t="s">
        <v>1272</v>
      </c>
      <c r="J1195" s="269">
        <v>100000000</v>
      </c>
      <c r="K1195" s="155" t="s">
        <v>221</v>
      </c>
      <c r="L1195" s="155">
        <v>2959444</v>
      </c>
      <c r="M1195" s="155" t="s">
        <v>55</v>
      </c>
      <c r="N1195" s="155">
        <v>40</v>
      </c>
      <c r="O1195" s="13">
        <v>111280000</v>
      </c>
      <c r="P1195" s="305" t="s">
        <v>3076</v>
      </c>
      <c r="Q1195" t="s">
        <v>3586</v>
      </c>
    </row>
    <row r="1196" spans="1:17" ht="43.5" hidden="1" x14ac:dyDescent="0.35">
      <c r="A1196" s="155" t="e">
        <f t="shared" si="19"/>
        <v>#REF!</v>
      </c>
      <c r="B1196" s="140" t="s">
        <v>18</v>
      </c>
      <c r="C1196" s="140" t="s">
        <v>37</v>
      </c>
      <c r="D1196" s="140" t="s">
        <v>476</v>
      </c>
      <c r="E1196" s="279" t="s">
        <v>992</v>
      </c>
      <c r="F1196" s="279" t="s">
        <v>1548</v>
      </c>
      <c r="G1196" s="155" t="s">
        <v>457</v>
      </c>
      <c r="H1196" s="155" t="s">
        <v>3094</v>
      </c>
      <c r="I1196" s="155" t="s">
        <v>1272</v>
      </c>
      <c r="J1196" s="269">
        <v>100000000</v>
      </c>
      <c r="K1196" s="155" t="s">
        <v>221</v>
      </c>
      <c r="L1196" s="155" t="s">
        <v>62</v>
      </c>
      <c r="M1196" s="155" t="s">
        <v>55</v>
      </c>
      <c r="N1196" s="155">
        <v>450</v>
      </c>
      <c r="O1196" s="13">
        <v>114300000</v>
      </c>
      <c r="P1196" s="305" t="s">
        <v>1923</v>
      </c>
      <c r="Q1196" t="s">
        <v>3586</v>
      </c>
    </row>
    <row r="1197" spans="1:17" ht="43.5" hidden="1" x14ac:dyDescent="0.35">
      <c r="A1197" s="155" t="e">
        <f>#REF!+1</f>
        <v>#REF!</v>
      </c>
      <c r="B1197" s="140" t="s">
        <v>18</v>
      </c>
      <c r="C1197" s="140" t="s">
        <v>37</v>
      </c>
      <c r="D1197" s="140" t="s">
        <v>1515</v>
      </c>
      <c r="E1197" s="279" t="s">
        <v>1305</v>
      </c>
      <c r="F1197" s="279" t="s">
        <v>3095</v>
      </c>
      <c r="G1197" s="155" t="s">
        <v>457</v>
      </c>
      <c r="H1197" s="155" t="s">
        <v>3096</v>
      </c>
      <c r="I1197" s="155" t="s">
        <v>1272</v>
      </c>
      <c r="J1197" s="269">
        <v>100000000</v>
      </c>
      <c r="K1197" s="155" t="s">
        <v>221</v>
      </c>
      <c r="L1197" s="155">
        <v>2975902</v>
      </c>
      <c r="M1197" s="155" t="s">
        <v>55</v>
      </c>
      <c r="N1197" s="155">
        <v>450</v>
      </c>
      <c r="O1197" s="13">
        <v>114300000</v>
      </c>
      <c r="P1197" s="305"/>
      <c r="Q1197" t="s">
        <v>3564</v>
      </c>
    </row>
    <row r="1198" spans="1:17" ht="43.5" hidden="1" x14ac:dyDescent="0.35">
      <c r="A1198" s="155" t="e">
        <f>#REF!+1</f>
        <v>#REF!</v>
      </c>
      <c r="B1198" s="140" t="s">
        <v>18</v>
      </c>
      <c r="C1198" s="140" t="s">
        <v>37</v>
      </c>
      <c r="D1198" s="140" t="s">
        <v>476</v>
      </c>
      <c r="E1198" s="279" t="s">
        <v>3097</v>
      </c>
      <c r="F1198" s="279" t="s">
        <v>3098</v>
      </c>
      <c r="G1198" s="155" t="s">
        <v>457</v>
      </c>
      <c r="H1198" s="155" t="s">
        <v>3099</v>
      </c>
      <c r="I1198" s="155" t="s">
        <v>1272</v>
      </c>
      <c r="J1198" s="269">
        <v>100000000</v>
      </c>
      <c r="K1198" s="155" t="s">
        <v>221</v>
      </c>
      <c r="L1198" s="155">
        <v>2971512</v>
      </c>
      <c r="M1198" s="155" t="s">
        <v>55</v>
      </c>
      <c r="N1198" s="155">
        <v>450</v>
      </c>
      <c r="O1198" s="13">
        <v>114300000</v>
      </c>
      <c r="P1198" s="305" t="s">
        <v>1839</v>
      </c>
      <c r="Q1198" t="s">
        <v>3586</v>
      </c>
    </row>
    <row r="1199" spans="1:17" ht="43.5" hidden="1" x14ac:dyDescent="0.35">
      <c r="A1199" s="155" t="e">
        <f>#REF!+1</f>
        <v>#REF!</v>
      </c>
      <c r="B1199" s="140" t="s">
        <v>18</v>
      </c>
      <c r="C1199" s="140" t="s">
        <v>37</v>
      </c>
      <c r="D1199" s="140" t="s">
        <v>1634</v>
      </c>
      <c r="E1199" s="279" t="s">
        <v>1635</v>
      </c>
      <c r="F1199" s="279" t="s">
        <v>3100</v>
      </c>
      <c r="G1199" s="155" t="s">
        <v>457</v>
      </c>
      <c r="H1199" s="155" t="s">
        <v>3101</v>
      </c>
      <c r="I1199" s="155" t="s">
        <v>54</v>
      </c>
      <c r="J1199" s="269">
        <v>100000000</v>
      </c>
      <c r="K1199" s="155" t="s">
        <v>221</v>
      </c>
      <c r="L1199" s="155">
        <v>2978034</v>
      </c>
      <c r="M1199" s="155" t="s">
        <v>55</v>
      </c>
      <c r="N1199" s="155">
        <v>3</v>
      </c>
      <c r="O1199" s="13">
        <v>105000000</v>
      </c>
      <c r="P1199" s="305"/>
      <c r="Q1199" t="s">
        <v>3564</v>
      </c>
    </row>
    <row r="1200" spans="1:17" ht="43.5" hidden="1" x14ac:dyDescent="0.35">
      <c r="A1200" s="155" t="e">
        <f t="shared" ref="A1200:A1263" si="20">A1199+1</f>
        <v>#REF!</v>
      </c>
      <c r="B1200" s="140" t="s">
        <v>18</v>
      </c>
      <c r="C1200" s="140" t="s">
        <v>37</v>
      </c>
      <c r="D1200" s="140" t="s">
        <v>1515</v>
      </c>
      <c r="E1200" s="279" t="s">
        <v>992</v>
      </c>
      <c r="F1200" s="279" t="s">
        <v>3102</v>
      </c>
      <c r="G1200" s="155" t="s">
        <v>457</v>
      </c>
      <c r="H1200" s="155" t="s">
        <v>3103</v>
      </c>
      <c r="I1200" s="155" t="s">
        <v>1272</v>
      </c>
      <c r="J1200" s="269">
        <v>100000000</v>
      </c>
      <c r="K1200" s="155" t="s">
        <v>221</v>
      </c>
      <c r="L1200" s="155">
        <v>2975052</v>
      </c>
      <c r="M1200" s="155" t="s">
        <v>55</v>
      </c>
      <c r="N1200" s="155">
        <v>450</v>
      </c>
      <c r="O1200" s="13">
        <v>114300000</v>
      </c>
      <c r="P1200" s="305"/>
      <c r="Q1200" t="s">
        <v>3564</v>
      </c>
    </row>
    <row r="1201" spans="1:17" ht="43.5" hidden="1" x14ac:dyDescent="0.35">
      <c r="A1201" s="155" t="e">
        <f t="shared" si="20"/>
        <v>#REF!</v>
      </c>
      <c r="B1201" s="140" t="s">
        <v>18</v>
      </c>
      <c r="C1201" s="140" t="s">
        <v>37</v>
      </c>
      <c r="D1201" s="140" t="s">
        <v>1515</v>
      </c>
      <c r="E1201" s="140" t="s">
        <v>992</v>
      </c>
      <c r="F1201" s="140" t="s">
        <v>3104</v>
      </c>
      <c r="G1201" s="155" t="s">
        <v>457</v>
      </c>
      <c r="H1201" s="143" t="s">
        <v>3105</v>
      </c>
      <c r="I1201" s="155" t="s">
        <v>1272</v>
      </c>
      <c r="J1201" s="269">
        <v>100000000</v>
      </c>
      <c r="K1201" s="155" t="s">
        <v>221</v>
      </c>
      <c r="L1201" s="155" t="s">
        <v>3106</v>
      </c>
      <c r="M1201" s="155" t="s">
        <v>55</v>
      </c>
      <c r="N1201" s="155">
        <v>450</v>
      </c>
      <c r="O1201" s="13">
        <v>114300000</v>
      </c>
      <c r="P1201" s="305"/>
      <c r="Q1201" t="s">
        <v>3564</v>
      </c>
    </row>
    <row r="1202" spans="1:17" ht="43.5" hidden="1" x14ac:dyDescent="0.35">
      <c r="A1202" s="155" t="e">
        <f t="shared" si="20"/>
        <v>#REF!</v>
      </c>
      <c r="B1202" s="140" t="s">
        <v>18</v>
      </c>
      <c r="C1202" s="140" t="s">
        <v>37</v>
      </c>
      <c r="D1202" s="140" t="s">
        <v>1634</v>
      </c>
      <c r="E1202" s="140" t="s">
        <v>1635</v>
      </c>
      <c r="F1202" s="140" t="s">
        <v>3107</v>
      </c>
      <c r="G1202" s="155" t="s">
        <v>457</v>
      </c>
      <c r="H1202" s="143" t="s">
        <v>3108</v>
      </c>
      <c r="I1202" s="155" t="s">
        <v>54</v>
      </c>
      <c r="J1202" s="269">
        <v>100000000</v>
      </c>
      <c r="K1202" s="155" t="s">
        <v>221</v>
      </c>
      <c r="L1202" s="155">
        <v>2973022</v>
      </c>
      <c r="M1202" s="155" t="s">
        <v>55</v>
      </c>
      <c r="N1202" s="155">
        <v>3</v>
      </c>
      <c r="O1202" s="13">
        <v>105000000</v>
      </c>
      <c r="P1202" s="305"/>
      <c r="Q1202" t="s">
        <v>3564</v>
      </c>
    </row>
    <row r="1203" spans="1:17" ht="43.5" hidden="1" x14ac:dyDescent="0.35">
      <c r="A1203" s="155" t="e">
        <f>#REF!+1</f>
        <v>#REF!</v>
      </c>
      <c r="B1203" s="140" t="s">
        <v>18</v>
      </c>
      <c r="C1203" s="140" t="s">
        <v>37</v>
      </c>
      <c r="D1203" s="140" t="s">
        <v>476</v>
      </c>
      <c r="E1203" s="140" t="s">
        <v>3109</v>
      </c>
      <c r="F1203" s="140" t="s">
        <v>3110</v>
      </c>
      <c r="G1203" s="155" t="s">
        <v>457</v>
      </c>
      <c r="H1203" s="143" t="s">
        <v>3111</v>
      </c>
      <c r="I1203" s="155" t="s">
        <v>1272</v>
      </c>
      <c r="J1203" s="269">
        <v>100000000</v>
      </c>
      <c r="K1203" s="155" t="s">
        <v>221</v>
      </c>
      <c r="L1203" s="155">
        <v>2970660</v>
      </c>
      <c r="M1203" s="155" t="s">
        <v>55</v>
      </c>
      <c r="N1203" s="155">
        <v>450</v>
      </c>
      <c r="O1203" s="13">
        <v>114300000</v>
      </c>
      <c r="P1203" s="305" t="s">
        <v>1839</v>
      </c>
      <c r="Q1203" t="s">
        <v>3586</v>
      </c>
    </row>
    <row r="1204" spans="1:17" ht="43.5" hidden="1" x14ac:dyDescent="0.35">
      <c r="A1204" s="155" t="e">
        <f t="shared" si="20"/>
        <v>#REF!</v>
      </c>
      <c r="B1204" s="140" t="s">
        <v>18</v>
      </c>
      <c r="C1204" s="140" t="s">
        <v>37</v>
      </c>
      <c r="D1204" s="140" t="s">
        <v>1515</v>
      </c>
      <c r="E1204" s="140" t="s">
        <v>1544</v>
      </c>
      <c r="F1204" s="140" t="s">
        <v>3112</v>
      </c>
      <c r="G1204" s="155" t="s">
        <v>59</v>
      </c>
      <c r="H1204" s="155" t="s">
        <v>3113</v>
      </c>
      <c r="I1204" s="155" t="s">
        <v>1272</v>
      </c>
      <c r="J1204" s="269">
        <v>100000000</v>
      </c>
      <c r="K1204" s="155" t="s">
        <v>221</v>
      </c>
      <c r="L1204" s="155" t="s">
        <v>62</v>
      </c>
      <c r="M1204" s="155" t="s">
        <v>55</v>
      </c>
      <c r="N1204" s="155">
        <v>450</v>
      </c>
      <c r="O1204" s="13">
        <v>114300000</v>
      </c>
      <c r="P1204" s="305" t="s">
        <v>3114</v>
      </c>
      <c r="Q1204" t="s">
        <v>3564</v>
      </c>
    </row>
    <row r="1205" spans="1:17" ht="43.5" hidden="1" x14ac:dyDescent="0.35">
      <c r="A1205" s="155" t="e">
        <f t="shared" si="20"/>
        <v>#REF!</v>
      </c>
      <c r="B1205" s="140" t="s">
        <v>18</v>
      </c>
      <c r="C1205" s="140" t="s">
        <v>37</v>
      </c>
      <c r="D1205" s="140" t="s">
        <v>1634</v>
      </c>
      <c r="E1205" s="140" t="s">
        <v>3115</v>
      </c>
      <c r="F1205" s="140" t="s">
        <v>3116</v>
      </c>
      <c r="G1205" s="155" t="s">
        <v>59</v>
      </c>
      <c r="H1205" s="155" t="s">
        <v>3117</v>
      </c>
      <c r="I1205" s="155" t="s">
        <v>639</v>
      </c>
      <c r="J1205" s="269">
        <v>100000000</v>
      </c>
      <c r="K1205" s="155" t="s">
        <v>221</v>
      </c>
      <c r="L1205" s="155">
        <v>2943819</v>
      </c>
      <c r="M1205" s="155" t="s">
        <v>55</v>
      </c>
      <c r="N1205" s="155">
        <v>3</v>
      </c>
      <c r="O1205" s="13">
        <v>105000000</v>
      </c>
      <c r="P1205" s="305"/>
      <c r="Q1205" t="s">
        <v>3564</v>
      </c>
    </row>
    <row r="1206" spans="1:17" ht="43.5" hidden="1" x14ac:dyDescent="0.35">
      <c r="A1206" s="155" t="e">
        <f t="shared" si="20"/>
        <v>#REF!</v>
      </c>
      <c r="B1206" s="140" t="s">
        <v>18</v>
      </c>
      <c r="C1206" s="140" t="s">
        <v>37</v>
      </c>
      <c r="D1206" s="140" t="s">
        <v>1634</v>
      </c>
      <c r="E1206" s="140" t="s">
        <v>3115</v>
      </c>
      <c r="F1206" s="140" t="s">
        <v>3118</v>
      </c>
      <c r="G1206" s="155" t="s">
        <v>59</v>
      </c>
      <c r="H1206" s="155" t="s">
        <v>3119</v>
      </c>
      <c r="I1206" s="155" t="s">
        <v>639</v>
      </c>
      <c r="J1206" s="269">
        <v>100000000</v>
      </c>
      <c r="K1206" s="155" t="s">
        <v>221</v>
      </c>
      <c r="L1206" s="155">
        <v>2942395</v>
      </c>
      <c r="M1206" s="155" t="s">
        <v>55</v>
      </c>
      <c r="N1206" s="155">
        <v>3</v>
      </c>
      <c r="O1206" s="13">
        <v>105000000</v>
      </c>
      <c r="P1206" s="305"/>
      <c r="Q1206" t="s">
        <v>3564</v>
      </c>
    </row>
    <row r="1207" spans="1:17" ht="43.5" hidden="1" x14ac:dyDescent="0.35">
      <c r="A1207" s="155" t="e">
        <f t="shared" si="20"/>
        <v>#REF!</v>
      </c>
      <c r="B1207" s="140" t="s">
        <v>18</v>
      </c>
      <c r="C1207" s="140" t="s">
        <v>37</v>
      </c>
      <c r="D1207" s="140" t="s">
        <v>476</v>
      </c>
      <c r="E1207" s="140" t="s">
        <v>3120</v>
      </c>
      <c r="F1207" s="140" t="s">
        <v>3121</v>
      </c>
      <c r="G1207" s="155" t="s">
        <v>59</v>
      </c>
      <c r="H1207" s="155" t="s">
        <v>3122</v>
      </c>
      <c r="I1207" s="155" t="s">
        <v>1272</v>
      </c>
      <c r="J1207" s="269">
        <v>100000000</v>
      </c>
      <c r="K1207" s="155" t="s">
        <v>221</v>
      </c>
      <c r="L1207" s="155">
        <v>2943673</v>
      </c>
      <c r="M1207" s="155" t="s">
        <v>55</v>
      </c>
      <c r="N1207" s="155">
        <v>450</v>
      </c>
      <c r="O1207" s="13">
        <v>114300000</v>
      </c>
      <c r="P1207" s="305" t="s">
        <v>1839</v>
      </c>
      <c r="Q1207" t="s">
        <v>3586</v>
      </c>
    </row>
    <row r="1208" spans="1:17" ht="43.5" hidden="1" x14ac:dyDescent="0.35">
      <c r="A1208" s="155" t="e">
        <f t="shared" si="20"/>
        <v>#REF!</v>
      </c>
      <c r="B1208" s="140" t="s">
        <v>18</v>
      </c>
      <c r="C1208" s="140" t="s">
        <v>37</v>
      </c>
      <c r="D1208" s="140" t="s">
        <v>1634</v>
      </c>
      <c r="E1208" s="140" t="s">
        <v>3115</v>
      </c>
      <c r="F1208" s="140" t="s">
        <v>3123</v>
      </c>
      <c r="G1208" s="155" t="s">
        <v>59</v>
      </c>
      <c r="H1208" s="155" t="s">
        <v>3124</v>
      </c>
      <c r="I1208" s="155" t="s">
        <v>639</v>
      </c>
      <c r="J1208" s="269">
        <v>100000000</v>
      </c>
      <c r="K1208" s="155" t="s">
        <v>221</v>
      </c>
      <c r="L1208" s="155">
        <v>2942285</v>
      </c>
      <c r="M1208" s="155" t="s">
        <v>55</v>
      </c>
      <c r="N1208" s="155">
        <v>3</v>
      </c>
      <c r="O1208" s="13">
        <v>105000000</v>
      </c>
      <c r="P1208" s="305"/>
      <c r="Q1208" t="s">
        <v>3564</v>
      </c>
    </row>
    <row r="1209" spans="1:17" ht="43.5" hidden="1" x14ac:dyDescent="0.35">
      <c r="A1209" s="155" t="e">
        <f t="shared" si="20"/>
        <v>#REF!</v>
      </c>
      <c r="B1209" s="140" t="s">
        <v>18</v>
      </c>
      <c r="C1209" s="140" t="s">
        <v>37</v>
      </c>
      <c r="D1209" s="277" t="s">
        <v>476</v>
      </c>
      <c r="E1209" s="140" t="s">
        <v>3120</v>
      </c>
      <c r="F1209" s="140" t="s">
        <v>3125</v>
      </c>
      <c r="G1209" s="155" t="s">
        <v>59</v>
      </c>
      <c r="H1209" s="155" t="s">
        <v>3126</v>
      </c>
      <c r="I1209" s="155" t="s">
        <v>1272</v>
      </c>
      <c r="J1209" s="269">
        <v>100000000</v>
      </c>
      <c r="K1209" s="155" t="s">
        <v>221</v>
      </c>
      <c r="L1209" s="155">
        <v>2940459</v>
      </c>
      <c r="M1209" s="155" t="s">
        <v>55</v>
      </c>
      <c r="N1209" s="313">
        <v>450</v>
      </c>
      <c r="O1209" s="13">
        <v>114300000</v>
      </c>
      <c r="P1209" s="305" t="s">
        <v>1955</v>
      </c>
      <c r="Q1209" t="s">
        <v>3586</v>
      </c>
    </row>
    <row r="1210" spans="1:17" ht="43.5" hidden="1" x14ac:dyDescent="0.35">
      <c r="A1210" s="155" t="e">
        <f t="shared" si="20"/>
        <v>#REF!</v>
      </c>
      <c r="B1210" s="140" t="s">
        <v>18</v>
      </c>
      <c r="C1210" s="140" t="s">
        <v>37</v>
      </c>
      <c r="D1210" s="277" t="s">
        <v>476</v>
      </c>
      <c r="E1210" s="140" t="s">
        <v>1544</v>
      </c>
      <c r="F1210" s="140" t="s">
        <v>3127</v>
      </c>
      <c r="G1210" s="155" t="s">
        <v>59</v>
      </c>
      <c r="H1210" s="155" t="s">
        <v>3128</v>
      </c>
      <c r="I1210" s="155" t="s">
        <v>1272</v>
      </c>
      <c r="J1210" s="269">
        <v>100000000</v>
      </c>
      <c r="K1210" s="155" t="s">
        <v>221</v>
      </c>
      <c r="L1210" s="155">
        <v>2944512</v>
      </c>
      <c r="M1210" s="155" t="s">
        <v>55</v>
      </c>
      <c r="N1210" s="155">
        <v>450</v>
      </c>
      <c r="O1210" s="13">
        <v>114300000</v>
      </c>
      <c r="P1210" s="305" t="s">
        <v>1839</v>
      </c>
      <c r="Q1210" t="s">
        <v>3586</v>
      </c>
    </row>
    <row r="1211" spans="1:17" ht="43.5" hidden="1" x14ac:dyDescent="0.35">
      <c r="A1211" s="155" t="e">
        <f t="shared" si="20"/>
        <v>#REF!</v>
      </c>
      <c r="B1211" s="140" t="s">
        <v>18</v>
      </c>
      <c r="C1211" s="140" t="s">
        <v>37</v>
      </c>
      <c r="D1211" s="277" t="s">
        <v>476</v>
      </c>
      <c r="E1211" s="140" t="s">
        <v>1544</v>
      </c>
      <c r="F1211" s="140" t="s">
        <v>3129</v>
      </c>
      <c r="G1211" s="155" t="s">
        <v>59</v>
      </c>
      <c r="H1211" s="155" t="s">
        <v>3130</v>
      </c>
      <c r="I1211" s="155" t="s">
        <v>1272</v>
      </c>
      <c r="J1211" s="269">
        <v>100000000</v>
      </c>
      <c r="K1211" s="155" t="s">
        <v>221</v>
      </c>
      <c r="L1211" s="155">
        <v>2943708</v>
      </c>
      <c r="M1211" s="155" t="s">
        <v>55</v>
      </c>
      <c r="N1211" s="155">
        <v>450</v>
      </c>
      <c r="O1211" s="13">
        <v>114300000</v>
      </c>
      <c r="P1211" s="305" t="s">
        <v>1839</v>
      </c>
      <c r="Q1211" t="s">
        <v>3586</v>
      </c>
    </row>
    <row r="1212" spans="1:17" ht="43.5" hidden="1" x14ac:dyDescent="0.35">
      <c r="A1212" s="155" t="e">
        <f t="shared" si="20"/>
        <v>#REF!</v>
      </c>
      <c r="B1212" s="140" t="s">
        <v>18</v>
      </c>
      <c r="C1212" s="140" t="s">
        <v>37</v>
      </c>
      <c r="D1212" s="140" t="s">
        <v>1634</v>
      </c>
      <c r="E1212" s="140" t="s">
        <v>3115</v>
      </c>
      <c r="F1212" s="140" t="s">
        <v>3131</v>
      </c>
      <c r="G1212" s="155" t="s">
        <v>59</v>
      </c>
      <c r="H1212" s="155" t="s">
        <v>3132</v>
      </c>
      <c r="I1212" s="155" t="s">
        <v>639</v>
      </c>
      <c r="J1212" s="269">
        <v>100000000</v>
      </c>
      <c r="K1212" s="155" t="s">
        <v>221</v>
      </c>
      <c r="L1212" s="155">
        <v>2944013</v>
      </c>
      <c r="M1212" s="155" t="s">
        <v>55</v>
      </c>
      <c r="N1212" s="155">
        <v>3</v>
      </c>
      <c r="O1212" s="13">
        <v>105000000</v>
      </c>
      <c r="P1212" s="305"/>
      <c r="Q1212" t="s">
        <v>3564</v>
      </c>
    </row>
    <row r="1213" spans="1:17" ht="43.5" hidden="1" x14ac:dyDescent="0.35">
      <c r="A1213" s="155" t="e">
        <f t="shared" si="20"/>
        <v>#REF!</v>
      </c>
      <c r="B1213" s="140" t="s">
        <v>18</v>
      </c>
      <c r="C1213" s="140" t="s">
        <v>37</v>
      </c>
      <c r="D1213" s="140" t="s">
        <v>1515</v>
      </c>
      <c r="E1213" s="140" t="s">
        <v>1544</v>
      </c>
      <c r="F1213" s="140" t="s">
        <v>3133</v>
      </c>
      <c r="G1213" s="155" t="s">
        <v>3134</v>
      </c>
      <c r="H1213" s="155" t="s">
        <v>3135</v>
      </c>
      <c r="I1213" s="155" t="s">
        <v>1259</v>
      </c>
      <c r="J1213" s="269">
        <v>100000000</v>
      </c>
      <c r="K1213" s="155" t="s">
        <v>221</v>
      </c>
      <c r="L1213" s="155">
        <v>2820173</v>
      </c>
      <c r="M1213" s="155" t="s">
        <v>55</v>
      </c>
      <c r="N1213" s="155">
        <v>396</v>
      </c>
      <c r="O1213" s="13">
        <v>100584000</v>
      </c>
      <c r="P1213" s="305"/>
      <c r="Q1213" t="s">
        <v>3564</v>
      </c>
    </row>
    <row r="1214" spans="1:17" ht="43.5" hidden="1" x14ac:dyDescent="0.35">
      <c r="A1214" s="155" t="e">
        <f t="shared" si="20"/>
        <v>#REF!</v>
      </c>
      <c r="B1214" s="140" t="s">
        <v>18</v>
      </c>
      <c r="C1214" s="140" t="s">
        <v>37</v>
      </c>
      <c r="D1214" s="140" t="s">
        <v>1515</v>
      </c>
      <c r="E1214" s="140" t="s">
        <v>1544</v>
      </c>
      <c r="F1214" s="140" t="s">
        <v>3136</v>
      </c>
      <c r="G1214" s="155" t="s">
        <v>3134</v>
      </c>
      <c r="H1214" s="155" t="s">
        <v>3137</v>
      </c>
      <c r="I1214" s="155" t="s">
        <v>1259</v>
      </c>
      <c r="J1214" s="269">
        <v>100000000</v>
      </c>
      <c r="K1214" s="155" t="s">
        <v>221</v>
      </c>
      <c r="L1214" s="155">
        <v>2761528</v>
      </c>
      <c r="M1214" s="155" t="s">
        <v>55</v>
      </c>
      <c r="N1214" s="155">
        <v>396</v>
      </c>
      <c r="O1214" s="13">
        <v>100584000</v>
      </c>
      <c r="P1214" s="314">
        <v>3.2</v>
      </c>
      <c r="Q1214" t="s">
        <v>3564</v>
      </c>
    </row>
    <row r="1215" spans="1:17" ht="43.5" hidden="1" x14ac:dyDescent="0.35">
      <c r="A1215" s="155" t="e">
        <f t="shared" si="20"/>
        <v>#REF!</v>
      </c>
      <c r="B1215" s="140" t="s">
        <v>18</v>
      </c>
      <c r="C1215" s="140" t="s">
        <v>37</v>
      </c>
      <c r="D1215" s="140" t="s">
        <v>1515</v>
      </c>
      <c r="E1215" s="140" t="s">
        <v>1544</v>
      </c>
      <c r="F1215" s="140" t="s">
        <v>3138</v>
      </c>
      <c r="G1215" s="155" t="s">
        <v>3134</v>
      </c>
      <c r="H1215" s="155" t="s">
        <v>3139</v>
      </c>
      <c r="I1215" s="155" t="s">
        <v>1259</v>
      </c>
      <c r="J1215" s="269">
        <v>100000000</v>
      </c>
      <c r="K1215" s="155" t="s">
        <v>221</v>
      </c>
      <c r="L1215" s="155">
        <v>2798867</v>
      </c>
      <c r="M1215" s="155" t="s">
        <v>55</v>
      </c>
      <c r="N1215" s="155">
        <v>396</v>
      </c>
      <c r="O1215" s="13">
        <v>100584000</v>
      </c>
      <c r="P1215" s="305"/>
      <c r="Q1215" t="s">
        <v>3564</v>
      </c>
    </row>
    <row r="1216" spans="1:17" ht="43.5" hidden="1" x14ac:dyDescent="0.35">
      <c r="A1216" s="155" t="e">
        <f t="shared" si="20"/>
        <v>#REF!</v>
      </c>
      <c r="B1216" s="140" t="s">
        <v>18</v>
      </c>
      <c r="C1216" s="140" t="s">
        <v>37</v>
      </c>
      <c r="D1216" s="140" t="s">
        <v>1515</v>
      </c>
      <c r="E1216" s="140" t="s">
        <v>1544</v>
      </c>
      <c r="F1216" s="140" t="s">
        <v>3140</v>
      </c>
      <c r="G1216" s="155" t="s">
        <v>3134</v>
      </c>
      <c r="H1216" s="155" t="s">
        <v>3141</v>
      </c>
      <c r="I1216" s="155" t="s">
        <v>1259</v>
      </c>
      <c r="J1216" s="269">
        <v>100000000</v>
      </c>
      <c r="K1216" s="155" t="s">
        <v>221</v>
      </c>
      <c r="L1216" s="155">
        <v>2880240</v>
      </c>
      <c r="M1216" s="155" t="s">
        <v>55</v>
      </c>
      <c r="N1216" s="155">
        <v>396</v>
      </c>
      <c r="O1216" s="13">
        <v>100584000</v>
      </c>
      <c r="P1216" s="305"/>
      <c r="Q1216" t="s">
        <v>3564</v>
      </c>
    </row>
    <row r="1217" spans="1:17" ht="43.5" hidden="1" x14ac:dyDescent="0.35">
      <c r="A1217" s="155" t="e">
        <f t="shared" si="20"/>
        <v>#REF!</v>
      </c>
      <c r="B1217" s="140" t="s">
        <v>18</v>
      </c>
      <c r="C1217" s="140" t="s">
        <v>37</v>
      </c>
      <c r="D1217" s="140" t="s">
        <v>1515</v>
      </c>
      <c r="E1217" s="140" t="s">
        <v>3142</v>
      </c>
      <c r="F1217" s="140" t="s">
        <v>3143</v>
      </c>
      <c r="G1217" s="155" t="s">
        <v>3134</v>
      </c>
      <c r="H1217" s="155" t="s">
        <v>3144</v>
      </c>
      <c r="I1217" s="155" t="s">
        <v>1259</v>
      </c>
      <c r="J1217" s="269">
        <v>100000000</v>
      </c>
      <c r="K1217" s="155" t="s">
        <v>221</v>
      </c>
      <c r="L1217" s="155">
        <v>2871468</v>
      </c>
      <c r="M1217" s="155" t="s">
        <v>55</v>
      </c>
      <c r="N1217" s="155">
        <v>396</v>
      </c>
      <c r="O1217" s="13">
        <v>100584000</v>
      </c>
      <c r="P1217" s="305"/>
      <c r="Q1217" t="s">
        <v>3564</v>
      </c>
    </row>
    <row r="1218" spans="1:17" ht="43.5" hidden="1" x14ac:dyDescent="0.35">
      <c r="A1218" s="155" t="e">
        <f>#REF!+1</f>
        <v>#REF!</v>
      </c>
      <c r="B1218" s="140" t="s">
        <v>18</v>
      </c>
      <c r="C1218" s="140" t="s">
        <v>37</v>
      </c>
      <c r="D1218" s="140" t="s">
        <v>1515</v>
      </c>
      <c r="E1218" s="140" t="s">
        <v>1544</v>
      </c>
      <c r="F1218" s="140" t="s">
        <v>3145</v>
      </c>
      <c r="G1218" s="155" t="s">
        <v>3134</v>
      </c>
      <c r="H1218" s="155" t="s">
        <v>3146</v>
      </c>
      <c r="I1218" s="155" t="s">
        <v>1259</v>
      </c>
      <c r="J1218" s="269">
        <v>100000000</v>
      </c>
      <c r="K1218" s="155" t="s">
        <v>221</v>
      </c>
      <c r="L1218" s="155">
        <v>2800197</v>
      </c>
      <c r="M1218" s="155" t="s">
        <v>55</v>
      </c>
      <c r="N1218" s="155">
        <v>396</v>
      </c>
      <c r="O1218" s="13">
        <v>100584000</v>
      </c>
      <c r="P1218" s="305"/>
      <c r="Q1218" t="s">
        <v>3564</v>
      </c>
    </row>
    <row r="1219" spans="1:17" ht="43.5" hidden="1" x14ac:dyDescent="0.35">
      <c r="A1219" s="155" t="e">
        <f t="shared" si="20"/>
        <v>#REF!</v>
      </c>
      <c r="B1219" s="140" t="s">
        <v>18</v>
      </c>
      <c r="C1219" s="140" t="s">
        <v>37</v>
      </c>
      <c r="D1219" s="140" t="s">
        <v>1515</v>
      </c>
      <c r="E1219" s="140" t="s">
        <v>1544</v>
      </c>
      <c r="F1219" s="140" t="s">
        <v>3147</v>
      </c>
      <c r="G1219" s="155" t="s">
        <v>3134</v>
      </c>
      <c r="H1219" s="155" t="s">
        <v>3148</v>
      </c>
      <c r="I1219" s="155" t="s">
        <v>1259</v>
      </c>
      <c r="J1219" s="269">
        <v>100000000</v>
      </c>
      <c r="K1219" s="155" t="s">
        <v>221</v>
      </c>
      <c r="L1219" s="155">
        <v>2761142</v>
      </c>
      <c r="M1219" s="155" t="s">
        <v>55</v>
      </c>
      <c r="N1219" s="155">
        <v>396</v>
      </c>
      <c r="O1219" s="13">
        <v>100584000</v>
      </c>
      <c r="P1219" s="305"/>
      <c r="Q1219" t="s">
        <v>3564</v>
      </c>
    </row>
    <row r="1220" spans="1:17" ht="43.5" hidden="1" x14ac:dyDescent="0.35">
      <c r="A1220" s="155" t="e">
        <f t="shared" si="20"/>
        <v>#REF!</v>
      </c>
      <c r="B1220" s="140" t="s">
        <v>18</v>
      </c>
      <c r="C1220" s="140" t="s">
        <v>37</v>
      </c>
      <c r="D1220" s="140" t="s">
        <v>1515</v>
      </c>
      <c r="E1220" s="140" t="s">
        <v>1544</v>
      </c>
      <c r="F1220" s="140" t="s">
        <v>3149</v>
      </c>
      <c r="G1220" s="155" t="s">
        <v>3134</v>
      </c>
      <c r="H1220" s="155" t="s">
        <v>3150</v>
      </c>
      <c r="I1220" s="155" t="s">
        <v>1259</v>
      </c>
      <c r="J1220" s="269">
        <v>100000000</v>
      </c>
      <c r="K1220" s="155" t="s">
        <v>221</v>
      </c>
      <c r="L1220" s="155">
        <v>2761142</v>
      </c>
      <c r="M1220" s="155" t="s">
        <v>55</v>
      </c>
      <c r="N1220" s="155">
        <v>396</v>
      </c>
      <c r="O1220" s="13">
        <v>100584000</v>
      </c>
      <c r="P1220" s="305"/>
      <c r="Q1220" t="s">
        <v>3564</v>
      </c>
    </row>
    <row r="1221" spans="1:17" ht="43.5" hidden="1" x14ac:dyDescent="0.35">
      <c r="A1221" s="155" t="e">
        <f t="shared" si="20"/>
        <v>#REF!</v>
      </c>
      <c r="B1221" s="140" t="s">
        <v>18</v>
      </c>
      <c r="C1221" s="140" t="s">
        <v>37</v>
      </c>
      <c r="D1221" s="140" t="s">
        <v>1515</v>
      </c>
      <c r="E1221" s="140" t="s">
        <v>1544</v>
      </c>
      <c r="F1221" s="140" t="s">
        <v>3151</v>
      </c>
      <c r="G1221" s="155" t="s">
        <v>3134</v>
      </c>
      <c r="H1221" s="155" t="s">
        <v>3152</v>
      </c>
      <c r="I1221" s="155" t="s">
        <v>1259</v>
      </c>
      <c r="J1221" s="269">
        <v>100000000</v>
      </c>
      <c r="K1221" s="155" t="s">
        <v>221</v>
      </c>
      <c r="L1221" s="155">
        <v>2761234</v>
      </c>
      <c r="M1221" s="155" t="s">
        <v>55</v>
      </c>
      <c r="N1221" s="189">
        <v>396</v>
      </c>
      <c r="O1221" s="13">
        <v>100584000</v>
      </c>
      <c r="P1221" s="305"/>
      <c r="Q1221" t="s">
        <v>3564</v>
      </c>
    </row>
    <row r="1222" spans="1:17" ht="43.5" hidden="1" x14ac:dyDescent="0.35">
      <c r="A1222" s="155" t="e">
        <f t="shared" si="20"/>
        <v>#REF!</v>
      </c>
      <c r="B1222" s="140" t="s">
        <v>18</v>
      </c>
      <c r="C1222" s="140" t="s">
        <v>37</v>
      </c>
      <c r="D1222" s="140" t="s">
        <v>1515</v>
      </c>
      <c r="E1222" s="140" t="s">
        <v>1544</v>
      </c>
      <c r="F1222" s="140" t="s">
        <v>3153</v>
      </c>
      <c r="G1222" s="155" t="s">
        <v>3134</v>
      </c>
      <c r="H1222" s="155" t="s">
        <v>3154</v>
      </c>
      <c r="I1222" s="155" t="s">
        <v>1259</v>
      </c>
      <c r="J1222" s="269">
        <v>100000000</v>
      </c>
      <c r="K1222" s="155" t="s">
        <v>221</v>
      </c>
      <c r="L1222" s="155">
        <v>2761095</v>
      </c>
      <c r="M1222" s="155" t="s">
        <v>55</v>
      </c>
      <c r="N1222" s="155">
        <v>396</v>
      </c>
      <c r="O1222" s="13">
        <v>100584000</v>
      </c>
      <c r="P1222" s="314">
        <v>2.7</v>
      </c>
      <c r="Q1222" t="s">
        <v>3564</v>
      </c>
    </row>
    <row r="1223" spans="1:17" ht="43.5" hidden="1" x14ac:dyDescent="0.35">
      <c r="A1223" s="155" t="e">
        <f t="shared" si="20"/>
        <v>#REF!</v>
      </c>
      <c r="B1223" s="140" t="s">
        <v>18</v>
      </c>
      <c r="C1223" s="140" t="s">
        <v>37</v>
      </c>
      <c r="D1223" s="140" t="s">
        <v>1515</v>
      </c>
      <c r="E1223" s="140" t="s">
        <v>1544</v>
      </c>
      <c r="F1223" s="140" t="s">
        <v>3155</v>
      </c>
      <c r="G1223" s="155" t="s">
        <v>3134</v>
      </c>
      <c r="H1223" s="155" t="s">
        <v>3156</v>
      </c>
      <c r="I1223" s="155" t="s">
        <v>1259</v>
      </c>
      <c r="J1223" s="269">
        <v>100000000</v>
      </c>
      <c r="K1223" s="155" t="s">
        <v>221</v>
      </c>
      <c r="L1223" s="155">
        <v>2798645</v>
      </c>
      <c r="M1223" s="155" t="s">
        <v>55</v>
      </c>
      <c r="N1223" s="155">
        <v>396</v>
      </c>
      <c r="O1223" s="13">
        <v>100584000</v>
      </c>
      <c r="P1223" s="314">
        <v>3.2</v>
      </c>
      <c r="Q1223" t="s">
        <v>3564</v>
      </c>
    </row>
    <row r="1224" spans="1:17" ht="43.5" hidden="1" x14ac:dyDescent="0.35">
      <c r="A1224" s="155" t="e">
        <f>#REF!+1</f>
        <v>#REF!</v>
      </c>
      <c r="B1224" s="140" t="s">
        <v>18</v>
      </c>
      <c r="C1224" s="140" t="s">
        <v>37</v>
      </c>
      <c r="D1224" s="140" t="s">
        <v>1515</v>
      </c>
      <c r="E1224" s="140" t="s">
        <v>1544</v>
      </c>
      <c r="F1224" s="140" t="s">
        <v>3157</v>
      </c>
      <c r="G1224" s="155" t="s">
        <v>3134</v>
      </c>
      <c r="H1224" s="155" t="s">
        <v>3158</v>
      </c>
      <c r="I1224" s="155" t="s">
        <v>1259</v>
      </c>
      <c r="J1224" s="269">
        <v>100000000</v>
      </c>
      <c r="K1224" s="155" t="s">
        <v>221</v>
      </c>
      <c r="L1224" s="155">
        <v>2799136</v>
      </c>
      <c r="M1224" s="155" t="s">
        <v>55</v>
      </c>
      <c r="N1224" s="155">
        <v>396</v>
      </c>
      <c r="O1224" s="13">
        <v>100584000</v>
      </c>
      <c r="P1224" s="305"/>
      <c r="Q1224" t="s">
        <v>3564</v>
      </c>
    </row>
    <row r="1225" spans="1:17" ht="43.5" hidden="1" x14ac:dyDescent="0.35">
      <c r="A1225" s="155" t="e">
        <f>#REF!+1</f>
        <v>#REF!</v>
      </c>
      <c r="B1225" s="140" t="s">
        <v>18</v>
      </c>
      <c r="C1225" s="140" t="s">
        <v>37</v>
      </c>
      <c r="D1225" s="140" t="s">
        <v>1515</v>
      </c>
      <c r="E1225" s="140" t="s">
        <v>1544</v>
      </c>
      <c r="F1225" s="140" t="s">
        <v>3159</v>
      </c>
      <c r="G1225" s="155" t="s">
        <v>3134</v>
      </c>
      <c r="H1225" s="155" t="s">
        <v>3160</v>
      </c>
      <c r="I1225" s="155" t="s">
        <v>1259</v>
      </c>
      <c r="J1225" s="269">
        <v>100000000</v>
      </c>
      <c r="K1225" s="155" t="s">
        <v>221</v>
      </c>
      <c r="L1225" s="155">
        <v>2827166</v>
      </c>
      <c r="M1225" s="155" t="s">
        <v>55</v>
      </c>
      <c r="N1225" s="155">
        <v>396</v>
      </c>
      <c r="O1225" s="13">
        <v>100584000</v>
      </c>
      <c r="P1225" s="305"/>
      <c r="Q1225" t="s">
        <v>3564</v>
      </c>
    </row>
    <row r="1226" spans="1:17" ht="43.5" hidden="1" x14ac:dyDescent="0.35">
      <c r="A1226" s="155" t="e">
        <f>#REF!+1</f>
        <v>#REF!</v>
      </c>
      <c r="B1226" s="140" t="s">
        <v>18</v>
      </c>
      <c r="C1226" s="140" t="s">
        <v>37</v>
      </c>
      <c r="D1226" s="140" t="s">
        <v>1515</v>
      </c>
      <c r="E1226" s="140" t="s">
        <v>1544</v>
      </c>
      <c r="F1226" s="140" t="s">
        <v>3161</v>
      </c>
      <c r="G1226" s="155" t="s">
        <v>3134</v>
      </c>
      <c r="H1226" s="155" t="s">
        <v>3162</v>
      </c>
      <c r="I1226" s="155" t="s">
        <v>1259</v>
      </c>
      <c r="J1226" s="269">
        <v>100000000</v>
      </c>
      <c r="K1226" s="155" t="s">
        <v>221</v>
      </c>
      <c r="L1226" s="155">
        <v>2798533</v>
      </c>
      <c r="M1226" s="155" t="s">
        <v>55</v>
      </c>
      <c r="N1226" s="155">
        <v>396</v>
      </c>
      <c r="O1226" s="13">
        <v>100584000</v>
      </c>
      <c r="P1226" s="314">
        <v>3.2</v>
      </c>
      <c r="Q1226" t="s">
        <v>3564</v>
      </c>
    </row>
    <row r="1227" spans="1:17" ht="43.5" hidden="1" x14ac:dyDescent="0.35">
      <c r="A1227" s="155" t="e">
        <f t="shared" si="20"/>
        <v>#REF!</v>
      </c>
      <c r="B1227" s="140" t="s">
        <v>18</v>
      </c>
      <c r="C1227" s="140" t="s">
        <v>37</v>
      </c>
      <c r="D1227" s="140" t="s">
        <v>1515</v>
      </c>
      <c r="E1227" s="140" t="s">
        <v>1544</v>
      </c>
      <c r="F1227" s="140" t="s">
        <v>3163</v>
      </c>
      <c r="G1227" s="155" t="s">
        <v>3134</v>
      </c>
      <c r="H1227" s="155" t="s">
        <v>3164</v>
      </c>
      <c r="I1227" s="155" t="s">
        <v>1259</v>
      </c>
      <c r="J1227" s="269">
        <v>100000000</v>
      </c>
      <c r="K1227" s="155" t="s">
        <v>221</v>
      </c>
      <c r="L1227" s="155">
        <v>2798117</v>
      </c>
      <c r="M1227" s="155" t="s">
        <v>55</v>
      </c>
      <c r="N1227" s="155">
        <v>396</v>
      </c>
      <c r="O1227" s="13">
        <v>100584000</v>
      </c>
      <c r="P1227" s="305"/>
      <c r="Q1227" t="s">
        <v>3564</v>
      </c>
    </row>
    <row r="1228" spans="1:17" ht="43.5" hidden="1" x14ac:dyDescent="0.35">
      <c r="A1228" s="155" t="e">
        <f>#REF!+1</f>
        <v>#REF!</v>
      </c>
      <c r="B1228" s="140" t="s">
        <v>18</v>
      </c>
      <c r="C1228" s="140" t="s">
        <v>37</v>
      </c>
      <c r="D1228" s="140" t="s">
        <v>1515</v>
      </c>
      <c r="E1228" s="140" t="s">
        <v>1544</v>
      </c>
      <c r="F1228" s="140" t="s">
        <v>3165</v>
      </c>
      <c r="G1228" s="155" t="s">
        <v>529</v>
      </c>
      <c r="H1228" s="155" t="s">
        <v>3165</v>
      </c>
      <c r="I1228" s="155" t="s">
        <v>1213</v>
      </c>
      <c r="J1228" s="269">
        <v>100000000</v>
      </c>
      <c r="K1228" s="155" t="s">
        <v>221</v>
      </c>
      <c r="L1228" s="155">
        <v>2941289</v>
      </c>
      <c r="M1228" s="155" t="s">
        <v>55</v>
      </c>
      <c r="N1228" s="315">
        <v>250</v>
      </c>
      <c r="O1228" s="13">
        <v>100000000</v>
      </c>
      <c r="P1228" s="305"/>
      <c r="Q1228" t="s">
        <v>3564</v>
      </c>
    </row>
    <row r="1229" spans="1:17" ht="43.5" hidden="1" x14ac:dyDescent="0.35">
      <c r="A1229" s="155" t="e">
        <f>#REF!+1</f>
        <v>#REF!</v>
      </c>
      <c r="B1229" s="140" t="s">
        <v>18</v>
      </c>
      <c r="C1229" s="140" t="s">
        <v>37</v>
      </c>
      <c r="D1229" s="277" t="s">
        <v>1521</v>
      </c>
      <c r="E1229" s="140" t="s">
        <v>3166</v>
      </c>
      <c r="F1229" s="140" t="s">
        <v>3167</v>
      </c>
      <c r="G1229" s="155" t="s">
        <v>529</v>
      </c>
      <c r="H1229" s="155" t="s">
        <v>3167</v>
      </c>
      <c r="I1229" s="155" t="s">
        <v>1259</v>
      </c>
      <c r="J1229" s="269">
        <v>100000000</v>
      </c>
      <c r="K1229" s="155" t="s">
        <v>221</v>
      </c>
      <c r="L1229" s="155">
        <v>2932671</v>
      </c>
      <c r="M1229" s="155" t="s">
        <v>55</v>
      </c>
      <c r="N1229" s="189">
        <v>142</v>
      </c>
      <c r="O1229" s="17">
        <v>100000000</v>
      </c>
      <c r="P1229" s="316"/>
      <c r="Q1229" t="s">
        <v>3586</v>
      </c>
    </row>
    <row r="1230" spans="1:17" ht="43.5" hidden="1" x14ac:dyDescent="0.35">
      <c r="A1230" s="155" t="e">
        <f t="shared" si="20"/>
        <v>#REF!</v>
      </c>
      <c r="B1230" s="140" t="s">
        <v>18</v>
      </c>
      <c r="C1230" s="140" t="s">
        <v>37</v>
      </c>
      <c r="D1230" s="140" t="s">
        <v>1521</v>
      </c>
      <c r="E1230" s="140" t="s">
        <v>3166</v>
      </c>
      <c r="F1230" s="140" t="s">
        <v>3168</v>
      </c>
      <c r="G1230" s="155" t="s">
        <v>529</v>
      </c>
      <c r="H1230" s="155" t="s">
        <v>3169</v>
      </c>
      <c r="I1230" s="155" t="s">
        <v>341</v>
      </c>
      <c r="J1230" s="269">
        <v>100000000</v>
      </c>
      <c r="K1230" s="155" t="s">
        <v>221</v>
      </c>
      <c r="L1230" s="155">
        <v>2941673</v>
      </c>
      <c r="M1230" s="155" t="s">
        <v>55</v>
      </c>
      <c r="N1230" s="189">
        <v>36</v>
      </c>
      <c r="O1230" s="17">
        <v>100000000</v>
      </c>
      <c r="P1230" s="316"/>
      <c r="Q1230" t="s">
        <v>3586</v>
      </c>
    </row>
    <row r="1231" spans="1:17" ht="43.5" hidden="1" x14ac:dyDescent="0.35">
      <c r="A1231" s="155" t="e">
        <f t="shared" si="20"/>
        <v>#REF!</v>
      </c>
      <c r="B1231" s="140" t="s">
        <v>18</v>
      </c>
      <c r="C1231" s="140" t="s">
        <v>37</v>
      </c>
      <c r="D1231" s="140" t="s">
        <v>476</v>
      </c>
      <c r="E1231" s="140" t="s">
        <v>3120</v>
      </c>
      <c r="F1231" s="140" t="s">
        <v>3170</v>
      </c>
      <c r="G1231" s="155" t="s">
        <v>529</v>
      </c>
      <c r="H1231" s="155" t="s">
        <v>3171</v>
      </c>
      <c r="I1231" s="155" t="s">
        <v>1272</v>
      </c>
      <c r="J1231" s="269">
        <v>100000000</v>
      </c>
      <c r="K1231" s="155" t="s">
        <v>221</v>
      </c>
      <c r="L1231" s="155">
        <v>2932266</v>
      </c>
      <c r="M1231" s="155" t="s">
        <v>55</v>
      </c>
      <c r="N1231" s="317">
        <v>450</v>
      </c>
      <c r="O1231" s="13">
        <v>114300000</v>
      </c>
      <c r="P1231" s="305" t="s">
        <v>1955</v>
      </c>
      <c r="Q1231" t="s">
        <v>3586</v>
      </c>
    </row>
    <row r="1232" spans="1:17" ht="43.5" hidden="1" x14ac:dyDescent="0.35">
      <c r="A1232" s="155" t="e">
        <f t="shared" si="20"/>
        <v>#REF!</v>
      </c>
      <c r="B1232" s="140" t="s">
        <v>18</v>
      </c>
      <c r="C1232" s="140" t="s">
        <v>37</v>
      </c>
      <c r="D1232" s="140" t="s">
        <v>1515</v>
      </c>
      <c r="E1232" s="140" t="s">
        <v>1544</v>
      </c>
      <c r="F1232" s="140" t="s">
        <v>3172</v>
      </c>
      <c r="G1232" s="155" t="s">
        <v>529</v>
      </c>
      <c r="H1232" s="155" t="s">
        <v>3173</v>
      </c>
      <c r="I1232" s="155" t="s">
        <v>3174</v>
      </c>
      <c r="J1232" s="269">
        <v>100000000</v>
      </c>
      <c r="K1232" s="155" t="s">
        <v>221</v>
      </c>
      <c r="L1232" s="155">
        <v>2941636</v>
      </c>
      <c r="M1232" s="155" t="s">
        <v>55</v>
      </c>
      <c r="N1232" s="309">
        <v>250</v>
      </c>
      <c r="O1232" s="13">
        <v>100000000</v>
      </c>
      <c r="P1232" s="305"/>
      <c r="Q1232" t="s">
        <v>3564</v>
      </c>
    </row>
    <row r="1233" spans="1:17" ht="43.5" hidden="1" x14ac:dyDescent="0.35">
      <c r="A1233" s="155" t="e">
        <f t="shared" si="20"/>
        <v>#REF!</v>
      </c>
      <c r="B1233" s="140" t="s">
        <v>18</v>
      </c>
      <c r="C1233" s="140" t="s">
        <v>37</v>
      </c>
      <c r="D1233" s="140" t="s">
        <v>476</v>
      </c>
      <c r="E1233" s="140" t="s">
        <v>1544</v>
      </c>
      <c r="F1233" s="140" t="s">
        <v>3175</v>
      </c>
      <c r="G1233" s="155" t="s">
        <v>529</v>
      </c>
      <c r="H1233" s="155" t="s">
        <v>3176</v>
      </c>
      <c r="I1233" s="155" t="s">
        <v>1272</v>
      </c>
      <c r="J1233" s="269">
        <v>100000000</v>
      </c>
      <c r="K1233" s="155" t="s">
        <v>221</v>
      </c>
      <c r="L1233" s="155">
        <v>3258975</v>
      </c>
      <c r="M1233" s="155" t="s">
        <v>55</v>
      </c>
      <c r="N1233" s="309">
        <v>250</v>
      </c>
      <c r="O1233" s="13">
        <v>100000000</v>
      </c>
      <c r="P1233" s="305" t="s">
        <v>1839</v>
      </c>
      <c r="Q1233" t="s">
        <v>3586</v>
      </c>
    </row>
    <row r="1234" spans="1:17" ht="43.5" hidden="1" x14ac:dyDescent="0.35">
      <c r="A1234" s="155" t="e">
        <f t="shared" si="20"/>
        <v>#REF!</v>
      </c>
      <c r="B1234" s="140" t="s">
        <v>18</v>
      </c>
      <c r="C1234" s="140" t="s">
        <v>37</v>
      </c>
      <c r="D1234" s="140" t="s">
        <v>1570</v>
      </c>
      <c r="E1234" s="140" t="s">
        <v>3177</v>
      </c>
      <c r="F1234" s="140" t="s">
        <v>3178</v>
      </c>
      <c r="G1234" s="155" t="s">
        <v>529</v>
      </c>
      <c r="H1234" s="155" t="s">
        <v>3179</v>
      </c>
      <c r="I1234" s="155" t="s">
        <v>341</v>
      </c>
      <c r="J1234" s="269">
        <v>100000000</v>
      </c>
      <c r="K1234" s="155" t="s">
        <v>221</v>
      </c>
      <c r="L1234" s="155">
        <v>2941591</v>
      </c>
      <c r="M1234" s="155" t="s">
        <v>55</v>
      </c>
      <c r="N1234" s="317">
        <v>6.2</v>
      </c>
      <c r="O1234" s="13">
        <v>100000000</v>
      </c>
      <c r="P1234" s="305"/>
      <c r="Q1234" t="s">
        <v>3586</v>
      </c>
    </row>
    <row r="1235" spans="1:17" ht="43.5" hidden="1" x14ac:dyDescent="0.35">
      <c r="A1235" s="155" t="e">
        <f t="shared" si="20"/>
        <v>#REF!</v>
      </c>
      <c r="B1235" s="140" t="s">
        <v>18</v>
      </c>
      <c r="C1235" s="140" t="s">
        <v>37</v>
      </c>
      <c r="D1235" s="140" t="s">
        <v>1570</v>
      </c>
      <c r="E1235" s="140" t="s">
        <v>3177</v>
      </c>
      <c r="F1235" s="140" t="s">
        <v>3180</v>
      </c>
      <c r="G1235" s="155" t="s">
        <v>529</v>
      </c>
      <c r="H1235" s="155" t="s">
        <v>3181</v>
      </c>
      <c r="I1235" s="155" t="s">
        <v>341</v>
      </c>
      <c r="J1235" s="269">
        <v>100000000</v>
      </c>
      <c r="K1235" s="155" t="s">
        <v>221</v>
      </c>
      <c r="L1235" s="155">
        <v>2938397</v>
      </c>
      <c r="M1235" s="155" t="s">
        <v>55</v>
      </c>
      <c r="N1235" s="309">
        <v>35.945363048166783</v>
      </c>
      <c r="O1235" s="13">
        <v>100000000</v>
      </c>
      <c r="P1235" s="305"/>
      <c r="Q1235" t="s">
        <v>3586</v>
      </c>
    </row>
    <row r="1236" spans="1:17" ht="43.5" hidden="1" x14ac:dyDescent="0.35">
      <c r="A1236" s="155" t="e">
        <f t="shared" si="20"/>
        <v>#REF!</v>
      </c>
      <c r="B1236" s="140" t="s">
        <v>18</v>
      </c>
      <c r="C1236" s="140" t="s">
        <v>37</v>
      </c>
      <c r="D1236" s="140" t="s">
        <v>476</v>
      </c>
      <c r="E1236" s="140" t="s">
        <v>3120</v>
      </c>
      <c r="F1236" s="140" t="s">
        <v>3182</v>
      </c>
      <c r="G1236" s="155" t="s">
        <v>529</v>
      </c>
      <c r="H1236" s="155" t="s">
        <v>3183</v>
      </c>
      <c r="I1236" s="155" t="s">
        <v>1272</v>
      </c>
      <c r="J1236" s="269">
        <v>100000000</v>
      </c>
      <c r="K1236" s="155" t="s">
        <v>221</v>
      </c>
      <c r="L1236" s="155">
        <v>2932118</v>
      </c>
      <c r="M1236" s="155" t="s">
        <v>55</v>
      </c>
      <c r="N1236" s="317">
        <v>450</v>
      </c>
      <c r="O1236" s="13">
        <v>114300000</v>
      </c>
      <c r="P1236" s="305" t="s">
        <v>1955</v>
      </c>
      <c r="Q1236" t="s">
        <v>3586</v>
      </c>
    </row>
    <row r="1237" spans="1:17" ht="43.5" hidden="1" x14ac:dyDescent="0.35">
      <c r="A1237" s="155" t="e">
        <f t="shared" si="20"/>
        <v>#REF!</v>
      </c>
      <c r="B1237" s="140" t="s">
        <v>18</v>
      </c>
      <c r="C1237" s="140" t="s">
        <v>37</v>
      </c>
      <c r="D1237" s="140" t="s">
        <v>1521</v>
      </c>
      <c r="E1237" s="140" t="s">
        <v>3166</v>
      </c>
      <c r="F1237" s="140" t="s">
        <v>3184</v>
      </c>
      <c r="G1237" s="155" t="s">
        <v>529</v>
      </c>
      <c r="H1237" s="155" t="s">
        <v>3185</v>
      </c>
      <c r="I1237" s="155" t="s">
        <v>1259</v>
      </c>
      <c r="J1237" s="269">
        <v>100000000</v>
      </c>
      <c r="K1237" s="155" t="s">
        <v>221</v>
      </c>
      <c r="L1237" s="155">
        <v>2933448</v>
      </c>
      <c r="M1237" s="155" t="s">
        <v>55</v>
      </c>
      <c r="N1237" s="189">
        <v>142</v>
      </c>
      <c r="O1237" s="17">
        <f>J1237</f>
        <v>100000000</v>
      </c>
      <c r="P1237" s="316"/>
      <c r="Q1237" t="s">
        <v>3586</v>
      </c>
    </row>
    <row r="1238" spans="1:17" ht="43.5" hidden="1" x14ac:dyDescent="0.35">
      <c r="A1238" s="155" t="e">
        <f t="shared" si="20"/>
        <v>#REF!</v>
      </c>
      <c r="B1238" s="140" t="s">
        <v>18</v>
      </c>
      <c r="C1238" s="140" t="s">
        <v>37</v>
      </c>
      <c r="D1238" s="140" t="s">
        <v>1570</v>
      </c>
      <c r="E1238" s="140" t="s">
        <v>3177</v>
      </c>
      <c r="F1238" s="140" t="s">
        <v>3186</v>
      </c>
      <c r="G1238" s="155" t="s">
        <v>529</v>
      </c>
      <c r="H1238" s="155" t="s">
        <v>3187</v>
      </c>
      <c r="I1238" s="155" t="s">
        <v>341</v>
      </c>
      <c r="J1238" s="269">
        <v>100000000</v>
      </c>
      <c r="K1238" s="155" t="s">
        <v>221</v>
      </c>
      <c r="L1238" s="155">
        <v>2940416</v>
      </c>
      <c r="M1238" s="155" t="s">
        <v>55</v>
      </c>
      <c r="N1238" s="309">
        <v>35.945363048166783</v>
      </c>
      <c r="O1238" s="13">
        <v>100000000</v>
      </c>
      <c r="P1238" s="305"/>
      <c r="Q1238" t="s">
        <v>3586</v>
      </c>
    </row>
    <row r="1239" spans="1:17" ht="43.5" hidden="1" x14ac:dyDescent="0.35">
      <c r="A1239" s="155" t="e">
        <f t="shared" si="20"/>
        <v>#REF!</v>
      </c>
      <c r="B1239" s="140" t="s">
        <v>18</v>
      </c>
      <c r="C1239" s="140" t="s">
        <v>37</v>
      </c>
      <c r="D1239" s="140" t="s">
        <v>1515</v>
      </c>
      <c r="E1239" s="140" t="s">
        <v>1544</v>
      </c>
      <c r="F1239" s="140" t="s">
        <v>3188</v>
      </c>
      <c r="G1239" s="155" t="s">
        <v>529</v>
      </c>
      <c r="H1239" s="155" t="s">
        <v>3189</v>
      </c>
      <c r="I1239" s="155" t="s">
        <v>1272</v>
      </c>
      <c r="J1239" s="269">
        <v>100000000</v>
      </c>
      <c r="K1239" s="155" t="s">
        <v>221</v>
      </c>
      <c r="L1239" s="155">
        <v>2940883</v>
      </c>
      <c r="M1239" s="155" t="s">
        <v>55</v>
      </c>
      <c r="N1239" s="309">
        <v>250</v>
      </c>
      <c r="O1239" s="13">
        <v>100000000</v>
      </c>
      <c r="P1239" s="305"/>
      <c r="Q1239" t="s">
        <v>3564</v>
      </c>
    </row>
    <row r="1240" spans="1:17" ht="43.5" hidden="1" x14ac:dyDescent="0.35">
      <c r="A1240" s="155" t="e">
        <f t="shared" si="20"/>
        <v>#REF!</v>
      </c>
      <c r="B1240" s="140" t="s">
        <v>18</v>
      </c>
      <c r="C1240" s="140" t="s">
        <v>37</v>
      </c>
      <c r="D1240" s="140" t="s">
        <v>1521</v>
      </c>
      <c r="E1240" s="140" t="s">
        <v>3190</v>
      </c>
      <c r="F1240" s="140" t="s">
        <v>3191</v>
      </c>
      <c r="G1240" s="155" t="s">
        <v>529</v>
      </c>
      <c r="H1240" s="155" t="s">
        <v>3192</v>
      </c>
      <c r="I1240" s="155" t="s">
        <v>1259</v>
      </c>
      <c r="J1240" s="269">
        <v>100000000</v>
      </c>
      <c r="K1240" s="155" t="s">
        <v>221</v>
      </c>
      <c r="L1240" s="155">
        <v>2937948</v>
      </c>
      <c r="M1240" s="155" t="s">
        <v>55</v>
      </c>
      <c r="N1240" s="189">
        <v>14</v>
      </c>
      <c r="O1240" s="17">
        <f>J1240</f>
        <v>100000000</v>
      </c>
      <c r="P1240" s="316"/>
      <c r="Q1240" t="s">
        <v>3586</v>
      </c>
    </row>
    <row r="1241" spans="1:17" ht="43.5" hidden="1" x14ac:dyDescent="0.35">
      <c r="A1241" s="155" t="e">
        <f t="shared" si="20"/>
        <v>#REF!</v>
      </c>
      <c r="B1241" s="140" t="s">
        <v>18</v>
      </c>
      <c r="C1241" s="140" t="s">
        <v>37</v>
      </c>
      <c r="D1241" s="140" t="s">
        <v>1515</v>
      </c>
      <c r="E1241" s="140" t="s">
        <v>1872</v>
      </c>
      <c r="F1241" s="140" t="s">
        <v>297</v>
      </c>
      <c r="G1241" s="155" t="s">
        <v>52</v>
      </c>
      <c r="H1241" s="155" t="s">
        <v>3193</v>
      </c>
      <c r="I1241" s="155" t="s">
        <v>2128</v>
      </c>
      <c r="J1241" s="269">
        <v>100000000</v>
      </c>
      <c r="K1241" s="155" t="s">
        <v>221</v>
      </c>
      <c r="L1241" s="155">
        <v>2959802</v>
      </c>
      <c r="M1241" s="155" t="s">
        <v>55</v>
      </c>
      <c r="N1241" s="155">
        <v>450</v>
      </c>
      <c r="O1241" s="13">
        <v>114300000</v>
      </c>
      <c r="P1241" s="305"/>
      <c r="Q1241" t="s">
        <v>3564</v>
      </c>
    </row>
    <row r="1242" spans="1:17" ht="43.5" hidden="1" x14ac:dyDescent="0.35">
      <c r="A1242" s="155" t="e">
        <f t="shared" si="20"/>
        <v>#REF!</v>
      </c>
      <c r="B1242" s="140" t="s">
        <v>18</v>
      </c>
      <c r="C1242" s="140" t="s">
        <v>37</v>
      </c>
      <c r="D1242" s="140" t="s">
        <v>1515</v>
      </c>
      <c r="E1242" s="140" t="s">
        <v>3194</v>
      </c>
      <c r="F1242" s="140" t="s">
        <v>297</v>
      </c>
      <c r="G1242" s="155" t="s">
        <v>52</v>
      </c>
      <c r="H1242" s="155" t="s">
        <v>3195</v>
      </c>
      <c r="I1242" s="155" t="s">
        <v>341</v>
      </c>
      <c r="J1242" s="269">
        <v>100000000</v>
      </c>
      <c r="K1242" s="155" t="s">
        <v>221</v>
      </c>
      <c r="L1242" s="155">
        <v>2948470</v>
      </c>
      <c r="M1242" s="155" t="s">
        <v>55</v>
      </c>
      <c r="N1242" s="155">
        <v>450</v>
      </c>
      <c r="O1242" s="13">
        <v>114300000</v>
      </c>
      <c r="P1242" s="305" t="s">
        <v>3196</v>
      </c>
      <c r="Q1242" t="s">
        <v>3564</v>
      </c>
    </row>
    <row r="1243" spans="1:17" ht="43.5" hidden="1" x14ac:dyDescent="0.35">
      <c r="A1243" s="155" t="e">
        <f t="shared" si="20"/>
        <v>#REF!</v>
      </c>
      <c r="B1243" s="140" t="s">
        <v>18</v>
      </c>
      <c r="C1243" s="140" t="s">
        <v>37</v>
      </c>
      <c r="D1243" s="140" t="s">
        <v>1634</v>
      </c>
      <c r="E1243" s="140" t="s">
        <v>2054</v>
      </c>
      <c r="F1243" s="140" t="s">
        <v>297</v>
      </c>
      <c r="G1243" s="155" t="s">
        <v>52</v>
      </c>
      <c r="H1243" s="155" t="s">
        <v>3197</v>
      </c>
      <c r="I1243" s="155" t="s">
        <v>305</v>
      </c>
      <c r="J1243" s="269">
        <v>100000000</v>
      </c>
      <c r="K1243" s="155" t="s">
        <v>221</v>
      </c>
      <c r="L1243" s="155">
        <v>2948512</v>
      </c>
      <c r="M1243" s="155" t="s">
        <v>55</v>
      </c>
      <c r="N1243" s="155">
        <v>3</v>
      </c>
      <c r="O1243" s="13">
        <v>105000000</v>
      </c>
      <c r="P1243" s="305"/>
      <c r="Q1243" t="s">
        <v>3564</v>
      </c>
    </row>
    <row r="1244" spans="1:17" ht="43.5" hidden="1" x14ac:dyDescent="0.35">
      <c r="A1244" s="155" t="e">
        <f t="shared" si="20"/>
        <v>#REF!</v>
      </c>
      <c r="B1244" s="140" t="s">
        <v>18</v>
      </c>
      <c r="C1244" s="140" t="s">
        <v>37</v>
      </c>
      <c r="D1244" s="140" t="s">
        <v>1515</v>
      </c>
      <c r="E1244" s="140" t="s">
        <v>3194</v>
      </c>
      <c r="F1244" s="140" t="s">
        <v>297</v>
      </c>
      <c r="G1244" s="155" t="s">
        <v>52</v>
      </c>
      <c r="H1244" s="155" t="s">
        <v>3198</v>
      </c>
      <c r="I1244" s="155" t="s">
        <v>1213</v>
      </c>
      <c r="J1244" s="269">
        <v>100000000</v>
      </c>
      <c r="K1244" s="155" t="s">
        <v>221</v>
      </c>
      <c r="L1244" s="155">
        <v>2943056</v>
      </c>
      <c r="M1244" s="155" t="s">
        <v>55</v>
      </c>
      <c r="N1244" s="155">
        <v>450</v>
      </c>
      <c r="O1244" s="13">
        <v>114300000</v>
      </c>
      <c r="P1244" s="305"/>
      <c r="Q1244" t="s">
        <v>3564</v>
      </c>
    </row>
    <row r="1245" spans="1:17" ht="43.5" hidden="1" x14ac:dyDescent="0.35">
      <c r="A1245" s="155" t="e">
        <f t="shared" si="20"/>
        <v>#REF!</v>
      </c>
      <c r="B1245" s="140" t="s">
        <v>18</v>
      </c>
      <c r="C1245" s="140" t="s">
        <v>37</v>
      </c>
      <c r="D1245" s="140" t="s">
        <v>1515</v>
      </c>
      <c r="E1245" s="140" t="s">
        <v>1610</v>
      </c>
      <c r="F1245" s="140" t="s">
        <v>297</v>
      </c>
      <c r="G1245" s="155" t="s">
        <v>52</v>
      </c>
      <c r="H1245" s="155" t="s">
        <v>3199</v>
      </c>
      <c r="I1245" s="155" t="s">
        <v>2388</v>
      </c>
      <c r="J1245" s="269">
        <v>100000000</v>
      </c>
      <c r="K1245" s="155" t="s">
        <v>221</v>
      </c>
      <c r="L1245" s="155">
        <v>2958821</v>
      </c>
      <c r="M1245" s="155" t="s">
        <v>55</v>
      </c>
      <c r="N1245" s="155">
        <v>450</v>
      </c>
      <c r="O1245" s="13">
        <v>114300000</v>
      </c>
      <c r="P1245" s="305"/>
      <c r="Q1245" t="s">
        <v>3564</v>
      </c>
    </row>
    <row r="1246" spans="1:17" ht="43.5" hidden="1" x14ac:dyDescent="0.35">
      <c r="A1246" s="155" t="e">
        <f t="shared" si="20"/>
        <v>#REF!</v>
      </c>
      <c r="B1246" s="140" t="s">
        <v>18</v>
      </c>
      <c r="C1246" s="140" t="s">
        <v>37</v>
      </c>
      <c r="D1246" s="140" t="s">
        <v>1634</v>
      </c>
      <c r="E1246" s="140" t="s">
        <v>2054</v>
      </c>
      <c r="F1246" s="140" t="s">
        <v>297</v>
      </c>
      <c r="G1246" s="155" t="s">
        <v>52</v>
      </c>
      <c r="H1246" s="155" t="s">
        <v>3200</v>
      </c>
      <c r="I1246" s="155" t="s">
        <v>2330</v>
      </c>
      <c r="J1246" s="269">
        <v>100000000</v>
      </c>
      <c r="K1246" s="155" t="s">
        <v>221</v>
      </c>
      <c r="L1246" s="155">
        <v>2962528</v>
      </c>
      <c r="M1246" s="155" t="s">
        <v>55</v>
      </c>
      <c r="N1246" s="155">
        <v>3</v>
      </c>
      <c r="O1246" s="13">
        <v>105000000</v>
      </c>
      <c r="P1246" s="305"/>
      <c r="Q1246" t="s">
        <v>3564</v>
      </c>
    </row>
    <row r="1247" spans="1:17" ht="43.5" hidden="1" x14ac:dyDescent="0.35">
      <c r="A1247" s="155" t="e">
        <f t="shared" si="20"/>
        <v>#REF!</v>
      </c>
      <c r="B1247" s="140" t="s">
        <v>18</v>
      </c>
      <c r="C1247" s="140" t="s">
        <v>37</v>
      </c>
      <c r="D1247" s="140" t="s">
        <v>1521</v>
      </c>
      <c r="E1247" s="140" t="s">
        <v>1610</v>
      </c>
      <c r="F1247" s="140" t="s">
        <v>297</v>
      </c>
      <c r="G1247" s="155" t="s">
        <v>52</v>
      </c>
      <c r="H1247" s="155" t="s">
        <v>3201</v>
      </c>
      <c r="I1247" s="155">
        <v>450</v>
      </c>
      <c r="J1247" s="269">
        <v>100000000</v>
      </c>
      <c r="K1247" s="155" t="s">
        <v>221</v>
      </c>
      <c r="L1247" s="155" t="s">
        <v>62</v>
      </c>
      <c r="M1247" s="155" t="s">
        <v>55</v>
      </c>
      <c r="N1247" s="155">
        <v>450</v>
      </c>
      <c r="O1247" s="13">
        <v>114300000</v>
      </c>
      <c r="P1247" s="305" t="s">
        <v>3196</v>
      </c>
      <c r="Q1247" t="s">
        <v>3586</v>
      </c>
    </row>
    <row r="1248" spans="1:17" ht="43.5" hidden="1" x14ac:dyDescent="0.35">
      <c r="A1248" s="155" t="e">
        <f t="shared" si="20"/>
        <v>#REF!</v>
      </c>
      <c r="B1248" s="140" t="s">
        <v>18</v>
      </c>
      <c r="C1248" s="140" t="s">
        <v>37</v>
      </c>
      <c r="D1248" s="140" t="s">
        <v>1634</v>
      </c>
      <c r="E1248" s="140" t="s">
        <v>3202</v>
      </c>
      <c r="F1248" s="140" t="s">
        <v>297</v>
      </c>
      <c r="G1248" s="155" t="s">
        <v>52</v>
      </c>
      <c r="H1248" s="155" t="s">
        <v>3203</v>
      </c>
      <c r="I1248" s="155" t="s">
        <v>366</v>
      </c>
      <c r="J1248" s="269">
        <v>100000000</v>
      </c>
      <c r="K1248" s="155" t="s">
        <v>221</v>
      </c>
      <c r="L1248" s="155">
        <v>3258812</v>
      </c>
      <c r="M1248" s="155" t="s">
        <v>55</v>
      </c>
      <c r="N1248" s="155">
        <v>3</v>
      </c>
      <c r="O1248" s="13">
        <v>105000000</v>
      </c>
      <c r="P1248" s="305" t="s">
        <v>3204</v>
      </c>
      <c r="Q1248" t="s">
        <v>3564</v>
      </c>
    </row>
    <row r="1249" spans="1:17" ht="43.5" hidden="1" x14ac:dyDescent="0.35">
      <c r="A1249" s="155" t="e">
        <f t="shared" si="20"/>
        <v>#REF!</v>
      </c>
      <c r="B1249" s="140" t="s">
        <v>18</v>
      </c>
      <c r="C1249" s="140" t="s">
        <v>37</v>
      </c>
      <c r="D1249" s="140" t="s">
        <v>1515</v>
      </c>
      <c r="E1249" s="140" t="s">
        <v>1610</v>
      </c>
      <c r="F1249" s="140" t="s">
        <v>297</v>
      </c>
      <c r="G1249" s="155" t="s">
        <v>52</v>
      </c>
      <c r="H1249" s="155" t="s">
        <v>3205</v>
      </c>
      <c r="I1249" s="155" t="s">
        <v>1272</v>
      </c>
      <c r="J1249" s="269">
        <v>100000000</v>
      </c>
      <c r="K1249" s="155" t="s">
        <v>221</v>
      </c>
      <c r="L1249" s="155">
        <v>2963769</v>
      </c>
      <c r="M1249" s="155" t="s">
        <v>55</v>
      </c>
      <c r="N1249" s="155">
        <v>450</v>
      </c>
      <c r="O1249" s="13">
        <v>114300000</v>
      </c>
      <c r="P1249" s="305"/>
      <c r="Q1249" t="s">
        <v>3564</v>
      </c>
    </row>
    <row r="1250" spans="1:17" ht="43.5" hidden="1" x14ac:dyDescent="0.35">
      <c r="A1250" s="155" t="e">
        <f t="shared" si="20"/>
        <v>#REF!</v>
      </c>
      <c r="B1250" s="140" t="s">
        <v>18</v>
      </c>
      <c r="C1250" s="140" t="s">
        <v>37</v>
      </c>
      <c r="D1250" s="140" t="s">
        <v>1515</v>
      </c>
      <c r="E1250" s="140" t="s">
        <v>1610</v>
      </c>
      <c r="F1250" s="140" t="s">
        <v>297</v>
      </c>
      <c r="G1250" s="155" t="s">
        <v>52</v>
      </c>
      <c r="H1250" s="155" t="s">
        <v>3206</v>
      </c>
      <c r="I1250" s="155" t="s">
        <v>1272</v>
      </c>
      <c r="J1250" s="269">
        <v>100000000</v>
      </c>
      <c r="K1250" s="155" t="s">
        <v>221</v>
      </c>
      <c r="L1250" s="155">
        <v>2949434</v>
      </c>
      <c r="M1250" s="155" t="s">
        <v>55</v>
      </c>
      <c r="N1250" s="155">
        <v>450</v>
      </c>
      <c r="O1250" s="13">
        <v>114300000</v>
      </c>
      <c r="P1250" s="305"/>
      <c r="Q1250" t="s">
        <v>3564</v>
      </c>
    </row>
    <row r="1251" spans="1:17" ht="43.5" hidden="1" x14ac:dyDescent="0.35">
      <c r="A1251" s="155" t="e">
        <f t="shared" si="20"/>
        <v>#REF!</v>
      </c>
      <c r="B1251" s="140" t="s">
        <v>18</v>
      </c>
      <c r="C1251" s="140" t="s">
        <v>37</v>
      </c>
      <c r="D1251" s="140" t="s">
        <v>1634</v>
      </c>
      <c r="E1251" s="140" t="s">
        <v>2054</v>
      </c>
      <c r="F1251" s="140" t="s">
        <v>3207</v>
      </c>
      <c r="G1251" s="155" t="s">
        <v>52</v>
      </c>
      <c r="H1251" s="155" t="s">
        <v>3208</v>
      </c>
      <c r="I1251" s="155" t="s">
        <v>95</v>
      </c>
      <c r="J1251" s="269">
        <v>100000000</v>
      </c>
      <c r="K1251" s="155" t="s">
        <v>221</v>
      </c>
      <c r="L1251" s="155">
        <v>2963455</v>
      </c>
      <c r="M1251" s="155" t="s">
        <v>55</v>
      </c>
      <c r="N1251" s="155">
        <v>3</v>
      </c>
      <c r="O1251" s="13">
        <v>105000000</v>
      </c>
      <c r="P1251" s="305"/>
      <c r="Q1251" t="s">
        <v>3564</v>
      </c>
    </row>
    <row r="1252" spans="1:17" ht="43.5" hidden="1" x14ac:dyDescent="0.35">
      <c r="A1252" s="155" t="e">
        <f t="shared" si="20"/>
        <v>#REF!</v>
      </c>
      <c r="B1252" s="140" t="s">
        <v>18</v>
      </c>
      <c r="C1252" s="140" t="s">
        <v>37</v>
      </c>
      <c r="D1252" s="140" t="s">
        <v>1515</v>
      </c>
      <c r="E1252" s="140" t="s">
        <v>1610</v>
      </c>
      <c r="F1252" s="140" t="s">
        <v>2378</v>
      </c>
      <c r="G1252" s="155" t="s">
        <v>52</v>
      </c>
      <c r="H1252" s="155" t="s">
        <v>3209</v>
      </c>
      <c r="I1252" s="155" t="s">
        <v>2128</v>
      </c>
      <c r="J1252" s="269">
        <v>100000000</v>
      </c>
      <c r="K1252" s="155" t="s">
        <v>221</v>
      </c>
      <c r="L1252" s="155">
        <v>2961370</v>
      </c>
      <c r="M1252" s="155" t="s">
        <v>55</v>
      </c>
      <c r="N1252" s="155">
        <v>450</v>
      </c>
      <c r="O1252" s="13">
        <v>114300000</v>
      </c>
      <c r="P1252" s="305"/>
      <c r="Q1252" t="s">
        <v>3564</v>
      </c>
    </row>
    <row r="1253" spans="1:17" ht="43.5" hidden="1" x14ac:dyDescent="0.35">
      <c r="A1253" s="155" t="e">
        <f t="shared" si="20"/>
        <v>#REF!</v>
      </c>
      <c r="B1253" s="140" t="s">
        <v>18</v>
      </c>
      <c r="C1253" s="140" t="s">
        <v>37</v>
      </c>
      <c r="D1253" s="140" t="s">
        <v>1515</v>
      </c>
      <c r="E1253" s="140" t="s">
        <v>1610</v>
      </c>
      <c r="F1253" s="140" t="s">
        <v>2378</v>
      </c>
      <c r="G1253" s="155" t="s">
        <v>52</v>
      </c>
      <c r="H1253" s="155" t="s">
        <v>3210</v>
      </c>
      <c r="I1253" s="155" t="s">
        <v>1272</v>
      </c>
      <c r="J1253" s="269">
        <v>100000000</v>
      </c>
      <c r="K1253" s="155" t="s">
        <v>221</v>
      </c>
      <c r="L1253" s="155">
        <v>2798311</v>
      </c>
      <c r="M1253" s="155" t="s">
        <v>55</v>
      </c>
      <c r="N1253" s="155">
        <v>450</v>
      </c>
      <c r="O1253" s="13">
        <v>114300000</v>
      </c>
      <c r="P1253" s="305"/>
      <c r="Q1253" t="s">
        <v>3564</v>
      </c>
    </row>
    <row r="1254" spans="1:17" ht="43.5" hidden="1" x14ac:dyDescent="0.35">
      <c r="A1254" s="155" t="e">
        <f t="shared" si="20"/>
        <v>#REF!</v>
      </c>
      <c r="B1254" s="140" t="s">
        <v>18</v>
      </c>
      <c r="C1254" s="140" t="s">
        <v>37</v>
      </c>
      <c r="D1254" s="140" t="s">
        <v>1515</v>
      </c>
      <c r="E1254" s="140" t="s">
        <v>1610</v>
      </c>
      <c r="F1254" s="140"/>
      <c r="G1254" s="155" t="s">
        <v>52</v>
      </c>
      <c r="H1254" s="155" t="s">
        <v>3211</v>
      </c>
      <c r="I1254" s="155" t="s">
        <v>3212</v>
      </c>
      <c r="J1254" s="269">
        <v>100000000</v>
      </c>
      <c r="K1254" s="155" t="s">
        <v>221</v>
      </c>
      <c r="L1254" s="155">
        <v>2963239</v>
      </c>
      <c r="M1254" s="155" t="s">
        <v>55</v>
      </c>
      <c r="N1254" s="155">
        <v>450</v>
      </c>
      <c r="O1254" s="13">
        <v>114300000</v>
      </c>
      <c r="P1254" s="305"/>
      <c r="Q1254" t="s">
        <v>3564</v>
      </c>
    </row>
    <row r="1255" spans="1:17" ht="43.5" hidden="1" x14ac:dyDescent="0.35">
      <c r="A1255" s="155" t="e">
        <f t="shared" si="20"/>
        <v>#REF!</v>
      </c>
      <c r="B1255" s="140" t="s">
        <v>18</v>
      </c>
      <c r="C1255" s="140" t="s">
        <v>37</v>
      </c>
      <c r="D1255" s="140" t="s">
        <v>476</v>
      </c>
      <c r="E1255" s="140" t="s">
        <v>1610</v>
      </c>
      <c r="F1255" s="140" t="s">
        <v>2378</v>
      </c>
      <c r="G1255" s="155" t="s">
        <v>52</v>
      </c>
      <c r="H1255" s="155" t="s">
        <v>3213</v>
      </c>
      <c r="I1255" s="155" t="s">
        <v>2128</v>
      </c>
      <c r="J1255" s="269">
        <v>100000000</v>
      </c>
      <c r="K1255" s="155" t="s">
        <v>221</v>
      </c>
      <c r="L1255" s="155">
        <v>2794511</v>
      </c>
      <c r="M1255" s="155" t="s">
        <v>55</v>
      </c>
      <c r="N1255" s="155">
        <v>450</v>
      </c>
      <c r="O1255" s="13">
        <v>114300000</v>
      </c>
      <c r="P1255" s="305" t="s">
        <v>1839</v>
      </c>
      <c r="Q1255" t="s">
        <v>3586</v>
      </c>
    </row>
    <row r="1256" spans="1:17" ht="43.5" hidden="1" x14ac:dyDescent="0.35">
      <c r="A1256" s="155" t="e">
        <f t="shared" si="20"/>
        <v>#REF!</v>
      </c>
      <c r="B1256" s="140" t="s">
        <v>18</v>
      </c>
      <c r="C1256" s="140" t="s">
        <v>37</v>
      </c>
      <c r="D1256" s="140" t="s">
        <v>1570</v>
      </c>
      <c r="E1256" s="140" t="s">
        <v>1221</v>
      </c>
      <c r="F1256" s="140" t="s">
        <v>2378</v>
      </c>
      <c r="G1256" s="155" t="s">
        <v>52</v>
      </c>
      <c r="H1256" s="155" t="s">
        <v>3214</v>
      </c>
      <c r="I1256" s="155" t="s">
        <v>341</v>
      </c>
      <c r="J1256" s="269">
        <v>100000000</v>
      </c>
      <c r="K1256" s="155" t="s">
        <v>221</v>
      </c>
      <c r="L1256" s="155">
        <v>2960270</v>
      </c>
      <c r="M1256" s="155" t="s">
        <v>55</v>
      </c>
      <c r="N1256" s="155">
        <v>40</v>
      </c>
      <c r="O1256" s="13">
        <v>111280000</v>
      </c>
      <c r="P1256" s="305"/>
      <c r="Q1256" t="s">
        <v>3586</v>
      </c>
    </row>
    <row r="1257" spans="1:17" ht="43.5" hidden="1" x14ac:dyDescent="0.35">
      <c r="A1257" s="155" t="e">
        <f t="shared" si="20"/>
        <v>#REF!</v>
      </c>
      <c r="B1257" s="140" t="s">
        <v>18</v>
      </c>
      <c r="C1257" s="140" t="s">
        <v>37</v>
      </c>
      <c r="D1257" s="140" t="s">
        <v>1515</v>
      </c>
      <c r="E1257" s="140" t="s">
        <v>3194</v>
      </c>
      <c r="F1257" s="140" t="s">
        <v>2378</v>
      </c>
      <c r="G1257" s="155" t="s">
        <v>52</v>
      </c>
      <c r="H1257" s="155" t="s">
        <v>3215</v>
      </c>
      <c r="I1257" s="155" t="s">
        <v>1272</v>
      </c>
      <c r="J1257" s="269">
        <v>100000000</v>
      </c>
      <c r="K1257" s="155" t="s">
        <v>221</v>
      </c>
      <c r="L1257" s="155">
        <v>2967821</v>
      </c>
      <c r="M1257" s="155" t="s">
        <v>55</v>
      </c>
      <c r="N1257" s="155">
        <v>450</v>
      </c>
      <c r="O1257" s="13">
        <v>114300000</v>
      </c>
      <c r="P1257" s="305"/>
      <c r="Q1257" t="s">
        <v>3564</v>
      </c>
    </row>
    <row r="1258" spans="1:17" ht="43.5" hidden="1" x14ac:dyDescent="0.35">
      <c r="A1258" s="155" t="e">
        <f t="shared" si="20"/>
        <v>#REF!</v>
      </c>
      <c r="B1258" s="140" t="s">
        <v>18</v>
      </c>
      <c r="C1258" s="140" t="s">
        <v>37</v>
      </c>
      <c r="D1258" s="140" t="s">
        <v>1515</v>
      </c>
      <c r="E1258" s="140" t="s">
        <v>3194</v>
      </c>
      <c r="F1258" s="140" t="s">
        <v>297</v>
      </c>
      <c r="G1258" s="155" t="s">
        <v>52</v>
      </c>
      <c r="H1258" s="155" t="s">
        <v>3216</v>
      </c>
      <c r="I1258" s="155" t="s">
        <v>1272</v>
      </c>
      <c r="J1258" s="269">
        <v>100000000</v>
      </c>
      <c r="K1258" s="155" t="s">
        <v>221</v>
      </c>
      <c r="L1258" s="155">
        <v>2959588</v>
      </c>
      <c r="M1258" s="155" t="s">
        <v>55</v>
      </c>
      <c r="N1258" s="155">
        <v>450</v>
      </c>
      <c r="O1258" s="13">
        <v>114300000</v>
      </c>
      <c r="P1258" s="305"/>
      <c r="Q1258" t="s">
        <v>3564</v>
      </c>
    </row>
    <row r="1259" spans="1:17" ht="43.5" hidden="1" x14ac:dyDescent="0.35">
      <c r="A1259" s="155" t="e">
        <f t="shared" si="20"/>
        <v>#REF!</v>
      </c>
      <c r="B1259" s="140" t="s">
        <v>18</v>
      </c>
      <c r="C1259" s="140" t="s">
        <v>37</v>
      </c>
      <c r="D1259" s="140" t="s">
        <v>1515</v>
      </c>
      <c r="E1259" s="140" t="s">
        <v>3194</v>
      </c>
      <c r="F1259" s="140" t="s">
        <v>297</v>
      </c>
      <c r="G1259" s="155" t="s">
        <v>52</v>
      </c>
      <c r="H1259" s="155" t="s">
        <v>3217</v>
      </c>
      <c r="I1259" s="155" t="s">
        <v>1213</v>
      </c>
      <c r="J1259" s="269">
        <v>100000000</v>
      </c>
      <c r="K1259" s="155" t="s">
        <v>221</v>
      </c>
      <c r="L1259" s="155" t="s">
        <v>62</v>
      </c>
      <c r="M1259" s="155" t="s">
        <v>55</v>
      </c>
      <c r="N1259" s="155">
        <v>450</v>
      </c>
      <c r="O1259" s="13">
        <v>114300000</v>
      </c>
      <c r="P1259" s="305" t="s">
        <v>275</v>
      </c>
      <c r="Q1259" t="s">
        <v>3564</v>
      </c>
    </row>
    <row r="1260" spans="1:17" ht="43.5" hidden="1" x14ac:dyDescent="0.35">
      <c r="A1260" s="155" t="e">
        <f t="shared" si="20"/>
        <v>#REF!</v>
      </c>
      <c r="B1260" s="140" t="s">
        <v>18</v>
      </c>
      <c r="C1260" s="140" t="s">
        <v>37</v>
      </c>
      <c r="D1260" s="140" t="s">
        <v>1515</v>
      </c>
      <c r="E1260" s="140" t="s">
        <v>3194</v>
      </c>
      <c r="F1260" s="140" t="s">
        <v>297</v>
      </c>
      <c r="G1260" s="155" t="s">
        <v>52</v>
      </c>
      <c r="H1260" s="155" t="s">
        <v>3218</v>
      </c>
      <c r="I1260" s="155" t="s">
        <v>1213</v>
      </c>
      <c r="J1260" s="269">
        <v>100000000</v>
      </c>
      <c r="K1260" s="155" t="s">
        <v>221</v>
      </c>
      <c r="L1260" s="318">
        <v>2943182</v>
      </c>
      <c r="M1260" s="155" t="s">
        <v>55</v>
      </c>
      <c r="N1260" s="155">
        <v>450</v>
      </c>
      <c r="O1260" s="13">
        <v>114300000</v>
      </c>
      <c r="P1260" s="305"/>
      <c r="Q1260" t="s">
        <v>3564</v>
      </c>
    </row>
    <row r="1261" spans="1:17" ht="43.5" hidden="1" x14ac:dyDescent="0.35">
      <c r="A1261" s="155" t="e">
        <f t="shared" si="20"/>
        <v>#REF!</v>
      </c>
      <c r="B1261" s="140" t="s">
        <v>18</v>
      </c>
      <c r="C1261" s="140" t="s">
        <v>37</v>
      </c>
      <c r="D1261" s="140" t="s">
        <v>1634</v>
      </c>
      <c r="E1261" s="140" t="s">
        <v>2054</v>
      </c>
      <c r="F1261" s="140" t="s">
        <v>3219</v>
      </c>
      <c r="G1261" s="155" t="s">
        <v>52</v>
      </c>
      <c r="H1261" s="155" t="s">
        <v>3220</v>
      </c>
      <c r="I1261" s="155" t="s">
        <v>366</v>
      </c>
      <c r="J1261" s="269">
        <v>100000000</v>
      </c>
      <c r="K1261" s="155" t="s">
        <v>221</v>
      </c>
      <c r="L1261" s="155">
        <v>2945416</v>
      </c>
      <c r="M1261" s="155" t="s">
        <v>55</v>
      </c>
      <c r="N1261" s="155">
        <v>3</v>
      </c>
      <c r="O1261" s="13">
        <v>105000000</v>
      </c>
      <c r="P1261" s="305"/>
      <c r="Q1261" t="s">
        <v>3564</v>
      </c>
    </row>
    <row r="1262" spans="1:17" ht="43.5" hidden="1" x14ac:dyDescent="0.35">
      <c r="A1262" s="155" t="e">
        <f t="shared" si="20"/>
        <v>#REF!</v>
      </c>
      <c r="B1262" s="140" t="s">
        <v>18</v>
      </c>
      <c r="C1262" s="140" t="s">
        <v>37</v>
      </c>
      <c r="D1262" s="140" t="s">
        <v>1515</v>
      </c>
      <c r="E1262" s="140" t="s">
        <v>1544</v>
      </c>
      <c r="F1262" s="140" t="s">
        <v>3221</v>
      </c>
      <c r="G1262" s="155" t="s">
        <v>3222</v>
      </c>
      <c r="H1262" s="155" t="s">
        <v>3223</v>
      </c>
      <c r="I1262" s="155" t="s">
        <v>1272</v>
      </c>
      <c r="J1262" s="269">
        <v>100000000</v>
      </c>
      <c r="K1262" s="155" t="s">
        <v>221</v>
      </c>
      <c r="L1262" s="155">
        <v>2966107</v>
      </c>
      <c r="M1262" s="155" t="s">
        <v>55</v>
      </c>
      <c r="N1262" s="155">
        <v>450</v>
      </c>
      <c r="O1262" s="13">
        <v>114300000</v>
      </c>
      <c r="P1262" s="305"/>
      <c r="Q1262" t="s">
        <v>3564</v>
      </c>
    </row>
    <row r="1263" spans="1:17" ht="43.5" hidden="1" x14ac:dyDescent="0.35">
      <c r="A1263" s="155" t="e">
        <f t="shared" si="20"/>
        <v>#REF!</v>
      </c>
      <c r="B1263" s="140" t="s">
        <v>18</v>
      </c>
      <c r="C1263" s="140" t="s">
        <v>37</v>
      </c>
      <c r="D1263" s="140" t="s">
        <v>1515</v>
      </c>
      <c r="E1263" s="140" t="s">
        <v>1544</v>
      </c>
      <c r="F1263" s="140" t="s">
        <v>3224</v>
      </c>
      <c r="G1263" s="155" t="s">
        <v>3222</v>
      </c>
      <c r="H1263" s="155" t="s">
        <v>3225</v>
      </c>
      <c r="I1263" s="155" t="s">
        <v>1272</v>
      </c>
      <c r="J1263" s="269">
        <v>100000000</v>
      </c>
      <c r="K1263" s="155" t="s">
        <v>221</v>
      </c>
      <c r="L1263" s="155">
        <v>2978173</v>
      </c>
      <c r="M1263" s="155" t="s">
        <v>55</v>
      </c>
      <c r="N1263" s="155">
        <v>450</v>
      </c>
      <c r="O1263" s="13">
        <v>114300000</v>
      </c>
      <c r="P1263" s="311">
        <v>2.82</v>
      </c>
      <c r="Q1263" t="s">
        <v>3564</v>
      </c>
    </row>
    <row r="1264" spans="1:17" ht="43.5" hidden="1" x14ac:dyDescent="0.35">
      <c r="A1264" s="155" t="e">
        <f t="shared" ref="A1264:A1271" si="21">A1263+1</f>
        <v>#REF!</v>
      </c>
      <c r="B1264" s="140" t="s">
        <v>18</v>
      </c>
      <c r="C1264" s="140" t="s">
        <v>37</v>
      </c>
      <c r="D1264" s="140" t="s">
        <v>1521</v>
      </c>
      <c r="E1264" s="140" t="s">
        <v>3177</v>
      </c>
      <c r="F1264" s="140" t="s">
        <v>3226</v>
      </c>
      <c r="G1264" s="155" t="s">
        <v>3222</v>
      </c>
      <c r="H1264" s="155" t="s">
        <v>3227</v>
      </c>
      <c r="I1264" s="155" t="s">
        <v>341</v>
      </c>
      <c r="J1264" s="269">
        <v>100000000</v>
      </c>
      <c r="K1264" s="155" t="s">
        <v>221</v>
      </c>
      <c r="L1264" s="155">
        <v>2968303</v>
      </c>
      <c r="M1264" s="155" t="s">
        <v>55</v>
      </c>
      <c r="N1264" s="155">
        <v>40</v>
      </c>
      <c r="O1264" s="13">
        <v>111280000</v>
      </c>
      <c r="P1264" s="305" t="s">
        <v>3076</v>
      </c>
      <c r="Q1264" t="s">
        <v>3586</v>
      </c>
    </row>
    <row r="1265" spans="1:17" ht="43.5" hidden="1" x14ac:dyDescent="0.35">
      <c r="A1265" s="155" t="e">
        <f t="shared" si="21"/>
        <v>#REF!</v>
      </c>
      <c r="B1265" s="140" t="s">
        <v>18</v>
      </c>
      <c r="C1265" s="140" t="s">
        <v>37</v>
      </c>
      <c r="D1265" s="140" t="s">
        <v>1515</v>
      </c>
      <c r="E1265" s="140" t="s">
        <v>1544</v>
      </c>
      <c r="F1265" s="140" t="s">
        <v>3228</v>
      </c>
      <c r="G1265" s="155" t="s">
        <v>3222</v>
      </c>
      <c r="H1265" s="155" t="s">
        <v>3229</v>
      </c>
      <c r="I1265" s="155" t="s">
        <v>1272</v>
      </c>
      <c r="J1265" s="269">
        <v>100000000</v>
      </c>
      <c r="K1265" s="155" t="s">
        <v>221</v>
      </c>
      <c r="L1265" s="155">
        <v>2966468</v>
      </c>
      <c r="M1265" s="155" t="s">
        <v>55</v>
      </c>
      <c r="N1265" s="155">
        <v>450</v>
      </c>
      <c r="O1265" s="13">
        <v>114300000</v>
      </c>
      <c r="P1265" s="305"/>
      <c r="Q1265" t="s">
        <v>3564</v>
      </c>
    </row>
    <row r="1266" spans="1:17" ht="43.5" hidden="1" x14ac:dyDescent="0.35">
      <c r="A1266" s="155" t="e">
        <f t="shared" si="21"/>
        <v>#REF!</v>
      </c>
      <c r="B1266" s="140" t="s">
        <v>18</v>
      </c>
      <c r="C1266" s="140" t="s">
        <v>37</v>
      </c>
      <c r="D1266" s="140" t="s">
        <v>1515</v>
      </c>
      <c r="E1266" s="140" t="s">
        <v>3230</v>
      </c>
      <c r="F1266" s="140" t="s">
        <v>3231</v>
      </c>
      <c r="G1266" s="155" t="s">
        <v>3222</v>
      </c>
      <c r="H1266" s="155" t="s">
        <v>1003</v>
      </c>
      <c r="I1266" s="155" t="s">
        <v>341</v>
      </c>
      <c r="J1266" s="269">
        <v>100000000</v>
      </c>
      <c r="K1266" s="155" t="s">
        <v>221</v>
      </c>
      <c r="L1266" s="155">
        <v>2966681</v>
      </c>
      <c r="M1266" s="155" t="s">
        <v>55</v>
      </c>
      <c r="N1266" s="155">
        <v>40</v>
      </c>
      <c r="O1266" s="13">
        <v>111280000</v>
      </c>
      <c r="P1266" s="305"/>
      <c r="Q1266" t="s">
        <v>3564</v>
      </c>
    </row>
    <row r="1267" spans="1:17" ht="43.5" hidden="1" x14ac:dyDescent="0.35">
      <c r="A1267" s="155" t="e">
        <f t="shared" si="21"/>
        <v>#REF!</v>
      </c>
      <c r="B1267" s="140" t="s">
        <v>18</v>
      </c>
      <c r="C1267" s="140" t="s">
        <v>37</v>
      </c>
      <c r="D1267" s="140" t="s">
        <v>1515</v>
      </c>
      <c r="E1267" s="140" t="s">
        <v>1544</v>
      </c>
      <c r="F1267" s="140" t="s">
        <v>3232</v>
      </c>
      <c r="G1267" s="155" t="s">
        <v>3222</v>
      </c>
      <c r="H1267" s="155" t="s">
        <v>3233</v>
      </c>
      <c r="I1267" s="155" t="s">
        <v>1272</v>
      </c>
      <c r="J1267" s="269">
        <v>100000000</v>
      </c>
      <c r="K1267" s="155" t="s">
        <v>221</v>
      </c>
      <c r="L1267" s="155">
        <v>2966241</v>
      </c>
      <c r="M1267" s="155" t="s">
        <v>55</v>
      </c>
      <c r="N1267" s="155">
        <v>450</v>
      </c>
      <c r="O1267" s="13">
        <v>114300000</v>
      </c>
      <c r="P1267" s="305"/>
      <c r="Q1267" t="s">
        <v>3564</v>
      </c>
    </row>
    <row r="1268" spans="1:17" ht="43.5" hidden="1" x14ac:dyDescent="0.35">
      <c r="A1268" s="155" t="e">
        <f t="shared" si="21"/>
        <v>#REF!</v>
      </c>
      <c r="B1268" s="140" t="s">
        <v>18</v>
      </c>
      <c r="C1268" s="140" t="s">
        <v>37</v>
      </c>
      <c r="D1268" s="140" t="s">
        <v>1515</v>
      </c>
      <c r="E1268" s="140" t="s">
        <v>3177</v>
      </c>
      <c r="F1268" s="140" t="s">
        <v>3234</v>
      </c>
      <c r="G1268" s="155" t="s">
        <v>3222</v>
      </c>
      <c r="H1268" s="155" t="s">
        <v>3235</v>
      </c>
      <c r="I1268" s="155" t="s">
        <v>341</v>
      </c>
      <c r="J1268" s="269">
        <v>100000000</v>
      </c>
      <c r="K1268" s="155" t="s">
        <v>221</v>
      </c>
      <c r="L1268" s="155">
        <v>2965313</v>
      </c>
      <c r="M1268" s="155" t="s">
        <v>55</v>
      </c>
      <c r="N1268" s="155">
        <v>40</v>
      </c>
      <c r="O1268" s="13">
        <v>111280000</v>
      </c>
      <c r="P1268" s="305"/>
      <c r="Q1268" t="s">
        <v>3564</v>
      </c>
    </row>
    <row r="1269" spans="1:17" ht="43.5" hidden="1" x14ac:dyDescent="0.35">
      <c r="A1269" s="155" t="e">
        <f t="shared" si="21"/>
        <v>#REF!</v>
      </c>
      <c r="B1269" s="140" t="s">
        <v>18</v>
      </c>
      <c r="C1269" s="140" t="s">
        <v>37</v>
      </c>
      <c r="D1269" s="140" t="s">
        <v>1515</v>
      </c>
      <c r="E1269" s="140" t="s">
        <v>1544</v>
      </c>
      <c r="F1269" s="140" t="s">
        <v>3236</v>
      </c>
      <c r="G1269" s="155" t="s">
        <v>3222</v>
      </c>
      <c r="H1269" s="155" t="s">
        <v>3237</v>
      </c>
      <c r="I1269" s="155" t="s">
        <v>1272</v>
      </c>
      <c r="J1269" s="269">
        <v>100000000</v>
      </c>
      <c r="K1269" s="155" t="s">
        <v>221</v>
      </c>
      <c r="L1269" s="155">
        <v>2966014</v>
      </c>
      <c r="M1269" s="155" t="s">
        <v>55</v>
      </c>
      <c r="N1269" s="155">
        <v>450</v>
      </c>
      <c r="O1269" s="13">
        <v>114300000</v>
      </c>
      <c r="P1269" s="305"/>
      <c r="Q1269" t="s">
        <v>3564</v>
      </c>
    </row>
    <row r="1270" spans="1:17" ht="43.5" hidden="1" x14ac:dyDescent="0.35">
      <c r="A1270" s="155" t="e">
        <f t="shared" si="21"/>
        <v>#REF!</v>
      </c>
      <c r="B1270" s="140" t="s">
        <v>18</v>
      </c>
      <c r="C1270" s="140" t="s">
        <v>37</v>
      </c>
      <c r="D1270" s="140" t="s">
        <v>1515</v>
      </c>
      <c r="E1270" s="140" t="s">
        <v>3177</v>
      </c>
      <c r="F1270" s="140" t="s">
        <v>3238</v>
      </c>
      <c r="G1270" s="155" t="s">
        <v>3222</v>
      </c>
      <c r="H1270" s="155" t="s">
        <v>3239</v>
      </c>
      <c r="I1270" s="155" t="s">
        <v>341</v>
      </c>
      <c r="J1270" s="269">
        <v>100000000</v>
      </c>
      <c r="K1270" s="155" t="s">
        <v>221</v>
      </c>
      <c r="L1270" s="155">
        <v>2967943</v>
      </c>
      <c r="M1270" s="155" t="s">
        <v>55</v>
      </c>
      <c r="N1270" s="155">
        <v>40</v>
      </c>
      <c r="O1270" s="13">
        <v>111280000</v>
      </c>
      <c r="P1270" s="305"/>
      <c r="Q1270" t="s">
        <v>3564</v>
      </c>
    </row>
    <row r="1271" spans="1:17" ht="43.5" hidden="1" x14ac:dyDescent="0.35">
      <c r="A1271" s="155" t="e">
        <f t="shared" si="21"/>
        <v>#REF!</v>
      </c>
      <c r="B1271" s="140" t="s">
        <v>18</v>
      </c>
      <c r="C1271" s="140" t="s">
        <v>37</v>
      </c>
      <c r="D1271" s="140" t="s">
        <v>1515</v>
      </c>
      <c r="E1271" s="140" t="s">
        <v>3177</v>
      </c>
      <c r="F1271" s="140" t="s">
        <v>3240</v>
      </c>
      <c r="G1271" s="155" t="s">
        <v>3222</v>
      </c>
      <c r="H1271" s="155" t="s">
        <v>3241</v>
      </c>
      <c r="I1271" s="155" t="s">
        <v>341</v>
      </c>
      <c r="J1271" s="269">
        <v>100000000</v>
      </c>
      <c r="K1271" s="155" t="s">
        <v>221</v>
      </c>
      <c r="L1271" s="155">
        <v>2967900</v>
      </c>
      <c r="M1271" s="155" t="s">
        <v>55</v>
      </c>
      <c r="N1271" s="155">
        <v>40</v>
      </c>
      <c r="O1271" s="13">
        <v>111280000</v>
      </c>
      <c r="P1271" s="305"/>
      <c r="Q1271" t="s">
        <v>3564</v>
      </c>
    </row>
    <row r="1272" spans="1:17" ht="58" x14ac:dyDescent="0.35">
      <c r="A1272" s="319">
        <v>848</v>
      </c>
      <c r="B1272" s="27" t="s">
        <v>480</v>
      </c>
      <c r="C1272" s="29" t="s">
        <v>481</v>
      </c>
      <c r="D1272" s="29" t="s">
        <v>1021</v>
      </c>
      <c r="E1272" s="29" t="s">
        <v>1027</v>
      </c>
      <c r="F1272" s="29" t="s">
        <v>1028</v>
      </c>
      <c r="G1272" s="126" t="s">
        <v>1029</v>
      </c>
      <c r="H1272" s="126" t="s">
        <v>1030</v>
      </c>
      <c r="I1272" s="126" t="s">
        <v>1031</v>
      </c>
      <c r="J1272" s="127">
        <v>100000000</v>
      </c>
      <c r="K1272" s="126" t="s">
        <v>1025</v>
      </c>
      <c r="L1272" s="126">
        <v>2968895</v>
      </c>
      <c r="M1272" s="126" t="s">
        <v>79</v>
      </c>
      <c r="N1272" s="238" t="s">
        <v>28</v>
      </c>
      <c r="O1272" s="127">
        <v>154937240</v>
      </c>
      <c r="P1272" s="27" t="s">
        <v>3242</v>
      </c>
      <c r="Q1272" t="s">
        <v>3561</v>
      </c>
    </row>
    <row r="1273" spans="1:17" ht="31" hidden="1" x14ac:dyDescent="0.35">
      <c r="A1273" s="128">
        <v>758</v>
      </c>
      <c r="B1273" s="128" t="s">
        <v>71</v>
      </c>
      <c r="C1273" s="128" t="s">
        <v>537</v>
      </c>
      <c r="D1273" s="123" t="s">
        <v>834</v>
      </c>
      <c r="E1273" s="123" t="s">
        <v>992</v>
      </c>
      <c r="F1273" s="123" t="s">
        <v>993</v>
      </c>
      <c r="G1273" s="128" t="s">
        <v>469</v>
      </c>
      <c r="H1273" s="128" t="s">
        <v>994</v>
      </c>
      <c r="I1273" s="128">
        <v>450</v>
      </c>
      <c r="J1273" s="129">
        <v>100000000</v>
      </c>
      <c r="K1273" s="54" t="s">
        <v>197</v>
      </c>
      <c r="L1273" s="128" t="s">
        <v>62</v>
      </c>
      <c r="M1273" s="128" t="s">
        <v>55</v>
      </c>
      <c r="N1273" s="128">
        <v>450</v>
      </c>
      <c r="O1273" s="320">
        <v>114300000</v>
      </c>
      <c r="P1273" s="128" t="s">
        <v>3243</v>
      </c>
      <c r="Q1273" t="s">
        <v>3561</v>
      </c>
    </row>
    <row r="1274" spans="1:17" ht="31" hidden="1" x14ac:dyDescent="0.35">
      <c r="A1274" s="128">
        <v>759</v>
      </c>
      <c r="B1274" s="128" t="s">
        <v>71</v>
      </c>
      <c r="C1274" s="128" t="s">
        <v>537</v>
      </c>
      <c r="D1274" s="123" t="s">
        <v>834</v>
      </c>
      <c r="E1274" s="123" t="s">
        <v>992</v>
      </c>
      <c r="F1274" s="123" t="s">
        <v>997</v>
      </c>
      <c r="G1274" s="128" t="s">
        <v>469</v>
      </c>
      <c r="H1274" s="128" t="s">
        <v>998</v>
      </c>
      <c r="I1274" s="128">
        <v>450</v>
      </c>
      <c r="J1274" s="129">
        <v>100000000</v>
      </c>
      <c r="K1274" s="54" t="s">
        <v>197</v>
      </c>
      <c r="L1274" s="128" t="s">
        <v>62</v>
      </c>
      <c r="M1274" s="128" t="s">
        <v>55</v>
      </c>
      <c r="N1274" s="128">
        <v>450</v>
      </c>
      <c r="O1274" s="320">
        <v>114300000</v>
      </c>
      <c r="P1274" s="128" t="s">
        <v>3243</v>
      </c>
      <c r="Q1274" t="s">
        <v>3561</v>
      </c>
    </row>
    <row r="1275" spans="1:17" ht="43.5" hidden="1" x14ac:dyDescent="0.35">
      <c r="A1275" s="125">
        <v>760</v>
      </c>
      <c r="B1275" s="27" t="s">
        <v>18</v>
      </c>
      <c r="C1275" s="27" t="s">
        <v>37</v>
      </c>
      <c r="D1275" s="27" t="s">
        <v>1515</v>
      </c>
      <c r="E1275" s="27" t="s">
        <v>3244</v>
      </c>
      <c r="F1275" s="27" t="s">
        <v>3245</v>
      </c>
      <c r="G1275" s="27" t="s">
        <v>1376</v>
      </c>
      <c r="H1275" s="27" t="s">
        <v>1377</v>
      </c>
      <c r="I1275" s="27" t="s">
        <v>3246</v>
      </c>
      <c r="J1275" s="127">
        <v>50000000</v>
      </c>
      <c r="K1275" s="126" t="s">
        <v>221</v>
      </c>
      <c r="L1275" s="27">
        <v>3174597</v>
      </c>
      <c r="M1275" s="126" t="s">
        <v>226</v>
      </c>
      <c r="N1275" s="127">
        <v>58</v>
      </c>
      <c r="O1275" s="127">
        <v>49619900</v>
      </c>
      <c r="P1275" s="27" t="s">
        <v>3247</v>
      </c>
      <c r="Q1275" t="s">
        <v>3564</v>
      </c>
    </row>
    <row r="1276" spans="1:17" ht="31" hidden="1" x14ac:dyDescent="0.35">
      <c r="A1276" s="125">
        <v>761</v>
      </c>
      <c r="B1276" s="28" t="s">
        <v>18</v>
      </c>
      <c r="C1276" s="28" t="s">
        <v>37</v>
      </c>
      <c r="D1276" s="28" t="s">
        <v>476</v>
      </c>
      <c r="E1276" s="128" t="s">
        <v>3248</v>
      </c>
      <c r="F1276" s="28"/>
      <c r="G1276" s="27" t="s">
        <v>436</v>
      </c>
      <c r="H1276" s="27" t="s">
        <v>2846</v>
      </c>
      <c r="I1276" s="28"/>
      <c r="J1276" s="28"/>
      <c r="K1276" s="126" t="s">
        <v>221</v>
      </c>
      <c r="L1276" s="28"/>
      <c r="M1276" s="26" t="s">
        <v>226</v>
      </c>
      <c r="N1276" s="27" t="s">
        <v>35</v>
      </c>
      <c r="O1276" s="127">
        <v>210000000</v>
      </c>
      <c r="P1276" s="28" t="s">
        <v>3249</v>
      </c>
      <c r="Q1276" t="s">
        <v>3586</v>
      </c>
    </row>
    <row r="1277" spans="1:17" ht="29" hidden="1" x14ac:dyDescent="0.35">
      <c r="A1277" s="125">
        <v>762</v>
      </c>
      <c r="B1277" s="28" t="s">
        <v>3457</v>
      </c>
      <c r="C1277" s="28" t="s">
        <v>37</v>
      </c>
      <c r="D1277" s="28" t="s">
        <v>3581</v>
      </c>
      <c r="E1277" s="28"/>
      <c r="F1277" s="28"/>
      <c r="G1277" s="242" t="s">
        <v>769</v>
      </c>
      <c r="H1277" s="242" t="s">
        <v>3250</v>
      </c>
      <c r="I1277" s="28"/>
      <c r="J1277" s="28"/>
      <c r="K1277" s="126" t="s">
        <v>221</v>
      </c>
      <c r="L1277" s="28"/>
      <c r="M1277" s="26" t="s">
        <v>226</v>
      </c>
      <c r="N1277" s="28" t="s">
        <v>313</v>
      </c>
      <c r="O1277" s="321">
        <v>100000000</v>
      </c>
      <c r="P1277" s="28" t="s">
        <v>3249</v>
      </c>
      <c r="Q1277" t="s">
        <v>3564</v>
      </c>
    </row>
    <row r="1278" spans="1:17" ht="43.5" hidden="1" x14ac:dyDescent="0.35">
      <c r="A1278" s="125">
        <v>763</v>
      </c>
      <c r="B1278" s="27" t="s">
        <v>18</v>
      </c>
      <c r="C1278" s="27" t="s">
        <v>37</v>
      </c>
      <c r="D1278" s="27" t="s">
        <v>1515</v>
      </c>
      <c r="E1278" s="27" t="s">
        <v>2704</v>
      </c>
      <c r="F1278" s="27" t="s">
        <v>2712</v>
      </c>
      <c r="G1278" s="27" t="s">
        <v>912</v>
      </c>
      <c r="H1278" s="27" t="s">
        <v>2713</v>
      </c>
      <c r="I1278" s="27" t="s">
        <v>561</v>
      </c>
      <c r="J1278" s="27">
        <v>100000000</v>
      </c>
      <c r="K1278" s="126" t="s">
        <v>221</v>
      </c>
      <c r="L1278" s="27">
        <v>2790544</v>
      </c>
      <c r="M1278" s="126" t="s">
        <v>173</v>
      </c>
      <c r="N1278" s="127">
        <v>300</v>
      </c>
      <c r="O1278" s="127">
        <v>100000000</v>
      </c>
      <c r="P1278" s="27" t="s">
        <v>3251</v>
      </c>
      <c r="Q1278" t="s">
        <v>3564</v>
      </c>
    </row>
    <row r="1279" spans="1:17" ht="29" hidden="1" x14ac:dyDescent="0.35">
      <c r="A1279" s="125">
        <v>764</v>
      </c>
      <c r="B1279" s="28" t="s">
        <v>3457</v>
      </c>
      <c r="C1279" s="28" t="s">
        <v>37</v>
      </c>
      <c r="D1279" s="28" t="s">
        <v>3580</v>
      </c>
      <c r="E1279" s="131" t="s">
        <v>1635</v>
      </c>
      <c r="F1279" s="27" t="s">
        <v>373</v>
      </c>
      <c r="G1279" s="27" t="s">
        <v>209</v>
      </c>
      <c r="H1279" s="27" t="s">
        <v>2656</v>
      </c>
      <c r="I1279" s="28"/>
      <c r="J1279" s="28"/>
      <c r="K1279" s="126" t="s">
        <v>221</v>
      </c>
      <c r="L1279" s="28"/>
      <c r="M1279" s="26" t="s">
        <v>46</v>
      </c>
      <c r="N1279" s="27" t="s">
        <v>122</v>
      </c>
      <c r="O1279" s="127">
        <v>50000000</v>
      </c>
      <c r="P1279" s="28" t="s">
        <v>3249</v>
      </c>
      <c r="Q1279" t="s">
        <v>3564</v>
      </c>
    </row>
    <row r="1280" spans="1:17" ht="29" hidden="1" x14ac:dyDescent="0.35">
      <c r="A1280" s="125">
        <v>765</v>
      </c>
      <c r="B1280" s="28" t="s">
        <v>3457</v>
      </c>
      <c r="C1280" s="28" t="s">
        <v>37</v>
      </c>
      <c r="D1280" s="28" t="s">
        <v>3581</v>
      </c>
      <c r="E1280" s="131" t="s">
        <v>3252</v>
      </c>
      <c r="F1280" s="131" t="s">
        <v>3253</v>
      </c>
      <c r="G1280" s="126" t="s">
        <v>2566</v>
      </c>
      <c r="H1280" s="126" t="s">
        <v>3254</v>
      </c>
      <c r="I1280" s="28"/>
      <c r="J1280" s="28"/>
      <c r="K1280" s="126" t="s">
        <v>221</v>
      </c>
      <c r="L1280" s="28"/>
      <c r="M1280" s="26" t="s">
        <v>144</v>
      </c>
      <c r="N1280" s="126" t="s">
        <v>313</v>
      </c>
      <c r="O1280" s="222">
        <v>210000000</v>
      </c>
      <c r="P1280" s="28" t="s">
        <v>3249</v>
      </c>
      <c r="Q1280" t="s">
        <v>3564</v>
      </c>
    </row>
    <row r="1281" spans="1:17" ht="29" hidden="1" x14ac:dyDescent="0.35">
      <c r="A1281" s="125">
        <v>766</v>
      </c>
      <c r="B1281" s="28" t="s">
        <v>3457</v>
      </c>
      <c r="C1281" s="28" t="s">
        <v>37</v>
      </c>
      <c r="D1281" s="28" t="s">
        <v>3581</v>
      </c>
      <c r="E1281" s="322" t="s">
        <v>992</v>
      </c>
      <c r="F1281" s="323" t="s">
        <v>3255</v>
      </c>
      <c r="G1281" s="323" t="s">
        <v>3256</v>
      </c>
      <c r="H1281" s="322" t="s">
        <v>3257</v>
      </c>
      <c r="I1281" s="28"/>
      <c r="J1281" s="28"/>
      <c r="K1281" s="126" t="s">
        <v>221</v>
      </c>
      <c r="L1281" s="28"/>
      <c r="M1281" s="26" t="s">
        <v>27</v>
      </c>
      <c r="N1281" s="322" t="s">
        <v>1513</v>
      </c>
      <c r="O1281" s="346">
        <v>150000000</v>
      </c>
      <c r="P1281" s="28" t="s">
        <v>3249</v>
      </c>
      <c r="Q1281" t="s">
        <v>3564</v>
      </c>
    </row>
    <row r="1282" spans="1:17" ht="29" hidden="1" x14ac:dyDescent="0.35">
      <c r="A1282" s="125">
        <v>767</v>
      </c>
      <c r="B1282" s="28" t="s">
        <v>3457</v>
      </c>
      <c r="C1282" s="28" t="s">
        <v>37</v>
      </c>
      <c r="D1282" s="28" t="s">
        <v>3581</v>
      </c>
      <c r="E1282" s="31" t="s">
        <v>3258</v>
      </c>
      <c r="F1282" s="131" t="s">
        <v>3259</v>
      </c>
      <c r="G1282" s="131" t="s">
        <v>3260</v>
      </c>
      <c r="H1282" s="131" t="s">
        <v>3261</v>
      </c>
      <c r="I1282" s="27" t="s">
        <v>3262</v>
      </c>
      <c r="J1282" s="127">
        <v>100000000</v>
      </c>
      <c r="K1282" s="126" t="s">
        <v>221</v>
      </c>
      <c r="L1282" s="28"/>
      <c r="M1282" s="26" t="s">
        <v>180</v>
      </c>
      <c r="N1282" s="322" t="s">
        <v>1513</v>
      </c>
      <c r="O1282" s="127">
        <v>100000000</v>
      </c>
      <c r="P1282" s="28" t="s">
        <v>3249</v>
      </c>
      <c r="Q1282" t="s">
        <v>3564</v>
      </c>
    </row>
    <row r="1283" spans="1:17" ht="29" hidden="1" x14ac:dyDescent="0.35">
      <c r="A1283" s="125">
        <v>768</v>
      </c>
      <c r="B1283" s="28" t="s">
        <v>3457</v>
      </c>
      <c r="C1283" s="28" t="s">
        <v>37</v>
      </c>
      <c r="D1283" s="28" t="s">
        <v>3581</v>
      </c>
      <c r="E1283" s="131" t="s">
        <v>3263</v>
      </c>
      <c r="F1283" s="126" t="s">
        <v>3264</v>
      </c>
      <c r="G1283" s="126" t="s">
        <v>1003</v>
      </c>
      <c r="H1283" s="126" t="s">
        <v>3265</v>
      </c>
      <c r="I1283" s="28"/>
      <c r="J1283" s="222">
        <v>111280000</v>
      </c>
      <c r="K1283" s="126" t="s">
        <v>221</v>
      </c>
      <c r="L1283" s="28"/>
      <c r="M1283" s="26" t="s">
        <v>55</v>
      </c>
      <c r="N1283" s="131" t="s">
        <v>1507</v>
      </c>
      <c r="O1283" s="222">
        <v>111280000</v>
      </c>
      <c r="P1283" s="28" t="s">
        <v>3249</v>
      </c>
      <c r="Q1283" t="s">
        <v>3564</v>
      </c>
    </row>
    <row r="1284" spans="1:17" ht="29" hidden="1" x14ac:dyDescent="0.35">
      <c r="A1284" s="125">
        <v>769</v>
      </c>
      <c r="B1284" s="28" t="s">
        <v>3457</v>
      </c>
      <c r="C1284" s="28" t="s">
        <v>37</v>
      </c>
      <c r="D1284" s="28" t="s">
        <v>3581</v>
      </c>
      <c r="E1284" s="131" t="s">
        <v>3266</v>
      </c>
      <c r="F1284" s="126" t="s">
        <v>3264</v>
      </c>
      <c r="G1284" s="126" t="s">
        <v>469</v>
      </c>
      <c r="H1284" s="126" t="s">
        <v>3267</v>
      </c>
      <c r="I1284" s="28"/>
      <c r="J1284" s="222">
        <v>114300000</v>
      </c>
      <c r="K1284" s="126" t="s">
        <v>221</v>
      </c>
      <c r="L1284" s="28"/>
      <c r="M1284" s="26" t="s">
        <v>55</v>
      </c>
      <c r="N1284" s="131" t="s">
        <v>1507</v>
      </c>
      <c r="O1284" s="222">
        <v>114300000</v>
      </c>
      <c r="P1284" s="28" t="s">
        <v>3249</v>
      </c>
      <c r="Q1284" t="s">
        <v>3564</v>
      </c>
    </row>
    <row r="1285" spans="1:17" ht="29" hidden="1" x14ac:dyDescent="0.35">
      <c r="A1285" s="125">
        <v>770</v>
      </c>
      <c r="B1285" s="28" t="s">
        <v>3457</v>
      </c>
      <c r="C1285" s="28" t="s">
        <v>37</v>
      </c>
      <c r="D1285" s="28" t="s">
        <v>3581</v>
      </c>
      <c r="E1285" s="131" t="s">
        <v>3266</v>
      </c>
      <c r="F1285" s="126" t="s">
        <v>3264</v>
      </c>
      <c r="G1285" s="126" t="s">
        <v>469</v>
      </c>
      <c r="H1285" s="126" t="s">
        <v>3268</v>
      </c>
      <c r="I1285" s="28"/>
      <c r="J1285" s="222">
        <v>114300000</v>
      </c>
      <c r="K1285" s="126" t="s">
        <v>221</v>
      </c>
      <c r="L1285" s="28"/>
      <c r="M1285" s="26" t="s">
        <v>55</v>
      </c>
      <c r="N1285" s="131" t="s">
        <v>1507</v>
      </c>
      <c r="O1285" s="222">
        <v>114300000</v>
      </c>
      <c r="P1285" s="28" t="s">
        <v>3249</v>
      </c>
      <c r="Q1285" t="s">
        <v>3564</v>
      </c>
    </row>
    <row r="1286" spans="1:17" ht="29" hidden="1" x14ac:dyDescent="0.35">
      <c r="A1286" s="125">
        <v>771</v>
      </c>
      <c r="B1286" s="28" t="s">
        <v>3457</v>
      </c>
      <c r="C1286" s="28" t="s">
        <v>37</v>
      </c>
      <c r="D1286" s="28" t="s">
        <v>3581</v>
      </c>
      <c r="E1286" s="131" t="s">
        <v>3266</v>
      </c>
      <c r="F1286" s="126" t="s">
        <v>3264</v>
      </c>
      <c r="G1286" s="126" t="s">
        <v>469</v>
      </c>
      <c r="H1286" s="126" t="s">
        <v>3269</v>
      </c>
      <c r="I1286" s="28"/>
      <c r="J1286" s="222">
        <v>114300000</v>
      </c>
      <c r="K1286" s="126" t="s">
        <v>221</v>
      </c>
      <c r="L1286" s="28"/>
      <c r="M1286" s="26" t="s">
        <v>55</v>
      </c>
      <c r="N1286" s="131" t="s">
        <v>1507</v>
      </c>
      <c r="O1286" s="222">
        <v>114300000</v>
      </c>
      <c r="P1286" s="28" t="s">
        <v>3249</v>
      </c>
      <c r="Q1286" t="s">
        <v>3564</v>
      </c>
    </row>
    <row r="1287" spans="1:17" ht="29" hidden="1" x14ac:dyDescent="0.35">
      <c r="A1287" s="125">
        <v>772</v>
      </c>
      <c r="B1287" s="28" t="s">
        <v>3457</v>
      </c>
      <c r="C1287" s="28" t="s">
        <v>37</v>
      </c>
      <c r="D1287" s="28" t="s">
        <v>3581</v>
      </c>
      <c r="E1287" s="131" t="s">
        <v>3266</v>
      </c>
      <c r="F1287" s="126" t="s">
        <v>3264</v>
      </c>
      <c r="G1287" s="126" t="s">
        <v>469</v>
      </c>
      <c r="H1287" s="126" t="s">
        <v>3270</v>
      </c>
      <c r="I1287" s="28"/>
      <c r="J1287" s="222">
        <v>114300000</v>
      </c>
      <c r="K1287" s="126" t="s">
        <v>221</v>
      </c>
      <c r="L1287" s="28"/>
      <c r="M1287" s="26" t="s">
        <v>55</v>
      </c>
      <c r="N1287" s="131" t="s">
        <v>1507</v>
      </c>
      <c r="O1287" s="222">
        <v>114300000</v>
      </c>
      <c r="P1287" s="28" t="s">
        <v>3249</v>
      </c>
      <c r="Q1287" t="s">
        <v>3564</v>
      </c>
    </row>
    <row r="1288" spans="1:17" ht="29" hidden="1" x14ac:dyDescent="0.35">
      <c r="A1288" s="125">
        <v>773</v>
      </c>
      <c r="B1288" s="28" t="s">
        <v>3457</v>
      </c>
      <c r="C1288" s="28" t="s">
        <v>37</v>
      </c>
      <c r="D1288" s="28" t="s">
        <v>3580</v>
      </c>
      <c r="E1288" s="131" t="s">
        <v>3271</v>
      </c>
      <c r="F1288" s="26" t="s">
        <v>3272</v>
      </c>
      <c r="G1288" s="26" t="s">
        <v>219</v>
      </c>
      <c r="H1288" s="26" t="s">
        <v>3273</v>
      </c>
      <c r="I1288" s="28"/>
      <c r="J1288" s="222">
        <v>111280000</v>
      </c>
      <c r="K1288" s="126" t="s">
        <v>221</v>
      </c>
      <c r="L1288" s="28"/>
      <c r="M1288" s="26" t="s">
        <v>55</v>
      </c>
      <c r="N1288" s="131" t="s">
        <v>1507</v>
      </c>
      <c r="O1288" s="222">
        <v>111280000</v>
      </c>
      <c r="P1288" s="28" t="s">
        <v>3249</v>
      </c>
      <c r="Q1288" t="s">
        <v>3564</v>
      </c>
    </row>
    <row r="1289" spans="1:17" ht="29" hidden="1" x14ac:dyDescent="0.35">
      <c r="A1289" s="125">
        <v>774</v>
      </c>
      <c r="B1289" s="28" t="s">
        <v>3457</v>
      </c>
      <c r="C1289" s="28" t="s">
        <v>37</v>
      </c>
      <c r="D1289" s="28" t="s">
        <v>3581</v>
      </c>
      <c r="E1289" s="131" t="s">
        <v>3274</v>
      </c>
      <c r="F1289" s="28" t="s">
        <v>373</v>
      </c>
      <c r="G1289" s="125" t="s">
        <v>3275</v>
      </c>
      <c r="H1289" s="126" t="s">
        <v>3276</v>
      </c>
      <c r="I1289" s="28"/>
      <c r="J1289" s="222">
        <v>111280000</v>
      </c>
      <c r="K1289" s="126" t="s">
        <v>221</v>
      </c>
      <c r="L1289" s="28"/>
      <c r="M1289" s="26" t="s">
        <v>55</v>
      </c>
      <c r="N1289" s="131" t="s">
        <v>1507</v>
      </c>
      <c r="O1289" s="222">
        <v>111280000</v>
      </c>
      <c r="P1289" s="28" t="s">
        <v>3249</v>
      </c>
      <c r="Q1289" t="s">
        <v>3564</v>
      </c>
    </row>
    <row r="1290" spans="1:17" ht="29" hidden="1" x14ac:dyDescent="0.35">
      <c r="A1290" s="125">
        <v>775</v>
      </c>
      <c r="B1290" s="28" t="s">
        <v>3457</v>
      </c>
      <c r="C1290" s="28" t="s">
        <v>37</v>
      </c>
      <c r="D1290" s="28" t="s">
        <v>3581</v>
      </c>
      <c r="E1290" s="131" t="s">
        <v>3274</v>
      </c>
      <c r="F1290" s="28" t="s">
        <v>373</v>
      </c>
      <c r="G1290" s="125" t="s">
        <v>3275</v>
      </c>
      <c r="H1290" s="126" t="s">
        <v>3277</v>
      </c>
      <c r="I1290" s="28"/>
      <c r="J1290" s="222">
        <v>111280000</v>
      </c>
      <c r="K1290" s="126" t="s">
        <v>221</v>
      </c>
      <c r="L1290" s="28"/>
      <c r="M1290" s="26" t="s">
        <v>55</v>
      </c>
      <c r="N1290" s="131" t="s">
        <v>1507</v>
      </c>
      <c r="O1290" s="222">
        <v>111280000</v>
      </c>
      <c r="P1290" s="28" t="s">
        <v>3249</v>
      </c>
      <c r="Q1290" t="s">
        <v>3564</v>
      </c>
    </row>
    <row r="1291" spans="1:17" ht="29" hidden="1" x14ac:dyDescent="0.35">
      <c r="A1291" s="125">
        <v>776</v>
      </c>
      <c r="B1291" s="28" t="s">
        <v>3457</v>
      </c>
      <c r="C1291" s="28" t="s">
        <v>37</v>
      </c>
      <c r="D1291" s="28" t="s">
        <v>3581</v>
      </c>
      <c r="E1291" s="131" t="s">
        <v>3274</v>
      </c>
      <c r="F1291" s="28" t="s">
        <v>373</v>
      </c>
      <c r="G1291" s="125" t="s">
        <v>3275</v>
      </c>
      <c r="H1291" s="126" t="s">
        <v>3278</v>
      </c>
      <c r="I1291" s="28"/>
      <c r="J1291" s="222">
        <v>111280000</v>
      </c>
      <c r="K1291" s="126" t="s">
        <v>221</v>
      </c>
      <c r="L1291" s="28"/>
      <c r="M1291" s="26" t="s">
        <v>55</v>
      </c>
      <c r="N1291" s="131" t="s">
        <v>1507</v>
      </c>
      <c r="O1291" s="222">
        <v>111280000</v>
      </c>
      <c r="P1291" s="28" t="s">
        <v>3249</v>
      </c>
      <c r="Q1291" t="s">
        <v>3564</v>
      </c>
    </row>
    <row r="1292" spans="1:17" ht="29" hidden="1" x14ac:dyDescent="0.35">
      <c r="A1292" s="125">
        <v>777</v>
      </c>
      <c r="B1292" s="28" t="s">
        <v>3457</v>
      </c>
      <c r="C1292" s="28" t="s">
        <v>37</v>
      </c>
      <c r="D1292" s="28" t="s">
        <v>3581</v>
      </c>
      <c r="E1292" s="131" t="s">
        <v>3274</v>
      </c>
      <c r="F1292" s="28" t="s">
        <v>373</v>
      </c>
      <c r="G1292" s="125" t="s">
        <v>3275</v>
      </c>
      <c r="H1292" s="126" t="s">
        <v>3279</v>
      </c>
      <c r="I1292" s="28"/>
      <c r="J1292" s="222">
        <v>111280000</v>
      </c>
      <c r="K1292" s="126" t="s">
        <v>221</v>
      </c>
      <c r="L1292" s="28"/>
      <c r="M1292" s="26" t="s">
        <v>55</v>
      </c>
      <c r="N1292" s="131" t="s">
        <v>1507</v>
      </c>
      <c r="O1292" s="222">
        <v>111280000</v>
      </c>
      <c r="P1292" s="28" t="s">
        <v>3249</v>
      </c>
      <c r="Q1292" t="s">
        <v>3564</v>
      </c>
    </row>
    <row r="1293" spans="1:17" ht="29" hidden="1" x14ac:dyDescent="0.35">
      <c r="A1293" s="125">
        <v>778</v>
      </c>
      <c r="B1293" s="28" t="s">
        <v>3457</v>
      </c>
      <c r="C1293" s="28" t="s">
        <v>37</v>
      </c>
      <c r="D1293" s="28" t="s">
        <v>3581</v>
      </c>
      <c r="E1293" s="131" t="s">
        <v>3274</v>
      </c>
      <c r="F1293" s="28" t="s">
        <v>373</v>
      </c>
      <c r="G1293" s="125" t="s">
        <v>3275</v>
      </c>
      <c r="H1293" s="126" t="s">
        <v>3280</v>
      </c>
      <c r="I1293" s="28"/>
      <c r="J1293" s="222">
        <v>111280000</v>
      </c>
      <c r="K1293" s="126" t="s">
        <v>221</v>
      </c>
      <c r="L1293" s="28"/>
      <c r="M1293" s="26" t="s">
        <v>55</v>
      </c>
      <c r="N1293" s="131" t="s">
        <v>1507</v>
      </c>
      <c r="O1293" s="222">
        <v>111280000</v>
      </c>
      <c r="P1293" s="28" t="s">
        <v>3249</v>
      </c>
      <c r="Q1293" t="s">
        <v>3564</v>
      </c>
    </row>
    <row r="1294" spans="1:17" ht="29" hidden="1" x14ac:dyDescent="0.35">
      <c r="A1294" s="125">
        <v>779</v>
      </c>
      <c r="B1294" s="28" t="s">
        <v>3457</v>
      </c>
      <c r="C1294" s="28" t="s">
        <v>37</v>
      </c>
      <c r="D1294" s="28" t="s">
        <v>3581</v>
      </c>
      <c r="E1294" s="131" t="s">
        <v>3274</v>
      </c>
      <c r="F1294" s="131" t="s">
        <v>3281</v>
      </c>
      <c r="G1294" s="26" t="s">
        <v>3282</v>
      </c>
      <c r="H1294" s="26" t="s">
        <v>3283</v>
      </c>
      <c r="I1294" s="28"/>
      <c r="J1294" s="30">
        <v>102454000</v>
      </c>
      <c r="K1294" s="126" t="s">
        <v>221</v>
      </c>
      <c r="L1294" s="28"/>
      <c r="M1294" s="26" t="s">
        <v>55</v>
      </c>
      <c r="N1294" s="131" t="s">
        <v>1507</v>
      </c>
      <c r="O1294" s="30">
        <v>102454000</v>
      </c>
      <c r="P1294" s="28" t="s">
        <v>3249</v>
      </c>
      <c r="Q1294" t="s">
        <v>3564</v>
      </c>
    </row>
    <row r="1295" spans="1:17" ht="29" hidden="1" x14ac:dyDescent="0.35">
      <c r="A1295" s="125">
        <v>780</v>
      </c>
      <c r="B1295" s="28" t="s">
        <v>3457</v>
      </c>
      <c r="C1295" s="28" t="s">
        <v>37</v>
      </c>
      <c r="D1295" s="28" t="s">
        <v>3581</v>
      </c>
      <c r="E1295" s="131" t="s">
        <v>3274</v>
      </c>
      <c r="F1295" s="131" t="s">
        <v>3281</v>
      </c>
      <c r="G1295" s="26" t="s">
        <v>3282</v>
      </c>
      <c r="H1295" s="26" t="s">
        <v>3283</v>
      </c>
      <c r="I1295" s="28"/>
      <c r="J1295" s="30">
        <v>102454000</v>
      </c>
      <c r="K1295" s="126" t="s">
        <v>221</v>
      </c>
      <c r="L1295" s="28"/>
      <c r="M1295" s="26" t="s">
        <v>55</v>
      </c>
      <c r="N1295" s="131" t="s">
        <v>1507</v>
      </c>
      <c r="O1295" s="30">
        <v>102454000</v>
      </c>
      <c r="P1295" s="28" t="s">
        <v>3249</v>
      </c>
      <c r="Q1295" t="s">
        <v>3564</v>
      </c>
    </row>
    <row r="1296" spans="1:17" ht="29" hidden="1" x14ac:dyDescent="0.35">
      <c r="A1296" s="125">
        <v>781</v>
      </c>
      <c r="B1296" s="28" t="s">
        <v>3457</v>
      </c>
      <c r="C1296" s="28" t="s">
        <v>37</v>
      </c>
      <c r="D1296" s="28" t="s">
        <v>3581</v>
      </c>
      <c r="E1296" s="131" t="s">
        <v>3274</v>
      </c>
      <c r="F1296" s="28" t="s">
        <v>373</v>
      </c>
      <c r="G1296" s="126" t="s">
        <v>529</v>
      </c>
      <c r="H1296" s="126" t="s">
        <v>3284</v>
      </c>
      <c r="I1296" s="28"/>
      <c r="J1296" s="265">
        <v>100000000</v>
      </c>
      <c r="K1296" s="126" t="s">
        <v>221</v>
      </c>
      <c r="L1296" s="28"/>
      <c r="M1296" s="26" t="s">
        <v>55</v>
      </c>
      <c r="N1296" s="131" t="s">
        <v>1507</v>
      </c>
      <c r="O1296" s="222">
        <v>100000000</v>
      </c>
      <c r="P1296" s="28" t="s">
        <v>3249</v>
      </c>
      <c r="Q1296" t="s">
        <v>3564</v>
      </c>
    </row>
    <row r="1297" spans="1:17" ht="29" hidden="1" x14ac:dyDescent="0.35">
      <c r="A1297" s="125">
        <v>782</v>
      </c>
      <c r="B1297" s="27" t="s">
        <v>71</v>
      </c>
      <c r="C1297" s="27" t="s">
        <v>551</v>
      </c>
      <c r="D1297" s="27" t="s">
        <v>552</v>
      </c>
      <c r="E1297" s="27" t="s">
        <v>3285</v>
      </c>
      <c r="F1297" s="27" t="s">
        <v>3286</v>
      </c>
      <c r="G1297" s="126" t="s">
        <v>463</v>
      </c>
      <c r="H1297" s="115" t="s">
        <v>3287</v>
      </c>
      <c r="I1297" s="126" t="s">
        <v>3288</v>
      </c>
      <c r="J1297" s="265">
        <v>200000000</v>
      </c>
      <c r="K1297" s="126" t="s">
        <v>553</v>
      </c>
      <c r="L1297" s="126">
        <v>2767698</v>
      </c>
      <c r="M1297" s="126" t="s">
        <v>55</v>
      </c>
      <c r="N1297" s="126" t="s">
        <v>3288</v>
      </c>
      <c r="O1297" s="222">
        <v>200000000</v>
      </c>
      <c r="P1297" s="28" t="s">
        <v>3289</v>
      </c>
      <c r="Q1297" t="s">
        <v>3561</v>
      </c>
    </row>
    <row r="1298" spans="1:17" ht="29" hidden="1" x14ac:dyDescent="0.35">
      <c r="A1298" s="125">
        <v>783</v>
      </c>
      <c r="B1298" s="27" t="s">
        <v>71</v>
      </c>
      <c r="C1298" s="27" t="s">
        <v>551</v>
      </c>
      <c r="D1298" s="27" t="s">
        <v>552</v>
      </c>
      <c r="E1298" s="27" t="s">
        <v>1544</v>
      </c>
      <c r="F1298" s="27" t="s">
        <v>462</v>
      </c>
      <c r="G1298" s="126" t="s">
        <v>463</v>
      </c>
      <c r="H1298" s="115" t="s">
        <v>464</v>
      </c>
      <c r="I1298" s="126" t="s">
        <v>3288</v>
      </c>
      <c r="J1298" s="265">
        <v>100000000</v>
      </c>
      <c r="K1298" s="126" t="s">
        <v>553</v>
      </c>
      <c r="L1298" s="126">
        <v>2958833</v>
      </c>
      <c r="M1298" s="126" t="s">
        <v>55</v>
      </c>
      <c r="N1298" s="126" t="s">
        <v>3290</v>
      </c>
      <c r="O1298" s="222">
        <v>100000000</v>
      </c>
      <c r="P1298" s="28" t="s">
        <v>3289</v>
      </c>
      <c r="Q1298" t="s">
        <v>3561</v>
      </c>
    </row>
    <row r="1299" spans="1:17" ht="29" hidden="1" x14ac:dyDescent="0.35">
      <c r="A1299" s="125">
        <v>784</v>
      </c>
      <c r="B1299" s="27" t="s">
        <v>71</v>
      </c>
      <c r="C1299" s="27" t="s">
        <v>551</v>
      </c>
      <c r="D1299" s="27" t="s">
        <v>552</v>
      </c>
      <c r="E1299" s="27" t="s">
        <v>1544</v>
      </c>
      <c r="F1299" s="27" t="s">
        <v>641</v>
      </c>
      <c r="G1299" s="126" t="s">
        <v>463</v>
      </c>
      <c r="H1299" s="126" t="s">
        <v>642</v>
      </c>
      <c r="I1299" s="126" t="s">
        <v>3288</v>
      </c>
      <c r="J1299" s="265">
        <v>100000000</v>
      </c>
      <c r="K1299" s="126" t="s">
        <v>553</v>
      </c>
      <c r="L1299" s="126">
        <v>2958764</v>
      </c>
      <c r="M1299" s="126" t="s">
        <v>55</v>
      </c>
      <c r="N1299" s="126" t="s">
        <v>3290</v>
      </c>
      <c r="O1299" s="222">
        <v>100000000</v>
      </c>
      <c r="P1299" s="28" t="s">
        <v>3289</v>
      </c>
      <c r="Q1299" t="s">
        <v>3561</v>
      </c>
    </row>
    <row r="1300" spans="1:17" ht="29" hidden="1" x14ac:dyDescent="0.35">
      <c r="A1300" s="125">
        <v>785</v>
      </c>
      <c r="B1300" s="27" t="s">
        <v>71</v>
      </c>
      <c r="C1300" s="27" t="s">
        <v>551</v>
      </c>
      <c r="D1300" s="27" t="s">
        <v>552</v>
      </c>
      <c r="E1300" s="27" t="s">
        <v>1544</v>
      </c>
      <c r="F1300" s="27" t="s">
        <v>3291</v>
      </c>
      <c r="G1300" s="126" t="s">
        <v>463</v>
      </c>
      <c r="H1300" s="126" t="s">
        <v>3292</v>
      </c>
      <c r="I1300" s="126" t="s">
        <v>3288</v>
      </c>
      <c r="J1300" s="265">
        <v>200000000</v>
      </c>
      <c r="K1300" s="126" t="s">
        <v>553</v>
      </c>
      <c r="L1300" s="126">
        <v>2958719</v>
      </c>
      <c r="M1300" s="126" t="s">
        <v>55</v>
      </c>
      <c r="N1300" s="126" t="s">
        <v>3288</v>
      </c>
      <c r="O1300" s="222">
        <v>200000000</v>
      </c>
      <c r="P1300" s="28" t="s">
        <v>3289</v>
      </c>
      <c r="Q1300" t="s">
        <v>3561</v>
      </c>
    </row>
    <row r="1301" spans="1:17" ht="29" hidden="1" x14ac:dyDescent="0.35">
      <c r="A1301" s="125">
        <v>786</v>
      </c>
      <c r="B1301" s="27" t="s">
        <v>71</v>
      </c>
      <c r="C1301" s="27" t="s">
        <v>551</v>
      </c>
      <c r="D1301" s="27" t="s">
        <v>552</v>
      </c>
      <c r="E1301" s="27" t="s">
        <v>1544</v>
      </c>
      <c r="F1301" s="27" t="s">
        <v>3293</v>
      </c>
      <c r="G1301" s="126" t="s">
        <v>463</v>
      </c>
      <c r="H1301" s="126" t="s">
        <v>3294</v>
      </c>
      <c r="I1301" s="126" t="s">
        <v>3288</v>
      </c>
      <c r="J1301" s="265">
        <v>100000000</v>
      </c>
      <c r="K1301" s="126" t="s">
        <v>553</v>
      </c>
      <c r="L1301" s="126">
        <v>2958666</v>
      </c>
      <c r="M1301" s="126" t="s">
        <v>55</v>
      </c>
      <c r="N1301" s="126" t="s">
        <v>3288</v>
      </c>
      <c r="O1301" s="222">
        <v>200000000</v>
      </c>
      <c r="P1301" s="28" t="s">
        <v>3289</v>
      </c>
      <c r="Q1301" t="s">
        <v>3561</v>
      </c>
    </row>
    <row r="1302" spans="1:17" ht="29" hidden="1" x14ac:dyDescent="0.35">
      <c r="A1302" s="155">
        <f t="shared" ref="A1302:A1339" si="22">A1301+1</f>
        <v>787</v>
      </c>
      <c r="B1302" s="140" t="s">
        <v>576</v>
      </c>
      <c r="C1302" s="140" t="s">
        <v>3042</v>
      </c>
      <c r="D1302" s="140" t="s">
        <v>3295</v>
      </c>
      <c r="E1302" s="140" t="s">
        <v>427</v>
      </c>
      <c r="F1302" s="140" t="s">
        <v>3296</v>
      </c>
      <c r="G1302" s="140" t="s">
        <v>205</v>
      </c>
      <c r="H1302" s="140" t="s">
        <v>259</v>
      </c>
      <c r="I1302" s="140"/>
      <c r="J1302" s="324"/>
      <c r="K1302" s="155" t="s">
        <v>3297</v>
      </c>
      <c r="L1302" s="140">
        <v>2816394</v>
      </c>
      <c r="M1302" s="155" t="s">
        <v>79</v>
      </c>
      <c r="N1302" s="324" t="s">
        <v>28</v>
      </c>
      <c r="O1302" s="127">
        <v>31625000</v>
      </c>
      <c r="P1302" s="325"/>
      <c r="Q1302" t="s">
        <v>3564</v>
      </c>
    </row>
    <row r="1303" spans="1:17" ht="29" hidden="1" x14ac:dyDescent="0.35">
      <c r="A1303" s="155">
        <f t="shared" si="22"/>
        <v>788</v>
      </c>
      <c r="B1303" s="140" t="s">
        <v>576</v>
      </c>
      <c r="C1303" s="140" t="s">
        <v>3042</v>
      </c>
      <c r="D1303" s="140" t="s">
        <v>3295</v>
      </c>
      <c r="E1303" s="140" t="s">
        <v>427</v>
      </c>
      <c r="F1303" s="140" t="s">
        <v>3298</v>
      </c>
      <c r="G1303" s="140" t="s">
        <v>266</v>
      </c>
      <c r="H1303" s="140" t="s">
        <v>1617</v>
      </c>
      <c r="I1303" s="140"/>
      <c r="J1303" s="324">
        <v>28500000</v>
      </c>
      <c r="K1303" s="155" t="s">
        <v>3297</v>
      </c>
      <c r="L1303" s="140">
        <v>2908671</v>
      </c>
      <c r="M1303" s="155" t="s">
        <v>79</v>
      </c>
      <c r="N1303" s="324" t="s">
        <v>28</v>
      </c>
      <c r="O1303" s="127">
        <v>31625000</v>
      </c>
      <c r="P1303" s="325"/>
      <c r="Q1303" t="s">
        <v>3564</v>
      </c>
    </row>
    <row r="1304" spans="1:17" ht="29" hidden="1" x14ac:dyDescent="0.35">
      <c r="A1304" s="155">
        <f t="shared" si="22"/>
        <v>789</v>
      </c>
      <c r="B1304" s="140" t="s">
        <v>576</v>
      </c>
      <c r="C1304" s="140" t="s">
        <v>3042</v>
      </c>
      <c r="D1304" s="140" t="s">
        <v>3299</v>
      </c>
      <c r="E1304" s="140" t="s">
        <v>3300</v>
      </c>
      <c r="F1304" s="140" t="s">
        <v>3301</v>
      </c>
      <c r="G1304" s="140" t="s">
        <v>1063</v>
      </c>
      <c r="H1304" s="140" t="s">
        <v>3302</v>
      </c>
      <c r="I1304" s="140" t="s">
        <v>35</v>
      </c>
      <c r="J1304" s="324">
        <v>100000000</v>
      </c>
      <c r="K1304" s="155" t="s">
        <v>3297</v>
      </c>
      <c r="L1304" s="140">
        <v>2907652</v>
      </c>
      <c r="M1304" s="32" t="s">
        <v>97</v>
      </c>
      <c r="N1304" s="326" t="s">
        <v>25</v>
      </c>
      <c r="O1304" s="10">
        <v>100000000</v>
      </c>
      <c r="P1304" s="140"/>
      <c r="Q1304" t="s">
        <v>3564</v>
      </c>
    </row>
    <row r="1305" spans="1:17" ht="29" hidden="1" x14ac:dyDescent="0.35">
      <c r="A1305" s="155">
        <f t="shared" si="22"/>
        <v>790</v>
      </c>
      <c r="B1305" s="140" t="s">
        <v>576</v>
      </c>
      <c r="C1305" s="140" t="s">
        <v>3042</v>
      </c>
      <c r="D1305" s="140" t="s">
        <v>3295</v>
      </c>
      <c r="E1305" s="140" t="s">
        <v>3303</v>
      </c>
      <c r="F1305" s="140" t="s">
        <v>495</v>
      </c>
      <c r="G1305" s="144" t="s">
        <v>496</v>
      </c>
      <c r="H1305" s="144" t="s">
        <v>497</v>
      </c>
      <c r="I1305" s="144" t="s">
        <v>54</v>
      </c>
      <c r="J1305" s="324">
        <v>300000000</v>
      </c>
      <c r="K1305" s="155" t="s">
        <v>3297</v>
      </c>
      <c r="L1305" s="140">
        <v>2795875</v>
      </c>
      <c r="M1305" s="32" t="s">
        <v>97</v>
      </c>
      <c r="N1305" s="326" t="s">
        <v>3304</v>
      </c>
      <c r="O1305" s="10">
        <v>426114400</v>
      </c>
      <c r="P1305" s="140"/>
      <c r="Q1305" t="s">
        <v>3564</v>
      </c>
    </row>
    <row r="1306" spans="1:17" ht="29" hidden="1" x14ac:dyDescent="0.35">
      <c r="A1306" s="155">
        <f t="shared" si="22"/>
        <v>791</v>
      </c>
      <c r="B1306" s="140" t="s">
        <v>576</v>
      </c>
      <c r="C1306" s="140" t="s">
        <v>3042</v>
      </c>
      <c r="D1306" s="140" t="s">
        <v>3295</v>
      </c>
      <c r="E1306" s="140" t="s">
        <v>3303</v>
      </c>
      <c r="F1306" s="140" t="s">
        <v>1079</v>
      </c>
      <c r="G1306" s="144" t="s">
        <v>496</v>
      </c>
      <c r="H1306" s="144" t="s">
        <v>496</v>
      </c>
      <c r="I1306" s="144" t="s">
        <v>54</v>
      </c>
      <c r="J1306" s="324">
        <v>300000000</v>
      </c>
      <c r="K1306" s="155" t="s">
        <v>3297</v>
      </c>
      <c r="L1306" s="140">
        <v>2795875</v>
      </c>
      <c r="M1306" s="32" t="s">
        <v>97</v>
      </c>
      <c r="N1306" s="326" t="s">
        <v>3304</v>
      </c>
      <c r="O1306" s="10">
        <v>426114400</v>
      </c>
      <c r="P1306" s="140"/>
      <c r="Q1306" t="s">
        <v>3564</v>
      </c>
    </row>
    <row r="1307" spans="1:17" ht="29" hidden="1" x14ac:dyDescent="0.35">
      <c r="A1307" s="155">
        <f t="shared" si="22"/>
        <v>792</v>
      </c>
      <c r="B1307" s="140" t="s">
        <v>576</v>
      </c>
      <c r="C1307" s="140" t="s">
        <v>3042</v>
      </c>
      <c r="D1307" s="140" t="s">
        <v>3295</v>
      </c>
      <c r="E1307" s="140" t="s">
        <v>3305</v>
      </c>
      <c r="F1307" s="140" t="s">
        <v>292</v>
      </c>
      <c r="G1307" s="144" t="s">
        <v>101</v>
      </c>
      <c r="H1307" s="144" t="s">
        <v>293</v>
      </c>
      <c r="I1307" s="144" t="s">
        <v>3306</v>
      </c>
      <c r="J1307" s="324">
        <v>52000000</v>
      </c>
      <c r="K1307" s="155" t="s">
        <v>3297</v>
      </c>
      <c r="L1307" s="140">
        <v>2907591</v>
      </c>
      <c r="M1307" s="32" t="s">
        <v>97</v>
      </c>
      <c r="N1307" s="326" t="s">
        <v>25</v>
      </c>
      <c r="O1307" s="10">
        <v>100000000</v>
      </c>
      <c r="P1307" s="140"/>
      <c r="Q1307" t="s">
        <v>3564</v>
      </c>
    </row>
    <row r="1308" spans="1:17" ht="29" hidden="1" x14ac:dyDescent="0.35">
      <c r="A1308" s="155">
        <f t="shared" si="22"/>
        <v>793</v>
      </c>
      <c r="B1308" s="140" t="s">
        <v>576</v>
      </c>
      <c r="C1308" s="140" t="s">
        <v>3042</v>
      </c>
      <c r="D1308" s="140" t="s">
        <v>3295</v>
      </c>
      <c r="E1308" s="140" t="s">
        <v>3307</v>
      </c>
      <c r="F1308" s="140" t="s">
        <v>3308</v>
      </c>
      <c r="G1308" s="144" t="s">
        <v>101</v>
      </c>
      <c r="H1308" s="144" t="s">
        <v>3309</v>
      </c>
      <c r="I1308" s="144" t="s">
        <v>572</v>
      </c>
      <c r="J1308" s="324">
        <v>30000000</v>
      </c>
      <c r="K1308" s="155" t="s">
        <v>3297</v>
      </c>
      <c r="L1308" s="140">
        <v>2965786</v>
      </c>
      <c r="M1308" s="32" t="s">
        <v>97</v>
      </c>
      <c r="N1308" s="326" t="s">
        <v>28</v>
      </c>
      <c r="O1308" s="10">
        <v>31625000</v>
      </c>
      <c r="P1308" s="140"/>
      <c r="Q1308" t="s">
        <v>3564</v>
      </c>
    </row>
    <row r="1309" spans="1:17" ht="39" hidden="1" x14ac:dyDescent="0.35">
      <c r="A1309" s="145">
        <f t="shared" si="22"/>
        <v>794</v>
      </c>
      <c r="B1309" s="146" t="s">
        <v>576</v>
      </c>
      <c r="C1309" s="146" t="s">
        <v>3042</v>
      </c>
      <c r="D1309" s="140" t="s">
        <v>3295</v>
      </c>
      <c r="E1309" s="146" t="s">
        <v>3310</v>
      </c>
      <c r="F1309" s="146" t="s">
        <v>3311</v>
      </c>
      <c r="G1309" s="145" t="s">
        <v>334</v>
      </c>
      <c r="H1309" s="145" t="s">
        <v>1133</v>
      </c>
      <c r="I1309" s="145" t="s">
        <v>336</v>
      </c>
      <c r="J1309" s="327">
        <v>16000000</v>
      </c>
      <c r="K1309" s="145" t="s">
        <v>3297</v>
      </c>
      <c r="L1309" s="145">
        <v>2958808</v>
      </c>
      <c r="M1309" s="145" t="s">
        <v>109</v>
      </c>
      <c r="N1309" s="328" t="s">
        <v>28</v>
      </c>
      <c r="O1309" s="13">
        <v>31625000</v>
      </c>
      <c r="P1309" s="305"/>
      <c r="Q1309" t="s">
        <v>3564</v>
      </c>
    </row>
    <row r="1310" spans="1:17" ht="26" hidden="1" x14ac:dyDescent="0.35">
      <c r="A1310" s="145">
        <f t="shared" si="22"/>
        <v>795</v>
      </c>
      <c r="B1310" s="146" t="s">
        <v>576</v>
      </c>
      <c r="C1310" s="146" t="s">
        <v>3042</v>
      </c>
      <c r="D1310" s="140" t="s">
        <v>3295</v>
      </c>
      <c r="E1310" s="146" t="s">
        <v>3312</v>
      </c>
      <c r="F1310" s="146" t="s">
        <v>3313</v>
      </c>
      <c r="G1310" s="145" t="s">
        <v>298</v>
      </c>
      <c r="H1310" s="145" t="s">
        <v>2074</v>
      </c>
      <c r="I1310" s="145" t="s">
        <v>3314</v>
      </c>
      <c r="J1310" s="327">
        <v>30000000</v>
      </c>
      <c r="K1310" s="145" t="s">
        <v>3297</v>
      </c>
      <c r="L1310" s="145">
        <v>2942929</v>
      </c>
      <c r="M1310" s="145" t="s">
        <v>109</v>
      </c>
      <c r="N1310" s="328" t="s">
        <v>28</v>
      </c>
      <c r="O1310" s="13">
        <v>50000000</v>
      </c>
      <c r="P1310" s="305"/>
      <c r="Q1310" t="s">
        <v>3564</v>
      </c>
    </row>
    <row r="1311" spans="1:17" ht="52" hidden="1" x14ac:dyDescent="0.35">
      <c r="A1311" s="145">
        <f t="shared" si="22"/>
        <v>796</v>
      </c>
      <c r="B1311" s="146" t="s">
        <v>3315</v>
      </c>
      <c r="C1311" s="146" t="s">
        <v>3316</v>
      </c>
      <c r="D1311" s="146" t="s">
        <v>3299</v>
      </c>
      <c r="E1311" s="146" t="s">
        <v>3317</v>
      </c>
      <c r="F1311" s="146" t="s">
        <v>186</v>
      </c>
      <c r="G1311" s="145" t="s">
        <v>303</v>
      </c>
      <c r="H1311" s="145" t="s">
        <v>3318</v>
      </c>
      <c r="I1311" s="145" t="s">
        <v>3319</v>
      </c>
      <c r="J1311" s="327">
        <v>150000000</v>
      </c>
      <c r="K1311" s="145" t="s">
        <v>3297</v>
      </c>
      <c r="L1311" s="145">
        <v>2848593</v>
      </c>
      <c r="M1311" s="145" t="s">
        <v>109</v>
      </c>
      <c r="N1311" s="328" t="s">
        <v>3320</v>
      </c>
      <c r="O1311" s="13">
        <v>100000000</v>
      </c>
      <c r="P1311" s="305" t="s">
        <v>584</v>
      </c>
      <c r="Q1311" t="s">
        <v>3564</v>
      </c>
    </row>
    <row r="1312" spans="1:17" ht="52" hidden="1" x14ac:dyDescent="0.35">
      <c r="A1312" s="145">
        <f t="shared" si="22"/>
        <v>797</v>
      </c>
      <c r="B1312" s="146" t="s">
        <v>3315</v>
      </c>
      <c r="C1312" s="146" t="s">
        <v>3316</v>
      </c>
      <c r="D1312" s="146" t="s">
        <v>3299</v>
      </c>
      <c r="E1312" s="146" t="s">
        <v>3317</v>
      </c>
      <c r="F1312" s="146" t="s">
        <v>302</v>
      </c>
      <c r="G1312" s="145" t="s">
        <v>303</v>
      </c>
      <c r="H1312" s="145" t="s">
        <v>3321</v>
      </c>
      <c r="I1312" s="145" t="s">
        <v>3319</v>
      </c>
      <c r="J1312" s="327">
        <v>100000000</v>
      </c>
      <c r="K1312" s="145" t="s">
        <v>3297</v>
      </c>
      <c r="L1312" s="145">
        <v>2959623</v>
      </c>
      <c r="M1312" s="145" t="s">
        <v>109</v>
      </c>
      <c r="N1312" s="328" t="s">
        <v>3320</v>
      </c>
      <c r="O1312" s="13">
        <v>100000000</v>
      </c>
      <c r="P1312" s="305"/>
      <c r="Q1312" t="s">
        <v>3564</v>
      </c>
    </row>
    <row r="1313" spans="1:17" ht="52" hidden="1" x14ac:dyDescent="0.35">
      <c r="A1313" s="145">
        <f t="shared" si="22"/>
        <v>798</v>
      </c>
      <c r="B1313" s="146" t="s">
        <v>3315</v>
      </c>
      <c r="C1313" s="146" t="s">
        <v>3316</v>
      </c>
      <c r="D1313" s="146" t="s">
        <v>3299</v>
      </c>
      <c r="E1313" s="146" t="s">
        <v>3317</v>
      </c>
      <c r="F1313" s="146" t="s">
        <v>302</v>
      </c>
      <c r="G1313" s="145" t="s">
        <v>303</v>
      </c>
      <c r="H1313" s="145" t="s">
        <v>3322</v>
      </c>
      <c r="I1313" s="145" t="s">
        <v>3319</v>
      </c>
      <c r="J1313" s="327">
        <v>100000000</v>
      </c>
      <c r="K1313" s="145" t="s">
        <v>3297</v>
      </c>
      <c r="L1313" s="145">
        <v>2959873</v>
      </c>
      <c r="M1313" s="145" t="s">
        <v>109</v>
      </c>
      <c r="N1313" s="328" t="s">
        <v>3320</v>
      </c>
      <c r="O1313" s="13">
        <v>100000000</v>
      </c>
      <c r="P1313" s="305" t="s">
        <v>584</v>
      </c>
      <c r="Q1313" t="s">
        <v>3564</v>
      </c>
    </row>
    <row r="1314" spans="1:17" ht="52" hidden="1" x14ac:dyDescent="0.35">
      <c r="A1314" s="145">
        <f t="shared" si="22"/>
        <v>799</v>
      </c>
      <c r="B1314" s="146" t="s">
        <v>3315</v>
      </c>
      <c r="C1314" s="146" t="s">
        <v>3316</v>
      </c>
      <c r="D1314" s="146" t="s">
        <v>3299</v>
      </c>
      <c r="E1314" s="146" t="s">
        <v>3317</v>
      </c>
      <c r="F1314" s="146" t="s">
        <v>186</v>
      </c>
      <c r="G1314" s="145" t="s">
        <v>303</v>
      </c>
      <c r="H1314" s="145" t="s">
        <v>3323</v>
      </c>
      <c r="I1314" s="145" t="s">
        <v>3319</v>
      </c>
      <c r="J1314" s="327">
        <v>100000000</v>
      </c>
      <c r="K1314" s="145" t="s">
        <v>3297</v>
      </c>
      <c r="L1314" s="145">
        <v>2959823</v>
      </c>
      <c r="M1314" s="145" t="s">
        <v>109</v>
      </c>
      <c r="N1314" s="328" t="s">
        <v>3320</v>
      </c>
      <c r="O1314" s="13">
        <v>100000000</v>
      </c>
      <c r="P1314" s="305"/>
      <c r="Q1314" t="s">
        <v>3564</v>
      </c>
    </row>
    <row r="1315" spans="1:17" ht="52" hidden="1" x14ac:dyDescent="0.35">
      <c r="A1315" s="145">
        <f t="shared" si="22"/>
        <v>800</v>
      </c>
      <c r="B1315" s="146" t="s">
        <v>576</v>
      </c>
      <c r="C1315" s="146" t="s">
        <v>3042</v>
      </c>
      <c r="D1315" s="140" t="s">
        <v>3295</v>
      </c>
      <c r="E1315" s="146" t="s">
        <v>3324</v>
      </c>
      <c r="F1315" s="146" t="s">
        <v>3325</v>
      </c>
      <c r="G1315" s="145" t="s">
        <v>325</v>
      </c>
      <c r="H1315" s="145" t="s">
        <v>3326</v>
      </c>
      <c r="I1315" s="145" t="s">
        <v>895</v>
      </c>
      <c r="J1315" s="327">
        <v>30000000</v>
      </c>
      <c r="K1315" s="145" t="s">
        <v>3297</v>
      </c>
      <c r="L1315" s="145">
        <v>3010110</v>
      </c>
      <c r="M1315" s="145" t="s">
        <v>109</v>
      </c>
      <c r="N1315" s="328" t="s">
        <v>28</v>
      </c>
      <c r="O1315" s="13">
        <v>31625000</v>
      </c>
      <c r="P1315" s="305"/>
      <c r="Q1315" t="s">
        <v>3564</v>
      </c>
    </row>
    <row r="1316" spans="1:17" ht="39" hidden="1" x14ac:dyDescent="0.35">
      <c r="A1316" s="145">
        <f t="shared" si="22"/>
        <v>801</v>
      </c>
      <c r="B1316" s="146" t="s">
        <v>576</v>
      </c>
      <c r="C1316" s="146" t="s">
        <v>3042</v>
      </c>
      <c r="D1316" s="140" t="s">
        <v>3295</v>
      </c>
      <c r="E1316" s="146" t="s">
        <v>3327</v>
      </c>
      <c r="F1316" s="146" t="s">
        <v>3328</v>
      </c>
      <c r="G1316" s="145" t="s">
        <v>325</v>
      </c>
      <c r="H1316" s="145" t="s">
        <v>3329</v>
      </c>
      <c r="I1316" s="145" t="s">
        <v>3330</v>
      </c>
      <c r="J1316" s="327">
        <v>90000000</v>
      </c>
      <c r="K1316" s="145" t="s">
        <v>3297</v>
      </c>
      <c r="L1316" s="145">
        <v>3254833</v>
      </c>
      <c r="M1316" s="145" t="s">
        <v>109</v>
      </c>
      <c r="N1316" s="328" t="s">
        <v>3304</v>
      </c>
      <c r="O1316" s="13">
        <v>100000000</v>
      </c>
      <c r="P1316" s="305"/>
      <c r="Q1316" t="s">
        <v>3564</v>
      </c>
    </row>
    <row r="1317" spans="1:17" ht="26" hidden="1" x14ac:dyDescent="0.35">
      <c r="A1317" s="145">
        <f t="shared" si="22"/>
        <v>802</v>
      </c>
      <c r="B1317" s="146" t="s">
        <v>576</v>
      </c>
      <c r="C1317" s="146" t="s">
        <v>3042</v>
      </c>
      <c r="D1317" s="140" t="s">
        <v>3295</v>
      </c>
      <c r="E1317" s="146" t="s">
        <v>3331</v>
      </c>
      <c r="F1317" s="146" t="s">
        <v>297</v>
      </c>
      <c r="G1317" s="145" t="s">
        <v>116</v>
      </c>
      <c r="H1317" s="145" t="s">
        <v>117</v>
      </c>
      <c r="I1317" s="145" t="s">
        <v>431</v>
      </c>
      <c r="J1317" s="327">
        <v>22071000</v>
      </c>
      <c r="K1317" s="145" t="s">
        <v>3297</v>
      </c>
      <c r="L1317" s="145">
        <v>2922688</v>
      </c>
      <c r="M1317" s="145" t="s">
        <v>109</v>
      </c>
      <c r="N1317" s="328" t="s">
        <v>28</v>
      </c>
      <c r="O1317" s="13">
        <v>38500000</v>
      </c>
      <c r="P1317" s="305"/>
      <c r="Q1317" t="s">
        <v>3564</v>
      </c>
    </row>
    <row r="1318" spans="1:17" ht="26" hidden="1" x14ac:dyDescent="0.35">
      <c r="A1318" s="145">
        <f t="shared" si="22"/>
        <v>803</v>
      </c>
      <c r="B1318" s="146" t="s">
        <v>576</v>
      </c>
      <c r="C1318" s="146" t="s">
        <v>3042</v>
      </c>
      <c r="D1318" s="140" t="s">
        <v>3295</v>
      </c>
      <c r="E1318" s="146" t="s">
        <v>3332</v>
      </c>
      <c r="F1318" s="146" t="s">
        <v>3333</v>
      </c>
      <c r="G1318" s="145" t="s">
        <v>116</v>
      </c>
      <c r="H1318" s="145" t="s">
        <v>2174</v>
      </c>
      <c r="I1318" s="145" t="s">
        <v>431</v>
      </c>
      <c r="J1318" s="327">
        <v>20000000</v>
      </c>
      <c r="K1318" s="145" t="s">
        <v>3297</v>
      </c>
      <c r="L1318" s="145">
        <v>2922583</v>
      </c>
      <c r="M1318" s="145" t="s">
        <v>109</v>
      </c>
      <c r="N1318" s="328" t="s">
        <v>28</v>
      </c>
      <c r="O1318" s="13">
        <v>38500000</v>
      </c>
      <c r="P1318" s="305"/>
      <c r="Q1318" t="s">
        <v>3564</v>
      </c>
    </row>
    <row r="1319" spans="1:17" ht="29" hidden="1" x14ac:dyDescent="0.35">
      <c r="A1319" s="155">
        <f t="shared" si="22"/>
        <v>804</v>
      </c>
      <c r="B1319" s="140" t="s">
        <v>576</v>
      </c>
      <c r="C1319" s="140" t="s">
        <v>3042</v>
      </c>
      <c r="D1319" s="140" t="s">
        <v>3295</v>
      </c>
      <c r="E1319" s="277" t="s">
        <v>3334</v>
      </c>
      <c r="F1319" s="140" t="s">
        <v>3335</v>
      </c>
      <c r="G1319" s="329" t="s">
        <v>870</v>
      </c>
      <c r="H1319" s="329" t="s">
        <v>3336</v>
      </c>
      <c r="I1319" s="329" t="s">
        <v>3337</v>
      </c>
      <c r="J1319" s="328">
        <v>180000000</v>
      </c>
      <c r="K1319" s="155" t="s">
        <v>3297</v>
      </c>
      <c r="L1319" s="155">
        <v>2924573</v>
      </c>
      <c r="M1319" s="155" t="s">
        <v>27</v>
      </c>
      <c r="N1319" s="155" t="s">
        <v>25</v>
      </c>
      <c r="O1319" s="13">
        <v>342708000</v>
      </c>
      <c r="P1319" s="305"/>
      <c r="Q1319" t="s">
        <v>3564</v>
      </c>
    </row>
    <row r="1320" spans="1:17" ht="29" hidden="1" x14ac:dyDescent="0.35">
      <c r="A1320" s="155">
        <f t="shared" si="22"/>
        <v>805</v>
      </c>
      <c r="B1320" s="140" t="s">
        <v>576</v>
      </c>
      <c r="C1320" s="140" t="s">
        <v>3042</v>
      </c>
      <c r="D1320" s="140" t="s">
        <v>3295</v>
      </c>
      <c r="E1320" s="140" t="s">
        <v>3338</v>
      </c>
      <c r="F1320" s="140" t="s">
        <v>3339</v>
      </c>
      <c r="G1320" s="155" t="s">
        <v>870</v>
      </c>
      <c r="H1320" s="155" t="s">
        <v>3336</v>
      </c>
      <c r="I1320" s="155" t="s">
        <v>2138</v>
      </c>
      <c r="J1320" s="328">
        <v>35000000</v>
      </c>
      <c r="K1320" s="155" t="s">
        <v>3297</v>
      </c>
      <c r="L1320" s="155">
        <v>2924860</v>
      </c>
      <c r="M1320" s="155" t="s">
        <v>27</v>
      </c>
      <c r="N1320" s="155" t="s">
        <v>25</v>
      </c>
      <c r="O1320" s="13">
        <v>100000000</v>
      </c>
      <c r="P1320" s="305"/>
      <c r="Q1320" t="s">
        <v>3564</v>
      </c>
    </row>
    <row r="1321" spans="1:17" ht="29" hidden="1" x14ac:dyDescent="0.35">
      <c r="A1321" s="155">
        <f t="shared" si="22"/>
        <v>806</v>
      </c>
      <c r="B1321" s="294" t="s">
        <v>576</v>
      </c>
      <c r="C1321" s="294" t="s">
        <v>3042</v>
      </c>
      <c r="D1321" s="140" t="s">
        <v>3295</v>
      </c>
      <c r="E1321" s="330" t="s">
        <v>3340</v>
      </c>
      <c r="F1321" s="294" t="s">
        <v>3341</v>
      </c>
      <c r="G1321" s="331" t="s">
        <v>1270</v>
      </c>
      <c r="H1321" s="331" t="s">
        <v>3342</v>
      </c>
      <c r="I1321" s="331" t="s">
        <v>3343</v>
      </c>
      <c r="J1321" s="332">
        <v>100000000</v>
      </c>
      <c r="K1321" s="295" t="s">
        <v>3297</v>
      </c>
      <c r="L1321" s="295">
        <v>2937899</v>
      </c>
      <c r="M1321" s="295" t="s">
        <v>27</v>
      </c>
      <c r="N1321" s="295" t="s">
        <v>25</v>
      </c>
      <c r="O1321" s="297">
        <v>100000000</v>
      </c>
      <c r="P1321" s="140"/>
      <c r="Q1321" t="s">
        <v>3564</v>
      </c>
    </row>
    <row r="1322" spans="1:17" ht="29" hidden="1" x14ac:dyDescent="0.35">
      <c r="A1322" s="149">
        <f t="shared" si="22"/>
        <v>807</v>
      </c>
      <c r="B1322" s="140" t="s">
        <v>576</v>
      </c>
      <c r="C1322" s="140" t="s">
        <v>3042</v>
      </c>
      <c r="D1322" s="140" t="s">
        <v>3295</v>
      </c>
      <c r="E1322" s="140" t="s">
        <v>3344</v>
      </c>
      <c r="F1322" s="140" t="s">
        <v>140</v>
      </c>
      <c r="G1322" s="155" t="s">
        <v>361</v>
      </c>
      <c r="H1322" s="155" t="s">
        <v>2526</v>
      </c>
      <c r="I1322" s="155">
        <v>3</v>
      </c>
      <c r="J1322" s="328">
        <v>30000000</v>
      </c>
      <c r="K1322" s="155" t="s">
        <v>3297</v>
      </c>
      <c r="L1322" s="155">
        <v>2817855</v>
      </c>
      <c r="M1322" s="155" t="s">
        <v>144</v>
      </c>
      <c r="N1322" s="155" t="s">
        <v>366</v>
      </c>
      <c r="O1322" s="13">
        <v>15000000</v>
      </c>
      <c r="P1322" s="305"/>
      <c r="Q1322" t="s">
        <v>3564</v>
      </c>
    </row>
    <row r="1323" spans="1:17" ht="29" hidden="1" x14ac:dyDescent="0.35">
      <c r="A1323" s="155">
        <f t="shared" si="22"/>
        <v>808</v>
      </c>
      <c r="B1323" s="140" t="s">
        <v>576</v>
      </c>
      <c r="C1323" s="140" t="s">
        <v>3042</v>
      </c>
      <c r="D1323" s="140" t="s">
        <v>3295</v>
      </c>
      <c r="E1323" s="140" t="s">
        <v>3345</v>
      </c>
      <c r="F1323" s="140"/>
      <c r="G1323" s="140" t="s">
        <v>162</v>
      </c>
      <c r="H1323" s="140" t="s">
        <v>601</v>
      </c>
      <c r="I1323" s="140" t="s">
        <v>35</v>
      </c>
      <c r="J1323" s="324">
        <v>75000000</v>
      </c>
      <c r="K1323" s="155" t="s">
        <v>3297</v>
      </c>
      <c r="L1323" s="140">
        <v>2907660</v>
      </c>
      <c r="M1323" s="155" t="s">
        <v>46</v>
      </c>
      <c r="N1323" s="324" t="s">
        <v>25</v>
      </c>
      <c r="O1323" s="10">
        <v>75000000</v>
      </c>
      <c r="P1323" s="140"/>
      <c r="Q1323" t="s">
        <v>3564</v>
      </c>
    </row>
    <row r="1324" spans="1:17" ht="29" hidden="1" x14ac:dyDescent="0.35">
      <c r="A1324" s="155">
        <f t="shared" si="22"/>
        <v>809</v>
      </c>
      <c r="B1324" s="140" t="s">
        <v>576</v>
      </c>
      <c r="C1324" s="140" t="s">
        <v>3042</v>
      </c>
      <c r="D1324" s="140" t="s">
        <v>3295</v>
      </c>
      <c r="E1324" s="140" t="s">
        <v>3346</v>
      </c>
      <c r="F1324" s="140"/>
      <c r="G1324" s="140" t="s">
        <v>162</v>
      </c>
      <c r="H1324" s="140" t="s">
        <v>601</v>
      </c>
      <c r="I1324" s="140" t="s">
        <v>35</v>
      </c>
      <c r="J1324" s="324">
        <v>60000000</v>
      </c>
      <c r="K1324" s="155" t="s">
        <v>3297</v>
      </c>
      <c r="L1324" s="140">
        <v>2916544</v>
      </c>
      <c r="M1324" s="155" t="s">
        <v>46</v>
      </c>
      <c r="N1324" s="324" t="s">
        <v>25</v>
      </c>
      <c r="O1324" s="10">
        <v>60000000</v>
      </c>
      <c r="P1324" s="140"/>
      <c r="Q1324" t="s">
        <v>3564</v>
      </c>
    </row>
    <row r="1325" spans="1:17" ht="29" hidden="1" x14ac:dyDescent="0.35">
      <c r="A1325" s="155">
        <f t="shared" si="22"/>
        <v>810</v>
      </c>
      <c r="B1325" s="140" t="s">
        <v>576</v>
      </c>
      <c r="C1325" s="140" t="s">
        <v>3042</v>
      </c>
      <c r="D1325" s="140" t="s">
        <v>3295</v>
      </c>
      <c r="E1325" s="140" t="s">
        <v>3347</v>
      </c>
      <c r="F1325" s="140" t="s">
        <v>3348</v>
      </c>
      <c r="G1325" s="140" t="s">
        <v>405</v>
      </c>
      <c r="H1325" s="140" t="s">
        <v>1336</v>
      </c>
      <c r="I1325" s="140" t="s">
        <v>609</v>
      </c>
      <c r="J1325" s="324">
        <v>50000000</v>
      </c>
      <c r="K1325" s="155" t="s">
        <v>3297</v>
      </c>
      <c r="L1325" s="140">
        <v>2801231</v>
      </c>
      <c r="M1325" s="155" t="s">
        <v>46</v>
      </c>
      <c r="N1325" s="324" t="s">
        <v>25</v>
      </c>
      <c r="O1325" s="10">
        <v>342708000</v>
      </c>
      <c r="P1325" s="140"/>
      <c r="Q1325" t="s">
        <v>3564</v>
      </c>
    </row>
    <row r="1326" spans="1:17" ht="43.5" hidden="1" x14ac:dyDescent="0.35">
      <c r="A1326" s="155">
        <f t="shared" si="22"/>
        <v>811</v>
      </c>
      <c r="B1326" s="140" t="s">
        <v>576</v>
      </c>
      <c r="C1326" s="140" t="s">
        <v>3042</v>
      </c>
      <c r="D1326" s="140" t="s">
        <v>3295</v>
      </c>
      <c r="E1326" s="140" t="s">
        <v>3349</v>
      </c>
      <c r="F1326" s="140" t="s">
        <v>3350</v>
      </c>
      <c r="G1326" s="140" t="s">
        <v>171</v>
      </c>
      <c r="H1326" s="140" t="s">
        <v>3351</v>
      </c>
      <c r="I1326" s="140" t="s">
        <v>280</v>
      </c>
      <c r="J1326" s="324">
        <v>110000000</v>
      </c>
      <c r="K1326" s="155" t="s">
        <v>3297</v>
      </c>
      <c r="L1326" s="140">
        <v>2934736</v>
      </c>
      <c r="M1326" s="155" t="s">
        <v>173</v>
      </c>
      <c r="N1326" s="324" t="s">
        <v>3304</v>
      </c>
      <c r="O1326" s="238">
        <v>342708000</v>
      </c>
      <c r="P1326" s="140"/>
      <c r="Q1326" t="s">
        <v>3564</v>
      </c>
    </row>
    <row r="1327" spans="1:17" ht="29" hidden="1" x14ac:dyDescent="0.35">
      <c r="A1327" s="155">
        <f t="shared" si="22"/>
        <v>812</v>
      </c>
      <c r="B1327" s="140" t="s">
        <v>576</v>
      </c>
      <c r="C1327" s="140" t="s">
        <v>3042</v>
      </c>
      <c r="D1327" s="140" t="s">
        <v>3295</v>
      </c>
      <c r="E1327" s="140" t="s">
        <v>3352</v>
      </c>
      <c r="F1327" s="140" t="s">
        <v>3353</v>
      </c>
      <c r="G1327" s="140" t="s">
        <v>912</v>
      </c>
      <c r="H1327" s="140" t="s">
        <v>1352</v>
      </c>
      <c r="I1327" s="140" t="s">
        <v>25</v>
      </c>
      <c r="J1327" s="324">
        <v>55431000</v>
      </c>
      <c r="K1327" s="155" t="s">
        <v>3297</v>
      </c>
      <c r="L1327" s="140">
        <v>2790625</v>
      </c>
      <c r="M1327" s="155" t="s">
        <v>173</v>
      </c>
      <c r="N1327" s="324" t="s">
        <v>3304</v>
      </c>
      <c r="O1327" s="10">
        <v>50000000</v>
      </c>
      <c r="P1327" s="140"/>
      <c r="Q1327" t="s">
        <v>3564</v>
      </c>
    </row>
    <row r="1328" spans="1:17" ht="29" hidden="1" x14ac:dyDescent="0.35">
      <c r="A1328" s="155">
        <f t="shared" si="22"/>
        <v>813</v>
      </c>
      <c r="B1328" s="140" t="s">
        <v>576</v>
      </c>
      <c r="C1328" s="140" t="s">
        <v>3042</v>
      </c>
      <c r="D1328" s="140" t="s">
        <v>3295</v>
      </c>
      <c r="E1328" s="140" t="s">
        <v>3331</v>
      </c>
      <c r="F1328" s="140" t="s">
        <v>3354</v>
      </c>
      <c r="G1328" s="140" t="s">
        <v>970</v>
      </c>
      <c r="H1328" s="140" t="s">
        <v>3355</v>
      </c>
      <c r="I1328" s="140" t="s">
        <v>431</v>
      </c>
      <c r="J1328" s="324">
        <v>25000000</v>
      </c>
      <c r="K1328" s="155" t="s">
        <v>3297</v>
      </c>
      <c r="L1328" s="140">
        <v>3010464</v>
      </c>
      <c r="M1328" s="155" t="s">
        <v>173</v>
      </c>
      <c r="N1328" s="324" t="s">
        <v>28</v>
      </c>
      <c r="O1328" s="10">
        <v>38500000</v>
      </c>
      <c r="P1328" s="140"/>
      <c r="Q1328" t="s">
        <v>3564</v>
      </c>
    </row>
    <row r="1329" spans="1:17" ht="29" hidden="1" x14ac:dyDescent="0.35">
      <c r="A1329" s="155">
        <f t="shared" si="22"/>
        <v>814</v>
      </c>
      <c r="B1329" s="140" t="s">
        <v>576</v>
      </c>
      <c r="C1329" s="140" t="s">
        <v>3042</v>
      </c>
      <c r="D1329" s="140" t="s">
        <v>3295</v>
      </c>
      <c r="E1329" s="140" t="s">
        <v>3356</v>
      </c>
      <c r="F1329" s="140" t="s">
        <v>3357</v>
      </c>
      <c r="G1329" s="140" t="s">
        <v>1376</v>
      </c>
      <c r="H1329" s="140" t="s">
        <v>3358</v>
      </c>
      <c r="I1329" s="140" t="s">
        <v>35</v>
      </c>
      <c r="J1329" s="324">
        <v>5000000</v>
      </c>
      <c r="K1329" s="155" t="s">
        <v>3297</v>
      </c>
      <c r="L1329" s="140">
        <v>3176807</v>
      </c>
      <c r="M1329" s="155" t="s">
        <v>226</v>
      </c>
      <c r="N1329" s="324" t="s">
        <v>28</v>
      </c>
      <c r="O1329" s="10">
        <v>31625000</v>
      </c>
      <c r="P1329" s="140"/>
      <c r="Q1329" t="s">
        <v>3564</v>
      </c>
    </row>
    <row r="1330" spans="1:17" ht="29" hidden="1" x14ac:dyDescent="0.35">
      <c r="A1330" s="155">
        <f t="shared" si="22"/>
        <v>815</v>
      </c>
      <c r="B1330" s="140" t="s">
        <v>576</v>
      </c>
      <c r="C1330" s="140" t="s">
        <v>3042</v>
      </c>
      <c r="D1330" s="140" t="s">
        <v>3299</v>
      </c>
      <c r="E1330" s="140" t="s">
        <v>3359</v>
      </c>
      <c r="F1330" s="140" t="s">
        <v>48</v>
      </c>
      <c r="G1330" s="140" t="s">
        <v>978</v>
      </c>
      <c r="H1330" s="140" t="s">
        <v>2883</v>
      </c>
      <c r="I1330" s="140">
        <v>1</v>
      </c>
      <c r="J1330" s="324">
        <v>25000000</v>
      </c>
      <c r="K1330" s="155" t="s">
        <v>3297</v>
      </c>
      <c r="L1330" s="140">
        <v>3011366</v>
      </c>
      <c r="M1330" s="155" t="s">
        <v>226</v>
      </c>
      <c r="N1330" s="324" t="s">
        <v>25</v>
      </c>
      <c r="O1330" s="10">
        <v>100000000</v>
      </c>
      <c r="P1330" s="140"/>
      <c r="Q1330" t="s">
        <v>3564</v>
      </c>
    </row>
    <row r="1331" spans="1:17" ht="29" hidden="1" x14ac:dyDescent="0.35">
      <c r="A1331" s="155">
        <f t="shared" si="22"/>
        <v>816</v>
      </c>
      <c r="B1331" s="140" t="s">
        <v>576</v>
      </c>
      <c r="C1331" s="140" t="s">
        <v>3042</v>
      </c>
      <c r="D1331" s="140" t="s">
        <v>3295</v>
      </c>
      <c r="E1331" s="140" t="s">
        <v>3360</v>
      </c>
      <c r="F1331" s="140" t="s">
        <v>3361</v>
      </c>
      <c r="G1331" s="140" t="s">
        <v>182</v>
      </c>
      <c r="H1331" s="140" t="s">
        <v>638</v>
      </c>
      <c r="I1331" s="140" t="s">
        <v>725</v>
      </c>
      <c r="J1331" s="324">
        <v>50000000</v>
      </c>
      <c r="K1331" s="155" t="s">
        <v>3297</v>
      </c>
      <c r="L1331" s="140">
        <v>2947575</v>
      </c>
      <c r="M1331" s="155" t="s">
        <v>180</v>
      </c>
      <c r="N1331" s="324" t="s">
        <v>3304</v>
      </c>
      <c r="O1331" s="238">
        <v>342708000</v>
      </c>
      <c r="P1331" s="140" t="s">
        <v>3362</v>
      </c>
      <c r="Q1331" t="s">
        <v>3564</v>
      </c>
    </row>
    <row r="1332" spans="1:17" ht="29" hidden="1" x14ac:dyDescent="0.35">
      <c r="A1332" s="155">
        <f t="shared" si="22"/>
        <v>817</v>
      </c>
      <c r="B1332" s="140" t="s">
        <v>576</v>
      </c>
      <c r="C1332" s="140" t="s">
        <v>3042</v>
      </c>
      <c r="D1332" s="140" t="s">
        <v>3295</v>
      </c>
      <c r="E1332" s="140" t="s">
        <v>3360</v>
      </c>
      <c r="F1332" s="140" t="s">
        <v>3361</v>
      </c>
      <c r="G1332" s="140" t="s">
        <v>182</v>
      </c>
      <c r="H1332" s="140" t="s">
        <v>3363</v>
      </c>
      <c r="I1332" s="140" t="s">
        <v>725</v>
      </c>
      <c r="J1332" s="324">
        <v>50000000</v>
      </c>
      <c r="K1332" s="155" t="s">
        <v>3297</v>
      </c>
      <c r="L1332" s="140">
        <v>2947622</v>
      </c>
      <c r="M1332" s="155" t="s">
        <v>180</v>
      </c>
      <c r="N1332" s="324" t="s">
        <v>3304</v>
      </c>
      <c r="O1332" s="238">
        <v>342708000</v>
      </c>
      <c r="P1332" s="140" t="s">
        <v>3362</v>
      </c>
      <c r="Q1332" t="s">
        <v>3564</v>
      </c>
    </row>
    <row r="1333" spans="1:17" ht="43.5" hidden="1" x14ac:dyDescent="0.35">
      <c r="A1333" s="155">
        <f t="shared" si="22"/>
        <v>818</v>
      </c>
      <c r="B1333" s="140" t="s">
        <v>576</v>
      </c>
      <c r="C1333" s="140" t="s">
        <v>3042</v>
      </c>
      <c r="D1333" s="140" t="s">
        <v>3295</v>
      </c>
      <c r="E1333" s="140" t="s">
        <v>3364</v>
      </c>
      <c r="F1333" s="140" t="s">
        <v>3361</v>
      </c>
      <c r="G1333" s="140" t="s">
        <v>182</v>
      </c>
      <c r="H1333" s="140" t="s">
        <v>183</v>
      </c>
      <c r="I1333" s="140" t="s">
        <v>431</v>
      </c>
      <c r="J1333" s="324">
        <v>15000000</v>
      </c>
      <c r="K1333" s="155" t="s">
        <v>3297</v>
      </c>
      <c r="L1333" s="140">
        <v>2952352</v>
      </c>
      <c r="M1333" s="155" t="s">
        <v>180</v>
      </c>
      <c r="N1333" s="324"/>
      <c r="O1333" s="10">
        <v>42310000</v>
      </c>
      <c r="P1333" s="140" t="s">
        <v>3365</v>
      </c>
      <c r="Q1333" t="s">
        <v>3564</v>
      </c>
    </row>
    <row r="1334" spans="1:17" ht="29" hidden="1" x14ac:dyDescent="0.35">
      <c r="A1334" s="155">
        <f t="shared" si="22"/>
        <v>819</v>
      </c>
      <c r="B1334" s="140" t="s">
        <v>576</v>
      </c>
      <c r="C1334" s="140" t="s">
        <v>3042</v>
      </c>
      <c r="D1334" s="140" t="s">
        <v>3295</v>
      </c>
      <c r="E1334" s="140" t="s">
        <v>3360</v>
      </c>
      <c r="F1334" s="140" t="s">
        <v>3366</v>
      </c>
      <c r="G1334" s="140" t="s">
        <v>187</v>
      </c>
      <c r="H1334" s="140" t="s">
        <v>807</v>
      </c>
      <c r="I1334" s="140" t="s">
        <v>3367</v>
      </c>
      <c r="J1334" s="324">
        <v>25000000</v>
      </c>
      <c r="K1334" s="155" t="s">
        <v>3297</v>
      </c>
      <c r="L1334" s="140">
        <v>2975617</v>
      </c>
      <c r="M1334" s="155" t="s">
        <v>180</v>
      </c>
      <c r="N1334" s="324" t="s">
        <v>3304</v>
      </c>
      <c r="O1334" s="10">
        <v>342708000</v>
      </c>
      <c r="P1334" s="140"/>
      <c r="Q1334" t="s">
        <v>3564</v>
      </c>
    </row>
    <row r="1335" spans="1:17" ht="29" hidden="1" x14ac:dyDescent="0.35">
      <c r="A1335" s="155">
        <f t="shared" si="22"/>
        <v>820</v>
      </c>
      <c r="B1335" s="140" t="s">
        <v>576</v>
      </c>
      <c r="C1335" s="140" t="s">
        <v>3042</v>
      </c>
      <c r="D1335" s="140" t="s">
        <v>3295</v>
      </c>
      <c r="E1335" s="140" t="s">
        <v>3368</v>
      </c>
      <c r="F1335" s="140" t="s">
        <v>3369</v>
      </c>
      <c r="G1335" s="140" t="s">
        <v>989</v>
      </c>
      <c r="H1335" s="140" t="s">
        <v>3370</v>
      </c>
      <c r="I1335" s="140" t="s">
        <v>725</v>
      </c>
      <c r="J1335" s="324">
        <v>25000000</v>
      </c>
      <c r="K1335" s="155" t="s">
        <v>3297</v>
      </c>
      <c r="L1335" s="140">
        <v>2967526</v>
      </c>
      <c r="M1335" s="155" t="s">
        <v>180</v>
      </c>
      <c r="N1335" s="324" t="s">
        <v>25</v>
      </c>
      <c r="O1335" s="10">
        <v>70000000</v>
      </c>
      <c r="P1335" s="140" t="s">
        <v>3371</v>
      </c>
      <c r="Q1335" t="s">
        <v>3564</v>
      </c>
    </row>
    <row r="1336" spans="1:17" ht="29" hidden="1" x14ac:dyDescent="0.35">
      <c r="A1336" s="155">
        <f t="shared" si="22"/>
        <v>821</v>
      </c>
      <c r="B1336" s="140" t="s">
        <v>576</v>
      </c>
      <c r="C1336" s="140" t="s">
        <v>3042</v>
      </c>
      <c r="D1336" s="140" t="s">
        <v>3295</v>
      </c>
      <c r="E1336" s="140" t="s">
        <v>3368</v>
      </c>
      <c r="F1336" s="140" t="s">
        <v>3007</v>
      </c>
      <c r="G1336" s="140" t="s">
        <v>989</v>
      </c>
      <c r="H1336" s="140" t="s">
        <v>3370</v>
      </c>
      <c r="I1336" s="140" t="s">
        <v>3372</v>
      </c>
      <c r="J1336" s="324">
        <v>100000000</v>
      </c>
      <c r="K1336" s="155" t="s">
        <v>3297</v>
      </c>
      <c r="L1336" s="140"/>
      <c r="M1336" s="155" t="s">
        <v>180</v>
      </c>
      <c r="N1336" s="324"/>
      <c r="O1336" s="238">
        <v>342708000</v>
      </c>
      <c r="P1336" s="140" t="s">
        <v>3373</v>
      </c>
      <c r="Q1336" t="s">
        <v>3564</v>
      </c>
    </row>
    <row r="1337" spans="1:17" ht="43.5" hidden="1" x14ac:dyDescent="0.35">
      <c r="A1337" s="155">
        <f t="shared" si="22"/>
        <v>822</v>
      </c>
      <c r="B1337" s="140" t="s">
        <v>576</v>
      </c>
      <c r="C1337" s="140" t="s">
        <v>3042</v>
      </c>
      <c r="D1337" s="140" t="s">
        <v>3299</v>
      </c>
      <c r="E1337" s="140" t="s">
        <v>3374</v>
      </c>
      <c r="F1337" s="140" t="s">
        <v>3375</v>
      </c>
      <c r="G1337" s="155" t="s">
        <v>529</v>
      </c>
      <c r="H1337" s="155" t="s">
        <v>3376</v>
      </c>
      <c r="I1337" s="155" t="s">
        <v>35</v>
      </c>
      <c r="J1337" s="328">
        <v>100000000</v>
      </c>
      <c r="K1337" s="155" t="s">
        <v>3297</v>
      </c>
      <c r="L1337" s="155">
        <v>2941487</v>
      </c>
      <c r="M1337" s="155" t="s">
        <v>55</v>
      </c>
      <c r="N1337" s="155" t="s">
        <v>28</v>
      </c>
      <c r="O1337" s="17">
        <v>100000000</v>
      </c>
      <c r="P1337" s="305"/>
      <c r="Q1337" t="s">
        <v>3564</v>
      </c>
    </row>
    <row r="1338" spans="1:17" ht="29" hidden="1" x14ac:dyDescent="0.35">
      <c r="A1338" s="155">
        <f t="shared" si="22"/>
        <v>823</v>
      </c>
      <c r="B1338" s="140" t="s">
        <v>576</v>
      </c>
      <c r="C1338" s="140" t="s">
        <v>3042</v>
      </c>
      <c r="D1338" s="140" t="s">
        <v>3295</v>
      </c>
      <c r="E1338" s="140" t="s">
        <v>3377</v>
      </c>
      <c r="F1338" s="140" t="s">
        <v>3378</v>
      </c>
      <c r="G1338" s="155" t="s">
        <v>529</v>
      </c>
      <c r="H1338" s="155" t="s">
        <v>3379</v>
      </c>
      <c r="I1338" s="155" t="s">
        <v>35</v>
      </c>
      <c r="J1338" s="328">
        <v>100000000</v>
      </c>
      <c r="K1338" s="155" t="s">
        <v>3297</v>
      </c>
      <c r="L1338" s="155">
        <v>2933308</v>
      </c>
      <c r="M1338" s="155" t="s">
        <v>55</v>
      </c>
      <c r="N1338" s="189" t="s">
        <v>3304</v>
      </c>
      <c r="O1338" s="238">
        <v>342708000</v>
      </c>
      <c r="P1338" s="305"/>
      <c r="Q1338" t="s">
        <v>3564</v>
      </c>
    </row>
    <row r="1339" spans="1:17" ht="29" hidden="1" x14ac:dyDescent="0.35">
      <c r="A1339" s="155">
        <f t="shared" si="22"/>
        <v>824</v>
      </c>
      <c r="B1339" s="140" t="s">
        <v>576</v>
      </c>
      <c r="C1339" s="140" t="s">
        <v>3042</v>
      </c>
      <c r="D1339" s="140" t="s">
        <v>3299</v>
      </c>
      <c r="E1339" s="140" t="s">
        <v>3380</v>
      </c>
      <c r="F1339" s="140" t="s">
        <v>3381</v>
      </c>
      <c r="G1339" s="155" t="s">
        <v>529</v>
      </c>
      <c r="H1339" s="155" t="s">
        <v>3382</v>
      </c>
      <c r="I1339" s="155" t="s">
        <v>35</v>
      </c>
      <c r="J1339" s="328">
        <v>100000000</v>
      </c>
      <c r="K1339" s="155" t="s">
        <v>3297</v>
      </c>
      <c r="L1339" s="155">
        <v>2941168</v>
      </c>
      <c r="M1339" s="155" t="s">
        <v>55</v>
      </c>
      <c r="N1339" s="155" t="s">
        <v>35</v>
      </c>
      <c r="O1339" s="13">
        <v>100000000</v>
      </c>
      <c r="P1339" s="305"/>
      <c r="Q1339" t="s">
        <v>3564</v>
      </c>
    </row>
    <row r="1340" spans="1:17" ht="43.5" hidden="1" x14ac:dyDescent="0.35">
      <c r="A1340" s="319">
        <v>40</v>
      </c>
      <c r="B1340" s="27" t="s">
        <v>576</v>
      </c>
      <c r="C1340" s="27" t="s">
        <v>3042</v>
      </c>
      <c r="D1340" s="27" t="s">
        <v>3295</v>
      </c>
      <c r="E1340" s="27" t="s">
        <v>3383</v>
      </c>
      <c r="F1340" s="27" t="s">
        <v>3384</v>
      </c>
      <c r="G1340" s="27" t="s">
        <v>1376</v>
      </c>
      <c r="H1340" s="27" t="s">
        <v>430</v>
      </c>
      <c r="I1340" s="27"/>
      <c r="J1340" s="27"/>
      <c r="K1340" s="126" t="s">
        <v>3297</v>
      </c>
      <c r="L1340" s="27"/>
      <c r="M1340" s="126" t="s">
        <v>226</v>
      </c>
      <c r="N1340" s="333" t="s">
        <v>28</v>
      </c>
      <c r="O1340" s="127">
        <v>31625000</v>
      </c>
      <c r="P1340" s="27" t="s">
        <v>3385</v>
      </c>
      <c r="Q1340" t="s">
        <v>3564</v>
      </c>
    </row>
    <row r="1341" spans="1:17" ht="43.5" hidden="1" x14ac:dyDescent="0.35">
      <c r="A1341" s="155">
        <f t="shared" ref="A1341:A1353" si="23">A1340+1</f>
        <v>41</v>
      </c>
      <c r="B1341" s="140" t="s">
        <v>576</v>
      </c>
      <c r="C1341" s="140" t="s">
        <v>3386</v>
      </c>
      <c r="D1341" s="277" t="s">
        <v>3387</v>
      </c>
      <c r="E1341" s="140" t="s">
        <v>3388</v>
      </c>
      <c r="F1341" s="140" t="s">
        <v>2215</v>
      </c>
      <c r="G1341" s="143" t="s">
        <v>345</v>
      </c>
      <c r="H1341" s="155" t="s">
        <v>2220</v>
      </c>
      <c r="I1341" s="155" t="s">
        <v>695</v>
      </c>
      <c r="J1341" s="334">
        <v>2500000</v>
      </c>
      <c r="K1341" s="155" t="s">
        <v>3389</v>
      </c>
      <c r="L1341" s="155">
        <v>2906679</v>
      </c>
      <c r="M1341" s="155" t="s">
        <v>27</v>
      </c>
      <c r="N1341" s="155">
        <v>1</v>
      </c>
      <c r="O1341" s="13">
        <v>2583000</v>
      </c>
      <c r="P1341" s="305"/>
      <c r="Q1341" t="s">
        <v>3564</v>
      </c>
    </row>
    <row r="1342" spans="1:17" ht="43.5" hidden="1" x14ac:dyDescent="0.35">
      <c r="A1342" s="155">
        <f t="shared" si="23"/>
        <v>42</v>
      </c>
      <c r="B1342" s="140" t="s">
        <v>576</v>
      </c>
      <c r="C1342" s="140" t="s">
        <v>3386</v>
      </c>
      <c r="D1342" s="277" t="s">
        <v>3387</v>
      </c>
      <c r="E1342" s="140" t="s">
        <v>3388</v>
      </c>
      <c r="F1342" s="140" t="s">
        <v>2217</v>
      </c>
      <c r="G1342" s="155" t="s">
        <v>345</v>
      </c>
      <c r="H1342" s="155" t="s">
        <v>2218</v>
      </c>
      <c r="I1342" s="155" t="s">
        <v>695</v>
      </c>
      <c r="J1342" s="334">
        <v>5000000</v>
      </c>
      <c r="K1342" s="155" t="s">
        <v>3389</v>
      </c>
      <c r="L1342" s="155">
        <v>2906679</v>
      </c>
      <c r="M1342" s="155" t="s">
        <v>27</v>
      </c>
      <c r="N1342" s="155">
        <v>1</v>
      </c>
      <c r="O1342" s="13">
        <v>2583000</v>
      </c>
      <c r="P1342" s="305"/>
      <c r="Q1342" t="s">
        <v>3564</v>
      </c>
    </row>
    <row r="1343" spans="1:17" ht="43.5" hidden="1" x14ac:dyDescent="0.35">
      <c r="A1343" s="155">
        <f t="shared" si="23"/>
        <v>43</v>
      </c>
      <c r="B1343" s="140" t="s">
        <v>576</v>
      </c>
      <c r="C1343" s="140" t="s">
        <v>3386</v>
      </c>
      <c r="D1343" s="277" t="s">
        <v>3387</v>
      </c>
      <c r="E1343" s="140" t="s">
        <v>3388</v>
      </c>
      <c r="F1343" s="140" t="s">
        <v>2219</v>
      </c>
      <c r="G1343" s="155" t="s">
        <v>345</v>
      </c>
      <c r="H1343" s="155" t="s">
        <v>2220</v>
      </c>
      <c r="I1343" s="155">
        <v>10</v>
      </c>
      <c r="J1343" s="334">
        <v>5000000</v>
      </c>
      <c r="K1343" s="155" t="s">
        <v>3389</v>
      </c>
      <c r="L1343" s="155">
        <v>2906679</v>
      </c>
      <c r="M1343" s="155" t="s">
        <v>27</v>
      </c>
      <c r="N1343" s="155">
        <v>1</v>
      </c>
      <c r="O1343" s="13">
        <v>2583000</v>
      </c>
      <c r="P1343" s="305"/>
      <c r="Q1343" t="s">
        <v>3564</v>
      </c>
    </row>
    <row r="1344" spans="1:17" ht="43.5" hidden="1" x14ac:dyDescent="0.35">
      <c r="A1344" s="155">
        <f t="shared" si="23"/>
        <v>44</v>
      </c>
      <c r="B1344" s="140" t="s">
        <v>576</v>
      </c>
      <c r="C1344" s="140" t="s">
        <v>3386</v>
      </c>
      <c r="D1344" s="277" t="s">
        <v>3387</v>
      </c>
      <c r="E1344" s="140" t="s">
        <v>3388</v>
      </c>
      <c r="F1344" s="140" t="s">
        <v>1217</v>
      </c>
      <c r="G1344" s="155" t="s">
        <v>345</v>
      </c>
      <c r="H1344" s="155" t="s">
        <v>1218</v>
      </c>
      <c r="I1344" s="155" t="s">
        <v>695</v>
      </c>
      <c r="J1344" s="334">
        <v>10000000</v>
      </c>
      <c r="K1344" s="155" t="s">
        <v>3389</v>
      </c>
      <c r="L1344" s="155">
        <v>2906679</v>
      </c>
      <c r="M1344" s="155" t="s">
        <v>27</v>
      </c>
      <c r="N1344" s="155">
        <v>1</v>
      </c>
      <c r="O1344" s="13">
        <v>2583000</v>
      </c>
      <c r="P1344" s="305"/>
      <c r="Q1344" t="s">
        <v>3564</v>
      </c>
    </row>
    <row r="1345" spans="1:17" ht="43.5" hidden="1" x14ac:dyDescent="0.35">
      <c r="A1345" s="155">
        <f t="shared" si="23"/>
        <v>45</v>
      </c>
      <c r="B1345" s="140" t="s">
        <v>576</v>
      </c>
      <c r="C1345" s="140" t="s">
        <v>3386</v>
      </c>
      <c r="D1345" s="277" t="s">
        <v>3387</v>
      </c>
      <c r="E1345" s="140" t="s">
        <v>3388</v>
      </c>
      <c r="F1345" s="140" t="s">
        <v>859</v>
      </c>
      <c r="G1345" s="155" t="s">
        <v>345</v>
      </c>
      <c r="H1345" s="155" t="s">
        <v>860</v>
      </c>
      <c r="I1345" s="155">
        <v>10</v>
      </c>
      <c r="J1345" s="334">
        <v>10000000</v>
      </c>
      <c r="K1345" s="155" t="s">
        <v>3389</v>
      </c>
      <c r="L1345" s="155">
        <v>2906679</v>
      </c>
      <c r="M1345" s="155" t="s">
        <v>27</v>
      </c>
      <c r="N1345" s="155">
        <v>1</v>
      </c>
      <c r="O1345" s="13">
        <v>2583000</v>
      </c>
      <c r="P1345" s="305"/>
      <c r="Q1345" t="s">
        <v>3564</v>
      </c>
    </row>
    <row r="1346" spans="1:17" ht="43.5" hidden="1" x14ac:dyDescent="0.35">
      <c r="A1346" s="155">
        <f t="shared" si="23"/>
        <v>46</v>
      </c>
      <c r="B1346" s="140" t="s">
        <v>576</v>
      </c>
      <c r="C1346" s="140" t="s">
        <v>3386</v>
      </c>
      <c r="D1346" s="277" t="s">
        <v>3387</v>
      </c>
      <c r="E1346" s="140" t="s">
        <v>3388</v>
      </c>
      <c r="F1346" s="140" t="s">
        <v>2221</v>
      </c>
      <c r="G1346" s="155" t="s">
        <v>345</v>
      </c>
      <c r="H1346" s="155" t="s">
        <v>864</v>
      </c>
      <c r="I1346" s="155" t="s">
        <v>695</v>
      </c>
      <c r="J1346" s="334">
        <v>1000000</v>
      </c>
      <c r="K1346" s="155" t="s">
        <v>3389</v>
      </c>
      <c r="L1346" s="155">
        <v>2906679</v>
      </c>
      <c r="M1346" s="155" t="s">
        <v>27</v>
      </c>
      <c r="N1346" s="155">
        <v>1</v>
      </c>
      <c r="O1346" s="13">
        <v>2583000</v>
      </c>
      <c r="P1346" s="305"/>
      <c r="Q1346" t="s">
        <v>3564</v>
      </c>
    </row>
    <row r="1347" spans="1:17" ht="43.5" hidden="1" x14ac:dyDescent="0.35">
      <c r="A1347" s="155">
        <f t="shared" si="23"/>
        <v>47</v>
      </c>
      <c r="B1347" s="140" t="s">
        <v>576</v>
      </c>
      <c r="C1347" s="140" t="s">
        <v>3386</v>
      </c>
      <c r="D1347" s="277" t="s">
        <v>3387</v>
      </c>
      <c r="E1347" s="140" t="s">
        <v>3388</v>
      </c>
      <c r="F1347" s="140" t="s">
        <v>2223</v>
      </c>
      <c r="G1347" s="155" t="s">
        <v>345</v>
      </c>
      <c r="H1347" s="155" t="s">
        <v>866</v>
      </c>
      <c r="I1347" s="155" t="s">
        <v>695</v>
      </c>
      <c r="J1347" s="334">
        <v>5000000</v>
      </c>
      <c r="K1347" s="155" t="s">
        <v>3389</v>
      </c>
      <c r="L1347" s="155">
        <v>2906679</v>
      </c>
      <c r="M1347" s="155" t="s">
        <v>27</v>
      </c>
      <c r="N1347" s="155">
        <v>1</v>
      </c>
      <c r="O1347" s="13">
        <v>2583000</v>
      </c>
      <c r="P1347" s="305"/>
      <c r="Q1347" t="s">
        <v>3564</v>
      </c>
    </row>
    <row r="1348" spans="1:17" ht="43.5" hidden="1" x14ac:dyDescent="0.35">
      <c r="A1348" s="155">
        <f t="shared" si="23"/>
        <v>48</v>
      </c>
      <c r="B1348" s="140" t="s">
        <v>576</v>
      </c>
      <c r="C1348" s="140" t="s">
        <v>3386</v>
      </c>
      <c r="D1348" s="277" t="s">
        <v>3387</v>
      </c>
      <c r="E1348" s="140" t="s">
        <v>3388</v>
      </c>
      <c r="F1348" s="140" t="s">
        <v>2225</v>
      </c>
      <c r="G1348" s="155" t="s">
        <v>345</v>
      </c>
      <c r="H1348" s="155" t="s">
        <v>345</v>
      </c>
      <c r="I1348" s="155">
        <v>10</v>
      </c>
      <c r="J1348" s="334">
        <v>10000000</v>
      </c>
      <c r="K1348" s="155" t="s">
        <v>3389</v>
      </c>
      <c r="L1348" s="155">
        <v>2906679</v>
      </c>
      <c r="M1348" s="155" t="s">
        <v>27</v>
      </c>
      <c r="N1348" s="155">
        <v>1</v>
      </c>
      <c r="O1348" s="13">
        <v>2583000</v>
      </c>
      <c r="P1348" s="305"/>
      <c r="Q1348" t="s">
        <v>3564</v>
      </c>
    </row>
    <row r="1349" spans="1:17" ht="43.5" hidden="1" x14ac:dyDescent="0.35">
      <c r="A1349" s="155">
        <f t="shared" si="23"/>
        <v>49</v>
      </c>
      <c r="B1349" s="140" t="s">
        <v>576</v>
      </c>
      <c r="C1349" s="140" t="s">
        <v>3386</v>
      </c>
      <c r="D1349" s="277" t="s">
        <v>3387</v>
      </c>
      <c r="E1349" s="140" t="s">
        <v>3388</v>
      </c>
      <c r="F1349" s="140" t="s">
        <v>344</v>
      </c>
      <c r="G1349" s="155" t="s">
        <v>345</v>
      </c>
      <c r="H1349" s="155" t="s">
        <v>346</v>
      </c>
      <c r="I1349" s="155">
        <v>10</v>
      </c>
      <c r="J1349" s="334">
        <v>10000000</v>
      </c>
      <c r="K1349" s="155" t="s">
        <v>3389</v>
      </c>
      <c r="L1349" s="155">
        <v>2906679</v>
      </c>
      <c r="M1349" s="155" t="s">
        <v>27</v>
      </c>
      <c r="N1349" s="155">
        <v>1</v>
      </c>
      <c r="O1349" s="13">
        <v>2583000</v>
      </c>
      <c r="P1349" s="305"/>
      <c r="Q1349" t="s">
        <v>3564</v>
      </c>
    </row>
    <row r="1350" spans="1:17" ht="43.5" hidden="1" x14ac:dyDescent="0.35">
      <c r="A1350" s="155">
        <f t="shared" si="23"/>
        <v>50</v>
      </c>
      <c r="B1350" s="140" t="s">
        <v>576</v>
      </c>
      <c r="C1350" s="140" t="s">
        <v>3386</v>
      </c>
      <c r="D1350" s="277" t="s">
        <v>3387</v>
      </c>
      <c r="E1350" s="140" t="s">
        <v>3388</v>
      </c>
      <c r="F1350" s="140" t="s">
        <v>1223</v>
      </c>
      <c r="G1350" s="155" t="s">
        <v>345</v>
      </c>
      <c r="H1350" s="155" t="s">
        <v>1224</v>
      </c>
      <c r="I1350" s="155" t="s">
        <v>431</v>
      </c>
      <c r="J1350" s="334">
        <v>4000000</v>
      </c>
      <c r="K1350" s="155" t="s">
        <v>3389</v>
      </c>
      <c r="L1350" s="155">
        <v>2906679</v>
      </c>
      <c r="M1350" s="155" t="s">
        <v>27</v>
      </c>
      <c r="N1350" s="155">
        <v>1</v>
      </c>
      <c r="O1350" s="13">
        <v>2583000</v>
      </c>
      <c r="P1350" s="305"/>
      <c r="Q1350" t="s">
        <v>3564</v>
      </c>
    </row>
    <row r="1351" spans="1:17" ht="43.5" hidden="1" x14ac:dyDescent="0.35">
      <c r="A1351" s="155">
        <f t="shared" si="23"/>
        <v>51</v>
      </c>
      <c r="B1351" s="140" t="s">
        <v>576</v>
      </c>
      <c r="C1351" s="140" t="s">
        <v>3386</v>
      </c>
      <c r="D1351" s="140" t="s">
        <v>3387</v>
      </c>
      <c r="E1351" s="140" t="s">
        <v>3390</v>
      </c>
      <c r="F1351" s="140"/>
      <c r="G1351" s="140" t="s">
        <v>600</v>
      </c>
      <c r="H1351" s="140" t="s">
        <v>163</v>
      </c>
      <c r="I1351" s="140" t="s">
        <v>35</v>
      </c>
      <c r="J1351" s="140">
        <v>80000000</v>
      </c>
      <c r="K1351" s="155" t="s">
        <v>3389</v>
      </c>
      <c r="L1351" s="140">
        <v>2908084</v>
      </c>
      <c r="M1351" s="155" t="s">
        <v>46</v>
      </c>
      <c r="N1351" s="324" t="s">
        <v>3391</v>
      </c>
      <c r="O1351" s="10">
        <v>98040000</v>
      </c>
      <c r="P1351" s="140"/>
      <c r="Q1351" t="s">
        <v>3564</v>
      </c>
    </row>
    <row r="1352" spans="1:17" ht="43.5" hidden="1" x14ac:dyDescent="0.35">
      <c r="A1352" s="155">
        <f t="shared" si="23"/>
        <v>52</v>
      </c>
      <c r="B1352" s="140" t="s">
        <v>576</v>
      </c>
      <c r="C1352" s="140" t="s">
        <v>3386</v>
      </c>
      <c r="D1352" s="140" t="s">
        <v>3387</v>
      </c>
      <c r="E1352" s="140" t="s">
        <v>3390</v>
      </c>
      <c r="F1352" s="140"/>
      <c r="G1352" s="140" t="s">
        <v>410</v>
      </c>
      <c r="H1352" s="140" t="s">
        <v>411</v>
      </c>
      <c r="I1352" s="140" t="s">
        <v>280</v>
      </c>
      <c r="J1352" s="140">
        <v>350000000</v>
      </c>
      <c r="K1352" s="155" t="s">
        <v>3389</v>
      </c>
      <c r="L1352" s="140">
        <v>2920380</v>
      </c>
      <c r="M1352" s="155" t="s">
        <v>46</v>
      </c>
      <c r="N1352" s="324" t="s">
        <v>3392</v>
      </c>
      <c r="O1352" s="10">
        <v>154800000</v>
      </c>
      <c r="P1352" s="140"/>
      <c r="Q1352" t="s">
        <v>3564</v>
      </c>
    </row>
    <row r="1353" spans="1:17" ht="87" hidden="1" x14ac:dyDescent="0.35">
      <c r="A1353" s="155">
        <f t="shared" si="23"/>
        <v>53</v>
      </c>
      <c r="B1353" s="140" t="s">
        <v>576</v>
      </c>
      <c r="C1353" s="140" t="s">
        <v>3386</v>
      </c>
      <c r="D1353" s="140" t="s">
        <v>3387</v>
      </c>
      <c r="E1353" s="140" t="s">
        <v>3393</v>
      </c>
      <c r="F1353" s="140"/>
      <c r="G1353" s="140" t="s">
        <v>418</v>
      </c>
      <c r="H1353" s="140" t="s">
        <v>420</v>
      </c>
      <c r="I1353" s="140" t="s">
        <v>280</v>
      </c>
      <c r="J1353" s="140">
        <v>500000000</v>
      </c>
      <c r="K1353" s="155" t="s">
        <v>3389</v>
      </c>
      <c r="L1353" s="140">
        <v>2797170</v>
      </c>
      <c r="M1353" s="155" t="s">
        <v>46</v>
      </c>
      <c r="N1353" s="324" t="s">
        <v>25</v>
      </c>
      <c r="O1353" s="127">
        <v>980000000</v>
      </c>
      <c r="P1353" s="140" t="s">
        <v>3394</v>
      </c>
      <c r="Q1353" t="s">
        <v>3564</v>
      </c>
    </row>
    <row r="1354" spans="1:17" ht="29" hidden="1" x14ac:dyDescent="0.35">
      <c r="A1354" s="6">
        <v>1</v>
      </c>
      <c r="B1354" s="7" t="s">
        <v>3395</v>
      </c>
      <c r="C1354" s="7" t="s">
        <v>3396</v>
      </c>
      <c r="D1354" s="7" t="s">
        <v>3397</v>
      </c>
      <c r="E1354" s="7" t="s">
        <v>3398</v>
      </c>
      <c r="F1354" s="7" t="s">
        <v>3399</v>
      </c>
      <c r="G1354" s="7" t="s">
        <v>658</v>
      </c>
      <c r="H1354" s="7" t="s">
        <v>1648</v>
      </c>
      <c r="I1354" s="7" t="s">
        <v>169</v>
      </c>
      <c r="J1354" s="335">
        <v>25000000</v>
      </c>
      <c r="K1354" s="6" t="s">
        <v>3400</v>
      </c>
      <c r="L1354" s="7">
        <v>2935482</v>
      </c>
      <c r="M1354" s="6" t="s">
        <v>79</v>
      </c>
      <c r="N1354" s="77" t="s">
        <v>3401</v>
      </c>
      <c r="O1354" s="10">
        <v>17460000</v>
      </c>
      <c r="P1354" s="7" t="s">
        <v>3402</v>
      </c>
      <c r="Q1354" t="s">
        <v>3559</v>
      </c>
    </row>
    <row r="1355" spans="1:17" ht="130.5" hidden="1" x14ac:dyDescent="0.35">
      <c r="A1355" s="155">
        <f t="shared" ref="A1355:A1398" si="24">A1354+1</f>
        <v>2</v>
      </c>
      <c r="B1355" s="140" t="s">
        <v>3395</v>
      </c>
      <c r="C1355" s="140" t="s">
        <v>3396</v>
      </c>
      <c r="D1355" s="140" t="s">
        <v>3397</v>
      </c>
      <c r="E1355" s="140" t="s">
        <v>3403</v>
      </c>
      <c r="F1355" s="140"/>
      <c r="G1355" s="140" t="s">
        <v>44</v>
      </c>
      <c r="H1355" s="140" t="s">
        <v>45</v>
      </c>
      <c r="I1355" s="140" t="s">
        <v>3404</v>
      </c>
      <c r="J1355" s="279">
        <v>50000000</v>
      </c>
      <c r="K1355" s="155" t="s">
        <v>3400</v>
      </c>
      <c r="L1355" s="140">
        <v>2834232</v>
      </c>
      <c r="M1355" s="155" t="s">
        <v>46</v>
      </c>
      <c r="N1355" s="324" t="s">
        <v>3405</v>
      </c>
      <c r="O1355" s="10">
        <v>46161000</v>
      </c>
      <c r="P1355" s="140" t="s">
        <v>3406</v>
      </c>
      <c r="Q1355" t="s">
        <v>3559</v>
      </c>
    </row>
    <row r="1356" spans="1:17" ht="29" hidden="1" x14ac:dyDescent="0.35">
      <c r="A1356" s="155">
        <f t="shared" si="24"/>
        <v>3</v>
      </c>
      <c r="B1356" s="140" t="s">
        <v>3395</v>
      </c>
      <c r="C1356" s="140" t="s">
        <v>3396</v>
      </c>
      <c r="D1356" s="140" t="s">
        <v>3397</v>
      </c>
      <c r="E1356" s="140" t="s">
        <v>3407</v>
      </c>
      <c r="F1356" s="140" t="s">
        <v>48</v>
      </c>
      <c r="G1356" s="140" t="s">
        <v>49</v>
      </c>
      <c r="H1356" s="140" t="s">
        <v>2633</v>
      </c>
      <c r="I1356" s="140" t="s">
        <v>1327</v>
      </c>
      <c r="J1356" s="279">
        <v>17500000</v>
      </c>
      <c r="K1356" s="155" t="s">
        <v>3400</v>
      </c>
      <c r="L1356" s="140">
        <v>2820043</v>
      </c>
      <c r="M1356" s="155" t="s">
        <v>46</v>
      </c>
      <c r="N1356" s="324" t="s">
        <v>3404</v>
      </c>
      <c r="O1356" s="10">
        <v>17460000</v>
      </c>
      <c r="P1356" s="140" t="s">
        <v>3402</v>
      </c>
      <c r="Q1356" t="s">
        <v>3559</v>
      </c>
    </row>
    <row r="1357" spans="1:17" ht="29" hidden="1" x14ac:dyDescent="0.35">
      <c r="A1357" s="155">
        <f t="shared" si="24"/>
        <v>4</v>
      </c>
      <c r="B1357" s="140" t="s">
        <v>3395</v>
      </c>
      <c r="C1357" s="140" t="s">
        <v>3396</v>
      </c>
      <c r="D1357" s="140" t="s">
        <v>3397</v>
      </c>
      <c r="E1357" s="140" t="s">
        <v>3408</v>
      </c>
      <c r="F1357" s="140" t="s">
        <v>48</v>
      </c>
      <c r="G1357" s="140" t="s">
        <v>978</v>
      </c>
      <c r="H1357" s="140" t="s">
        <v>2883</v>
      </c>
      <c r="I1357" s="140">
        <v>1</v>
      </c>
      <c r="J1357" s="279">
        <v>300000</v>
      </c>
      <c r="K1357" s="155" t="s">
        <v>3400</v>
      </c>
      <c r="L1357" s="140">
        <v>3012368</v>
      </c>
      <c r="M1357" s="155" t="s">
        <v>226</v>
      </c>
      <c r="N1357" s="324">
        <v>1</v>
      </c>
      <c r="O1357" s="10">
        <v>421000</v>
      </c>
      <c r="P1357" s="140" t="s">
        <v>3409</v>
      </c>
      <c r="Q1357" t="s">
        <v>3559</v>
      </c>
    </row>
    <row r="1358" spans="1:17" ht="29" hidden="1" x14ac:dyDescent="0.35">
      <c r="A1358" s="155">
        <f t="shared" si="24"/>
        <v>5</v>
      </c>
      <c r="B1358" s="140" t="s">
        <v>3395</v>
      </c>
      <c r="C1358" s="140" t="s">
        <v>3396</v>
      </c>
      <c r="D1358" s="140" t="s">
        <v>3397</v>
      </c>
      <c r="E1358" s="140" t="s">
        <v>3410</v>
      </c>
      <c r="F1358" s="140" t="s">
        <v>48</v>
      </c>
      <c r="G1358" s="140" t="s">
        <v>978</v>
      </c>
      <c r="H1358" s="140" t="s">
        <v>225</v>
      </c>
      <c r="I1358" s="140">
        <v>1</v>
      </c>
      <c r="J1358" s="279">
        <v>500000</v>
      </c>
      <c r="K1358" s="155" t="s">
        <v>3400</v>
      </c>
      <c r="L1358" s="140">
        <v>3012368</v>
      </c>
      <c r="M1358" s="155" t="s">
        <v>226</v>
      </c>
      <c r="N1358" s="324">
        <v>1</v>
      </c>
      <c r="O1358" s="10">
        <v>2700000</v>
      </c>
      <c r="P1358" s="140" t="s">
        <v>3411</v>
      </c>
      <c r="Q1358" t="s">
        <v>3559</v>
      </c>
    </row>
    <row r="1359" spans="1:17" ht="29" hidden="1" x14ac:dyDescent="0.35">
      <c r="A1359" s="155">
        <f t="shared" si="24"/>
        <v>6</v>
      </c>
      <c r="B1359" s="140" t="s">
        <v>3395</v>
      </c>
      <c r="C1359" s="140" t="s">
        <v>3396</v>
      </c>
      <c r="D1359" s="140" t="s">
        <v>3397</v>
      </c>
      <c r="E1359" s="140" t="s">
        <v>3412</v>
      </c>
      <c r="F1359" s="140" t="s">
        <v>48</v>
      </c>
      <c r="G1359" s="140" t="s">
        <v>978</v>
      </c>
      <c r="H1359" s="140" t="s">
        <v>225</v>
      </c>
      <c r="I1359" s="140">
        <v>1</v>
      </c>
      <c r="J1359" s="279">
        <v>500000</v>
      </c>
      <c r="K1359" s="155" t="s">
        <v>3400</v>
      </c>
      <c r="L1359" s="140">
        <v>3012368</v>
      </c>
      <c r="M1359" s="155" t="s">
        <v>226</v>
      </c>
      <c r="N1359" s="324">
        <v>1</v>
      </c>
      <c r="O1359" s="10">
        <v>409000</v>
      </c>
      <c r="P1359" s="140" t="s">
        <v>3409</v>
      </c>
      <c r="Q1359" t="s">
        <v>3559</v>
      </c>
    </row>
    <row r="1360" spans="1:17" ht="29" hidden="1" x14ac:dyDescent="0.35">
      <c r="A1360" s="155">
        <f t="shared" si="24"/>
        <v>7</v>
      </c>
      <c r="B1360" s="140" t="s">
        <v>3395</v>
      </c>
      <c r="C1360" s="140" t="s">
        <v>3396</v>
      </c>
      <c r="D1360" s="140" t="s">
        <v>3397</v>
      </c>
      <c r="E1360" s="140" t="s">
        <v>3413</v>
      </c>
      <c r="F1360" s="140" t="s">
        <v>48</v>
      </c>
      <c r="G1360" s="140" t="s">
        <v>978</v>
      </c>
      <c r="H1360" s="140" t="s">
        <v>1404</v>
      </c>
      <c r="I1360" s="140">
        <v>1</v>
      </c>
      <c r="J1360" s="279">
        <v>1500000</v>
      </c>
      <c r="K1360" s="155" t="s">
        <v>3400</v>
      </c>
      <c r="L1360" s="140">
        <v>3012368</v>
      </c>
      <c r="M1360" s="155" t="s">
        <v>226</v>
      </c>
      <c r="N1360" s="324">
        <v>1</v>
      </c>
      <c r="O1360" s="10">
        <v>2910000</v>
      </c>
      <c r="P1360" s="140" t="s">
        <v>3402</v>
      </c>
      <c r="Q1360" t="s">
        <v>3559</v>
      </c>
    </row>
    <row r="1361" spans="1:17" ht="29" hidden="1" x14ac:dyDescent="0.35">
      <c r="A1361" s="155">
        <f t="shared" si="24"/>
        <v>8</v>
      </c>
      <c r="B1361" s="140" t="s">
        <v>3395</v>
      </c>
      <c r="C1361" s="140" t="s">
        <v>3396</v>
      </c>
      <c r="D1361" s="140" t="s">
        <v>3397</v>
      </c>
      <c r="E1361" s="140" t="s">
        <v>3410</v>
      </c>
      <c r="F1361" s="140" t="s">
        <v>48</v>
      </c>
      <c r="G1361" s="140" t="s">
        <v>978</v>
      </c>
      <c r="H1361" s="140" t="s">
        <v>1404</v>
      </c>
      <c r="I1361" s="140">
        <v>1</v>
      </c>
      <c r="J1361" s="279">
        <v>500000</v>
      </c>
      <c r="K1361" s="155" t="s">
        <v>3400</v>
      </c>
      <c r="L1361" s="140">
        <v>3012368</v>
      </c>
      <c r="M1361" s="155" t="s">
        <v>226</v>
      </c>
      <c r="N1361" s="324">
        <v>1</v>
      </c>
      <c r="O1361" s="10">
        <v>2910000</v>
      </c>
      <c r="P1361" s="140" t="s">
        <v>3402</v>
      </c>
      <c r="Q1361" t="s">
        <v>3559</v>
      </c>
    </row>
    <row r="1362" spans="1:17" ht="29" hidden="1" x14ac:dyDescent="0.35">
      <c r="A1362" s="155">
        <f t="shared" si="24"/>
        <v>9</v>
      </c>
      <c r="B1362" s="140" t="s">
        <v>3414</v>
      </c>
      <c r="C1362" s="140" t="s">
        <v>3415</v>
      </c>
      <c r="D1362" s="140" t="s">
        <v>3416</v>
      </c>
      <c r="E1362" s="140" t="s">
        <v>3417</v>
      </c>
      <c r="F1362" s="140" t="s">
        <v>3418</v>
      </c>
      <c r="G1362" s="140" t="s">
        <v>266</v>
      </c>
      <c r="H1362" s="140" t="s">
        <v>1617</v>
      </c>
      <c r="I1362" s="140"/>
      <c r="J1362" s="140">
        <v>20000000</v>
      </c>
      <c r="K1362" s="155" t="s">
        <v>3419</v>
      </c>
      <c r="L1362" s="140">
        <v>2849470</v>
      </c>
      <c r="M1362" s="155" t="s">
        <v>79</v>
      </c>
      <c r="N1362" s="324" t="s">
        <v>54</v>
      </c>
      <c r="O1362" s="10">
        <v>17466000</v>
      </c>
      <c r="P1362" s="140"/>
      <c r="Q1362" t="s">
        <v>3559</v>
      </c>
    </row>
    <row r="1363" spans="1:17" ht="29" hidden="1" x14ac:dyDescent="0.35">
      <c r="A1363" s="155">
        <f t="shared" si="24"/>
        <v>10</v>
      </c>
      <c r="B1363" s="140" t="s">
        <v>3414</v>
      </c>
      <c r="C1363" s="140" t="s">
        <v>3415</v>
      </c>
      <c r="D1363" s="140" t="s">
        <v>3416</v>
      </c>
      <c r="E1363" s="140" t="s">
        <v>3420</v>
      </c>
      <c r="F1363" s="140" t="s">
        <v>1632</v>
      </c>
      <c r="G1363" s="140" t="s">
        <v>266</v>
      </c>
      <c r="H1363" s="140" t="s">
        <v>1633</v>
      </c>
      <c r="I1363" s="140"/>
      <c r="J1363" s="140">
        <v>10000000</v>
      </c>
      <c r="K1363" s="155" t="s">
        <v>3419</v>
      </c>
      <c r="L1363" s="140">
        <v>2926486</v>
      </c>
      <c r="M1363" s="155" t="s">
        <v>79</v>
      </c>
      <c r="N1363" s="324" t="s">
        <v>54</v>
      </c>
      <c r="O1363" s="10">
        <v>17466000</v>
      </c>
      <c r="P1363" s="140"/>
      <c r="Q1363" t="s">
        <v>3559</v>
      </c>
    </row>
    <row r="1364" spans="1:17" ht="29" hidden="1" x14ac:dyDescent="0.35">
      <c r="A1364" s="155">
        <f t="shared" si="24"/>
        <v>11</v>
      </c>
      <c r="B1364" s="140" t="s">
        <v>3414</v>
      </c>
      <c r="C1364" s="140" t="s">
        <v>3415</v>
      </c>
      <c r="D1364" s="140" t="s">
        <v>3416</v>
      </c>
      <c r="E1364" s="140" t="s">
        <v>3421</v>
      </c>
      <c r="F1364" s="140" t="s">
        <v>3422</v>
      </c>
      <c r="G1364" s="140" t="s">
        <v>658</v>
      </c>
      <c r="H1364" s="140" t="s">
        <v>3423</v>
      </c>
      <c r="I1364" s="140" t="s">
        <v>35</v>
      </c>
      <c r="J1364" s="140">
        <v>10000000</v>
      </c>
      <c r="K1364" s="155" t="s">
        <v>3419</v>
      </c>
      <c r="L1364" s="140">
        <v>2958909</v>
      </c>
      <c r="M1364" s="155" t="s">
        <v>79</v>
      </c>
      <c r="N1364" s="324" t="s">
        <v>280</v>
      </c>
      <c r="O1364" s="10">
        <v>8733000</v>
      </c>
      <c r="P1364" s="140"/>
      <c r="Q1364" t="s">
        <v>3559</v>
      </c>
    </row>
    <row r="1365" spans="1:17" ht="29" hidden="1" x14ac:dyDescent="0.35">
      <c r="A1365" s="155">
        <f t="shared" si="24"/>
        <v>12</v>
      </c>
      <c r="B1365" s="140" t="s">
        <v>3414</v>
      </c>
      <c r="C1365" s="140" t="s">
        <v>3415</v>
      </c>
      <c r="D1365" s="140" t="s">
        <v>3416</v>
      </c>
      <c r="E1365" s="140" t="s">
        <v>3424</v>
      </c>
      <c r="F1365" s="140" t="s">
        <v>289</v>
      </c>
      <c r="G1365" s="140" t="s">
        <v>238</v>
      </c>
      <c r="H1365" s="144" t="s">
        <v>290</v>
      </c>
      <c r="I1365" s="140" t="s">
        <v>370</v>
      </c>
      <c r="J1365" s="336">
        <v>4200000</v>
      </c>
      <c r="K1365" s="155" t="s">
        <v>3419</v>
      </c>
      <c r="L1365" s="140">
        <v>2966368</v>
      </c>
      <c r="M1365" s="32" t="s">
        <v>97</v>
      </c>
      <c r="N1365" s="140" t="s">
        <v>401</v>
      </c>
      <c r="O1365" s="10">
        <v>22738000</v>
      </c>
      <c r="P1365" s="140"/>
      <c r="Q1365" t="s">
        <v>3559</v>
      </c>
    </row>
    <row r="1366" spans="1:17" ht="29" hidden="1" x14ac:dyDescent="0.35">
      <c r="A1366" s="155">
        <f t="shared" si="24"/>
        <v>13</v>
      </c>
      <c r="B1366" s="140" t="s">
        <v>3414</v>
      </c>
      <c r="C1366" s="140" t="s">
        <v>3415</v>
      </c>
      <c r="D1366" s="140" t="s">
        <v>3416</v>
      </c>
      <c r="E1366" s="140" t="s">
        <v>3425</v>
      </c>
      <c r="F1366" s="140" t="s">
        <v>563</v>
      </c>
      <c r="G1366" s="140" t="s">
        <v>238</v>
      </c>
      <c r="H1366" s="144" t="s">
        <v>286</v>
      </c>
      <c r="I1366" s="140" t="s">
        <v>28</v>
      </c>
      <c r="J1366" s="336">
        <v>9400000</v>
      </c>
      <c r="K1366" s="155" t="s">
        <v>3419</v>
      </c>
      <c r="L1366" s="140">
        <v>2965719</v>
      </c>
      <c r="M1366" s="32" t="s">
        <v>97</v>
      </c>
      <c r="N1366" s="140" t="s">
        <v>401</v>
      </c>
      <c r="O1366" s="10">
        <v>22738000</v>
      </c>
      <c r="P1366" s="140"/>
      <c r="Q1366" t="s">
        <v>3559</v>
      </c>
    </row>
    <row r="1367" spans="1:17" ht="78" hidden="1" x14ac:dyDescent="0.35">
      <c r="A1367" s="145">
        <f t="shared" si="24"/>
        <v>14</v>
      </c>
      <c r="B1367" s="146" t="s">
        <v>3414</v>
      </c>
      <c r="C1367" s="146" t="s">
        <v>3415</v>
      </c>
      <c r="D1367" s="140" t="s">
        <v>3416</v>
      </c>
      <c r="E1367" s="146" t="s">
        <v>3426</v>
      </c>
      <c r="F1367" s="146" t="s">
        <v>297</v>
      </c>
      <c r="G1367" s="145" t="s">
        <v>116</v>
      </c>
      <c r="H1367" s="145" t="s">
        <v>117</v>
      </c>
      <c r="I1367" s="145" t="s">
        <v>725</v>
      </c>
      <c r="J1367" s="337">
        <v>35000000</v>
      </c>
      <c r="K1367" s="145" t="s">
        <v>3419</v>
      </c>
      <c r="L1367" s="145">
        <v>2949207</v>
      </c>
      <c r="M1367" s="145" t="s">
        <v>109</v>
      </c>
      <c r="N1367" s="328" t="s">
        <v>280</v>
      </c>
      <c r="O1367" s="13">
        <v>9230250</v>
      </c>
      <c r="P1367" s="305"/>
      <c r="Q1367" t="s">
        <v>3559</v>
      </c>
    </row>
    <row r="1368" spans="1:17" ht="65" hidden="1" x14ac:dyDescent="0.35">
      <c r="A1368" s="145">
        <f t="shared" si="24"/>
        <v>15</v>
      </c>
      <c r="B1368" s="146" t="s">
        <v>3414</v>
      </c>
      <c r="C1368" s="146" t="s">
        <v>3415</v>
      </c>
      <c r="D1368" s="140" t="s">
        <v>3416</v>
      </c>
      <c r="E1368" s="146" t="s">
        <v>3427</v>
      </c>
      <c r="F1368" s="146" t="s">
        <v>297</v>
      </c>
      <c r="G1368" s="145" t="s">
        <v>116</v>
      </c>
      <c r="H1368" s="145" t="s">
        <v>2174</v>
      </c>
      <c r="I1368" s="145" t="s">
        <v>725</v>
      </c>
      <c r="J1368" s="337">
        <v>25000000</v>
      </c>
      <c r="K1368" s="145" t="s">
        <v>3419</v>
      </c>
      <c r="L1368" s="145">
        <v>2949264</v>
      </c>
      <c r="M1368" s="145" t="s">
        <v>109</v>
      </c>
      <c r="N1368" s="328" t="s">
        <v>280</v>
      </c>
      <c r="O1368" s="13">
        <v>9230250</v>
      </c>
      <c r="P1368" s="305"/>
      <c r="Q1368" t="s">
        <v>3559</v>
      </c>
    </row>
    <row r="1369" spans="1:17" ht="29" hidden="1" x14ac:dyDescent="0.35">
      <c r="A1369" s="155">
        <f t="shared" si="24"/>
        <v>16</v>
      </c>
      <c r="B1369" s="140" t="s">
        <v>3414</v>
      </c>
      <c r="C1369" s="140" t="s">
        <v>3415</v>
      </c>
      <c r="D1369" s="140" t="s">
        <v>3416</v>
      </c>
      <c r="E1369" s="140" t="s">
        <v>3428</v>
      </c>
      <c r="F1369" s="140" t="s">
        <v>3429</v>
      </c>
      <c r="G1369" s="155" t="s">
        <v>135</v>
      </c>
      <c r="H1369" s="155" t="s">
        <v>3430</v>
      </c>
      <c r="I1369" s="155" t="s">
        <v>3431</v>
      </c>
      <c r="J1369" s="338">
        <v>50000000</v>
      </c>
      <c r="K1369" s="155" t="s">
        <v>3419</v>
      </c>
      <c r="L1369" s="155">
        <v>2906060</v>
      </c>
      <c r="M1369" s="155" t="s">
        <v>27</v>
      </c>
      <c r="N1369" s="339" t="s">
        <v>3432</v>
      </c>
      <c r="O1369" s="347">
        <v>9000000</v>
      </c>
      <c r="P1369" s="140"/>
      <c r="Q1369" t="s">
        <v>3559</v>
      </c>
    </row>
    <row r="1370" spans="1:17" ht="29" hidden="1" x14ac:dyDescent="0.35">
      <c r="A1370" s="149">
        <f t="shared" si="24"/>
        <v>17</v>
      </c>
      <c r="B1370" s="140" t="s">
        <v>3414</v>
      </c>
      <c r="C1370" s="140" t="s">
        <v>3415</v>
      </c>
      <c r="D1370" s="140" t="s">
        <v>3416</v>
      </c>
      <c r="E1370" s="140" t="s">
        <v>3433</v>
      </c>
      <c r="F1370" s="140" t="s">
        <v>140</v>
      </c>
      <c r="G1370" s="155" t="s">
        <v>361</v>
      </c>
      <c r="H1370" s="155" t="s">
        <v>2526</v>
      </c>
      <c r="I1370" s="155">
        <v>3</v>
      </c>
      <c r="J1370" s="340">
        <v>25889250</v>
      </c>
      <c r="K1370" s="155" t="s">
        <v>3419</v>
      </c>
      <c r="L1370" s="155">
        <v>2817265</v>
      </c>
      <c r="M1370" s="155" t="s">
        <v>144</v>
      </c>
      <c r="N1370" s="155" t="s">
        <v>366</v>
      </c>
      <c r="O1370" s="13">
        <v>25889250</v>
      </c>
      <c r="P1370" s="305"/>
      <c r="Q1370" t="s">
        <v>3559</v>
      </c>
    </row>
    <row r="1371" spans="1:17" ht="43.5" hidden="1" x14ac:dyDescent="0.35">
      <c r="A1371" s="149">
        <f t="shared" si="24"/>
        <v>18</v>
      </c>
      <c r="B1371" s="140" t="s">
        <v>3414</v>
      </c>
      <c r="C1371" s="140" t="s">
        <v>3415</v>
      </c>
      <c r="D1371" s="140" t="s">
        <v>3416</v>
      </c>
      <c r="E1371" s="140" t="s">
        <v>3434</v>
      </c>
      <c r="F1371" s="140" t="s">
        <v>140</v>
      </c>
      <c r="G1371" s="155" t="s">
        <v>361</v>
      </c>
      <c r="H1371" s="155" t="s">
        <v>729</v>
      </c>
      <c r="I1371" s="155">
        <v>4</v>
      </c>
      <c r="J1371" s="338">
        <v>40000000</v>
      </c>
      <c r="K1371" s="155" t="s">
        <v>3419</v>
      </c>
      <c r="L1371" s="155">
        <v>2819567</v>
      </c>
      <c r="M1371" s="155" t="s">
        <v>144</v>
      </c>
      <c r="N1371" s="155" t="s">
        <v>2330</v>
      </c>
      <c r="O1371" s="13">
        <v>34519000</v>
      </c>
      <c r="P1371" s="305"/>
      <c r="Q1371" t="s">
        <v>3559</v>
      </c>
    </row>
    <row r="1372" spans="1:17" ht="43.5" hidden="1" x14ac:dyDescent="0.35">
      <c r="A1372" s="149">
        <f t="shared" si="24"/>
        <v>19</v>
      </c>
      <c r="B1372" s="140" t="s">
        <v>3414</v>
      </c>
      <c r="C1372" s="140" t="s">
        <v>3415</v>
      </c>
      <c r="D1372" s="140" t="s">
        <v>3416</v>
      </c>
      <c r="E1372" s="140" t="s">
        <v>3435</v>
      </c>
      <c r="F1372" s="140" t="s">
        <v>140</v>
      </c>
      <c r="G1372" s="155" t="s">
        <v>361</v>
      </c>
      <c r="H1372" s="155" t="s">
        <v>362</v>
      </c>
      <c r="I1372" s="155">
        <v>3</v>
      </c>
      <c r="J1372" s="338">
        <v>20000000</v>
      </c>
      <c r="K1372" s="155" t="s">
        <v>3419</v>
      </c>
      <c r="L1372" s="155">
        <v>2820037</v>
      </c>
      <c r="M1372" s="155" t="s">
        <v>144</v>
      </c>
      <c r="N1372" s="155" t="s">
        <v>366</v>
      </c>
      <c r="O1372" s="13">
        <v>25889250</v>
      </c>
      <c r="P1372" s="305"/>
      <c r="Q1372" t="s">
        <v>3559</v>
      </c>
    </row>
    <row r="1373" spans="1:17" ht="29" hidden="1" x14ac:dyDescent="0.35">
      <c r="A1373" s="155">
        <f t="shared" si="24"/>
        <v>20</v>
      </c>
      <c r="B1373" s="140" t="s">
        <v>3414</v>
      </c>
      <c r="C1373" s="140" t="s">
        <v>3415</v>
      </c>
      <c r="D1373" s="140" t="s">
        <v>3416</v>
      </c>
      <c r="E1373" s="140" t="s">
        <v>3436</v>
      </c>
      <c r="F1373" s="140" t="s">
        <v>48</v>
      </c>
      <c r="G1373" s="140" t="s">
        <v>49</v>
      </c>
      <c r="H1373" s="140" t="s">
        <v>613</v>
      </c>
      <c r="I1373" s="140" t="s">
        <v>35</v>
      </c>
      <c r="J1373" s="140">
        <v>12500000</v>
      </c>
      <c r="K1373" s="155" t="s">
        <v>3419</v>
      </c>
      <c r="L1373" s="140">
        <v>2820002</v>
      </c>
      <c r="M1373" s="155" t="s">
        <v>46</v>
      </c>
      <c r="N1373" s="324" t="s">
        <v>3437</v>
      </c>
      <c r="O1373" s="10">
        <v>12500000</v>
      </c>
      <c r="P1373" s="140"/>
      <c r="Q1373" t="s">
        <v>3559</v>
      </c>
    </row>
    <row r="1374" spans="1:17" ht="43.5" hidden="1" x14ac:dyDescent="0.35">
      <c r="A1374" s="155">
        <f t="shared" si="24"/>
        <v>21</v>
      </c>
      <c r="B1374" s="140" t="s">
        <v>3414</v>
      </c>
      <c r="C1374" s="140" t="s">
        <v>3415</v>
      </c>
      <c r="D1374" s="140" t="s">
        <v>3416</v>
      </c>
      <c r="E1374" s="140" t="s">
        <v>3438</v>
      </c>
      <c r="F1374" s="140" t="s">
        <v>3350</v>
      </c>
      <c r="G1374" s="140" t="s">
        <v>171</v>
      </c>
      <c r="H1374" s="140" t="s">
        <v>3351</v>
      </c>
      <c r="I1374" s="140" t="s">
        <v>3439</v>
      </c>
      <c r="J1374" s="140">
        <v>17570000</v>
      </c>
      <c r="K1374" s="155" t="s">
        <v>3419</v>
      </c>
      <c r="L1374" s="140">
        <v>2933917</v>
      </c>
      <c r="M1374" s="155" t="s">
        <v>173</v>
      </c>
      <c r="N1374" s="324" t="s">
        <v>54</v>
      </c>
      <c r="O1374" s="10">
        <v>17282000</v>
      </c>
      <c r="P1374" s="140"/>
      <c r="Q1374" t="s">
        <v>3559</v>
      </c>
    </row>
    <row r="1375" spans="1:17" ht="43.5" hidden="1" x14ac:dyDescent="0.35">
      <c r="A1375" s="155">
        <f t="shared" si="24"/>
        <v>22</v>
      </c>
      <c r="B1375" s="140" t="s">
        <v>3414</v>
      </c>
      <c r="C1375" s="140" t="s">
        <v>3415</v>
      </c>
      <c r="D1375" s="140" t="s">
        <v>3416</v>
      </c>
      <c r="E1375" s="140" t="s">
        <v>3438</v>
      </c>
      <c r="F1375" s="140" t="s">
        <v>2666</v>
      </c>
      <c r="G1375" s="140" t="s">
        <v>171</v>
      </c>
      <c r="H1375" s="140" t="s">
        <v>2667</v>
      </c>
      <c r="I1375" s="140" t="s">
        <v>3439</v>
      </c>
      <c r="J1375" s="140">
        <v>17570000</v>
      </c>
      <c r="K1375" s="155" t="s">
        <v>3419</v>
      </c>
      <c r="L1375" s="140">
        <v>2933917</v>
      </c>
      <c r="M1375" s="155" t="s">
        <v>173</v>
      </c>
      <c r="N1375" s="324" t="s">
        <v>54</v>
      </c>
      <c r="O1375" s="10">
        <v>17282000</v>
      </c>
      <c r="P1375" s="140"/>
      <c r="Q1375" t="s">
        <v>3559</v>
      </c>
    </row>
    <row r="1376" spans="1:17" ht="43.5" hidden="1" x14ac:dyDescent="0.35">
      <c r="A1376" s="155">
        <f t="shared" si="24"/>
        <v>23</v>
      </c>
      <c r="B1376" s="140" t="s">
        <v>3414</v>
      </c>
      <c r="C1376" s="140" t="s">
        <v>3415</v>
      </c>
      <c r="D1376" s="140" t="s">
        <v>3416</v>
      </c>
      <c r="E1376" s="140" t="s">
        <v>3438</v>
      </c>
      <c r="F1376" s="140" t="s">
        <v>3440</v>
      </c>
      <c r="G1376" s="140" t="s">
        <v>171</v>
      </c>
      <c r="H1376" s="140" t="s">
        <v>623</v>
      </c>
      <c r="I1376" s="140" t="s">
        <v>3439</v>
      </c>
      <c r="J1376" s="140">
        <v>17570000</v>
      </c>
      <c r="K1376" s="155" t="s">
        <v>3419</v>
      </c>
      <c r="L1376" s="140">
        <v>2933917</v>
      </c>
      <c r="M1376" s="155" t="s">
        <v>173</v>
      </c>
      <c r="N1376" s="324" t="s">
        <v>54</v>
      </c>
      <c r="O1376" s="10">
        <v>17282000</v>
      </c>
      <c r="P1376" s="140"/>
      <c r="Q1376" t="s">
        <v>3559</v>
      </c>
    </row>
    <row r="1377" spans="1:17" ht="43.5" hidden="1" x14ac:dyDescent="0.35">
      <c r="A1377" s="155">
        <f t="shared" si="24"/>
        <v>24</v>
      </c>
      <c r="B1377" s="140" t="s">
        <v>3414</v>
      </c>
      <c r="C1377" s="140" t="s">
        <v>3415</v>
      </c>
      <c r="D1377" s="140" t="s">
        <v>3416</v>
      </c>
      <c r="E1377" s="140" t="s">
        <v>3438</v>
      </c>
      <c r="F1377" s="140" t="s">
        <v>3441</v>
      </c>
      <c r="G1377" s="140" t="s">
        <v>171</v>
      </c>
      <c r="H1377" s="140" t="s">
        <v>172</v>
      </c>
      <c r="I1377" s="140" t="s">
        <v>712</v>
      </c>
      <c r="J1377" s="140">
        <v>8785000</v>
      </c>
      <c r="K1377" s="155" t="s">
        <v>3419</v>
      </c>
      <c r="L1377" s="140">
        <v>2933917</v>
      </c>
      <c r="M1377" s="155" t="s">
        <v>173</v>
      </c>
      <c r="N1377" s="324" t="s">
        <v>280</v>
      </c>
      <c r="O1377" s="10">
        <v>8641000</v>
      </c>
      <c r="P1377" s="140"/>
      <c r="Q1377" t="s">
        <v>3559</v>
      </c>
    </row>
    <row r="1378" spans="1:17" ht="43.5" hidden="1" x14ac:dyDescent="0.35">
      <c r="A1378" s="155">
        <f t="shared" si="24"/>
        <v>25</v>
      </c>
      <c r="B1378" s="140" t="s">
        <v>3414</v>
      </c>
      <c r="C1378" s="140" t="s">
        <v>3415</v>
      </c>
      <c r="D1378" s="140" t="s">
        <v>3416</v>
      </c>
      <c r="E1378" s="140" t="s">
        <v>3438</v>
      </c>
      <c r="F1378" s="140" t="s">
        <v>2674</v>
      </c>
      <c r="G1378" s="140" t="s">
        <v>171</v>
      </c>
      <c r="H1378" s="140" t="s">
        <v>2675</v>
      </c>
      <c r="I1378" s="140" t="s">
        <v>3439</v>
      </c>
      <c r="J1378" s="140">
        <v>8785000</v>
      </c>
      <c r="K1378" s="155" t="s">
        <v>3419</v>
      </c>
      <c r="L1378" s="140">
        <v>2933917</v>
      </c>
      <c r="M1378" s="155" t="s">
        <v>173</v>
      </c>
      <c r="N1378" s="324" t="s">
        <v>280</v>
      </c>
      <c r="O1378" s="10">
        <v>8641000</v>
      </c>
      <c r="P1378" s="140"/>
      <c r="Q1378" t="s">
        <v>3559</v>
      </c>
    </row>
    <row r="1379" spans="1:17" ht="43.5" hidden="1" x14ac:dyDescent="0.35">
      <c r="A1379" s="155">
        <f t="shared" si="24"/>
        <v>26</v>
      </c>
      <c r="B1379" s="140" t="s">
        <v>3414</v>
      </c>
      <c r="C1379" s="140" t="s">
        <v>3415</v>
      </c>
      <c r="D1379" s="140" t="s">
        <v>3416</v>
      </c>
      <c r="E1379" s="140" t="s">
        <v>3438</v>
      </c>
      <c r="F1379" s="140" t="s">
        <v>3442</v>
      </c>
      <c r="G1379" s="140" t="s">
        <v>171</v>
      </c>
      <c r="H1379" s="140" t="s">
        <v>2680</v>
      </c>
      <c r="I1379" s="140" t="s">
        <v>3439</v>
      </c>
      <c r="J1379" s="140">
        <v>8785000</v>
      </c>
      <c r="K1379" s="155" t="s">
        <v>3419</v>
      </c>
      <c r="L1379" s="140">
        <v>2933917</v>
      </c>
      <c r="M1379" s="155" t="s">
        <v>173</v>
      </c>
      <c r="N1379" s="324" t="s">
        <v>280</v>
      </c>
      <c r="O1379" s="10">
        <v>8641000</v>
      </c>
      <c r="P1379" s="140"/>
      <c r="Q1379" t="s">
        <v>3559</v>
      </c>
    </row>
    <row r="1380" spans="1:17" ht="43.5" hidden="1" x14ac:dyDescent="0.35">
      <c r="A1380" s="155">
        <f t="shared" si="24"/>
        <v>27</v>
      </c>
      <c r="B1380" s="140" t="s">
        <v>3414</v>
      </c>
      <c r="C1380" s="140" t="s">
        <v>3415</v>
      </c>
      <c r="D1380" s="140" t="s">
        <v>3416</v>
      </c>
      <c r="E1380" s="140" t="s">
        <v>3438</v>
      </c>
      <c r="F1380" s="140" t="s">
        <v>3443</v>
      </c>
      <c r="G1380" s="140" t="s">
        <v>171</v>
      </c>
      <c r="H1380" s="140" t="s">
        <v>1349</v>
      </c>
      <c r="I1380" s="140" t="s">
        <v>3439</v>
      </c>
      <c r="J1380" s="140">
        <v>8785000</v>
      </c>
      <c r="K1380" s="155" t="s">
        <v>3419</v>
      </c>
      <c r="L1380" s="140">
        <v>2933917</v>
      </c>
      <c r="M1380" s="155" t="s">
        <v>173</v>
      </c>
      <c r="N1380" s="324" t="s">
        <v>280</v>
      </c>
      <c r="O1380" s="10">
        <v>8641000</v>
      </c>
      <c r="P1380" s="140"/>
      <c r="Q1380" t="s">
        <v>3559</v>
      </c>
    </row>
    <row r="1381" spans="1:17" ht="29" hidden="1" x14ac:dyDescent="0.35">
      <c r="A1381" s="155">
        <f t="shared" si="24"/>
        <v>28</v>
      </c>
      <c r="B1381" s="140" t="s">
        <v>3414</v>
      </c>
      <c r="C1381" s="140" t="s">
        <v>3415</v>
      </c>
      <c r="D1381" s="140" t="s">
        <v>3416</v>
      </c>
      <c r="E1381" s="140" t="s">
        <v>3444</v>
      </c>
      <c r="F1381" s="140" t="s">
        <v>748</v>
      </c>
      <c r="G1381" s="140" t="s">
        <v>749</v>
      </c>
      <c r="H1381" s="140" t="s">
        <v>750</v>
      </c>
      <c r="I1381" s="140" t="s">
        <v>35</v>
      </c>
      <c r="J1381" s="140">
        <v>10000000</v>
      </c>
      <c r="K1381" s="155" t="s">
        <v>3419</v>
      </c>
      <c r="L1381" s="140">
        <v>2956278</v>
      </c>
      <c r="M1381" s="155" t="s">
        <v>173</v>
      </c>
      <c r="N1381" s="324" t="s">
        <v>280</v>
      </c>
      <c r="O1381" s="10">
        <v>8489000</v>
      </c>
      <c r="P1381" s="140"/>
      <c r="Q1381" t="s">
        <v>3559</v>
      </c>
    </row>
    <row r="1382" spans="1:17" ht="72.5" hidden="1" x14ac:dyDescent="0.35">
      <c r="A1382" s="155">
        <f t="shared" si="24"/>
        <v>29</v>
      </c>
      <c r="B1382" s="140" t="s">
        <v>3414</v>
      </c>
      <c r="C1382" s="140" t="s">
        <v>3415</v>
      </c>
      <c r="D1382" s="140" t="s">
        <v>3416</v>
      </c>
      <c r="E1382" s="140" t="s">
        <v>3445</v>
      </c>
      <c r="F1382" s="140" t="s">
        <v>2765</v>
      </c>
      <c r="G1382" s="140" t="s">
        <v>970</v>
      </c>
      <c r="H1382" s="140" t="s">
        <v>2766</v>
      </c>
      <c r="I1382" s="140" t="s">
        <v>725</v>
      </c>
      <c r="J1382" s="140">
        <v>12000000</v>
      </c>
      <c r="K1382" s="155" t="s">
        <v>3419</v>
      </c>
      <c r="L1382" s="140">
        <v>3011891</v>
      </c>
      <c r="M1382" s="155" t="s">
        <v>173</v>
      </c>
      <c r="N1382" s="324" t="s">
        <v>280</v>
      </c>
      <c r="O1382" s="10">
        <v>8658000</v>
      </c>
      <c r="P1382" s="140"/>
      <c r="Q1382" t="s">
        <v>3559</v>
      </c>
    </row>
    <row r="1383" spans="1:17" ht="72.5" hidden="1" x14ac:dyDescent="0.35">
      <c r="A1383" s="155">
        <f t="shared" si="24"/>
        <v>30</v>
      </c>
      <c r="B1383" s="140" t="s">
        <v>3414</v>
      </c>
      <c r="C1383" s="140" t="s">
        <v>3415</v>
      </c>
      <c r="D1383" s="140" t="s">
        <v>3416</v>
      </c>
      <c r="E1383" s="140" t="s">
        <v>3427</v>
      </c>
      <c r="F1383" s="140" t="s">
        <v>2769</v>
      </c>
      <c r="G1383" s="140" t="s">
        <v>970</v>
      </c>
      <c r="H1383" s="140" t="s">
        <v>2770</v>
      </c>
      <c r="I1383" s="140" t="s">
        <v>725</v>
      </c>
      <c r="J1383" s="140">
        <v>12000000</v>
      </c>
      <c r="K1383" s="155" t="s">
        <v>3419</v>
      </c>
      <c r="L1383" s="140">
        <v>3011891</v>
      </c>
      <c r="M1383" s="155" t="s">
        <v>173</v>
      </c>
      <c r="N1383" s="324" t="s">
        <v>280</v>
      </c>
      <c r="O1383" s="10">
        <v>8658000</v>
      </c>
      <c r="P1383" s="140"/>
      <c r="Q1383" t="s">
        <v>3559</v>
      </c>
    </row>
    <row r="1384" spans="1:17" ht="72.5" hidden="1" x14ac:dyDescent="0.35">
      <c r="A1384" s="155">
        <f t="shared" si="24"/>
        <v>31</v>
      </c>
      <c r="B1384" s="140" t="s">
        <v>3414</v>
      </c>
      <c r="C1384" s="140" t="s">
        <v>3415</v>
      </c>
      <c r="D1384" s="140" t="s">
        <v>3416</v>
      </c>
      <c r="E1384" s="140" t="s">
        <v>3427</v>
      </c>
      <c r="F1384" s="140" t="s">
        <v>3446</v>
      </c>
      <c r="G1384" s="140" t="s">
        <v>970</v>
      </c>
      <c r="H1384" s="140" t="s">
        <v>2773</v>
      </c>
      <c r="I1384" s="140" t="s">
        <v>725</v>
      </c>
      <c r="J1384" s="140">
        <v>12000000</v>
      </c>
      <c r="K1384" s="155" t="s">
        <v>3419</v>
      </c>
      <c r="L1384" s="140">
        <v>3011891</v>
      </c>
      <c r="M1384" s="155" t="s">
        <v>173</v>
      </c>
      <c r="N1384" s="324" t="s">
        <v>280</v>
      </c>
      <c r="O1384" s="10">
        <v>8658000</v>
      </c>
      <c r="P1384" s="140"/>
      <c r="Q1384" t="s">
        <v>3559</v>
      </c>
    </row>
    <row r="1385" spans="1:17" ht="72.5" hidden="1" x14ac:dyDescent="0.35">
      <c r="A1385" s="155">
        <f t="shared" si="24"/>
        <v>32</v>
      </c>
      <c r="B1385" s="140" t="s">
        <v>3414</v>
      </c>
      <c r="C1385" s="140" t="s">
        <v>3415</v>
      </c>
      <c r="D1385" s="140" t="s">
        <v>3416</v>
      </c>
      <c r="E1385" s="140" t="s">
        <v>3445</v>
      </c>
      <c r="F1385" s="140" t="s">
        <v>3447</v>
      </c>
      <c r="G1385" s="140" t="s">
        <v>970</v>
      </c>
      <c r="H1385" s="140" t="s">
        <v>3355</v>
      </c>
      <c r="I1385" s="140" t="s">
        <v>725</v>
      </c>
      <c r="J1385" s="140">
        <v>12000000</v>
      </c>
      <c r="K1385" s="155" t="s">
        <v>3419</v>
      </c>
      <c r="L1385" s="140">
        <v>3011891</v>
      </c>
      <c r="M1385" s="155" t="s">
        <v>173</v>
      </c>
      <c r="N1385" s="324" t="s">
        <v>280</v>
      </c>
      <c r="O1385" s="10">
        <v>8658000</v>
      </c>
      <c r="P1385" s="140"/>
      <c r="Q1385" t="s">
        <v>3559</v>
      </c>
    </row>
    <row r="1386" spans="1:17" ht="72.5" hidden="1" x14ac:dyDescent="0.35">
      <c r="A1386" s="155">
        <f t="shared" si="24"/>
        <v>33</v>
      </c>
      <c r="B1386" s="140" t="s">
        <v>3414</v>
      </c>
      <c r="C1386" s="140" t="s">
        <v>3415</v>
      </c>
      <c r="D1386" s="140" t="s">
        <v>3416</v>
      </c>
      <c r="E1386" s="140" t="s">
        <v>3445</v>
      </c>
      <c r="F1386" s="140" t="s">
        <v>3448</v>
      </c>
      <c r="G1386" s="140" t="s">
        <v>970</v>
      </c>
      <c r="H1386" s="140" t="s">
        <v>971</v>
      </c>
      <c r="I1386" s="140" t="s">
        <v>725</v>
      </c>
      <c r="J1386" s="140">
        <v>12000000</v>
      </c>
      <c r="K1386" s="155" t="s">
        <v>3419</v>
      </c>
      <c r="L1386" s="140">
        <v>3011891</v>
      </c>
      <c r="M1386" s="155" t="s">
        <v>173</v>
      </c>
      <c r="N1386" s="324" t="s">
        <v>280</v>
      </c>
      <c r="O1386" s="10">
        <v>8658000</v>
      </c>
      <c r="P1386" s="140"/>
      <c r="Q1386" t="s">
        <v>3559</v>
      </c>
    </row>
    <row r="1387" spans="1:17" ht="72.5" hidden="1" x14ac:dyDescent="0.35">
      <c r="A1387" s="155">
        <f t="shared" si="24"/>
        <v>34</v>
      </c>
      <c r="B1387" s="140" t="s">
        <v>3414</v>
      </c>
      <c r="C1387" s="140" t="s">
        <v>3415</v>
      </c>
      <c r="D1387" s="140" t="s">
        <v>3416</v>
      </c>
      <c r="E1387" s="140" t="s">
        <v>3445</v>
      </c>
      <c r="F1387" s="140" t="s">
        <v>2775</v>
      </c>
      <c r="G1387" s="140" t="s">
        <v>970</v>
      </c>
      <c r="H1387" s="140" t="s">
        <v>2776</v>
      </c>
      <c r="I1387" s="140" t="s">
        <v>725</v>
      </c>
      <c r="J1387" s="140">
        <v>12000000</v>
      </c>
      <c r="K1387" s="155" t="s">
        <v>3419</v>
      </c>
      <c r="L1387" s="140">
        <v>3011891</v>
      </c>
      <c r="M1387" s="155" t="s">
        <v>173</v>
      </c>
      <c r="N1387" s="324" t="s">
        <v>280</v>
      </c>
      <c r="O1387" s="10">
        <v>8658000</v>
      </c>
      <c r="P1387" s="140"/>
      <c r="Q1387" t="s">
        <v>3559</v>
      </c>
    </row>
    <row r="1388" spans="1:17" ht="72.5" hidden="1" x14ac:dyDescent="0.35">
      <c r="A1388" s="155">
        <f t="shared" si="24"/>
        <v>35</v>
      </c>
      <c r="B1388" s="140" t="s">
        <v>3414</v>
      </c>
      <c r="C1388" s="140" t="s">
        <v>3415</v>
      </c>
      <c r="D1388" s="140" t="s">
        <v>3416</v>
      </c>
      <c r="E1388" s="140" t="s">
        <v>3449</v>
      </c>
      <c r="F1388" s="140" t="s">
        <v>2778</v>
      </c>
      <c r="G1388" s="140" t="s">
        <v>970</v>
      </c>
      <c r="H1388" s="140" t="s">
        <v>2779</v>
      </c>
      <c r="I1388" s="140" t="s">
        <v>725</v>
      </c>
      <c r="J1388" s="140">
        <v>12000000</v>
      </c>
      <c r="K1388" s="155" t="s">
        <v>3419</v>
      </c>
      <c r="L1388" s="140">
        <v>3011891</v>
      </c>
      <c r="M1388" s="155" t="s">
        <v>173</v>
      </c>
      <c r="N1388" s="324" t="s">
        <v>280</v>
      </c>
      <c r="O1388" s="10">
        <v>8658000</v>
      </c>
      <c r="P1388" s="140"/>
      <c r="Q1388" t="s">
        <v>3559</v>
      </c>
    </row>
    <row r="1389" spans="1:17" ht="72.5" hidden="1" x14ac:dyDescent="0.35">
      <c r="A1389" s="155">
        <f t="shared" si="24"/>
        <v>36</v>
      </c>
      <c r="B1389" s="140" t="s">
        <v>3414</v>
      </c>
      <c r="C1389" s="140" t="s">
        <v>3415</v>
      </c>
      <c r="D1389" s="140" t="s">
        <v>3416</v>
      </c>
      <c r="E1389" s="140" t="s">
        <v>3449</v>
      </c>
      <c r="F1389" s="140" t="s">
        <v>3450</v>
      </c>
      <c r="G1389" s="140" t="s">
        <v>970</v>
      </c>
      <c r="H1389" s="140" t="s">
        <v>3451</v>
      </c>
      <c r="I1389" s="140" t="s">
        <v>725</v>
      </c>
      <c r="J1389" s="140">
        <v>12000000</v>
      </c>
      <c r="K1389" s="155" t="s">
        <v>3419</v>
      </c>
      <c r="L1389" s="140">
        <v>3011891</v>
      </c>
      <c r="M1389" s="155" t="s">
        <v>173</v>
      </c>
      <c r="N1389" s="324" t="s">
        <v>280</v>
      </c>
      <c r="O1389" s="10">
        <v>8658000</v>
      </c>
      <c r="P1389" s="140"/>
      <c r="Q1389" t="s">
        <v>3559</v>
      </c>
    </row>
    <row r="1390" spans="1:17" ht="72.5" hidden="1" x14ac:dyDescent="0.35">
      <c r="A1390" s="155">
        <f t="shared" si="24"/>
        <v>37</v>
      </c>
      <c r="B1390" s="140" t="s">
        <v>3414</v>
      </c>
      <c r="C1390" s="140" t="s">
        <v>3415</v>
      </c>
      <c r="D1390" s="140" t="s">
        <v>3416</v>
      </c>
      <c r="E1390" s="140" t="s">
        <v>3427</v>
      </c>
      <c r="F1390" s="140" t="s">
        <v>3452</v>
      </c>
      <c r="G1390" s="140" t="s">
        <v>970</v>
      </c>
      <c r="H1390" s="140" t="s">
        <v>2782</v>
      </c>
      <c r="I1390" s="140" t="s">
        <v>725</v>
      </c>
      <c r="J1390" s="140">
        <v>12000000</v>
      </c>
      <c r="K1390" s="155" t="s">
        <v>3419</v>
      </c>
      <c r="L1390" s="140">
        <v>3011891</v>
      </c>
      <c r="M1390" s="155" t="s">
        <v>173</v>
      </c>
      <c r="N1390" s="324" t="s">
        <v>280</v>
      </c>
      <c r="O1390" s="10">
        <v>8658000</v>
      </c>
      <c r="P1390" s="140"/>
      <c r="Q1390" t="s">
        <v>3559</v>
      </c>
    </row>
    <row r="1391" spans="1:17" ht="43.5" hidden="1" x14ac:dyDescent="0.35">
      <c r="A1391" s="155">
        <f t="shared" si="24"/>
        <v>38</v>
      </c>
      <c r="B1391" s="140" t="s">
        <v>3414</v>
      </c>
      <c r="C1391" s="140" t="s">
        <v>3415</v>
      </c>
      <c r="D1391" s="140" t="s">
        <v>3416</v>
      </c>
      <c r="E1391" s="140" t="s">
        <v>3453</v>
      </c>
      <c r="F1391" s="140" t="s">
        <v>798</v>
      </c>
      <c r="G1391" s="140" t="s">
        <v>185</v>
      </c>
      <c r="H1391" s="140" t="s">
        <v>2953</v>
      </c>
      <c r="I1391" s="140" t="s">
        <v>3454</v>
      </c>
      <c r="J1391" s="140">
        <v>6000000</v>
      </c>
      <c r="K1391" s="155" t="s">
        <v>3419</v>
      </c>
      <c r="L1391" s="140">
        <v>2928796</v>
      </c>
      <c r="M1391" s="155" t="s">
        <v>180</v>
      </c>
      <c r="N1391" s="324" t="s">
        <v>280</v>
      </c>
      <c r="O1391" s="10">
        <v>9132375</v>
      </c>
      <c r="P1391" s="140"/>
      <c r="Q1391" t="s">
        <v>3559</v>
      </c>
    </row>
    <row r="1392" spans="1:17" ht="29" hidden="1" x14ac:dyDescent="0.35">
      <c r="A1392" s="155">
        <f t="shared" si="24"/>
        <v>39</v>
      </c>
      <c r="B1392" s="140" t="s">
        <v>3414</v>
      </c>
      <c r="C1392" s="140" t="s">
        <v>3415</v>
      </c>
      <c r="D1392" s="140" t="s">
        <v>3416</v>
      </c>
      <c r="E1392" s="140" t="s">
        <v>3453</v>
      </c>
      <c r="F1392" s="140" t="s">
        <v>798</v>
      </c>
      <c r="G1392" s="140" t="s">
        <v>185</v>
      </c>
      <c r="H1392" s="140" t="s">
        <v>2956</v>
      </c>
      <c r="I1392" s="140" t="s">
        <v>3454</v>
      </c>
      <c r="J1392" s="140">
        <v>6000000</v>
      </c>
      <c r="K1392" s="155" t="s">
        <v>3419</v>
      </c>
      <c r="L1392" s="140">
        <v>2928889</v>
      </c>
      <c r="M1392" s="155" t="s">
        <v>180</v>
      </c>
      <c r="N1392" s="324" t="s">
        <v>280</v>
      </c>
      <c r="O1392" s="10">
        <v>9132375</v>
      </c>
      <c r="P1392" s="140"/>
      <c r="Q1392" t="s">
        <v>3559</v>
      </c>
    </row>
    <row r="1393" spans="1:17" ht="29" hidden="1" x14ac:dyDescent="0.35">
      <c r="A1393" s="155">
        <f t="shared" si="24"/>
        <v>40</v>
      </c>
      <c r="B1393" s="140" t="s">
        <v>3414</v>
      </c>
      <c r="C1393" s="140" t="s">
        <v>3415</v>
      </c>
      <c r="D1393" s="140" t="s">
        <v>3416</v>
      </c>
      <c r="E1393" s="140" t="s">
        <v>3455</v>
      </c>
      <c r="F1393" s="140" t="s">
        <v>636</v>
      </c>
      <c r="G1393" s="140" t="s">
        <v>182</v>
      </c>
      <c r="H1393" s="140" t="s">
        <v>185</v>
      </c>
      <c r="I1393" s="140" t="s">
        <v>143</v>
      </c>
      <c r="J1393" s="140">
        <v>30000000</v>
      </c>
      <c r="K1393" s="155" t="s">
        <v>3419</v>
      </c>
      <c r="L1393" s="140">
        <v>2952606</v>
      </c>
      <c r="M1393" s="155" t="s">
        <v>180</v>
      </c>
      <c r="N1393" s="324" t="s">
        <v>370</v>
      </c>
      <c r="O1393" s="10">
        <v>52110000</v>
      </c>
      <c r="P1393" s="140"/>
      <c r="Q1393" t="s">
        <v>3559</v>
      </c>
    </row>
    <row r="1394" spans="1:17" ht="58" hidden="1" x14ac:dyDescent="0.35">
      <c r="A1394" s="155">
        <f t="shared" si="24"/>
        <v>41</v>
      </c>
      <c r="B1394" s="140" t="s">
        <v>3414</v>
      </c>
      <c r="C1394" s="140" t="s">
        <v>3415</v>
      </c>
      <c r="D1394" s="140" t="s">
        <v>3416</v>
      </c>
      <c r="E1394" s="140" t="s">
        <v>3456</v>
      </c>
      <c r="F1394" s="140" t="s">
        <v>445</v>
      </c>
      <c r="G1394" s="140" t="s">
        <v>187</v>
      </c>
      <c r="H1394" s="140" t="s">
        <v>804</v>
      </c>
      <c r="I1394" s="140" t="s">
        <v>143</v>
      </c>
      <c r="J1394" s="140">
        <v>42000000</v>
      </c>
      <c r="K1394" s="155" t="s">
        <v>3419</v>
      </c>
      <c r="L1394" s="140">
        <v>2764827</v>
      </c>
      <c r="M1394" s="155" t="s">
        <v>180</v>
      </c>
      <c r="N1394" s="324" t="s">
        <v>2330</v>
      </c>
      <c r="O1394" s="10">
        <v>34894400</v>
      </c>
      <c r="P1394" s="140"/>
      <c r="Q1394" t="s">
        <v>3559</v>
      </c>
    </row>
    <row r="1395" spans="1:17" ht="58" hidden="1" x14ac:dyDescent="0.35">
      <c r="A1395" s="155">
        <f t="shared" si="24"/>
        <v>42</v>
      </c>
      <c r="B1395" s="140" t="s">
        <v>3414</v>
      </c>
      <c r="C1395" s="140" t="s">
        <v>3415</v>
      </c>
      <c r="D1395" s="140" t="s">
        <v>3416</v>
      </c>
      <c r="E1395" s="140" t="s">
        <v>3456</v>
      </c>
      <c r="F1395" s="140" t="s">
        <v>448</v>
      </c>
      <c r="G1395" s="140" t="s">
        <v>449</v>
      </c>
      <c r="H1395" s="140" t="s">
        <v>450</v>
      </c>
      <c r="I1395" s="140" t="s">
        <v>725</v>
      </c>
      <c r="J1395" s="140">
        <v>10000000</v>
      </c>
      <c r="K1395" s="155" t="s">
        <v>3419</v>
      </c>
      <c r="L1395" s="140">
        <v>2761432</v>
      </c>
      <c r="M1395" s="155" t="s">
        <v>180</v>
      </c>
      <c r="N1395" s="324" t="s">
        <v>280</v>
      </c>
      <c r="O1395" s="10">
        <v>8840875</v>
      </c>
      <c r="P1395" s="140"/>
      <c r="Q1395" t="s">
        <v>3559</v>
      </c>
    </row>
    <row r="1396" spans="1:17" ht="58" hidden="1" x14ac:dyDescent="0.35">
      <c r="A1396" s="155">
        <f t="shared" si="24"/>
        <v>43</v>
      </c>
      <c r="B1396" s="140" t="s">
        <v>3414</v>
      </c>
      <c r="C1396" s="140" t="s">
        <v>3415</v>
      </c>
      <c r="D1396" s="140" t="s">
        <v>3416</v>
      </c>
      <c r="E1396" s="140" t="s">
        <v>3456</v>
      </c>
      <c r="F1396" s="140" t="s">
        <v>448</v>
      </c>
      <c r="G1396" s="140" t="s">
        <v>449</v>
      </c>
      <c r="H1396" s="140" t="s">
        <v>1456</v>
      </c>
      <c r="I1396" s="140" t="s">
        <v>725</v>
      </c>
      <c r="J1396" s="140">
        <v>10000000</v>
      </c>
      <c r="K1396" s="155" t="s">
        <v>3419</v>
      </c>
      <c r="L1396" s="140">
        <v>2761432</v>
      </c>
      <c r="M1396" s="155" t="s">
        <v>180</v>
      </c>
      <c r="N1396" s="324" t="s">
        <v>280</v>
      </c>
      <c r="O1396" s="10">
        <v>8840875</v>
      </c>
      <c r="P1396" s="140"/>
      <c r="Q1396" t="s">
        <v>3559</v>
      </c>
    </row>
    <row r="1397" spans="1:17" ht="58" hidden="1" x14ac:dyDescent="0.35">
      <c r="A1397" s="155">
        <f t="shared" si="24"/>
        <v>44</v>
      </c>
      <c r="B1397" s="140" t="s">
        <v>3414</v>
      </c>
      <c r="C1397" s="140" t="s">
        <v>3415</v>
      </c>
      <c r="D1397" s="140" t="s">
        <v>3416</v>
      </c>
      <c r="E1397" s="140" t="s">
        <v>3456</v>
      </c>
      <c r="F1397" s="140" t="s">
        <v>448</v>
      </c>
      <c r="G1397" s="140" t="s">
        <v>449</v>
      </c>
      <c r="H1397" s="140" t="s">
        <v>3006</v>
      </c>
      <c r="I1397" s="140" t="s">
        <v>725</v>
      </c>
      <c r="J1397" s="140">
        <v>10000000</v>
      </c>
      <c r="K1397" s="155" t="s">
        <v>3419</v>
      </c>
      <c r="L1397" s="140">
        <v>2761432</v>
      </c>
      <c r="M1397" s="155" t="s">
        <v>180</v>
      </c>
      <c r="N1397" s="324" t="s">
        <v>280</v>
      </c>
      <c r="O1397" s="10">
        <v>8840875</v>
      </c>
      <c r="P1397" s="140"/>
      <c r="Q1397" t="s">
        <v>3559</v>
      </c>
    </row>
    <row r="1398" spans="1:17" ht="43.5" hidden="1" x14ac:dyDescent="0.35">
      <c r="A1398" s="155">
        <f t="shared" si="24"/>
        <v>45</v>
      </c>
      <c r="B1398" s="140" t="s">
        <v>3457</v>
      </c>
      <c r="C1398" s="140" t="s">
        <v>537</v>
      </c>
      <c r="D1398" s="140" t="s">
        <v>3458</v>
      </c>
      <c r="E1398" s="140" t="s">
        <v>3459</v>
      </c>
      <c r="F1398" s="140" t="s">
        <v>491</v>
      </c>
      <c r="G1398" s="140" t="s">
        <v>278</v>
      </c>
      <c r="H1398" s="140" t="s">
        <v>492</v>
      </c>
      <c r="I1398" s="140" t="s">
        <v>35</v>
      </c>
      <c r="J1398" s="336">
        <v>30000000</v>
      </c>
      <c r="K1398" s="155" t="s">
        <v>3460</v>
      </c>
      <c r="L1398" s="140">
        <v>2921611</v>
      </c>
      <c r="M1398" s="32" t="s">
        <v>97</v>
      </c>
      <c r="N1398" s="140" t="s">
        <v>3461</v>
      </c>
      <c r="O1398" s="10">
        <v>5550000</v>
      </c>
      <c r="P1398" s="140"/>
      <c r="Q1398" t="s">
        <v>3559</v>
      </c>
    </row>
    <row r="1399" spans="1:17" ht="43.5" hidden="1" x14ac:dyDescent="0.35">
      <c r="A1399" s="155">
        <f>A1398+1</f>
        <v>46</v>
      </c>
      <c r="B1399" s="140" t="s">
        <v>3457</v>
      </c>
      <c r="C1399" s="140" t="s">
        <v>537</v>
      </c>
      <c r="D1399" s="140" t="s">
        <v>3458</v>
      </c>
      <c r="E1399" s="140" t="s">
        <v>3462</v>
      </c>
      <c r="F1399" s="140" t="s">
        <v>3463</v>
      </c>
      <c r="G1399" s="140" t="s">
        <v>2866</v>
      </c>
      <c r="H1399" s="140"/>
      <c r="I1399" s="140" t="s">
        <v>35</v>
      </c>
      <c r="J1399" s="140">
        <v>50000000</v>
      </c>
      <c r="K1399" s="155" t="s">
        <v>3460</v>
      </c>
      <c r="L1399" s="140">
        <v>2858466</v>
      </c>
      <c r="M1399" s="155" t="s">
        <v>226</v>
      </c>
      <c r="N1399" s="324" t="s">
        <v>3464</v>
      </c>
      <c r="O1399" s="10">
        <v>6475000</v>
      </c>
      <c r="P1399" s="140"/>
      <c r="Q1399" t="s">
        <v>3559</v>
      </c>
    </row>
    <row r="1400" spans="1:17" ht="43.5" hidden="1" x14ac:dyDescent="0.35">
      <c r="A1400" s="155">
        <v>1</v>
      </c>
      <c r="B1400" s="140" t="s">
        <v>3414</v>
      </c>
      <c r="C1400" s="140" t="s">
        <v>3465</v>
      </c>
      <c r="D1400" s="140" t="s">
        <v>3466</v>
      </c>
      <c r="E1400" s="140" t="s">
        <v>3467</v>
      </c>
      <c r="F1400" s="140" t="s">
        <v>3468</v>
      </c>
      <c r="G1400" s="144" t="s">
        <v>271</v>
      </c>
      <c r="H1400" s="145" t="s">
        <v>493</v>
      </c>
      <c r="I1400" s="144" t="s">
        <v>312</v>
      </c>
      <c r="J1400" s="336">
        <v>100000000</v>
      </c>
      <c r="K1400" s="155" t="s">
        <v>3469</v>
      </c>
      <c r="L1400" s="140">
        <v>2833701</v>
      </c>
      <c r="M1400" s="32" t="s">
        <v>97</v>
      </c>
      <c r="N1400" s="326">
        <v>8</v>
      </c>
      <c r="O1400" s="10">
        <v>100000000</v>
      </c>
      <c r="P1400" s="140"/>
      <c r="Q1400" t="s">
        <v>3559</v>
      </c>
    </row>
    <row r="1401" spans="1:17" ht="43.5" hidden="1" x14ac:dyDescent="0.35">
      <c r="A1401" s="155">
        <f t="shared" ref="A1401:A1418" si="25">A1400+1</f>
        <v>2</v>
      </c>
      <c r="B1401" s="140" t="s">
        <v>3414</v>
      </c>
      <c r="C1401" s="140" t="s">
        <v>3465</v>
      </c>
      <c r="D1401" s="140" t="s">
        <v>3466</v>
      </c>
      <c r="E1401" s="140" t="s">
        <v>3470</v>
      </c>
      <c r="F1401" s="140" t="s">
        <v>1053</v>
      </c>
      <c r="G1401" s="140" t="s">
        <v>278</v>
      </c>
      <c r="H1401" s="140" t="s">
        <v>1054</v>
      </c>
      <c r="I1401" s="140" t="s">
        <v>35</v>
      </c>
      <c r="J1401" s="336">
        <v>30000000</v>
      </c>
      <c r="K1401" s="155" t="s">
        <v>3469</v>
      </c>
      <c r="L1401" s="140">
        <v>2969370</v>
      </c>
      <c r="M1401" s="32" t="s">
        <v>97</v>
      </c>
      <c r="N1401" s="140">
        <v>1</v>
      </c>
      <c r="O1401" s="10">
        <v>25000000</v>
      </c>
      <c r="P1401" s="140"/>
      <c r="Q1401" t="s">
        <v>3559</v>
      </c>
    </row>
    <row r="1402" spans="1:17" ht="43.5" hidden="1" x14ac:dyDescent="0.35">
      <c r="A1402" s="155">
        <f t="shared" si="25"/>
        <v>3</v>
      </c>
      <c r="B1402" s="140" t="s">
        <v>3414</v>
      </c>
      <c r="C1402" s="140" t="s">
        <v>3465</v>
      </c>
      <c r="D1402" s="140" t="s">
        <v>3466</v>
      </c>
      <c r="E1402" s="140" t="s">
        <v>3471</v>
      </c>
      <c r="F1402" s="140" t="s">
        <v>1732</v>
      </c>
      <c r="G1402" s="140" t="s">
        <v>278</v>
      </c>
      <c r="H1402" s="140" t="s">
        <v>1733</v>
      </c>
      <c r="I1402" s="140" t="s">
        <v>35</v>
      </c>
      <c r="J1402" s="336">
        <v>10000000</v>
      </c>
      <c r="K1402" s="155" t="s">
        <v>3469</v>
      </c>
      <c r="L1402" s="140">
        <v>2970133</v>
      </c>
      <c r="M1402" s="32" t="s">
        <v>97</v>
      </c>
      <c r="N1402" s="140">
        <v>1</v>
      </c>
      <c r="O1402" s="10">
        <v>10000000</v>
      </c>
      <c r="P1402" s="140"/>
      <c r="Q1402" t="s">
        <v>3559</v>
      </c>
    </row>
    <row r="1403" spans="1:17" ht="43.5" hidden="1" x14ac:dyDescent="0.35">
      <c r="A1403" s="155">
        <f t="shared" si="25"/>
        <v>4</v>
      </c>
      <c r="B1403" s="140" t="s">
        <v>3414</v>
      </c>
      <c r="C1403" s="140" t="s">
        <v>3465</v>
      </c>
      <c r="D1403" s="140" t="s">
        <v>3466</v>
      </c>
      <c r="E1403" s="140" t="s">
        <v>3472</v>
      </c>
      <c r="F1403" s="140" t="s">
        <v>1738</v>
      </c>
      <c r="G1403" s="140" t="s">
        <v>278</v>
      </c>
      <c r="H1403" s="140" t="s">
        <v>1739</v>
      </c>
      <c r="I1403" s="140" t="s">
        <v>35</v>
      </c>
      <c r="J1403" s="336">
        <v>32000000</v>
      </c>
      <c r="K1403" s="155" t="s">
        <v>3469</v>
      </c>
      <c r="L1403" s="140">
        <v>2916382</v>
      </c>
      <c r="M1403" s="32" t="s">
        <v>97</v>
      </c>
      <c r="N1403" s="140">
        <v>1</v>
      </c>
      <c r="O1403" s="10">
        <v>25000000</v>
      </c>
      <c r="P1403" s="140"/>
      <c r="Q1403" t="s">
        <v>3559</v>
      </c>
    </row>
    <row r="1404" spans="1:17" ht="43.5" hidden="1" x14ac:dyDescent="0.35">
      <c r="A1404" s="155">
        <f t="shared" si="25"/>
        <v>5</v>
      </c>
      <c r="B1404" s="140" t="s">
        <v>3414</v>
      </c>
      <c r="C1404" s="140" t="s">
        <v>3465</v>
      </c>
      <c r="D1404" s="140" t="s">
        <v>3466</v>
      </c>
      <c r="E1404" s="140" t="s">
        <v>3473</v>
      </c>
      <c r="F1404" s="140" t="s">
        <v>277</v>
      </c>
      <c r="G1404" s="140" t="s">
        <v>278</v>
      </c>
      <c r="H1404" s="140" t="s">
        <v>279</v>
      </c>
      <c r="I1404" s="140" t="s">
        <v>35</v>
      </c>
      <c r="J1404" s="336">
        <v>60000000</v>
      </c>
      <c r="K1404" s="155" t="s">
        <v>3469</v>
      </c>
      <c r="L1404" s="140">
        <v>2970699</v>
      </c>
      <c r="M1404" s="32" t="s">
        <v>97</v>
      </c>
      <c r="N1404" s="140" t="s">
        <v>28</v>
      </c>
      <c r="O1404" s="10">
        <v>25000000</v>
      </c>
      <c r="P1404" s="140"/>
      <c r="Q1404" t="s">
        <v>3559</v>
      </c>
    </row>
    <row r="1405" spans="1:17" ht="43.5" hidden="1" x14ac:dyDescent="0.35">
      <c r="A1405" s="155">
        <f t="shared" si="25"/>
        <v>6</v>
      </c>
      <c r="B1405" s="140" t="s">
        <v>3414</v>
      </c>
      <c r="C1405" s="140" t="s">
        <v>3465</v>
      </c>
      <c r="D1405" s="140" t="s">
        <v>3466</v>
      </c>
      <c r="E1405" s="140" t="s">
        <v>3474</v>
      </c>
      <c r="F1405" s="140" t="s">
        <v>3475</v>
      </c>
      <c r="G1405" s="140" t="s">
        <v>278</v>
      </c>
      <c r="H1405" s="140" t="s">
        <v>3476</v>
      </c>
      <c r="I1405" s="140" t="s">
        <v>35</v>
      </c>
      <c r="J1405" s="336">
        <v>10000000</v>
      </c>
      <c r="K1405" s="155" t="s">
        <v>3469</v>
      </c>
      <c r="L1405" s="140">
        <v>2971649</v>
      </c>
      <c r="M1405" s="32" t="s">
        <v>97</v>
      </c>
      <c r="N1405" s="140" t="s">
        <v>28</v>
      </c>
      <c r="O1405" s="10">
        <v>25000000</v>
      </c>
      <c r="P1405" s="140"/>
      <c r="Q1405" t="s">
        <v>3559</v>
      </c>
    </row>
    <row r="1406" spans="1:17" ht="43.5" hidden="1" x14ac:dyDescent="0.35">
      <c r="A1406" s="155">
        <f t="shared" si="25"/>
        <v>7</v>
      </c>
      <c r="B1406" s="140" t="s">
        <v>3414</v>
      </c>
      <c r="C1406" s="140" t="s">
        <v>3465</v>
      </c>
      <c r="D1406" s="140" t="s">
        <v>3466</v>
      </c>
      <c r="E1406" s="140" t="s">
        <v>3477</v>
      </c>
      <c r="F1406" s="140" t="s">
        <v>484</v>
      </c>
      <c r="G1406" s="140" t="s">
        <v>278</v>
      </c>
      <c r="H1406" s="140" t="s">
        <v>485</v>
      </c>
      <c r="I1406" s="140" t="s">
        <v>35</v>
      </c>
      <c r="J1406" s="336">
        <v>10000000</v>
      </c>
      <c r="K1406" s="155" t="s">
        <v>3469</v>
      </c>
      <c r="L1406" s="140">
        <v>2971857</v>
      </c>
      <c r="M1406" s="32" t="s">
        <v>97</v>
      </c>
      <c r="N1406" s="140" t="s">
        <v>28</v>
      </c>
      <c r="O1406" s="10">
        <v>25000000</v>
      </c>
      <c r="P1406" s="140"/>
      <c r="Q1406" t="s">
        <v>3559</v>
      </c>
    </row>
    <row r="1407" spans="1:17" ht="43.5" hidden="1" x14ac:dyDescent="0.35">
      <c r="A1407" s="155">
        <f t="shared" si="25"/>
        <v>8</v>
      </c>
      <c r="B1407" s="140" t="s">
        <v>3414</v>
      </c>
      <c r="C1407" s="140" t="s">
        <v>3465</v>
      </c>
      <c r="D1407" s="140" t="s">
        <v>3466</v>
      </c>
      <c r="E1407" s="140" t="s">
        <v>3478</v>
      </c>
      <c r="F1407" s="140" t="s">
        <v>1777</v>
      </c>
      <c r="G1407" s="144" t="s">
        <v>1074</v>
      </c>
      <c r="H1407" s="144" t="s">
        <v>1778</v>
      </c>
      <c r="I1407" s="144" t="s">
        <v>35</v>
      </c>
      <c r="J1407" s="336">
        <v>60000000</v>
      </c>
      <c r="K1407" s="155" t="s">
        <v>3469</v>
      </c>
      <c r="L1407" s="140">
        <v>2901758</v>
      </c>
      <c r="M1407" s="32" t="s">
        <v>97</v>
      </c>
      <c r="N1407" s="144" t="s">
        <v>28</v>
      </c>
      <c r="O1407" s="10">
        <v>40000000</v>
      </c>
      <c r="P1407" s="140" t="s">
        <v>3479</v>
      </c>
      <c r="Q1407" t="s">
        <v>3559</v>
      </c>
    </row>
    <row r="1408" spans="1:17" ht="43.5" hidden="1" x14ac:dyDescent="0.35">
      <c r="A1408" s="155">
        <f t="shared" si="25"/>
        <v>9</v>
      </c>
      <c r="B1408" s="140" t="s">
        <v>3414</v>
      </c>
      <c r="C1408" s="140" t="s">
        <v>3465</v>
      </c>
      <c r="D1408" s="140" t="s">
        <v>3466</v>
      </c>
      <c r="E1408" s="140" t="s">
        <v>3480</v>
      </c>
      <c r="F1408" s="140" t="s">
        <v>669</v>
      </c>
      <c r="G1408" s="144" t="s">
        <v>670</v>
      </c>
      <c r="H1408" s="144" t="s">
        <v>671</v>
      </c>
      <c r="I1408" s="144" t="s">
        <v>826</v>
      </c>
      <c r="J1408" s="336">
        <v>10000000</v>
      </c>
      <c r="K1408" s="155" t="s">
        <v>3469</v>
      </c>
      <c r="L1408" s="140">
        <v>2941454</v>
      </c>
      <c r="M1408" s="32" t="s">
        <v>97</v>
      </c>
      <c r="N1408" s="140">
        <v>1</v>
      </c>
      <c r="O1408" s="10">
        <v>25000000</v>
      </c>
      <c r="P1408" s="140"/>
      <c r="Q1408" t="s">
        <v>3559</v>
      </c>
    </row>
    <row r="1409" spans="1:17" ht="43.5" hidden="1" x14ac:dyDescent="0.35">
      <c r="A1409" s="155">
        <f t="shared" si="25"/>
        <v>10</v>
      </c>
      <c r="B1409" s="140" t="s">
        <v>3414</v>
      </c>
      <c r="C1409" s="140" t="s">
        <v>3465</v>
      </c>
      <c r="D1409" s="140" t="s">
        <v>3466</v>
      </c>
      <c r="E1409" s="140" t="s">
        <v>3481</v>
      </c>
      <c r="F1409" s="140" t="s">
        <v>678</v>
      </c>
      <c r="G1409" s="144" t="s">
        <v>670</v>
      </c>
      <c r="H1409" s="144" t="s">
        <v>679</v>
      </c>
      <c r="I1409" s="144" t="s">
        <v>35</v>
      </c>
      <c r="J1409" s="336">
        <v>25000000</v>
      </c>
      <c r="K1409" s="155" t="s">
        <v>3469</v>
      </c>
      <c r="L1409" s="140">
        <v>2940983</v>
      </c>
      <c r="M1409" s="32" t="s">
        <v>97</v>
      </c>
      <c r="N1409" s="140">
        <v>1</v>
      </c>
      <c r="O1409" s="10">
        <v>25000000</v>
      </c>
      <c r="P1409" s="140"/>
      <c r="Q1409" t="s">
        <v>3559</v>
      </c>
    </row>
    <row r="1410" spans="1:17" ht="43.5" hidden="1" x14ac:dyDescent="0.35">
      <c r="A1410" s="155">
        <f t="shared" si="25"/>
        <v>11</v>
      </c>
      <c r="B1410" s="140" t="s">
        <v>3414</v>
      </c>
      <c r="C1410" s="140" t="s">
        <v>3465</v>
      </c>
      <c r="D1410" s="140" t="s">
        <v>3466</v>
      </c>
      <c r="E1410" s="140" t="s">
        <v>3482</v>
      </c>
      <c r="F1410" s="140" t="s">
        <v>289</v>
      </c>
      <c r="G1410" s="140" t="s">
        <v>238</v>
      </c>
      <c r="H1410" s="144" t="s">
        <v>290</v>
      </c>
      <c r="I1410" s="140" t="s">
        <v>280</v>
      </c>
      <c r="J1410" s="336">
        <v>10000000</v>
      </c>
      <c r="K1410" s="155" t="s">
        <v>3469</v>
      </c>
      <c r="L1410" s="140">
        <v>2968343</v>
      </c>
      <c r="M1410" s="32" t="s">
        <v>97</v>
      </c>
      <c r="N1410" s="140" t="s">
        <v>25</v>
      </c>
      <c r="O1410" s="10">
        <v>10000000</v>
      </c>
      <c r="P1410" s="140"/>
      <c r="Q1410" t="s">
        <v>3559</v>
      </c>
    </row>
    <row r="1411" spans="1:17" ht="43.5" hidden="1" x14ac:dyDescent="0.35">
      <c r="A1411" s="155">
        <f t="shared" si="25"/>
        <v>12</v>
      </c>
      <c r="B1411" s="140" t="s">
        <v>3414</v>
      </c>
      <c r="C1411" s="140" t="s">
        <v>3465</v>
      </c>
      <c r="D1411" s="140" t="s">
        <v>3466</v>
      </c>
      <c r="E1411" s="140" t="s">
        <v>3483</v>
      </c>
      <c r="F1411" s="140" t="s">
        <v>100</v>
      </c>
      <c r="G1411" s="144" t="s">
        <v>101</v>
      </c>
      <c r="H1411" s="144" t="s">
        <v>102</v>
      </c>
      <c r="I1411" s="144" t="s">
        <v>572</v>
      </c>
      <c r="J1411" s="336">
        <v>50000000</v>
      </c>
      <c r="K1411" s="155" t="s">
        <v>3469</v>
      </c>
      <c r="L1411" s="140">
        <v>2821851</v>
      </c>
      <c r="M1411" s="32" t="s">
        <v>97</v>
      </c>
      <c r="N1411" s="341" t="s">
        <v>3484</v>
      </c>
      <c r="O1411" s="10">
        <v>50000000</v>
      </c>
      <c r="P1411" s="140"/>
      <c r="Q1411" t="s">
        <v>3559</v>
      </c>
    </row>
    <row r="1412" spans="1:17" ht="43.5" hidden="1" x14ac:dyDescent="0.35">
      <c r="A1412" s="155">
        <f t="shared" si="25"/>
        <v>13</v>
      </c>
      <c r="B1412" s="140" t="s">
        <v>3414</v>
      </c>
      <c r="C1412" s="140" t="s">
        <v>3465</v>
      </c>
      <c r="D1412" s="140" t="s">
        <v>3466</v>
      </c>
      <c r="E1412" s="140" t="s">
        <v>3485</v>
      </c>
      <c r="F1412" s="140" t="s">
        <v>3308</v>
      </c>
      <c r="G1412" s="144" t="s">
        <v>101</v>
      </c>
      <c r="H1412" s="144" t="s">
        <v>3309</v>
      </c>
      <c r="I1412" s="144" t="s">
        <v>572</v>
      </c>
      <c r="J1412" s="336">
        <v>50000000</v>
      </c>
      <c r="K1412" s="155" t="s">
        <v>3469</v>
      </c>
      <c r="L1412" s="140">
        <v>2821851</v>
      </c>
      <c r="M1412" s="32" t="s">
        <v>97</v>
      </c>
      <c r="N1412" s="140" t="s">
        <v>572</v>
      </c>
      <c r="O1412" s="10">
        <v>50000000</v>
      </c>
      <c r="P1412" s="140"/>
      <c r="Q1412" t="s">
        <v>3559</v>
      </c>
    </row>
    <row r="1413" spans="1:17" ht="43.5" hidden="1" x14ac:dyDescent="0.35">
      <c r="A1413" s="155">
        <f t="shared" si="25"/>
        <v>14</v>
      </c>
      <c r="B1413" s="140" t="s">
        <v>3414</v>
      </c>
      <c r="C1413" s="140" t="s">
        <v>3465</v>
      </c>
      <c r="D1413" s="140" t="s">
        <v>3466</v>
      </c>
      <c r="E1413" s="140" t="s">
        <v>3486</v>
      </c>
      <c r="F1413" s="140" t="s">
        <v>2249</v>
      </c>
      <c r="G1413" s="140" t="s">
        <v>2229</v>
      </c>
      <c r="H1413" s="140" t="s">
        <v>2250</v>
      </c>
      <c r="I1413" s="140" t="s">
        <v>28</v>
      </c>
      <c r="J1413" s="286">
        <v>13000000</v>
      </c>
      <c r="K1413" s="155" t="s">
        <v>3469</v>
      </c>
      <c r="L1413" s="140">
        <v>2923345</v>
      </c>
      <c r="M1413" s="155" t="s">
        <v>27</v>
      </c>
      <c r="N1413" s="140" t="s">
        <v>28</v>
      </c>
      <c r="O1413" s="10">
        <v>13000000</v>
      </c>
      <c r="P1413" s="140"/>
      <c r="Q1413" t="s">
        <v>3559</v>
      </c>
    </row>
    <row r="1414" spans="1:17" ht="43.5" hidden="1" x14ac:dyDescent="0.35">
      <c r="A1414" s="155">
        <f t="shared" si="25"/>
        <v>15</v>
      </c>
      <c r="B1414" s="140" t="s">
        <v>3414</v>
      </c>
      <c r="C1414" s="140" t="s">
        <v>3465</v>
      </c>
      <c r="D1414" s="140" t="s">
        <v>3466</v>
      </c>
      <c r="E1414" s="140" t="s">
        <v>3487</v>
      </c>
      <c r="F1414" s="140" t="s">
        <v>2253</v>
      </c>
      <c r="G1414" s="140" t="s">
        <v>2229</v>
      </c>
      <c r="H1414" s="140" t="s">
        <v>2254</v>
      </c>
      <c r="I1414" s="140" t="s">
        <v>280</v>
      </c>
      <c r="J1414" s="286">
        <v>42000000</v>
      </c>
      <c r="K1414" s="155" t="s">
        <v>3469</v>
      </c>
      <c r="L1414" s="140">
        <v>2922645</v>
      </c>
      <c r="M1414" s="155" t="s">
        <v>27</v>
      </c>
      <c r="N1414" s="140" t="s">
        <v>28</v>
      </c>
      <c r="O1414" s="10">
        <v>15000000</v>
      </c>
      <c r="P1414" s="140"/>
      <c r="Q1414" t="s">
        <v>3559</v>
      </c>
    </row>
    <row r="1415" spans="1:17" ht="43.5" hidden="1" x14ac:dyDescent="0.35">
      <c r="A1415" s="155">
        <f t="shared" si="25"/>
        <v>16</v>
      </c>
      <c r="B1415" s="140" t="s">
        <v>3414</v>
      </c>
      <c r="C1415" s="140" t="s">
        <v>3465</v>
      </c>
      <c r="D1415" s="140" t="s">
        <v>3466</v>
      </c>
      <c r="E1415" s="140" t="s">
        <v>3488</v>
      </c>
      <c r="F1415" s="140" t="s">
        <v>3489</v>
      </c>
      <c r="G1415" s="140" t="s">
        <v>356</v>
      </c>
      <c r="H1415" s="140" t="s">
        <v>2334</v>
      </c>
      <c r="I1415" s="140" t="s">
        <v>3490</v>
      </c>
      <c r="J1415" s="286">
        <v>10000000</v>
      </c>
      <c r="K1415" s="155" t="s">
        <v>3469</v>
      </c>
      <c r="L1415" s="140">
        <v>2930930</v>
      </c>
      <c r="M1415" s="155" t="s">
        <v>27</v>
      </c>
      <c r="N1415" s="140" t="s">
        <v>28</v>
      </c>
      <c r="O1415" s="10">
        <v>10000000</v>
      </c>
      <c r="P1415" s="140"/>
      <c r="Q1415" t="s">
        <v>3559</v>
      </c>
    </row>
    <row r="1416" spans="1:17" ht="43.5" hidden="1" x14ac:dyDescent="0.35">
      <c r="A1416" s="149">
        <f t="shared" si="25"/>
        <v>17</v>
      </c>
      <c r="B1416" s="140" t="s">
        <v>3414</v>
      </c>
      <c r="C1416" s="140" t="s">
        <v>3465</v>
      </c>
      <c r="D1416" s="140" t="s">
        <v>3466</v>
      </c>
      <c r="E1416" s="140" t="s">
        <v>3491</v>
      </c>
      <c r="F1416" s="140" t="s">
        <v>140</v>
      </c>
      <c r="G1416" s="155" t="s">
        <v>361</v>
      </c>
      <c r="H1416" s="155" t="s">
        <v>729</v>
      </c>
      <c r="I1416" s="155">
        <v>1</v>
      </c>
      <c r="J1416" s="302">
        <v>30000000</v>
      </c>
      <c r="K1416" s="155" t="s">
        <v>3469</v>
      </c>
      <c r="L1416" s="155">
        <v>2819836</v>
      </c>
      <c r="M1416" s="155" t="s">
        <v>144</v>
      </c>
      <c r="N1416" s="155" t="s">
        <v>28</v>
      </c>
      <c r="O1416" s="13">
        <v>25000000</v>
      </c>
      <c r="P1416" s="305"/>
      <c r="Q1416" t="s">
        <v>3559</v>
      </c>
    </row>
    <row r="1417" spans="1:17" ht="43.5" hidden="1" x14ac:dyDescent="0.35">
      <c r="A1417" s="149">
        <f t="shared" si="25"/>
        <v>18</v>
      </c>
      <c r="B1417" s="140" t="s">
        <v>3414</v>
      </c>
      <c r="C1417" s="140" t="s">
        <v>3465</v>
      </c>
      <c r="D1417" s="140" t="s">
        <v>3466</v>
      </c>
      <c r="E1417" s="140" t="s">
        <v>3492</v>
      </c>
      <c r="F1417" s="140" t="s">
        <v>140</v>
      </c>
      <c r="G1417" s="155" t="s">
        <v>154</v>
      </c>
      <c r="H1417" s="155" t="s">
        <v>3493</v>
      </c>
      <c r="I1417" s="155">
        <v>5</v>
      </c>
      <c r="J1417" s="304">
        <v>100000000</v>
      </c>
      <c r="K1417" s="155" t="s">
        <v>3469</v>
      </c>
      <c r="L1417" s="155">
        <v>2972746</v>
      </c>
      <c r="M1417" s="155" t="s">
        <v>144</v>
      </c>
      <c r="N1417" s="155" t="s">
        <v>28</v>
      </c>
      <c r="O1417" s="13">
        <v>100000000</v>
      </c>
      <c r="P1417" s="305"/>
      <c r="Q1417" t="s">
        <v>3559</v>
      </c>
    </row>
    <row r="1418" spans="1:17" ht="43.5" hidden="1" x14ac:dyDescent="0.35">
      <c r="A1418" s="149">
        <f t="shared" si="25"/>
        <v>19</v>
      </c>
      <c r="B1418" s="140" t="s">
        <v>3414</v>
      </c>
      <c r="C1418" s="140" t="s">
        <v>3465</v>
      </c>
      <c r="D1418" s="140" t="s">
        <v>3466</v>
      </c>
      <c r="E1418" s="140" t="s">
        <v>3494</v>
      </c>
      <c r="F1418" s="140" t="s">
        <v>140</v>
      </c>
      <c r="G1418" s="155" t="s">
        <v>157</v>
      </c>
      <c r="H1418" s="155" t="s">
        <v>88</v>
      </c>
      <c r="I1418" s="155">
        <v>55</v>
      </c>
      <c r="J1418" s="302">
        <v>55000000</v>
      </c>
      <c r="K1418" s="155" t="s">
        <v>3469</v>
      </c>
      <c r="L1418" s="155">
        <v>2920580</v>
      </c>
      <c r="M1418" s="155" t="s">
        <v>144</v>
      </c>
      <c r="N1418" s="155" t="s">
        <v>28</v>
      </c>
      <c r="O1418" s="13">
        <v>25000000</v>
      </c>
      <c r="P1418" s="305"/>
      <c r="Q1418" t="s">
        <v>3559</v>
      </c>
    </row>
    <row r="1419" spans="1:17" ht="43.5" hidden="1" x14ac:dyDescent="0.35">
      <c r="A1419" s="155">
        <v>20</v>
      </c>
      <c r="B1419" s="140" t="s">
        <v>3414</v>
      </c>
      <c r="C1419" s="140" t="s">
        <v>3465</v>
      </c>
      <c r="D1419" s="140" t="s">
        <v>3466</v>
      </c>
      <c r="E1419" s="140" t="s">
        <v>3495</v>
      </c>
      <c r="F1419" s="140" t="s">
        <v>373</v>
      </c>
      <c r="G1419" s="140" t="s">
        <v>374</v>
      </c>
      <c r="H1419" s="140" t="s">
        <v>375</v>
      </c>
      <c r="I1419" s="140" t="s">
        <v>35</v>
      </c>
      <c r="J1419" s="140">
        <v>30000000</v>
      </c>
      <c r="K1419" s="155" t="s">
        <v>3469</v>
      </c>
      <c r="L1419" s="140"/>
      <c r="M1419" s="155" t="s">
        <v>46</v>
      </c>
      <c r="N1419" s="324">
        <v>1</v>
      </c>
      <c r="O1419" s="10">
        <v>25000000</v>
      </c>
      <c r="P1419" s="140" t="s">
        <v>3496</v>
      </c>
      <c r="Q1419" t="s">
        <v>3559</v>
      </c>
    </row>
    <row r="1420" spans="1:17" ht="43.5" hidden="1" x14ac:dyDescent="0.35">
      <c r="A1420" s="155">
        <f>A1419+1</f>
        <v>21</v>
      </c>
      <c r="B1420" s="140" t="s">
        <v>3414</v>
      </c>
      <c r="C1420" s="140" t="s">
        <v>3465</v>
      </c>
      <c r="D1420" s="140" t="s">
        <v>3466</v>
      </c>
      <c r="E1420" s="140" t="s">
        <v>3495</v>
      </c>
      <c r="F1420" s="140" t="s">
        <v>373</v>
      </c>
      <c r="G1420" s="140" t="s">
        <v>374</v>
      </c>
      <c r="H1420" s="140" t="s">
        <v>378</v>
      </c>
      <c r="I1420" s="140" t="s">
        <v>35</v>
      </c>
      <c r="J1420" s="140">
        <v>30000000</v>
      </c>
      <c r="K1420" s="155" t="s">
        <v>3469</v>
      </c>
      <c r="L1420" s="140"/>
      <c r="M1420" s="155" t="s">
        <v>46</v>
      </c>
      <c r="N1420" s="324">
        <v>1</v>
      </c>
      <c r="O1420" s="10">
        <v>25000000</v>
      </c>
      <c r="P1420" s="140" t="s">
        <v>3496</v>
      </c>
      <c r="Q1420" t="s">
        <v>3559</v>
      </c>
    </row>
    <row r="1421" spans="1:17" ht="43.5" hidden="1" x14ac:dyDescent="0.35">
      <c r="A1421" s="155">
        <f t="shared" ref="A1421:A1443" si="26">A1420+1</f>
        <v>22</v>
      </c>
      <c r="B1421" s="140" t="s">
        <v>3414</v>
      </c>
      <c r="C1421" s="140" t="s">
        <v>3465</v>
      </c>
      <c r="D1421" s="140" t="s">
        <v>3466</v>
      </c>
      <c r="E1421" s="140" t="s">
        <v>3495</v>
      </c>
      <c r="F1421" s="140" t="s">
        <v>373</v>
      </c>
      <c r="G1421" s="140" t="s">
        <v>374</v>
      </c>
      <c r="H1421" s="140" t="s">
        <v>379</v>
      </c>
      <c r="I1421" s="140" t="s">
        <v>35</v>
      </c>
      <c r="J1421" s="140">
        <v>30000000</v>
      </c>
      <c r="K1421" s="155" t="s">
        <v>3469</v>
      </c>
      <c r="L1421" s="140"/>
      <c r="M1421" s="155" t="s">
        <v>46</v>
      </c>
      <c r="N1421" s="324">
        <v>1</v>
      </c>
      <c r="O1421" s="10">
        <v>25000000</v>
      </c>
      <c r="P1421" s="140" t="s">
        <v>3496</v>
      </c>
      <c r="Q1421" t="s">
        <v>3559</v>
      </c>
    </row>
    <row r="1422" spans="1:17" ht="43.5" hidden="1" x14ac:dyDescent="0.35">
      <c r="A1422" s="155">
        <f t="shared" si="26"/>
        <v>23</v>
      </c>
      <c r="B1422" s="140" t="s">
        <v>3414</v>
      </c>
      <c r="C1422" s="140" t="s">
        <v>3465</v>
      </c>
      <c r="D1422" s="140" t="s">
        <v>3466</v>
      </c>
      <c r="E1422" s="140" t="s">
        <v>3495</v>
      </c>
      <c r="F1422" s="140" t="s">
        <v>373</v>
      </c>
      <c r="G1422" s="140" t="s">
        <v>374</v>
      </c>
      <c r="H1422" s="140" t="s">
        <v>380</v>
      </c>
      <c r="I1422" s="140" t="s">
        <v>35</v>
      </c>
      <c r="J1422" s="140">
        <v>30000000</v>
      </c>
      <c r="K1422" s="155" t="s">
        <v>3469</v>
      </c>
      <c r="L1422" s="140"/>
      <c r="M1422" s="155" t="s">
        <v>46</v>
      </c>
      <c r="N1422" s="324">
        <v>1</v>
      </c>
      <c r="O1422" s="10">
        <v>25000000</v>
      </c>
      <c r="P1422" s="140" t="s">
        <v>3496</v>
      </c>
      <c r="Q1422" t="s">
        <v>3559</v>
      </c>
    </row>
    <row r="1423" spans="1:17" ht="43.5" hidden="1" x14ac:dyDescent="0.35">
      <c r="A1423" s="155">
        <f t="shared" si="26"/>
        <v>24</v>
      </c>
      <c r="B1423" s="140" t="s">
        <v>3414</v>
      </c>
      <c r="C1423" s="140" t="s">
        <v>3465</v>
      </c>
      <c r="D1423" s="140" t="s">
        <v>3466</v>
      </c>
      <c r="E1423" s="140" t="s">
        <v>3495</v>
      </c>
      <c r="F1423" s="140" t="s">
        <v>373</v>
      </c>
      <c r="G1423" s="140" t="s">
        <v>374</v>
      </c>
      <c r="H1423" s="140" t="s">
        <v>381</v>
      </c>
      <c r="I1423" s="140" t="s">
        <v>35</v>
      </c>
      <c r="J1423" s="140">
        <v>30000000</v>
      </c>
      <c r="K1423" s="155" t="s">
        <v>3469</v>
      </c>
      <c r="L1423" s="140"/>
      <c r="M1423" s="155" t="s">
        <v>46</v>
      </c>
      <c r="N1423" s="324">
        <v>1</v>
      </c>
      <c r="O1423" s="10">
        <v>25000000</v>
      </c>
      <c r="P1423" s="140" t="s">
        <v>3496</v>
      </c>
      <c r="Q1423" t="s">
        <v>3559</v>
      </c>
    </row>
    <row r="1424" spans="1:17" ht="43.5" hidden="1" x14ac:dyDescent="0.35">
      <c r="A1424" s="155">
        <f t="shared" si="26"/>
        <v>25</v>
      </c>
      <c r="B1424" s="140" t="s">
        <v>3414</v>
      </c>
      <c r="C1424" s="140" t="s">
        <v>3465</v>
      </c>
      <c r="D1424" s="140" t="s">
        <v>3466</v>
      </c>
      <c r="E1424" s="140" t="s">
        <v>3495</v>
      </c>
      <c r="F1424" s="140" t="s">
        <v>373</v>
      </c>
      <c r="G1424" s="140" t="s">
        <v>374</v>
      </c>
      <c r="H1424" s="140" t="s">
        <v>382</v>
      </c>
      <c r="I1424" s="140" t="s">
        <v>35</v>
      </c>
      <c r="J1424" s="140">
        <v>30000000</v>
      </c>
      <c r="K1424" s="155" t="s">
        <v>3469</v>
      </c>
      <c r="L1424" s="140"/>
      <c r="M1424" s="155" t="s">
        <v>46</v>
      </c>
      <c r="N1424" s="324">
        <v>1</v>
      </c>
      <c r="O1424" s="10">
        <v>25000000</v>
      </c>
      <c r="P1424" s="140" t="s">
        <v>3496</v>
      </c>
      <c r="Q1424" t="s">
        <v>3559</v>
      </c>
    </row>
    <row r="1425" spans="1:17" ht="43.5" hidden="1" x14ac:dyDescent="0.35">
      <c r="A1425" s="155">
        <f t="shared" si="26"/>
        <v>26</v>
      </c>
      <c r="B1425" s="140" t="s">
        <v>3414</v>
      </c>
      <c r="C1425" s="140" t="s">
        <v>3465</v>
      </c>
      <c r="D1425" s="140" t="s">
        <v>3466</v>
      </c>
      <c r="E1425" s="140" t="s">
        <v>3495</v>
      </c>
      <c r="F1425" s="140" t="s">
        <v>373</v>
      </c>
      <c r="G1425" s="140" t="s">
        <v>374</v>
      </c>
      <c r="H1425" s="140" t="s">
        <v>383</v>
      </c>
      <c r="I1425" s="140" t="s">
        <v>35</v>
      </c>
      <c r="J1425" s="140">
        <v>30000000</v>
      </c>
      <c r="K1425" s="155" t="s">
        <v>3469</v>
      </c>
      <c r="L1425" s="140"/>
      <c r="M1425" s="155" t="s">
        <v>46</v>
      </c>
      <c r="N1425" s="324">
        <v>1</v>
      </c>
      <c r="O1425" s="10">
        <v>25000000</v>
      </c>
      <c r="P1425" s="140" t="s">
        <v>3496</v>
      </c>
      <c r="Q1425" t="s">
        <v>3559</v>
      </c>
    </row>
    <row r="1426" spans="1:17" ht="43.5" hidden="1" x14ac:dyDescent="0.35">
      <c r="A1426" s="155">
        <f t="shared" si="26"/>
        <v>27</v>
      </c>
      <c r="B1426" s="140" t="s">
        <v>3414</v>
      </c>
      <c r="C1426" s="140" t="s">
        <v>3465</v>
      </c>
      <c r="D1426" s="140" t="s">
        <v>3466</v>
      </c>
      <c r="E1426" s="140" t="s">
        <v>3495</v>
      </c>
      <c r="F1426" s="140" t="s">
        <v>373</v>
      </c>
      <c r="G1426" s="140" t="s">
        <v>374</v>
      </c>
      <c r="H1426" s="140" t="s">
        <v>375</v>
      </c>
      <c r="I1426" s="140" t="s">
        <v>35</v>
      </c>
      <c r="J1426" s="140">
        <v>30000000</v>
      </c>
      <c r="K1426" s="155" t="s">
        <v>3469</v>
      </c>
      <c r="L1426" s="140"/>
      <c r="M1426" s="155" t="s">
        <v>46</v>
      </c>
      <c r="N1426" s="324">
        <v>1</v>
      </c>
      <c r="O1426" s="10">
        <v>25000000</v>
      </c>
      <c r="P1426" s="140" t="s">
        <v>3497</v>
      </c>
      <c r="Q1426" t="s">
        <v>3559</v>
      </c>
    </row>
    <row r="1427" spans="1:17" ht="43.5" hidden="1" x14ac:dyDescent="0.35">
      <c r="A1427" s="155">
        <f t="shared" si="26"/>
        <v>28</v>
      </c>
      <c r="B1427" s="140" t="s">
        <v>3414</v>
      </c>
      <c r="C1427" s="140" t="s">
        <v>3465</v>
      </c>
      <c r="D1427" s="140" t="s">
        <v>3466</v>
      </c>
      <c r="E1427" s="140" t="s">
        <v>3495</v>
      </c>
      <c r="F1427" s="140" t="s">
        <v>373</v>
      </c>
      <c r="G1427" s="140" t="s">
        <v>374</v>
      </c>
      <c r="H1427" s="140" t="s">
        <v>378</v>
      </c>
      <c r="I1427" s="140" t="s">
        <v>35</v>
      </c>
      <c r="J1427" s="140">
        <v>30000000</v>
      </c>
      <c r="K1427" s="155" t="s">
        <v>3469</v>
      </c>
      <c r="L1427" s="140"/>
      <c r="M1427" s="155" t="s">
        <v>46</v>
      </c>
      <c r="N1427" s="324">
        <v>1</v>
      </c>
      <c r="O1427" s="10">
        <v>25000000</v>
      </c>
      <c r="P1427" s="140" t="s">
        <v>3497</v>
      </c>
      <c r="Q1427" t="s">
        <v>3559</v>
      </c>
    </row>
    <row r="1428" spans="1:17" ht="43.5" hidden="1" x14ac:dyDescent="0.35">
      <c r="A1428" s="155">
        <f t="shared" si="26"/>
        <v>29</v>
      </c>
      <c r="B1428" s="140" t="s">
        <v>3414</v>
      </c>
      <c r="C1428" s="140" t="s">
        <v>3465</v>
      </c>
      <c r="D1428" s="140" t="s">
        <v>3466</v>
      </c>
      <c r="E1428" s="140" t="s">
        <v>3495</v>
      </c>
      <c r="F1428" s="140" t="s">
        <v>373</v>
      </c>
      <c r="G1428" s="140" t="s">
        <v>374</v>
      </c>
      <c r="H1428" s="140" t="s">
        <v>379</v>
      </c>
      <c r="I1428" s="140" t="s">
        <v>35</v>
      </c>
      <c r="J1428" s="140">
        <v>30000000</v>
      </c>
      <c r="K1428" s="155" t="s">
        <v>3469</v>
      </c>
      <c r="L1428" s="140"/>
      <c r="M1428" s="155" t="s">
        <v>46</v>
      </c>
      <c r="N1428" s="324">
        <v>1</v>
      </c>
      <c r="O1428" s="10">
        <v>25000000</v>
      </c>
      <c r="P1428" s="140" t="s">
        <v>3497</v>
      </c>
      <c r="Q1428" t="s">
        <v>3559</v>
      </c>
    </row>
    <row r="1429" spans="1:17" ht="43.5" hidden="1" x14ac:dyDescent="0.35">
      <c r="A1429" s="155">
        <f t="shared" si="26"/>
        <v>30</v>
      </c>
      <c r="B1429" s="140" t="s">
        <v>3414</v>
      </c>
      <c r="C1429" s="140" t="s">
        <v>3465</v>
      </c>
      <c r="D1429" s="140" t="s">
        <v>3466</v>
      </c>
      <c r="E1429" s="140" t="s">
        <v>3495</v>
      </c>
      <c r="F1429" s="140" t="s">
        <v>373</v>
      </c>
      <c r="G1429" s="140" t="s">
        <v>374</v>
      </c>
      <c r="H1429" s="140" t="s">
        <v>380</v>
      </c>
      <c r="I1429" s="140" t="s">
        <v>35</v>
      </c>
      <c r="J1429" s="140">
        <v>30000000</v>
      </c>
      <c r="K1429" s="155" t="s">
        <v>3469</v>
      </c>
      <c r="L1429" s="140"/>
      <c r="M1429" s="155" t="s">
        <v>46</v>
      </c>
      <c r="N1429" s="324">
        <v>1</v>
      </c>
      <c r="O1429" s="10">
        <v>25000000</v>
      </c>
      <c r="P1429" s="140" t="s">
        <v>3497</v>
      </c>
      <c r="Q1429" t="s">
        <v>3559</v>
      </c>
    </row>
    <row r="1430" spans="1:17" ht="43.5" hidden="1" x14ac:dyDescent="0.35">
      <c r="A1430" s="155">
        <f t="shared" si="26"/>
        <v>31</v>
      </c>
      <c r="B1430" s="140" t="s">
        <v>3414</v>
      </c>
      <c r="C1430" s="140" t="s">
        <v>3465</v>
      </c>
      <c r="D1430" s="140" t="s">
        <v>3466</v>
      </c>
      <c r="E1430" s="140" t="s">
        <v>3495</v>
      </c>
      <c r="F1430" s="140" t="s">
        <v>373</v>
      </c>
      <c r="G1430" s="140" t="s">
        <v>374</v>
      </c>
      <c r="H1430" s="140" t="s">
        <v>381</v>
      </c>
      <c r="I1430" s="140" t="s">
        <v>35</v>
      </c>
      <c r="J1430" s="140">
        <v>30000000</v>
      </c>
      <c r="K1430" s="155" t="s">
        <v>3469</v>
      </c>
      <c r="L1430" s="140"/>
      <c r="M1430" s="155" t="s">
        <v>46</v>
      </c>
      <c r="N1430" s="324">
        <v>1</v>
      </c>
      <c r="O1430" s="10">
        <v>25000000</v>
      </c>
      <c r="P1430" s="140" t="s">
        <v>3497</v>
      </c>
      <c r="Q1430" t="s">
        <v>3559</v>
      </c>
    </row>
    <row r="1431" spans="1:17" ht="43.5" hidden="1" x14ac:dyDescent="0.35">
      <c r="A1431" s="155">
        <f t="shared" si="26"/>
        <v>32</v>
      </c>
      <c r="B1431" s="140" t="s">
        <v>3414</v>
      </c>
      <c r="C1431" s="140" t="s">
        <v>3465</v>
      </c>
      <c r="D1431" s="140" t="s">
        <v>3466</v>
      </c>
      <c r="E1431" s="140" t="s">
        <v>3495</v>
      </c>
      <c r="F1431" s="140" t="s">
        <v>373</v>
      </c>
      <c r="G1431" s="140" t="s">
        <v>374</v>
      </c>
      <c r="H1431" s="140" t="s">
        <v>382</v>
      </c>
      <c r="I1431" s="140" t="s">
        <v>35</v>
      </c>
      <c r="J1431" s="140">
        <v>30000000</v>
      </c>
      <c r="K1431" s="155" t="s">
        <v>3469</v>
      </c>
      <c r="L1431" s="140"/>
      <c r="M1431" s="155" t="s">
        <v>46</v>
      </c>
      <c r="N1431" s="324">
        <v>1</v>
      </c>
      <c r="O1431" s="10">
        <v>25000000</v>
      </c>
      <c r="P1431" s="140" t="s">
        <v>3497</v>
      </c>
      <c r="Q1431" t="s">
        <v>3559</v>
      </c>
    </row>
    <row r="1432" spans="1:17" ht="43.5" hidden="1" x14ac:dyDescent="0.35">
      <c r="A1432" s="155">
        <f t="shared" si="26"/>
        <v>33</v>
      </c>
      <c r="B1432" s="140" t="s">
        <v>3414</v>
      </c>
      <c r="C1432" s="140" t="s">
        <v>3465</v>
      </c>
      <c r="D1432" s="140" t="s">
        <v>3466</v>
      </c>
      <c r="E1432" s="140" t="s">
        <v>3495</v>
      </c>
      <c r="F1432" s="140" t="s">
        <v>373</v>
      </c>
      <c r="G1432" s="140" t="s">
        <v>374</v>
      </c>
      <c r="H1432" s="140" t="s">
        <v>383</v>
      </c>
      <c r="I1432" s="140" t="s">
        <v>35</v>
      </c>
      <c r="J1432" s="140">
        <v>30000000</v>
      </c>
      <c r="K1432" s="155" t="s">
        <v>3469</v>
      </c>
      <c r="L1432" s="140"/>
      <c r="M1432" s="155" t="s">
        <v>46</v>
      </c>
      <c r="N1432" s="324">
        <v>1</v>
      </c>
      <c r="O1432" s="10">
        <v>25000000</v>
      </c>
      <c r="P1432" s="140" t="s">
        <v>3497</v>
      </c>
      <c r="Q1432" t="s">
        <v>3559</v>
      </c>
    </row>
    <row r="1433" spans="1:17" ht="43.5" hidden="1" x14ac:dyDescent="0.35">
      <c r="A1433" s="155">
        <f t="shared" si="26"/>
        <v>34</v>
      </c>
      <c r="B1433" s="140" t="s">
        <v>3414</v>
      </c>
      <c r="C1433" s="140" t="s">
        <v>3465</v>
      </c>
      <c r="D1433" s="140" t="s">
        <v>3466</v>
      </c>
      <c r="E1433" s="140" t="s">
        <v>3498</v>
      </c>
      <c r="F1433" s="140" t="s">
        <v>3499</v>
      </c>
      <c r="G1433" s="140" t="s">
        <v>49</v>
      </c>
      <c r="H1433" s="140" t="s">
        <v>200</v>
      </c>
      <c r="I1433" s="140" t="s">
        <v>3500</v>
      </c>
      <c r="J1433" s="140">
        <v>62400000</v>
      </c>
      <c r="K1433" s="155" t="s">
        <v>3469</v>
      </c>
      <c r="L1433" s="140">
        <v>2820125</v>
      </c>
      <c r="M1433" s="155" t="s">
        <v>46</v>
      </c>
      <c r="N1433" s="324" t="s">
        <v>3500</v>
      </c>
      <c r="O1433" s="10">
        <v>31200000</v>
      </c>
      <c r="P1433" s="140"/>
      <c r="Q1433" t="s">
        <v>3559</v>
      </c>
    </row>
    <row r="1434" spans="1:17" ht="58" hidden="1" x14ac:dyDescent="0.35">
      <c r="A1434" s="155">
        <f t="shared" si="26"/>
        <v>35</v>
      </c>
      <c r="B1434" s="140" t="s">
        <v>3414</v>
      </c>
      <c r="C1434" s="140" t="s">
        <v>3465</v>
      </c>
      <c r="D1434" s="140" t="s">
        <v>3466</v>
      </c>
      <c r="E1434" s="140" t="s">
        <v>3467</v>
      </c>
      <c r="F1434" s="140"/>
      <c r="G1434" s="140" t="s">
        <v>46</v>
      </c>
      <c r="H1434" s="140" t="s">
        <v>3501</v>
      </c>
      <c r="I1434" s="140" t="s">
        <v>28</v>
      </c>
      <c r="J1434" s="140">
        <v>25000000</v>
      </c>
      <c r="K1434" s="155" t="s">
        <v>3469</v>
      </c>
      <c r="L1434" s="140">
        <v>3310327</v>
      </c>
      <c r="M1434" s="155" t="s">
        <v>46</v>
      </c>
      <c r="N1434" s="324" t="s">
        <v>28</v>
      </c>
      <c r="O1434" s="10">
        <v>25000000</v>
      </c>
      <c r="P1434" s="140" t="s">
        <v>3502</v>
      </c>
      <c r="Q1434" t="s">
        <v>3559</v>
      </c>
    </row>
    <row r="1435" spans="1:17" ht="43.5" hidden="1" x14ac:dyDescent="0.35">
      <c r="A1435" s="155">
        <f t="shared" si="26"/>
        <v>36</v>
      </c>
      <c r="B1435" s="140" t="s">
        <v>3414</v>
      </c>
      <c r="C1435" s="140" t="s">
        <v>3465</v>
      </c>
      <c r="D1435" s="140" t="s">
        <v>3466</v>
      </c>
      <c r="E1435" s="140" t="s">
        <v>3503</v>
      </c>
      <c r="F1435" s="140" t="s">
        <v>3504</v>
      </c>
      <c r="G1435" s="140" t="s">
        <v>970</v>
      </c>
      <c r="H1435" s="140" t="s">
        <v>2766</v>
      </c>
      <c r="I1435" s="140" t="s">
        <v>3505</v>
      </c>
      <c r="J1435" s="140">
        <v>8400000</v>
      </c>
      <c r="K1435" s="155" t="s">
        <v>3469</v>
      </c>
      <c r="L1435" s="140">
        <v>3255191</v>
      </c>
      <c r="M1435" s="155" t="s">
        <v>173</v>
      </c>
      <c r="N1435" s="324" t="s">
        <v>3505</v>
      </c>
      <c r="O1435" s="10">
        <v>8400000</v>
      </c>
      <c r="P1435" s="140"/>
      <c r="Q1435" t="s">
        <v>3559</v>
      </c>
    </row>
    <row r="1436" spans="1:17" ht="43.5" hidden="1" x14ac:dyDescent="0.35">
      <c r="A1436" s="155">
        <f t="shared" si="26"/>
        <v>37</v>
      </c>
      <c r="B1436" s="140" t="s">
        <v>3414</v>
      </c>
      <c r="C1436" s="140" t="s">
        <v>3465</v>
      </c>
      <c r="D1436" s="140" t="s">
        <v>3466</v>
      </c>
      <c r="E1436" s="140" t="s">
        <v>3503</v>
      </c>
      <c r="F1436" s="140" t="s">
        <v>3506</v>
      </c>
      <c r="G1436" s="140" t="s">
        <v>970</v>
      </c>
      <c r="H1436" s="140" t="s">
        <v>2770</v>
      </c>
      <c r="I1436" s="140" t="s">
        <v>3505</v>
      </c>
      <c r="J1436" s="140">
        <v>8400000</v>
      </c>
      <c r="K1436" s="155" t="s">
        <v>3469</v>
      </c>
      <c r="L1436" s="140">
        <v>3255191</v>
      </c>
      <c r="M1436" s="155" t="s">
        <v>173</v>
      </c>
      <c r="N1436" s="324" t="s">
        <v>3505</v>
      </c>
      <c r="O1436" s="10">
        <v>8400000</v>
      </c>
      <c r="P1436" s="140"/>
      <c r="Q1436" t="s">
        <v>3559</v>
      </c>
    </row>
    <row r="1437" spans="1:17" ht="43.5" hidden="1" x14ac:dyDescent="0.35">
      <c r="A1437" s="155">
        <f t="shared" si="26"/>
        <v>38</v>
      </c>
      <c r="B1437" s="140" t="s">
        <v>3414</v>
      </c>
      <c r="C1437" s="140" t="s">
        <v>3465</v>
      </c>
      <c r="D1437" s="140" t="s">
        <v>3466</v>
      </c>
      <c r="E1437" s="140" t="s">
        <v>3503</v>
      </c>
      <c r="F1437" s="140" t="s">
        <v>3507</v>
      </c>
      <c r="G1437" s="140" t="s">
        <v>970</v>
      </c>
      <c r="H1437" s="140" t="s">
        <v>2773</v>
      </c>
      <c r="I1437" s="140" t="s">
        <v>3505</v>
      </c>
      <c r="J1437" s="140">
        <v>8400000</v>
      </c>
      <c r="K1437" s="155" t="s">
        <v>3469</v>
      </c>
      <c r="L1437" s="140">
        <v>3255191</v>
      </c>
      <c r="M1437" s="155" t="s">
        <v>173</v>
      </c>
      <c r="N1437" s="324" t="s">
        <v>3505</v>
      </c>
      <c r="O1437" s="10">
        <v>8400000</v>
      </c>
      <c r="P1437" s="140"/>
      <c r="Q1437" t="s">
        <v>3559</v>
      </c>
    </row>
    <row r="1438" spans="1:17" ht="43.5" hidden="1" x14ac:dyDescent="0.35">
      <c r="A1438" s="155">
        <f t="shared" si="26"/>
        <v>39</v>
      </c>
      <c r="B1438" s="140" t="s">
        <v>3414</v>
      </c>
      <c r="C1438" s="140" t="s">
        <v>3465</v>
      </c>
      <c r="D1438" s="140" t="s">
        <v>3466</v>
      </c>
      <c r="E1438" s="140" t="s">
        <v>3503</v>
      </c>
      <c r="F1438" s="140" t="s">
        <v>3508</v>
      </c>
      <c r="G1438" s="140" t="s">
        <v>970</v>
      </c>
      <c r="H1438" s="140" t="s">
        <v>3355</v>
      </c>
      <c r="I1438" s="140" t="s">
        <v>3505</v>
      </c>
      <c r="J1438" s="140">
        <v>8400000</v>
      </c>
      <c r="K1438" s="155" t="s">
        <v>3469</v>
      </c>
      <c r="L1438" s="140">
        <v>3255191</v>
      </c>
      <c r="M1438" s="155" t="s">
        <v>173</v>
      </c>
      <c r="N1438" s="324" t="s">
        <v>3505</v>
      </c>
      <c r="O1438" s="10">
        <v>8400000</v>
      </c>
      <c r="P1438" s="140"/>
      <c r="Q1438" t="s">
        <v>3559</v>
      </c>
    </row>
    <row r="1439" spans="1:17" ht="43.5" hidden="1" x14ac:dyDescent="0.35">
      <c r="A1439" s="155">
        <f t="shared" si="26"/>
        <v>40</v>
      </c>
      <c r="B1439" s="140" t="s">
        <v>3414</v>
      </c>
      <c r="C1439" s="140" t="s">
        <v>3465</v>
      </c>
      <c r="D1439" s="140" t="s">
        <v>3466</v>
      </c>
      <c r="E1439" s="140" t="s">
        <v>3503</v>
      </c>
      <c r="F1439" s="140" t="s">
        <v>3509</v>
      </c>
      <c r="G1439" s="140" t="s">
        <v>970</v>
      </c>
      <c r="H1439" s="140" t="s">
        <v>971</v>
      </c>
      <c r="I1439" s="140" t="s">
        <v>3505</v>
      </c>
      <c r="J1439" s="140">
        <v>8400000</v>
      </c>
      <c r="K1439" s="155" t="s">
        <v>3469</v>
      </c>
      <c r="L1439" s="140">
        <v>3255191</v>
      </c>
      <c r="M1439" s="155" t="s">
        <v>173</v>
      </c>
      <c r="N1439" s="324" t="s">
        <v>3505</v>
      </c>
      <c r="O1439" s="10">
        <v>8400000</v>
      </c>
      <c r="P1439" s="140"/>
      <c r="Q1439" t="s">
        <v>3559</v>
      </c>
    </row>
    <row r="1440" spans="1:17" ht="43.5" hidden="1" x14ac:dyDescent="0.35">
      <c r="A1440" s="155">
        <f t="shared" si="26"/>
        <v>41</v>
      </c>
      <c r="B1440" s="140" t="s">
        <v>3414</v>
      </c>
      <c r="C1440" s="140" t="s">
        <v>3465</v>
      </c>
      <c r="D1440" s="140" t="s">
        <v>3466</v>
      </c>
      <c r="E1440" s="140" t="s">
        <v>3503</v>
      </c>
      <c r="F1440" s="140" t="s">
        <v>3510</v>
      </c>
      <c r="G1440" s="140" t="s">
        <v>970</v>
      </c>
      <c r="H1440" s="140" t="s">
        <v>2776</v>
      </c>
      <c r="I1440" s="140" t="s">
        <v>3505</v>
      </c>
      <c r="J1440" s="140">
        <v>8400000</v>
      </c>
      <c r="K1440" s="155" t="s">
        <v>3469</v>
      </c>
      <c r="L1440" s="140">
        <v>3255191</v>
      </c>
      <c r="M1440" s="155" t="s">
        <v>173</v>
      </c>
      <c r="N1440" s="324" t="s">
        <v>3505</v>
      </c>
      <c r="O1440" s="10">
        <v>8400000</v>
      </c>
      <c r="P1440" s="140"/>
      <c r="Q1440" t="s">
        <v>3559</v>
      </c>
    </row>
    <row r="1441" spans="1:17" ht="43.5" hidden="1" x14ac:dyDescent="0.35">
      <c r="A1441" s="155">
        <f t="shared" si="26"/>
        <v>42</v>
      </c>
      <c r="B1441" s="140" t="s">
        <v>3414</v>
      </c>
      <c r="C1441" s="140" t="s">
        <v>3465</v>
      </c>
      <c r="D1441" s="140" t="s">
        <v>3466</v>
      </c>
      <c r="E1441" s="140" t="s">
        <v>3503</v>
      </c>
      <c r="F1441" s="140" t="s">
        <v>3511</v>
      </c>
      <c r="G1441" s="140" t="s">
        <v>970</v>
      </c>
      <c r="H1441" s="140" t="s">
        <v>2779</v>
      </c>
      <c r="I1441" s="140" t="s">
        <v>3505</v>
      </c>
      <c r="J1441" s="140">
        <v>8400000</v>
      </c>
      <c r="K1441" s="155" t="s">
        <v>3469</v>
      </c>
      <c r="L1441" s="140">
        <v>3255191</v>
      </c>
      <c r="M1441" s="155" t="s">
        <v>173</v>
      </c>
      <c r="N1441" s="324" t="s">
        <v>3505</v>
      </c>
      <c r="O1441" s="10">
        <v>8400000</v>
      </c>
      <c r="P1441" s="140"/>
      <c r="Q1441" t="s">
        <v>3559</v>
      </c>
    </row>
    <row r="1442" spans="1:17" ht="43.5" hidden="1" x14ac:dyDescent="0.35">
      <c r="A1442" s="155">
        <f t="shared" si="26"/>
        <v>43</v>
      </c>
      <c r="B1442" s="140" t="s">
        <v>3414</v>
      </c>
      <c r="C1442" s="140" t="s">
        <v>3465</v>
      </c>
      <c r="D1442" s="140" t="s">
        <v>3466</v>
      </c>
      <c r="E1442" s="140" t="s">
        <v>3503</v>
      </c>
      <c r="F1442" s="140" t="s">
        <v>3512</v>
      </c>
      <c r="G1442" s="140" t="s">
        <v>970</v>
      </c>
      <c r="H1442" s="140" t="s">
        <v>3451</v>
      </c>
      <c r="I1442" s="140" t="s">
        <v>3505</v>
      </c>
      <c r="J1442" s="140">
        <v>8400000</v>
      </c>
      <c r="K1442" s="155" t="s">
        <v>3469</v>
      </c>
      <c r="L1442" s="140">
        <v>3255191</v>
      </c>
      <c r="M1442" s="155" t="s">
        <v>173</v>
      </c>
      <c r="N1442" s="324" t="s">
        <v>3505</v>
      </c>
      <c r="O1442" s="10">
        <v>8400000</v>
      </c>
      <c r="P1442" s="140"/>
      <c r="Q1442" t="s">
        <v>3559</v>
      </c>
    </row>
    <row r="1443" spans="1:17" ht="43.5" hidden="1" x14ac:dyDescent="0.35">
      <c r="A1443" s="155">
        <f t="shared" si="26"/>
        <v>44</v>
      </c>
      <c r="B1443" s="140" t="s">
        <v>3414</v>
      </c>
      <c r="C1443" s="140" t="s">
        <v>3465</v>
      </c>
      <c r="D1443" s="140" t="s">
        <v>3466</v>
      </c>
      <c r="E1443" s="140" t="s">
        <v>3503</v>
      </c>
      <c r="F1443" s="140" t="s">
        <v>3513</v>
      </c>
      <c r="G1443" s="140" t="s">
        <v>970</v>
      </c>
      <c r="H1443" s="140" t="s">
        <v>2782</v>
      </c>
      <c r="I1443" s="140" t="s">
        <v>3505</v>
      </c>
      <c r="J1443" s="140">
        <v>8400000</v>
      </c>
      <c r="K1443" s="155" t="s">
        <v>3469</v>
      </c>
      <c r="L1443" s="140">
        <v>3255191</v>
      </c>
      <c r="M1443" s="155" t="s">
        <v>173</v>
      </c>
      <c r="N1443" s="324" t="s">
        <v>3505</v>
      </c>
      <c r="O1443" s="10">
        <v>8400000</v>
      </c>
      <c r="P1443" s="140"/>
      <c r="Q1443" t="s">
        <v>3559</v>
      </c>
    </row>
    <row r="1444" spans="1:17" ht="43.5" hidden="1" x14ac:dyDescent="0.35">
      <c r="A1444" s="155">
        <v>45</v>
      </c>
      <c r="B1444" s="140" t="s">
        <v>3414</v>
      </c>
      <c r="C1444" s="140" t="s">
        <v>3465</v>
      </c>
      <c r="D1444" s="140" t="s">
        <v>3466</v>
      </c>
      <c r="E1444" s="140" t="s">
        <v>3514</v>
      </c>
      <c r="F1444" s="140" t="s">
        <v>3515</v>
      </c>
      <c r="G1444" s="140" t="s">
        <v>756</v>
      </c>
      <c r="H1444" s="140" t="s">
        <v>2930</v>
      </c>
      <c r="I1444" s="140" t="s">
        <v>25</v>
      </c>
      <c r="J1444" s="140">
        <v>100000000</v>
      </c>
      <c r="K1444" s="155" t="s">
        <v>3469</v>
      </c>
      <c r="L1444" s="140">
        <v>3149874</v>
      </c>
      <c r="M1444" s="155" t="s">
        <v>226</v>
      </c>
      <c r="N1444" s="324" t="s">
        <v>25</v>
      </c>
      <c r="O1444" s="10">
        <v>15000000</v>
      </c>
      <c r="P1444" s="140"/>
      <c r="Q1444" t="s">
        <v>3559</v>
      </c>
    </row>
    <row r="1445" spans="1:17" ht="58" hidden="1" x14ac:dyDescent="0.35">
      <c r="A1445" s="155">
        <f>A1444+1</f>
        <v>46</v>
      </c>
      <c r="B1445" s="140" t="s">
        <v>3414</v>
      </c>
      <c r="C1445" s="140" t="s">
        <v>3465</v>
      </c>
      <c r="D1445" s="140" t="s">
        <v>3466</v>
      </c>
      <c r="E1445" s="140" t="s">
        <v>3516</v>
      </c>
      <c r="F1445" s="140" t="s">
        <v>3517</v>
      </c>
      <c r="G1445" s="140" t="s">
        <v>177</v>
      </c>
      <c r="H1445" s="140" t="s">
        <v>1411</v>
      </c>
      <c r="I1445" s="140" t="s">
        <v>695</v>
      </c>
      <c r="J1445" s="140">
        <v>25000000</v>
      </c>
      <c r="K1445" s="155" t="s">
        <v>3469</v>
      </c>
      <c r="L1445" s="140">
        <v>2946754</v>
      </c>
      <c r="M1445" s="155" t="s">
        <v>180</v>
      </c>
      <c r="N1445" s="324" t="s">
        <v>695</v>
      </c>
      <c r="O1445" s="10">
        <v>25000000</v>
      </c>
      <c r="P1445" s="140" t="s">
        <v>3518</v>
      </c>
      <c r="Q1445" t="s">
        <v>3559</v>
      </c>
    </row>
    <row r="1446" spans="1:17" ht="58" hidden="1" x14ac:dyDescent="0.35">
      <c r="A1446" s="155">
        <f t="shared" ref="A1446:A1447" si="27">A1445+1</f>
        <v>47</v>
      </c>
      <c r="B1446" s="140" t="s">
        <v>3414</v>
      </c>
      <c r="C1446" s="140" t="s">
        <v>3465</v>
      </c>
      <c r="D1446" s="140" t="s">
        <v>3466</v>
      </c>
      <c r="E1446" s="140" t="s">
        <v>3519</v>
      </c>
      <c r="F1446" s="140" t="s">
        <v>3361</v>
      </c>
      <c r="G1446" s="140" t="s">
        <v>185</v>
      </c>
      <c r="H1446" s="140" t="s">
        <v>2953</v>
      </c>
      <c r="I1446" s="140" t="s">
        <v>3454</v>
      </c>
      <c r="J1446" s="140">
        <v>15000000</v>
      </c>
      <c r="K1446" s="155" t="s">
        <v>3469</v>
      </c>
      <c r="L1446" s="140">
        <v>2928821</v>
      </c>
      <c r="M1446" s="155" t="s">
        <v>180</v>
      </c>
      <c r="N1446" s="324" t="s">
        <v>3454</v>
      </c>
      <c r="O1446" s="10">
        <v>15000000</v>
      </c>
      <c r="P1446" s="140" t="s">
        <v>3518</v>
      </c>
      <c r="Q1446" t="s">
        <v>3559</v>
      </c>
    </row>
    <row r="1447" spans="1:17" ht="58" hidden="1" x14ac:dyDescent="0.35">
      <c r="A1447" s="155">
        <f t="shared" si="27"/>
        <v>48</v>
      </c>
      <c r="B1447" s="140" t="s">
        <v>3414</v>
      </c>
      <c r="C1447" s="140" t="s">
        <v>3465</v>
      </c>
      <c r="D1447" s="140" t="s">
        <v>3466</v>
      </c>
      <c r="E1447" s="140" t="s">
        <v>3519</v>
      </c>
      <c r="F1447" s="140" t="s">
        <v>3361</v>
      </c>
      <c r="G1447" s="140" t="s">
        <v>185</v>
      </c>
      <c r="H1447" s="140" t="s">
        <v>2956</v>
      </c>
      <c r="I1447" s="140" t="s">
        <v>3454</v>
      </c>
      <c r="J1447" s="140">
        <v>15000000</v>
      </c>
      <c r="K1447" s="155" t="s">
        <v>3469</v>
      </c>
      <c r="L1447" s="140">
        <v>2928898</v>
      </c>
      <c r="M1447" s="155" t="s">
        <v>180</v>
      </c>
      <c r="N1447" s="324" t="s">
        <v>3454</v>
      </c>
      <c r="O1447" s="10">
        <v>15000000</v>
      </c>
      <c r="P1447" s="140" t="s">
        <v>3518</v>
      </c>
      <c r="Q1447" t="s">
        <v>3559</v>
      </c>
    </row>
    <row r="1448" spans="1:17" ht="29" hidden="1" x14ac:dyDescent="0.35">
      <c r="A1448" s="26">
        <v>47</v>
      </c>
      <c r="B1448" s="131" t="s">
        <v>3414</v>
      </c>
      <c r="C1448" s="131" t="s">
        <v>3465</v>
      </c>
      <c r="D1448" s="131" t="s">
        <v>3466</v>
      </c>
      <c r="E1448" s="27" t="s">
        <v>3520</v>
      </c>
      <c r="F1448" s="131" t="s">
        <v>3521</v>
      </c>
      <c r="G1448" s="26" t="s">
        <v>3522</v>
      </c>
      <c r="H1448" s="131" t="s">
        <v>3523</v>
      </c>
      <c r="I1448" s="28"/>
      <c r="J1448" s="28"/>
      <c r="K1448" s="155" t="s">
        <v>3469</v>
      </c>
      <c r="L1448" s="28"/>
      <c r="M1448" s="126" t="s">
        <v>226</v>
      </c>
      <c r="N1448" s="131" t="s">
        <v>28</v>
      </c>
      <c r="O1448" s="342">
        <v>24213878</v>
      </c>
      <c r="P1448" s="27" t="s">
        <v>547</v>
      </c>
      <c r="Q1448" t="s">
        <v>3559</v>
      </c>
    </row>
    <row r="1449" spans="1:17" hidden="1" x14ac:dyDescent="0.35">
      <c r="A1449" s="26">
        <v>48</v>
      </c>
      <c r="B1449" s="131" t="s">
        <v>3414</v>
      </c>
      <c r="C1449" s="131" t="s">
        <v>3465</v>
      </c>
      <c r="D1449" s="131" t="s">
        <v>3466</v>
      </c>
      <c r="E1449" s="131" t="s">
        <v>3524</v>
      </c>
      <c r="F1449" s="27" t="s">
        <v>388</v>
      </c>
      <c r="G1449" s="27" t="s">
        <v>389</v>
      </c>
      <c r="H1449" s="27" t="s">
        <v>397</v>
      </c>
      <c r="I1449" s="28"/>
      <c r="J1449" s="28"/>
      <c r="K1449" s="155" t="s">
        <v>3469</v>
      </c>
      <c r="L1449" s="28"/>
      <c r="M1449" s="126" t="s">
        <v>46</v>
      </c>
      <c r="N1449" s="27" t="s">
        <v>609</v>
      </c>
      <c r="O1449" s="127">
        <v>25000000</v>
      </c>
      <c r="P1449" s="27" t="s">
        <v>547</v>
      </c>
      <c r="Q1449" t="s">
        <v>3559</v>
      </c>
    </row>
    <row r="1450" spans="1:17" hidden="1" x14ac:dyDescent="0.35">
      <c r="A1450" s="26">
        <v>49</v>
      </c>
      <c r="B1450" s="131" t="s">
        <v>3414</v>
      </c>
      <c r="C1450" s="131" t="s">
        <v>3465</v>
      </c>
      <c r="D1450" s="131" t="s">
        <v>3466</v>
      </c>
      <c r="E1450" s="131" t="s">
        <v>3524</v>
      </c>
      <c r="F1450" s="26" t="s">
        <v>3525</v>
      </c>
      <c r="G1450" s="126" t="s">
        <v>2293</v>
      </c>
      <c r="H1450" s="126" t="s">
        <v>3526</v>
      </c>
      <c r="I1450" s="28"/>
      <c r="J1450" s="28"/>
      <c r="K1450" s="155" t="s">
        <v>3469</v>
      </c>
      <c r="L1450" s="28"/>
      <c r="M1450" s="126" t="s">
        <v>27</v>
      </c>
      <c r="N1450" s="31" t="s">
        <v>56</v>
      </c>
      <c r="O1450" s="222">
        <v>11500000</v>
      </c>
      <c r="P1450" s="27" t="s">
        <v>547</v>
      </c>
      <c r="Q1450" t="s">
        <v>3559</v>
      </c>
    </row>
    <row r="1451" spans="1:17" ht="87" hidden="1" x14ac:dyDescent="0.35">
      <c r="A1451" s="155">
        <f t="shared" ref="A1451:A1452" si="28">A1450+1</f>
        <v>50</v>
      </c>
      <c r="B1451" s="140" t="s">
        <v>3414</v>
      </c>
      <c r="C1451" s="140" t="s">
        <v>3316</v>
      </c>
      <c r="D1451" s="140" t="s">
        <v>3527</v>
      </c>
      <c r="E1451" s="140" t="s">
        <v>3528</v>
      </c>
      <c r="F1451" s="140"/>
      <c r="G1451" s="140" t="s">
        <v>44</v>
      </c>
      <c r="H1451" s="140" t="s">
        <v>45</v>
      </c>
      <c r="I1451" s="140" t="s">
        <v>28</v>
      </c>
      <c r="J1451" s="140">
        <v>5000000</v>
      </c>
      <c r="K1451" s="155" t="s">
        <v>3529</v>
      </c>
      <c r="L1451" s="140">
        <v>2833904</v>
      </c>
      <c r="M1451" s="155" t="s">
        <v>46</v>
      </c>
      <c r="N1451" s="324" t="s">
        <v>596</v>
      </c>
      <c r="O1451" s="10">
        <v>4625000</v>
      </c>
      <c r="P1451" s="140"/>
      <c r="Q1451" t="s">
        <v>3559</v>
      </c>
    </row>
    <row r="1452" spans="1:17" ht="87" hidden="1" x14ac:dyDescent="0.35">
      <c r="A1452" s="155">
        <f t="shared" si="28"/>
        <v>51</v>
      </c>
      <c r="B1452" s="140" t="s">
        <v>3414</v>
      </c>
      <c r="C1452" s="140" t="s">
        <v>3316</v>
      </c>
      <c r="D1452" s="140" t="s">
        <v>3527</v>
      </c>
      <c r="E1452" s="140" t="s">
        <v>3530</v>
      </c>
      <c r="F1452" s="140"/>
      <c r="G1452" s="140" t="s">
        <v>167</v>
      </c>
      <c r="H1452" s="155" t="s">
        <v>168</v>
      </c>
      <c r="I1452" s="140" t="s">
        <v>28</v>
      </c>
      <c r="J1452" s="140">
        <v>15000000</v>
      </c>
      <c r="K1452" s="155" t="s">
        <v>3529</v>
      </c>
      <c r="L1452" s="140">
        <v>2907167</v>
      </c>
      <c r="M1452" s="155" t="s">
        <v>46</v>
      </c>
      <c r="N1452" s="324" t="s">
        <v>3531</v>
      </c>
      <c r="O1452" s="10">
        <v>14800000</v>
      </c>
      <c r="P1452" s="140"/>
      <c r="Q1452" t="s">
        <v>3559</v>
      </c>
    </row>
    <row r="1454" spans="1:17" x14ac:dyDescent="0.35">
      <c r="N1454" t="s">
        <v>3582</v>
      </c>
      <c r="O1454" s="348">
        <f>SUBTOTAL(9,O6:O1452)</f>
        <v>1119408740</v>
      </c>
    </row>
    <row r="1456" spans="1:17" x14ac:dyDescent="0.35">
      <c r="N1456" s="384" t="s">
        <v>3569</v>
      </c>
      <c r="O1456" s="385">
        <f>SUBTOTAL(9,O6:O1452)</f>
        <v>1119408740</v>
      </c>
    </row>
  </sheetData>
  <autoFilter ref="A5:Q1452" xr:uid="{B60803C5-FB3C-4C2E-BA4E-32AA2EF7590F}">
    <filterColumn colId="12">
      <filters>
        <filter val="Batulayar"/>
      </filters>
    </filterColumn>
    <filterColumn colId="16">
      <filters>
        <filter val="Penguatan Ekonomi Desa (BUMDes, Alat Produksi UMKM, Desa Wisata, Dukungan Pertanian/Perikanan)"/>
      </filters>
    </filterColumn>
  </autoFilter>
  <mergeCells count="18">
    <mergeCell ref="N230:N231"/>
    <mergeCell ref="O230:O231"/>
    <mergeCell ref="P879:P880"/>
    <mergeCell ref="Q3:Q4"/>
    <mergeCell ref="M3:M4"/>
    <mergeCell ref="A3:A4"/>
    <mergeCell ref="B3:B4"/>
    <mergeCell ref="C3:C4"/>
    <mergeCell ref="D3:D4"/>
    <mergeCell ref="E3:E4"/>
    <mergeCell ref="L3:L4"/>
    <mergeCell ref="N3:O3"/>
    <mergeCell ref="P3:P4"/>
    <mergeCell ref="F3:F4"/>
    <mergeCell ref="G3:H3"/>
    <mergeCell ref="I3:I4"/>
    <mergeCell ref="J3:J4"/>
    <mergeCell ref="K3:K4"/>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99AD-2120-4114-9866-BD7343965137}">
  <sheetPr filterMode="1">
    <tabColor rgb="FF00B050"/>
  </sheetPr>
  <dimension ref="A1:K86"/>
  <sheetViews>
    <sheetView topLeftCell="B1" workbookViewId="0">
      <selection activeCell="G91" sqref="G91"/>
    </sheetView>
  </sheetViews>
  <sheetFormatPr defaultRowHeight="14.5" x14ac:dyDescent="0.35"/>
  <cols>
    <col min="1" max="1" width="4.36328125" customWidth="1"/>
    <col min="2" max="2" width="57.54296875" customWidth="1"/>
    <col min="3" max="3" width="20.81640625" customWidth="1"/>
    <col min="4" max="5" width="15.54296875" customWidth="1"/>
    <col min="6" max="6" width="19.90625" customWidth="1"/>
    <col min="7" max="7" width="14.54296875" bestFit="1" customWidth="1"/>
    <col min="8" max="8" width="12.6328125" bestFit="1" customWidth="1"/>
    <col min="9" max="10" width="14.7265625" bestFit="1" customWidth="1"/>
    <col min="11" max="11" width="13.7265625" bestFit="1" customWidth="1"/>
  </cols>
  <sheetData>
    <row r="1" spans="1:5" x14ac:dyDescent="0.35">
      <c r="A1" s="426" t="s">
        <v>3570</v>
      </c>
      <c r="B1" s="426"/>
      <c r="C1" s="426"/>
      <c r="D1" s="426"/>
      <c r="E1" s="426"/>
    </row>
    <row r="2" spans="1:5" x14ac:dyDescent="0.35">
      <c r="A2" s="377"/>
      <c r="B2" s="377"/>
      <c r="C2" s="377"/>
      <c r="D2" s="377"/>
      <c r="E2" s="377"/>
    </row>
    <row r="3" spans="1:5" ht="29" x14ac:dyDescent="0.35">
      <c r="A3" s="378" t="s">
        <v>0</v>
      </c>
      <c r="B3" s="378" t="s">
        <v>3571</v>
      </c>
      <c r="C3" s="378" t="s">
        <v>17</v>
      </c>
      <c r="D3" s="378" t="s">
        <v>3543</v>
      </c>
      <c r="E3" s="378" t="s">
        <v>3572</v>
      </c>
    </row>
    <row r="4" spans="1:5" ht="29" x14ac:dyDescent="0.35">
      <c r="A4" s="6">
        <v>1</v>
      </c>
      <c r="B4" s="7" t="s">
        <v>3561</v>
      </c>
      <c r="C4" s="195">
        <f>SUMIF('REKAP 3 APRIL (edit)'!$Q$6:$Q$1452,B4,'REKAP 3 APRIL (edit)'!$O$6:$O$1452)</f>
        <v>24748573314</v>
      </c>
      <c r="D4" s="83">
        <f>C4/$C$8*100</f>
        <v>17.998198397831281</v>
      </c>
      <c r="E4" s="379" t="s">
        <v>3573</v>
      </c>
    </row>
    <row r="5" spans="1:5" ht="29" x14ac:dyDescent="0.35">
      <c r="A5" s="6">
        <v>2</v>
      </c>
      <c r="B5" s="7" t="s">
        <v>3564</v>
      </c>
      <c r="C5" s="195">
        <f>SUMIF('REKAP 3 APRIL (edit)'!$Q$6:$Q$1452,B5,'REKAP 3 APRIL (edit)'!$O$6:$O$1452)</f>
        <v>71929522233.654007</v>
      </c>
      <c r="D5" s="83">
        <f>C5/$C$8*100</f>
        <v>52.310159272501537</v>
      </c>
      <c r="E5" s="379" t="s">
        <v>3574</v>
      </c>
    </row>
    <row r="6" spans="1:5" x14ac:dyDescent="0.35">
      <c r="A6" s="6">
        <v>3</v>
      </c>
      <c r="B6" s="7" t="s">
        <v>3586</v>
      </c>
      <c r="C6" s="195">
        <f>SUMIF('REKAP 3 APRIL (edit)'!$Q$6:$Q$1452,B6,'REKAP 3 APRIL (edit)'!$O$6:$O$1452)</f>
        <v>32563536989</v>
      </c>
      <c r="D6" s="83">
        <f>C6/$C$8*100</f>
        <v>23.681567087812596</v>
      </c>
      <c r="E6" s="379" t="s">
        <v>3574</v>
      </c>
    </row>
    <row r="7" spans="1:5" ht="29" x14ac:dyDescent="0.35">
      <c r="A7" s="6">
        <v>4</v>
      </c>
      <c r="B7" s="7" t="s">
        <v>3559</v>
      </c>
      <c r="C7" s="195">
        <f>SUMIF('REKAP 3 APRIL (edit)'!$Q$6:$Q$1452,B7,'REKAP 3 APRIL (edit)'!$O$6:$O$1452)</f>
        <v>8264204253</v>
      </c>
      <c r="D7" s="83">
        <f>C7/$C$8*100</f>
        <v>6.010075241854608</v>
      </c>
      <c r="E7" s="379" t="s">
        <v>3575</v>
      </c>
    </row>
    <row r="8" spans="1:5" ht="24.65" customHeight="1" x14ac:dyDescent="0.35">
      <c r="A8" s="427" t="s">
        <v>3534</v>
      </c>
      <c r="B8" s="428"/>
      <c r="C8" s="271">
        <f>SUM(C4:C7)</f>
        <v>137505836789.65399</v>
      </c>
      <c r="D8" s="370">
        <f>SUM(D4:D7)</f>
        <v>100.00000000000001</v>
      </c>
      <c r="E8" s="7"/>
    </row>
    <row r="13" spans="1:5" x14ac:dyDescent="0.35">
      <c r="B13" s="386"/>
    </row>
    <row r="14" spans="1:5" x14ac:dyDescent="0.35">
      <c r="C14" s="387"/>
    </row>
    <row r="15" spans="1:5" x14ac:dyDescent="0.35">
      <c r="C15" s="387"/>
    </row>
    <row r="16" spans="1:5" x14ac:dyDescent="0.35">
      <c r="C16" s="387"/>
    </row>
    <row r="17" spans="3:3" x14ac:dyDescent="0.35">
      <c r="C17" s="387"/>
    </row>
    <row r="18" spans="3:3" x14ac:dyDescent="0.35">
      <c r="C18" s="388"/>
    </row>
    <row r="42" spans="3:11" ht="15" thickBot="1" x14ac:dyDescent="0.4"/>
    <row r="43" spans="3:11" ht="32" thickBot="1" x14ac:dyDescent="0.4">
      <c r="C43" s="389" t="s">
        <v>3555</v>
      </c>
      <c r="D43" s="390" t="s">
        <v>3588</v>
      </c>
      <c r="E43" s="390" t="s">
        <v>3589</v>
      </c>
      <c r="F43" s="391" t="s">
        <v>3590</v>
      </c>
    </row>
    <row r="44" spans="3:11" ht="15" thickBot="1" x14ac:dyDescent="0.4">
      <c r="C44" s="392" t="s">
        <v>3297</v>
      </c>
      <c r="D44" s="393" t="s">
        <v>3591</v>
      </c>
      <c r="E44" s="393" t="s">
        <v>3592</v>
      </c>
      <c r="F44" s="394">
        <v>38500000</v>
      </c>
      <c r="G44">
        <v>2</v>
      </c>
      <c r="H44" s="387">
        <v>2400000</v>
      </c>
      <c r="I44" s="387">
        <v>38500000</v>
      </c>
      <c r="J44" s="387">
        <v>85377500</v>
      </c>
      <c r="K44" s="387">
        <v>75000000</v>
      </c>
    </row>
    <row r="45" spans="3:11" ht="15" thickBot="1" x14ac:dyDescent="0.4">
      <c r="C45" s="392" t="s">
        <v>3297</v>
      </c>
      <c r="D45" s="393" t="s">
        <v>3593</v>
      </c>
      <c r="E45" s="393" t="s">
        <v>3594</v>
      </c>
      <c r="F45" s="394">
        <v>217650000</v>
      </c>
      <c r="G45">
        <v>2</v>
      </c>
      <c r="H45" s="387"/>
      <c r="I45" s="387">
        <v>217650000</v>
      </c>
      <c r="J45" s="387">
        <v>189090000</v>
      </c>
      <c r="K45" s="387"/>
    </row>
    <row r="46" spans="3:11" ht="15" thickBot="1" x14ac:dyDescent="0.4">
      <c r="C46" s="392" t="s">
        <v>3595</v>
      </c>
      <c r="D46" s="393" t="s">
        <v>3596</v>
      </c>
      <c r="E46" s="393" t="s">
        <v>3597</v>
      </c>
      <c r="F46" s="394">
        <v>387240000</v>
      </c>
      <c r="G46">
        <v>2</v>
      </c>
      <c r="H46" s="387"/>
      <c r="I46" s="387">
        <v>387240000</v>
      </c>
      <c r="J46" s="387"/>
      <c r="K46" s="387"/>
    </row>
    <row r="47" spans="3:11" ht="15" thickBot="1" x14ac:dyDescent="0.4">
      <c r="C47" s="392" t="s">
        <v>3595</v>
      </c>
      <c r="D47" s="393" t="s">
        <v>3596</v>
      </c>
      <c r="E47" s="393" t="s">
        <v>3598</v>
      </c>
      <c r="F47" s="394">
        <v>30979200</v>
      </c>
      <c r="G47">
        <v>2</v>
      </c>
      <c r="H47" s="387"/>
      <c r="I47" s="387">
        <v>30979200</v>
      </c>
      <c r="J47" s="387"/>
      <c r="K47" s="387"/>
    </row>
    <row r="48" spans="3:11" ht="15" thickBot="1" x14ac:dyDescent="0.4">
      <c r="C48" s="392" t="s">
        <v>221</v>
      </c>
      <c r="D48" s="393" t="s">
        <v>2054</v>
      </c>
      <c r="E48" s="393" t="s">
        <v>3599</v>
      </c>
      <c r="F48" s="394">
        <v>75000000</v>
      </c>
      <c r="G48">
        <v>4</v>
      </c>
      <c r="H48" s="387"/>
      <c r="I48" s="387"/>
      <c r="J48" s="387"/>
      <c r="K48" s="387"/>
    </row>
    <row r="49" spans="1:11" ht="15" thickBot="1" x14ac:dyDescent="0.4">
      <c r="C49" s="392" t="s">
        <v>221</v>
      </c>
      <c r="D49" s="393" t="s">
        <v>3600</v>
      </c>
      <c r="E49" s="393" t="s">
        <v>3600</v>
      </c>
      <c r="F49" s="394">
        <v>85377500</v>
      </c>
      <c r="G49">
        <v>3</v>
      </c>
      <c r="H49" s="387"/>
      <c r="I49" s="387"/>
      <c r="J49" s="387"/>
      <c r="K49" s="387"/>
    </row>
    <row r="50" spans="1:11" ht="15" thickBot="1" x14ac:dyDescent="0.4">
      <c r="C50" s="392" t="s">
        <v>3601</v>
      </c>
      <c r="D50" s="393" t="s">
        <v>3602</v>
      </c>
      <c r="E50" s="393" t="s">
        <v>3603</v>
      </c>
      <c r="F50" s="394">
        <v>189090000</v>
      </c>
      <c r="G50">
        <v>3</v>
      </c>
      <c r="H50" s="387"/>
      <c r="I50" s="387"/>
      <c r="J50" s="387"/>
      <c r="K50" s="387"/>
    </row>
    <row r="51" spans="1:11" ht="15" thickBot="1" x14ac:dyDescent="0.4">
      <c r="C51" s="392" t="s">
        <v>553</v>
      </c>
      <c r="D51" s="393" t="s">
        <v>3604</v>
      </c>
      <c r="E51" s="393" t="s">
        <v>3605</v>
      </c>
      <c r="F51" s="394">
        <v>2400000</v>
      </c>
      <c r="G51">
        <v>1</v>
      </c>
      <c r="H51" s="387">
        <f>SUM(H44:H50)</f>
        <v>2400000</v>
      </c>
      <c r="I51" s="387">
        <f>SUM(I44:I50)</f>
        <v>674369200</v>
      </c>
      <c r="J51" s="387">
        <f t="shared" ref="J51:K51" si="0">SUM(J44:J50)</f>
        <v>274467500</v>
      </c>
      <c r="K51" s="387">
        <f t="shared" si="0"/>
        <v>75000000</v>
      </c>
    </row>
    <row r="52" spans="1:11" ht="16" thickBot="1" x14ac:dyDescent="0.4">
      <c r="C52" s="395"/>
      <c r="D52" s="396"/>
      <c r="E52" s="397" t="s">
        <v>3534</v>
      </c>
      <c r="F52" s="398">
        <v>1026236700</v>
      </c>
      <c r="H52" s="400">
        <f>H51/$F$52</f>
        <v>2.3386417577933045E-3</v>
      </c>
      <c r="I52" s="400">
        <f t="shared" ref="I52:K52" si="1">I51/$F$52</f>
        <v>0.65712832137069355</v>
      </c>
      <c r="J52" s="400">
        <f t="shared" si="1"/>
        <v>0.26745048194047238</v>
      </c>
      <c r="K52" s="400">
        <f t="shared" si="1"/>
        <v>7.3082554931040766E-2</v>
      </c>
    </row>
    <row r="53" spans="1:11" ht="15" thickBot="1" x14ac:dyDescent="0.4"/>
    <row r="54" spans="1:11" ht="27" customHeight="1" thickBot="1" x14ac:dyDescent="0.4">
      <c r="A54" s="422" t="s">
        <v>0</v>
      </c>
      <c r="B54" s="422" t="s">
        <v>4</v>
      </c>
      <c r="C54" s="424" t="s">
        <v>6</v>
      </c>
      <c r="D54" s="425"/>
      <c r="E54" s="422" t="s">
        <v>9</v>
      </c>
      <c r="F54" s="424" t="s">
        <v>3606</v>
      </c>
      <c r="G54" s="425"/>
    </row>
    <row r="55" spans="1:11" ht="15" thickBot="1" x14ac:dyDescent="0.4">
      <c r="A55" s="423"/>
      <c r="B55" s="423"/>
      <c r="C55" s="401" t="s">
        <v>14</v>
      </c>
      <c r="D55" s="401" t="s">
        <v>15</v>
      </c>
      <c r="E55" s="423"/>
      <c r="F55" s="401" t="s">
        <v>16</v>
      </c>
      <c r="G55" s="401" t="s">
        <v>3607</v>
      </c>
    </row>
    <row r="56" spans="1:11" ht="15" thickBot="1" x14ac:dyDescent="0.4">
      <c r="A56" s="402">
        <v>1</v>
      </c>
      <c r="B56" s="403">
        <v>2</v>
      </c>
      <c r="C56" s="403">
        <v>3</v>
      </c>
      <c r="D56" s="403">
        <v>4</v>
      </c>
      <c r="E56" s="403">
        <v>5</v>
      </c>
      <c r="F56" s="403">
        <v>6</v>
      </c>
      <c r="G56" s="403">
        <v>7</v>
      </c>
    </row>
    <row r="57" spans="1:11" ht="42.5" thickBot="1" x14ac:dyDescent="0.4">
      <c r="A57" s="404">
        <v>83</v>
      </c>
      <c r="B57" s="405" t="s">
        <v>3408</v>
      </c>
      <c r="C57" s="405" t="s">
        <v>3608</v>
      </c>
      <c r="D57" s="405" t="s">
        <v>2883</v>
      </c>
      <c r="E57" s="405" t="s">
        <v>3400</v>
      </c>
      <c r="F57" s="406">
        <v>1</v>
      </c>
      <c r="G57" s="407">
        <v>421000</v>
      </c>
      <c r="H57">
        <v>4</v>
      </c>
    </row>
    <row r="58" spans="1:11" ht="42.5" thickBot="1" x14ac:dyDescent="0.4">
      <c r="A58" s="404">
        <v>84</v>
      </c>
      <c r="B58" s="405" t="s">
        <v>3410</v>
      </c>
      <c r="C58" s="405" t="s">
        <v>3608</v>
      </c>
      <c r="D58" s="405" t="s">
        <v>225</v>
      </c>
      <c r="E58" s="405" t="s">
        <v>3400</v>
      </c>
      <c r="F58" s="406">
        <v>1</v>
      </c>
      <c r="G58" s="407">
        <v>2700000</v>
      </c>
      <c r="H58">
        <v>4</v>
      </c>
    </row>
    <row r="59" spans="1:11" ht="42.5" thickBot="1" x14ac:dyDescent="0.4">
      <c r="A59" s="404">
        <v>85</v>
      </c>
      <c r="B59" s="405" t="s">
        <v>3412</v>
      </c>
      <c r="C59" s="405" t="s">
        <v>3608</v>
      </c>
      <c r="D59" s="405" t="s">
        <v>225</v>
      </c>
      <c r="E59" s="405" t="s">
        <v>3400</v>
      </c>
      <c r="F59" s="406">
        <v>1</v>
      </c>
      <c r="G59" s="407">
        <v>409000</v>
      </c>
      <c r="H59">
        <v>4</v>
      </c>
    </row>
    <row r="60" spans="1:11" ht="42.5" thickBot="1" x14ac:dyDescent="0.4">
      <c r="A60" s="404">
        <v>86</v>
      </c>
      <c r="B60" s="405" t="s">
        <v>3413</v>
      </c>
      <c r="C60" s="405" t="s">
        <v>3608</v>
      </c>
      <c r="D60" s="405" t="s">
        <v>1404</v>
      </c>
      <c r="E60" s="405" t="s">
        <v>3400</v>
      </c>
      <c r="F60" s="406">
        <v>1</v>
      </c>
      <c r="G60" s="407">
        <v>2910000</v>
      </c>
      <c r="H60">
        <v>4</v>
      </c>
    </row>
    <row r="61" spans="1:11" ht="42.5" thickBot="1" x14ac:dyDescent="0.4">
      <c r="A61" s="404">
        <v>87</v>
      </c>
      <c r="B61" s="405" t="s">
        <v>3410</v>
      </c>
      <c r="C61" s="405" t="s">
        <v>3608</v>
      </c>
      <c r="D61" s="405" t="s">
        <v>1404</v>
      </c>
      <c r="E61" s="405" t="s">
        <v>3400</v>
      </c>
      <c r="F61" s="406">
        <v>1</v>
      </c>
      <c r="G61" s="407">
        <v>2910000</v>
      </c>
      <c r="H61">
        <v>4</v>
      </c>
    </row>
    <row r="62" spans="1:11" ht="15" hidden="1" thickBot="1" x14ac:dyDescent="0.4">
      <c r="A62" s="404">
        <v>220</v>
      </c>
      <c r="B62" s="405" t="s">
        <v>223</v>
      </c>
      <c r="C62" s="405" t="s">
        <v>3608</v>
      </c>
      <c r="D62" s="405" t="s">
        <v>225</v>
      </c>
      <c r="E62" s="405" t="s">
        <v>78</v>
      </c>
      <c r="F62" s="406">
        <v>3</v>
      </c>
      <c r="G62" s="407">
        <v>21250000</v>
      </c>
      <c r="H62">
        <v>1</v>
      </c>
    </row>
    <row r="63" spans="1:11" ht="53" hidden="1" thickBot="1" x14ac:dyDescent="0.4">
      <c r="A63" s="404">
        <v>794</v>
      </c>
      <c r="B63" s="405" t="s">
        <v>992</v>
      </c>
      <c r="C63" s="405" t="s">
        <v>3608</v>
      </c>
      <c r="D63" s="405" t="s">
        <v>2883</v>
      </c>
      <c r="E63" s="405" t="s">
        <v>221</v>
      </c>
      <c r="F63" s="406">
        <v>125</v>
      </c>
      <c r="G63" s="407">
        <v>50000000</v>
      </c>
      <c r="H63">
        <v>3</v>
      </c>
    </row>
    <row r="64" spans="1:11" ht="53" hidden="1" thickBot="1" x14ac:dyDescent="0.4">
      <c r="A64" s="404">
        <v>795</v>
      </c>
      <c r="B64" s="405" t="s">
        <v>2884</v>
      </c>
      <c r="C64" s="405" t="s">
        <v>3608</v>
      </c>
      <c r="D64" s="405" t="s">
        <v>2883</v>
      </c>
      <c r="E64" s="405" t="s">
        <v>221</v>
      </c>
      <c r="F64" s="406">
        <v>2</v>
      </c>
      <c r="G64" s="407">
        <v>50000000</v>
      </c>
      <c r="H64">
        <v>3</v>
      </c>
    </row>
    <row r="65" spans="1:8" ht="53" hidden="1" thickBot="1" x14ac:dyDescent="0.4">
      <c r="A65" s="404">
        <v>796</v>
      </c>
      <c r="B65" s="405" t="s">
        <v>2884</v>
      </c>
      <c r="C65" s="405" t="s">
        <v>3608</v>
      </c>
      <c r="D65" s="405" t="s">
        <v>1401</v>
      </c>
      <c r="E65" s="405" t="s">
        <v>221</v>
      </c>
      <c r="F65" s="406">
        <v>1</v>
      </c>
      <c r="G65" s="407">
        <v>25000000</v>
      </c>
      <c r="H65">
        <v>3</v>
      </c>
    </row>
    <row r="66" spans="1:8" ht="53" hidden="1" thickBot="1" x14ac:dyDescent="0.4">
      <c r="A66" s="404">
        <v>797</v>
      </c>
      <c r="B66" s="405" t="s">
        <v>1221</v>
      </c>
      <c r="C66" s="405" t="s">
        <v>3608</v>
      </c>
      <c r="D66" s="405" t="s">
        <v>1401</v>
      </c>
      <c r="E66" s="405" t="s">
        <v>221</v>
      </c>
      <c r="F66" s="406">
        <v>25</v>
      </c>
      <c r="G66" s="407">
        <v>69550000</v>
      </c>
      <c r="H66">
        <v>3</v>
      </c>
    </row>
    <row r="67" spans="1:8" ht="53" hidden="1" thickBot="1" x14ac:dyDescent="0.4">
      <c r="A67" s="404">
        <v>798</v>
      </c>
      <c r="B67" s="405" t="s">
        <v>992</v>
      </c>
      <c r="C67" s="405" t="s">
        <v>3608</v>
      </c>
      <c r="D67" s="405" t="s">
        <v>2886</v>
      </c>
      <c r="E67" s="405" t="s">
        <v>221</v>
      </c>
      <c r="F67" s="406">
        <v>125</v>
      </c>
      <c r="G67" s="407">
        <v>50000000</v>
      </c>
      <c r="H67">
        <v>3</v>
      </c>
    </row>
    <row r="68" spans="1:8" ht="53" hidden="1" thickBot="1" x14ac:dyDescent="0.4">
      <c r="A68" s="404">
        <v>799</v>
      </c>
      <c r="B68" s="405" t="s">
        <v>2884</v>
      </c>
      <c r="C68" s="405" t="s">
        <v>3608</v>
      </c>
      <c r="D68" s="405" t="s">
        <v>2886</v>
      </c>
      <c r="E68" s="405" t="s">
        <v>221</v>
      </c>
      <c r="F68" s="406">
        <v>2</v>
      </c>
      <c r="G68" s="407">
        <v>50000000</v>
      </c>
      <c r="H68">
        <v>3</v>
      </c>
    </row>
    <row r="69" spans="1:8" ht="53" hidden="1" thickBot="1" x14ac:dyDescent="0.4">
      <c r="A69" s="404">
        <v>800</v>
      </c>
      <c r="B69" s="405" t="s">
        <v>2884</v>
      </c>
      <c r="C69" s="405" t="s">
        <v>3608</v>
      </c>
      <c r="D69" s="405" t="s">
        <v>225</v>
      </c>
      <c r="E69" s="405" t="s">
        <v>221</v>
      </c>
      <c r="F69" s="406">
        <v>2</v>
      </c>
      <c r="G69" s="407">
        <v>50000000</v>
      </c>
      <c r="H69">
        <v>3</v>
      </c>
    </row>
    <row r="70" spans="1:8" ht="53" hidden="1" thickBot="1" x14ac:dyDescent="0.4">
      <c r="A70" s="404">
        <v>801</v>
      </c>
      <c r="B70" s="405" t="s">
        <v>2884</v>
      </c>
      <c r="C70" s="405" t="s">
        <v>3608</v>
      </c>
      <c r="D70" s="405" t="s">
        <v>1404</v>
      </c>
      <c r="E70" s="405" t="s">
        <v>221</v>
      </c>
      <c r="F70" s="406">
        <v>1</v>
      </c>
      <c r="G70" s="407">
        <v>25000000</v>
      </c>
      <c r="H70">
        <v>3</v>
      </c>
    </row>
    <row r="71" spans="1:8" ht="53" hidden="1" thickBot="1" x14ac:dyDescent="0.4">
      <c r="A71" s="404">
        <v>802</v>
      </c>
      <c r="B71" s="405" t="s">
        <v>2884</v>
      </c>
      <c r="C71" s="405" t="s">
        <v>3608</v>
      </c>
      <c r="D71" s="405" t="s">
        <v>979</v>
      </c>
      <c r="E71" s="405" t="s">
        <v>221</v>
      </c>
      <c r="F71" s="406">
        <v>1</v>
      </c>
      <c r="G71" s="407">
        <v>25000000</v>
      </c>
      <c r="H71">
        <v>3</v>
      </c>
    </row>
    <row r="72" spans="1:8" ht="53" hidden="1" thickBot="1" x14ac:dyDescent="0.4">
      <c r="A72" s="404">
        <v>803</v>
      </c>
      <c r="B72" s="405" t="s">
        <v>992</v>
      </c>
      <c r="C72" s="405" t="s">
        <v>3608</v>
      </c>
      <c r="D72" s="405" t="s">
        <v>2887</v>
      </c>
      <c r="E72" s="405" t="s">
        <v>221</v>
      </c>
      <c r="F72" s="406">
        <v>85</v>
      </c>
      <c r="G72" s="407">
        <v>34000000</v>
      </c>
      <c r="H72">
        <v>3</v>
      </c>
    </row>
    <row r="73" spans="1:8" ht="53" hidden="1" thickBot="1" x14ac:dyDescent="0.4">
      <c r="A73" s="404">
        <v>804</v>
      </c>
      <c r="B73" s="405" t="s">
        <v>2884</v>
      </c>
      <c r="C73" s="405" t="s">
        <v>3608</v>
      </c>
      <c r="D73" s="405" t="s">
        <v>2887</v>
      </c>
      <c r="E73" s="405" t="s">
        <v>221</v>
      </c>
      <c r="F73" s="406">
        <v>2</v>
      </c>
      <c r="G73" s="407">
        <v>50000000</v>
      </c>
      <c r="H73">
        <v>3</v>
      </c>
    </row>
    <row r="74" spans="1:8" ht="53" hidden="1" thickBot="1" x14ac:dyDescent="0.4">
      <c r="A74" s="404">
        <v>805</v>
      </c>
      <c r="B74" s="405" t="s">
        <v>2888</v>
      </c>
      <c r="C74" s="405" t="s">
        <v>3608</v>
      </c>
      <c r="D74" s="405" t="s">
        <v>2890</v>
      </c>
      <c r="E74" s="405" t="s">
        <v>221</v>
      </c>
      <c r="F74" s="406">
        <v>25</v>
      </c>
      <c r="G74" s="407">
        <v>69550000</v>
      </c>
      <c r="H74">
        <v>1</v>
      </c>
    </row>
    <row r="75" spans="1:8" ht="53" hidden="1" thickBot="1" x14ac:dyDescent="0.4">
      <c r="A75" s="404">
        <v>806</v>
      </c>
      <c r="B75" s="405" t="s">
        <v>2884</v>
      </c>
      <c r="C75" s="405" t="s">
        <v>3608</v>
      </c>
      <c r="D75" s="405" t="s">
        <v>2890</v>
      </c>
      <c r="E75" s="405" t="s">
        <v>221</v>
      </c>
      <c r="F75" s="406">
        <v>2</v>
      </c>
      <c r="G75" s="407">
        <v>50000000</v>
      </c>
      <c r="H75">
        <v>1</v>
      </c>
    </row>
    <row r="76" spans="1:8" ht="63.5" hidden="1" thickBot="1" x14ac:dyDescent="0.4">
      <c r="A76" s="404">
        <v>1220</v>
      </c>
      <c r="B76" s="405" t="s">
        <v>976</v>
      </c>
      <c r="C76" s="405" t="s">
        <v>3608</v>
      </c>
      <c r="D76" s="405" t="s">
        <v>979</v>
      </c>
      <c r="E76" s="405" t="s">
        <v>197</v>
      </c>
      <c r="F76" s="406" t="s">
        <v>826</v>
      </c>
      <c r="G76" s="407">
        <v>40000000</v>
      </c>
      <c r="H76">
        <v>1</v>
      </c>
    </row>
    <row r="77" spans="1:8" ht="63.5" hidden="1" thickBot="1" x14ac:dyDescent="0.4">
      <c r="A77" s="404">
        <v>1221</v>
      </c>
      <c r="B77" s="405" t="s">
        <v>981</v>
      </c>
      <c r="C77" s="405" t="s">
        <v>3608</v>
      </c>
      <c r="D77" s="405" t="s">
        <v>979</v>
      </c>
      <c r="E77" s="405" t="s">
        <v>197</v>
      </c>
      <c r="F77" s="406" t="s">
        <v>826</v>
      </c>
      <c r="G77" s="407">
        <v>35000000</v>
      </c>
      <c r="H77">
        <v>1</v>
      </c>
    </row>
    <row r="78" spans="1:8" ht="63.5" hidden="1" thickBot="1" x14ac:dyDescent="0.4">
      <c r="A78" s="404">
        <v>1222</v>
      </c>
      <c r="B78" s="405" t="s">
        <v>983</v>
      </c>
      <c r="C78" s="405" t="s">
        <v>3608</v>
      </c>
      <c r="D78" s="405" t="s">
        <v>979</v>
      </c>
      <c r="E78" s="405" t="s">
        <v>197</v>
      </c>
      <c r="F78" s="406" t="s">
        <v>826</v>
      </c>
      <c r="G78" s="407">
        <v>25000000</v>
      </c>
      <c r="H78">
        <v>1</v>
      </c>
    </row>
    <row r="79" spans="1:8" ht="21.5" hidden="1" thickBot="1" x14ac:dyDescent="0.4">
      <c r="A79" s="404">
        <v>1346</v>
      </c>
      <c r="B79" s="405" t="s">
        <v>1399</v>
      </c>
      <c r="C79" s="405" t="s">
        <v>3608</v>
      </c>
      <c r="D79" s="405" t="s">
        <v>1401</v>
      </c>
      <c r="E79" s="405" t="s">
        <v>1025</v>
      </c>
      <c r="F79" s="406" t="s">
        <v>1174</v>
      </c>
      <c r="G79" s="407">
        <v>50000000</v>
      </c>
      <c r="H79">
        <v>1</v>
      </c>
    </row>
    <row r="80" spans="1:8" ht="15" hidden="1" thickBot="1" x14ac:dyDescent="0.4">
      <c r="A80" s="404">
        <v>1347</v>
      </c>
      <c r="B80" s="405" t="s">
        <v>1402</v>
      </c>
      <c r="C80" s="405" t="s">
        <v>3608</v>
      </c>
      <c r="D80" s="405" t="s">
        <v>1404</v>
      </c>
      <c r="E80" s="405" t="s">
        <v>1025</v>
      </c>
      <c r="F80" s="406" t="s">
        <v>1405</v>
      </c>
      <c r="G80" s="407">
        <v>90000000</v>
      </c>
      <c r="H80">
        <v>1</v>
      </c>
    </row>
    <row r="81" spans="1:8" ht="15" hidden="1" thickBot="1" x14ac:dyDescent="0.4">
      <c r="A81" s="404">
        <v>1348</v>
      </c>
      <c r="B81" s="405" t="s">
        <v>1407</v>
      </c>
      <c r="C81" s="405" t="s">
        <v>3608</v>
      </c>
      <c r="D81" s="405" t="s">
        <v>1404</v>
      </c>
      <c r="E81" s="405" t="s">
        <v>1025</v>
      </c>
      <c r="F81" s="406" t="s">
        <v>1409</v>
      </c>
      <c r="G81" s="407">
        <v>31300000</v>
      </c>
      <c r="H81">
        <v>1</v>
      </c>
    </row>
    <row r="82" spans="1:8" ht="21.5" hidden="1" thickBot="1" x14ac:dyDescent="0.4">
      <c r="A82" s="404">
        <v>1435</v>
      </c>
      <c r="B82" s="405" t="s">
        <v>3359</v>
      </c>
      <c r="C82" s="405" t="s">
        <v>3608</v>
      </c>
      <c r="D82" s="405" t="s">
        <v>2883</v>
      </c>
      <c r="E82" s="405" t="s">
        <v>3297</v>
      </c>
      <c r="F82" s="406" t="s">
        <v>25</v>
      </c>
      <c r="G82" s="407">
        <v>100000000</v>
      </c>
      <c r="H82">
        <v>1</v>
      </c>
    </row>
    <row r="83" spans="1:8" ht="16" hidden="1" thickBot="1" x14ac:dyDescent="0.4">
      <c r="A83" s="395"/>
      <c r="B83" s="396"/>
      <c r="C83" s="396"/>
      <c r="D83" s="396"/>
      <c r="E83" s="397" t="s">
        <v>3534</v>
      </c>
      <c r="F83" s="408"/>
      <c r="G83" s="394">
        <v>10000000000</v>
      </c>
    </row>
    <row r="85" spans="1:8" x14ac:dyDescent="0.35">
      <c r="G85">
        <f>SUBTOTAL(9,G57:G82)</f>
        <v>9350000</v>
      </c>
    </row>
    <row r="86" spans="1:8" x14ac:dyDescent="0.35">
      <c r="G86" s="399">
        <f>G85/1000000000</f>
        <v>9.3500000000000007E-3</v>
      </c>
    </row>
  </sheetData>
  <autoFilter ref="A56:H83" xr:uid="{F3C11422-E521-4FF4-A6ED-69A166D9D9CD}">
    <filterColumn colId="7">
      <filters>
        <filter val="4"/>
      </filters>
    </filterColumn>
  </autoFilter>
  <mergeCells count="7">
    <mergeCell ref="A1:E1"/>
    <mergeCell ref="A8:B8"/>
    <mergeCell ref="A54:A55"/>
    <mergeCell ref="B54:B55"/>
    <mergeCell ref="C54:D54"/>
    <mergeCell ref="E54:E55"/>
    <mergeCell ref="F54:G5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REKAP 2 APRIL</vt:lpstr>
      <vt:lpstr>OPD_KEC_musrenbang</vt:lpstr>
      <vt:lpstr>PAGU PER PRIORITAS</vt:lpstr>
      <vt:lpstr>PAGU PER PROGRAM</vt:lpstr>
      <vt:lpstr>REKAP PER OPD SAJA</vt:lpstr>
      <vt:lpstr>REKAP 3 APRIL (edit)</vt:lpstr>
      <vt:lpstr>PAGU PER PILAR 2027</vt:lpstr>
      <vt:lpstr>OPD_KEC_musrenbang!Print_Area</vt:lpstr>
      <vt:lpstr>'PAGU PER PROGRAM'!Print_Area</vt:lpstr>
      <vt:lpstr>'REKAP PER OPD SAJA'!Print_Area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Deny Arif Nugroho</cp:lastModifiedBy>
  <dcterms:created xsi:type="dcterms:W3CDTF">2015-06-05T18:17:20Z</dcterms:created>
  <dcterms:modified xsi:type="dcterms:W3CDTF">2026-06-16T10:57:04Z</dcterms:modified>
</cp:coreProperties>
</file>