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E:\Bappeda\KONSEP\SDD\"/>
    </mc:Choice>
  </mc:AlternateContent>
  <xr:revisionPtr revIDLastSave="0" documentId="13_ncr:1_{17CA580A-2CBA-4700-B8E8-A3CB60133D6D}" xr6:coauthVersionLast="45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rekap" sheetId="1" r:id="rId1"/>
    <sheet name="KONFIRMASI OPD_final 9 Aprl" sheetId="3" r:id="rId2"/>
    <sheet name="PAGU PER PILAR 2026" sheetId="5" r:id="rId3"/>
  </sheets>
  <externalReferences>
    <externalReference r:id="rId4"/>
    <externalReference r:id="rId5"/>
    <externalReference r:id="rId6"/>
    <externalReference r:id="rId7"/>
  </externalReferences>
  <definedNames>
    <definedName name="_xlnm._FilterDatabase" localSheetId="1" hidden="1">'KONFIRMASI OPD_final 9 Aprl'!$A$3:$H$126</definedName>
    <definedName name="add">#REF!</definedName>
    <definedName name="bulan">#REF!</definedName>
    <definedName name="kd_1">#REF!</definedName>
    <definedName name="kd_daerah">#REF!</definedName>
    <definedName name="KDBLJ">#REF!</definedName>
    <definedName name="KDDINAS">#REF!</definedName>
    <definedName name="kertaskerja">#REF!</definedName>
    <definedName name="kode">#REF!</definedName>
    <definedName name="kode_1">#REF!</definedName>
    <definedName name="nmdaerah">#REF!</definedName>
    <definedName name="ok">#REF!</definedName>
    <definedName name="penduduk">#REF!</definedName>
    <definedName name="penduduk_2016">#REF!</definedName>
    <definedName name="penduduk1">#REF!</definedName>
    <definedName name="simulasi">#REF!</definedName>
    <definedName name="workshee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5" l="1"/>
  <c r="D37" i="5"/>
  <c r="D38" i="5"/>
  <c r="D35" i="5"/>
  <c r="C39" i="5"/>
  <c r="D39" i="5" l="1"/>
  <c r="D28" i="5" l="1"/>
  <c r="D27" i="5"/>
  <c r="D26" i="5"/>
  <c r="D25" i="5"/>
  <c r="C29" i="5" l="1"/>
  <c r="C7" i="5"/>
  <c r="C6" i="5"/>
  <c r="C5" i="5"/>
  <c r="C4" i="5"/>
  <c r="C8" i="5" l="1"/>
  <c r="D6" i="5" l="1"/>
  <c r="D4" i="5"/>
  <c r="D7" i="5"/>
  <c r="D5" i="5"/>
  <c r="D29" i="5" l="1"/>
  <c r="D8" i="5"/>
  <c r="M125" i="3" l="1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126" i="3" l="1"/>
  <c r="D125" i="3"/>
  <c r="N125" i="3" s="1"/>
  <c r="D124" i="3"/>
  <c r="N124" i="3" s="1"/>
  <c r="D123" i="3"/>
  <c r="N123" i="3" s="1"/>
  <c r="D122" i="3"/>
  <c r="N122" i="3" s="1"/>
  <c r="D121" i="3"/>
  <c r="N121" i="3" s="1"/>
  <c r="D120" i="3"/>
  <c r="N120" i="3" s="1"/>
  <c r="D119" i="3"/>
  <c r="N119" i="3" s="1"/>
  <c r="D117" i="3"/>
  <c r="N117" i="3" s="1"/>
  <c r="D116" i="3"/>
  <c r="N116" i="3" s="1"/>
  <c r="D115" i="3"/>
  <c r="N115" i="3" s="1"/>
  <c r="D114" i="3"/>
  <c r="N114" i="3" s="1"/>
  <c r="D113" i="3"/>
  <c r="N113" i="3" s="1"/>
  <c r="D112" i="3"/>
  <c r="N112" i="3" s="1"/>
  <c r="D111" i="3"/>
  <c r="N111" i="3" s="1"/>
  <c r="D110" i="3"/>
  <c r="N110" i="3" s="1"/>
  <c r="D109" i="3"/>
  <c r="N109" i="3" s="1"/>
  <c r="D107" i="3"/>
  <c r="N107" i="3" s="1"/>
  <c r="D106" i="3"/>
  <c r="N106" i="3" s="1"/>
  <c r="D105" i="3"/>
  <c r="N105" i="3" s="1"/>
  <c r="D104" i="3"/>
  <c r="N104" i="3" s="1"/>
  <c r="D103" i="3"/>
  <c r="N103" i="3" s="1"/>
  <c r="D102" i="3"/>
  <c r="N102" i="3" s="1"/>
  <c r="D101" i="3"/>
  <c r="N101" i="3" s="1"/>
  <c r="D100" i="3"/>
  <c r="N100" i="3" s="1"/>
  <c r="D97" i="3"/>
  <c r="N97" i="3" s="1"/>
  <c r="D95" i="3"/>
  <c r="N95" i="3" s="1"/>
  <c r="D94" i="3"/>
  <c r="N94" i="3" s="1"/>
  <c r="D93" i="3"/>
  <c r="N93" i="3" s="1"/>
  <c r="D92" i="3"/>
  <c r="N92" i="3" s="1"/>
  <c r="D91" i="3"/>
  <c r="N91" i="3" s="1"/>
  <c r="D90" i="3"/>
  <c r="N90" i="3" s="1"/>
  <c r="D89" i="3"/>
  <c r="N89" i="3" s="1"/>
  <c r="D88" i="3"/>
  <c r="N88" i="3" s="1"/>
  <c r="D87" i="3"/>
  <c r="N87" i="3" s="1"/>
  <c r="D86" i="3"/>
  <c r="N86" i="3" s="1"/>
  <c r="D85" i="3"/>
  <c r="N85" i="3" s="1"/>
  <c r="D84" i="3"/>
  <c r="N84" i="3" s="1"/>
  <c r="D82" i="3"/>
  <c r="N82" i="3" s="1"/>
  <c r="D81" i="3"/>
  <c r="N81" i="3" s="1"/>
  <c r="D80" i="3"/>
  <c r="N80" i="3" s="1"/>
  <c r="D79" i="3"/>
  <c r="N79" i="3" s="1"/>
  <c r="D78" i="3"/>
  <c r="N78" i="3" s="1"/>
  <c r="D77" i="3"/>
  <c r="N77" i="3" s="1"/>
  <c r="D76" i="3"/>
  <c r="N76" i="3" s="1"/>
  <c r="D75" i="3"/>
  <c r="N75" i="3" s="1"/>
  <c r="D74" i="3"/>
  <c r="N74" i="3" s="1"/>
  <c r="D73" i="3"/>
  <c r="N73" i="3" s="1"/>
  <c r="D72" i="3"/>
  <c r="N72" i="3" s="1"/>
  <c r="D71" i="3"/>
  <c r="N71" i="3" s="1"/>
  <c r="D70" i="3"/>
  <c r="N70" i="3" s="1"/>
  <c r="D69" i="3"/>
  <c r="N69" i="3" s="1"/>
  <c r="D68" i="3"/>
  <c r="N68" i="3" s="1"/>
  <c r="D67" i="3"/>
  <c r="N67" i="3" s="1"/>
  <c r="D66" i="3"/>
  <c r="N66" i="3" s="1"/>
  <c r="D65" i="3"/>
  <c r="N65" i="3" s="1"/>
  <c r="D64" i="3"/>
  <c r="N64" i="3" s="1"/>
  <c r="D63" i="3"/>
  <c r="N63" i="3" s="1"/>
  <c r="D62" i="3"/>
  <c r="N62" i="3" s="1"/>
  <c r="D61" i="3"/>
  <c r="N61" i="3" s="1"/>
  <c r="D60" i="3"/>
  <c r="N60" i="3" s="1"/>
  <c r="D58" i="3"/>
  <c r="N58" i="3" s="1"/>
  <c r="D57" i="3"/>
  <c r="N57" i="3" s="1"/>
  <c r="D56" i="3"/>
  <c r="N56" i="3" s="1"/>
  <c r="D55" i="3"/>
  <c r="N55" i="3" s="1"/>
  <c r="D54" i="3"/>
  <c r="N54" i="3" s="1"/>
  <c r="D53" i="3"/>
  <c r="N53" i="3" s="1"/>
  <c r="D52" i="3"/>
  <c r="N52" i="3" s="1"/>
  <c r="D51" i="3"/>
  <c r="N51" i="3" s="1"/>
  <c r="D50" i="3"/>
  <c r="N50" i="3" s="1"/>
  <c r="D49" i="3"/>
  <c r="N49" i="3" s="1"/>
  <c r="D48" i="3"/>
  <c r="N48" i="3" s="1"/>
  <c r="D47" i="3"/>
  <c r="N47" i="3" s="1"/>
  <c r="D46" i="3"/>
  <c r="N46" i="3" s="1"/>
  <c r="D45" i="3"/>
  <c r="N45" i="3" s="1"/>
  <c r="D44" i="3"/>
  <c r="N44" i="3" s="1"/>
  <c r="D42" i="3"/>
  <c r="N42" i="3" s="1"/>
  <c r="D41" i="3"/>
  <c r="N41" i="3" s="1"/>
  <c r="D40" i="3"/>
  <c r="N40" i="3" s="1"/>
  <c r="D39" i="3"/>
  <c r="N39" i="3" s="1"/>
  <c r="D38" i="3"/>
  <c r="N38" i="3" s="1"/>
  <c r="D37" i="3"/>
  <c r="N37" i="3" s="1"/>
  <c r="D36" i="3"/>
  <c r="N36" i="3" s="1"/>
  <c r="D35" i="3"/>
  <c r="N35" i="3" s="1"/>
  <c r="D34" i="3"/>
  <c r="N34" i="3" s="1"/>
  <c r="D33" i="3"/>
  <c r="N33" i="3" s="1"/>
  <c r="D32" i="3"/>
  <c r="N32" i="3" s="1"/>
  <c r="D31" i="3"/>
  <c r="N31" i="3" s="1"/>
  <c r="D30" i="3"/>
  <c r="N30" i="3" s="1"/>
  <c r="D29" i="3"/>
  <c r="N29" i="3" s="1"/>
  <c r="D28" i="3"/>
  <c r="N28" i="3" s="1"/>
  <c r="D27" i="3"/>
  <c r="N27" i="3" s="1"/>
  <c r="D26" i="3"/>
  <c r="N26" i="3" s="1"/>
  <c r="D24" i="3"/>
  <c r="N24" i="3" s="1"/>
  <c r="D23" i="3"/>
  <c r="N23" i="3" s="1"/>
  <c r="D22" i="3"/>
  <c r="N22" i="3" s="1"/>
  <c r="D21" i="3"/>
  <c r="N21" i="3" s="1"/>
  <c r="D20" i="3"/>
  <c r="N20" i="3" s="1"/>
  <c r="D19" i="3"/>
  <c r="N19" i="3" s="1"/>
  <c r="D18" i="3"/>
  <c r="N18" i="3" s="1"/>
  <c r="D17" i="3"/>
  <c r="N17" i="3" s="1"/>
  <c r="D13" i="3"/>
  <c r="N13" i="3" s="1"/>
  <c r="D12" i="3"/>
  <c r="N12" i="3" s="1"/>
  <c r="D11" i="3"/>
  <c r="N11" i="3" s="1"/>
  <c r="D10" i="3"/>
  <c r="N10" i="3" s="1"/>
  <c r="D9" i="3"/>
  <c r="N9" i="3" s="1"/>
  <c r="D8" i="3"/>
  <c r="N8" i="3" s="1"/>
  <c r="D7" i="3"/>
  <c r="N7" i="3" s="1"/>
  <c r="D6" i="3"/>
  <c r="N6" i="3" s="1"/>
  <c r="D5" i="3"/>
  <c r="N5" i="3" s="1"/>
  <c r="D4" i="3"/>
  <c r="N4" i="3" s="1"/>
  <c r="H125" i="3"/>
  <c r="H124" i="3"/>
  <c r="H123" i="3"/>
  <c r="H122" i="3"/>
  <c r="H121" i="3"/>
  <c r="H120" i="3"/>
  <c r="H119" i="3"/>
  <c r="H118" i="3"/>
  <c r="H117" i="3"/>
  <c r="H116" i="3"/>
  <c r="H115" i="3"/>
  <c r="H114" i="3"/>
  <c r="H113" i="3"/>
  <c r="H112" i="3"/>
  <c r="H111" i="3"/>
  <c r="H110" i="3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N424" i="1"/>
  <c r="O424" i="1"/>
  <c r="P424" i="1"/>
  <c r="V424" i="1"/>
  <c r="W424" i="1"/>
  <c r="N39" i="1"/>
  <c r="O39" i="1"/>
  <c r="P39" i="1"/>
  <c r="V39" i="1"/>
  <c r="W39" i="1"/>
  <c r="N384" i="1"/>
  <c r="O384" i="1"/>
  <c r="P384" i="1"/>
  <c r="V384" i="1"/>
  <c r="W384" i="1"/>
  <c r="N1094" i="1" l="1"/>
  <c r="O1094" i="1"/>
  <c r="P1094" i="1"/>
  <c r="V1094" i="1"/>
  <c r="W1094" i="1"/>
  <c r="N876" i="1"/>
  <c r="O876" i="1"/>
  <c r="P876" i="1"/>
  <c r="V876" i="1"/>
  <c r="W876" i="1"/>
  <c r="N875" i="1"/>
  <c r="O875" i="1"/>
  <c r="P875" i="1"/>
  <c r="V875" i="1"/>
  <c r="W875" i="1"/>
  <c r="N1059" i="1"/>
  <c r="O1059" i="1"/>
  <c r="P1059" i="1"/>
  <c r="V1059" i="1"/>
  <c r="W1059" i="1"/>
  <c r="N342" i="1"/>
  <c r="O342" i="1"/>
  <c r="P342" i="1"/>
  <c r="V342" i="1"/>
  <c r="W342" i="1"/>
  <c r="H1049" i="1" l="1"/>
  <c r="D83" i="3" s="1"/>
  <c r="N83" i="3" s="1"/>
  <c r="H37" i="1"/>
  <c r="D59" i="3" s="1"/>
  <c r="H379" i="1"/>
  <c r="D43" i="3" s="1"/>
  <c r="H1039" i="1"/>
  <c r="D118" i="3" s="1"/>
  <c r="N118" i="3" s="1"/>
  <c r="H877" i="1"/>
  <c r="D108" i="3" s="1"/>
  <c r="N108" i="3" s="1"/>
  <c r="H1092" i="1"/>
  <c r="D99" i="3" s="1"/>
  <c r="N99" i="3" s="1"/>
  <c r="H336" i="1"/>
  <c r="D98" i="3" s="1"/>
  <c r="N98" i="3" s="1"/>
  <c r="H426" i="1"/>
  <c r="D96" i="3" s="1"/>
  <c r="H946" i="1"/>
  <c r="D25" i="3" s="1"/>
  <c r="N25" i="3" s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7" i="1"/>
  <c r="W338" i="1"/>
  <c r="W339" i="1"/>
  <c r="W340" i="1"/>
  <c r="W341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5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3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7" i="1"/>
  <c r="V338" i="1"/>
  <c r="V339" i="1"/>
  <c r="V340" i="1"/>
  <c r="V341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80" i="1"/>
  <c r="V381" i="1"/>
  <c r="V382" i="1"/>
  <c r="V383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5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3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N1324" i="1"/>
  <c r="O1324" i="1"/>
  <c r="P1324" i="1"/>
  <c r="H1358" i="1"/>
  <c r="V1358" i="1" s="1"/>
  <c r="H1357" i="1"/>
  <c r="D16" i="3" s="1"/>
  <c r="N16" i="3" s="1"/>
  <c r="H1356" i="1"/>
  <c r="W1356" i="1" s="1"/>
  <c r="H1355" i="1"/>
  <c r="D15" i="3" s="1"/>
  <c r="N15" i="3" s="1"/>
  <c r="H1354" i="1"/>
  <c r="V1354" i="1" s="1"/>
  <c r="H1353" i="1"/>
  <c r="D14" i="3" s="1"/>
  <c r="N14" i="3" l="1"/>
  <c r="D129" i="3"/>
  <c r="D126" i="3"/>
  <c r="N126" i="3" s="1"/>
  <c r="N96" i="3"/>
  <c r="J96" i="3"/>
  <c r="V379" i="1"/>
  <c r="W1039" i="1"/>
  <c r="V1039" i="1"/>
  <c r="J43" i="3"/>
  <c r="N43" i="3"/>
  <c r="N59" i="3"/>
  <c r="J59" i="3"/>
  <c r="W1358" i="1"/>
  <c r="V336" i="1"/>
  <c r="H1359" i="1"/>
  <c r="V1355" i="1"/>
  <c r="V1357" i="1"/>
  <c r="W877" i="1"/>
  <c r="V877" i="1"/>
  <c r="V1092" i="1"/>
  <c r="W1092" i="1"/>
  <c r="V426" i="1"/>
  <c r="W426" i="1"/>
  <c r="W336" i="1"/>
  <c r="V946" i="1"/>
  <c r="W946" i="1"/>
  <c r="V1356" i="1"/>
  <c r="V1353" i="1"/>
  <c r="W1357" i="1"/>
  <c r="W1355" i="1"/>
  <c r="W1354" i="1"/>
  <c r="W1353" i="1"/>
  <c r="P1323" i="1"/>
  <c r="O1323" i="1"/>
  <c r="N1323" i="1"/>
  <c r="P1322" i="1"/>
  <c r="O1322" i="1"/>
  <c r="N1322" i="1"/>
  <c r="P1321" i="1"/>
  <c r="O1321" i="1"/>
  <c r="N1321" i="1"/>
  <c r="P1320" i="1"/>
  <c r="O1320" i="1"/>
  <c r="N1320" i="1"/>
  <c r="P1319" i="1"/>
  <c r="O1319" i="1"/>
  <c r="N1319" i="1"/>
  <c r="P1318" i="1"/>
  <c r="O1318" i="1"/>
  <c r="N1318" i="1"/>
  <c r="P1317" i="1"/>
  <c r="O1317" i="1"/>
  <c r="N1317" i="1"/>
  <c r="P1316" i="1"/>
  <c r="O1316" i="1"/>
  <c r="N1316" i="1"/>
  <c r="P1315" i="1"/>
  <c r="O1315" i="1"/>
  <c r="N1315" i="1"/>
  <c r="P1314" i="1"/>
  <c r="O1314" i="1"/>
  <c r="N1314" i="1"/>
  <c r="P1313" i="1"/>
  <c r="O1313" i="1"/>
  <c r="N1313" i="1"/>
  <c r="P1312" i="1"/>
  <c r="O1312" i="1"/>
  <c r="N1312" i="1"/>
  <c r="P1311" i="1"/>
  <c r="O1311" i="1"/>
  <c r="N1311" i="1"/>
  <c r="P1310" i="1"/>
  <c r="O1310" i="1"/>
  <c r="N1310" i="1"/>
  <c r="P1309" i="1"/>
  <c r="O1309" i="1"/>
  <c r="N1309" i="1"/>
  <c r="P1308" i="1"/>
  <c r="O1308" i="1"/>
  <c r="N1308" i="1"/>
  <c r="P1307" i="1"/>
  <c r="O1307" i="1"/>
  <c r="N1307" i="1"/>
  <c r="P1306" i="1"/>
  <c r="O1306" i="1"/>
  <c r="N1306" i="1"/>
  <c r="P1305" i="1"/>
  <c r="O1305" i="1"/>
  <c r="N1305" i="1"/>
  <c r="P1304" i="1"/>
  <c r="O1304" i="1"/>
  <c r="N1304" i="1"/>
  <c r="P1303" i="1"/>
  <c r="O1303" i="1"/>
  <c r="N1303" i="1"/>
  <c r="P1302" i="1"/>
  <c r="O1302" i="1"/>
  <c r="N1302" i="1"/>
  <c r="P1301" i="1"/>
  <c r="O1301" i="1"/>
  <c r="N1301" i="1"/>
  <c r="P1300" i="1"/>
  <c r="O1300" i="1"/>
  <c r="N1300" i="1"/>
  <c r="P1299" i="1"/>
  <c r="O1299" i="1"/>
  <c r="N1299" i="1"/>
  <c r="P1298" i="1"/>
  <c r="O1298" i="1"/>
  <c r="N1298" i="1"/>
  <c r="P1297" i="1"/>
  <c r="O1297" i="1"/>
  <c r="N1297" i="1"/>
  <c r="P1296" i="1"/>
  <c r="O1296" i="1"/>
  <c r="N1296" i="1"/>
  <c r="P1295" i="1"/>
  <c r="O1295" i="1"/>
  <c r="N1295" i="1"/>
  <c r="P1294" i="1"/>
  <c r="O1294" i="1"/>
  <c r="N1294" i="1"/>
  <c r="P1293" i="1"/>
  <c r="O1293" i="1"/>
  <c r="N1293" i="1"/>
  <c r="P1292" i="1"/>
  <c r="O1292" i="1"/>
  <c r="N1292" i="1"/>
  <c r="P1291" i="1"/>
  <c r="O1291" i="1"/>
  <c r="N1291" i="1"/>
  <c r="P1290" i="1"/>
  <c r="O1290" i="1"/>
  <c r="N1290" i="1"/>
  <c r="P1289" i="1"/>
  <c r="O1289" i="1"/>
  <c r="N1289" i="1"/>
  <c r="P1288" i="1"/>
  <c r="O1288" i="1"/>
  <c r="N1288" i="1"/>
  <c r="P1287" i="1"/>
  <c r="O1287" i="1"/>
  <c r="N1287" i="1"/>
  <c r="P1286" i="1"/>
  <c r="O1286" i="1"/>
  <c r="N1286" i="1"/>
  <c r="P1285" i="1"/>
  <c r="O1285" i="1"/>
  <c r="N1285" i="1"/>
  <c r="P1284" i="1"/>
  <c r="O1284" i="1"/>
  <c r="N1284" i="1"/>
  <c r="P1283" i="1"/>
  <c r="O1283" i="1"/>
  <c r="N1283" i="1"/>
  <c r="P1282" i="1"/>
  <c r="O1282" i="1"/>
  <c r="N1282" i="1"/>
  <c r="P1281" i="1"/>
  <c r="O1281" i="1"/>
  <c r="N1281" i="1"/>
  <c r="P1280" i="1"/>
  <c r="O1280" i="1"/>
  <c r="N1280" i="1"/>
  <c r="P1279" i="1"/>
  <c r="O1279" i="1"/>
  <c r="N1279" i="1"/>
  <c r="P1278" i="1"/>
  <c r="O1278" i="1"/>
  <c r="N1278" i="1"/>
  <c r="P1277" i="1"/>
  <c r="O1277" i="1"/>
  <c r="N1277" i="1"/>
  <c r="P1276" i="1"/>
  <c r="O1276" i="1"/>
  <c r="N1276" i="1"/>
  <c r="P1275" i="1"/>
  <c r="O1275" i="1"/>
  <c r="N1275" i="1"/>
  <c r="P1274" i="1"/>
  <c r="O1274" i="1"/>
  <c r="N1274" i="1"/>
  <c r="P1273" i="1"/>
  <c r="O1273" i="1"/>
  <c r="N1273" i="1"/>
  <c r="P1272" i="1"/>
  <c r="O1272" i="1"/>
  <c r="N1272" i="1"/>
  <c r="P1271" i="1"/>
  <c r="O1271" i="1"/>
  <c r="N1271" i="1"/>
  <c r="P1270" i="1"/>
  <c r="O1270" i="1"/>
  <c r="N1270" i="1"/>
  <c r="P1269" i="1"/>
  <c r="O1269" i="1"/>
  <c r="N1269" i="1"/>
  <c r="P1268" i="1"/>
  <c r="O1268" i="1"/>
  <c r="N1268" i="1"/>
  <c r="P1267" i="1"/>
  <c r="O1267" i="1"/>
  <c r="N1267" i="1"/>
  <c r="P1266" i="1"/>
  <c r="O1266" i="1"/>
  <c r="N1266" i="1"/>
  <c r="P1265" i="1"/>
  <c r="O1265" i="1"/>
  <c r="N1265" i="1"/>
  <c r="P1264" i="1"/>
  <c r="O1264" i="1"/>
  <c r="N1264" i="1"/>
  <c r="P1263" i="1"/>
  <c r="O1263" i="1"/>
  <c r="N1263" i="1"/>
  <c r="P1262" i="1"/>
  <c r="O1262" i="1"/>
  <c r="N1262" i="1"/>
  <c r="P1261" i="1"/>
  <c r="O1261" i="1"/>
  <c r="N1261" i="1"/>
  <c r="P1260" i="1"/>
  <c r="O1260" i="1"/>
  <c r="N1260" i="1"/>
  <c r="P1259" i="1"/>
  <c r="O1259" i="1"/>
  <c r="N1259" i="1"/>
  <c r="P1258" i="1"/>
  <c r="O1258" i="1"/>
  <c r="N1258" i="1"/>
  <c r="P1257" i="1"/>
  <c r="O1257" i="1"/>
  <c r="N1257" i="1"/>
  <c r="P1256" i="1"/>
  <c r="O1256" i="1"/>
  <c r="N1256" i="1"/>
  <c r="P1255" i="1"/>
  <c r="O1255" i="1"/>
  <c r="N1255" i="1"/>
  <c r="P1254" i="1"/>
  <c r="O1254" i="1"/>
  <c r="N1254" i="1"/>
  <c r="P1253" i="1"/>
  <c r="O1253" i="1"/>
  <c r="N1253" i="1"/>
  <c r="P1252" i="1"/>
  <c r="O1252" i="1"/>
  <c r="N1252" i="1"/>
  <c r="P1251" i="1"/>
  <c r="O1251" i="1"/>
  <c r="N1251" i="1"/>
  <c r="P1250" i="1"/>
  <c r="O1250" i="1"/>
  <c r="N1250" i="1"/>
  <c r="P1249" i="1"/>
  <c r="O1249" i="1"/>
  <c r="N1249" i="1"/>
  <c r="P1248" i="1"/>
  <c r="O1248" i="1"/>
  <c r="N1248" i="1"/>
  <c r="P1247" i="1"/>
  <c r="O1247" i="1"/>
  <c r="N1247" i="1"/>
  <c r="P1246" i="1"/>
  <c r="O1246" i="1"/>
  <c r="N1246" i="1"/>
  <c r="P1245" i="1"/>
  <c r="O1245" i="1"/>
  <c r="N1245" i="1"/>
  <c r="P1244" i="1"/>
  <c r="O1244" i="1"/>
  <c r="N1244" i="1"/>
  <c r="P1243" i="1"/>
  <c r="O1243" i="1"/>
  <c r="N1243" i="1"/>
  <c r="P1242" i="1"/>
  <c r="O1242" i="1"/>
  <c r="N1242" i="1"/>
  <c r="P1241" i="1"/>
  <c r="O1241" i="1"/>
  <c r="N1241" i="1"/>
  <c r="P1240" i="1"/>
  <c r="O1240" i="1"/>
  <c r="N1240" i="1"/>
  <c r="P1239" i="1"/>
  <c r="O1239" i="1"/>
  <c r="N1239" i="1"/>
  <c r="P1238" i="1"/>
  <c r="O1238" i="1"/>
  <c r="N1238" i="1"/>
  <c r="P1237" i="1"/>
  <c r="O1237" i="1"/>
  <c r="N1237" i="1"/>
  <c r="P1236" i="1"/>
  <c r="O1236" i="1"/>
  <c r="N1236" i="1"/>
  <c r="P1235" i="1"/>
  <c r="O1235" i="1"/>
  <c r="N1235" i="1"/>
  <c r="P1234" i="1"/>
  <c r="O1234" i="1"/>
  <c r="N1234" i="1"/>
  <c r="P1233" i="1"/>
  <c r="O1233" i="1"/>
  <c r="N1233" i="1"/>
  <c r="P1232" i="1"/>
  <c r="O1232" i="1"/>
  <c r="N1232" i="1"/>
  <c r="P1231" i="1"/>
  <c r="O1231" i="1"/>
  <c r="N1231" i="1"/>
  <c r="P1230" i="1"/>
  <c r="O1230" i="1"/>
  <c r="N1230" i="1"/>
  <c r="P1229" i="1"/>
  <c r="O1229" i="1"/>
  <c r="N1229" i="1"/>
  <c r="P1228" i="1"/>
  <c r="O1228" i="1"/>
  <c r="N1228" i="1"/>
  <c r="P1227" i="1"/>
  <c r="O1227" i="1"/>
  <c r="N1227" i="1"/>
  <c r="P1226" i="1"/>
  <c r="O1226" i="1"/>
  <c r="N1226" i="1"/>
  <c r="P1225" i="1"/>
  <c r="O1225" i="1"/>
  <c r="N1225" i="1"/>
  <c r="P1224" i="1"/>
  <c r="O1224" i="1"/>
  <c r="N1224" i="1"/>
  <c r="P1223" i="1"/>
  <c r="O1223" i="1"/>
  <c r="N1223" i="1"/>
  <c r="P1222" i="1"/>
  <c r="O1222" i="1"/>
  <c r="N1222" i="1"/>
  <c r="P1221" i="1"/>
  <c r="O1221" i="1"/>
  <c r="N1221" i="1"/>
  <c r="P1220" i="1"/>
  <c r="O1220" i="1"/>
  <c r="N1220" i="1"/>
  <c r="P1219" i="1"/>
  <c r="O1219" i="1"/>
  <c r="N1219" i="1"/>
  <c r="P1218" i="1"/>
  <c r="O1218" i="1"/>
  <c r="N1218" i="1"/>
  <c r="P1217" i="1"/>
  <c r="O1217" i="1"/>
  <c r="N1217" i="1"/>
  <c r="P1216" i="1"/>
  <c r="O1216" i="1"/>
  <c r="N1216" i="1"/>
  <c r="P1215" i="1"/>
  <c r="O1215" i="1"/>
  <c r="N1215" i="1"/>
  <c r="P1214" i="1"/>
  <c r="O1214" i="1"/>
  <c r="N1214" i="1"/>
  <c r="P1213" i="1"/>
  <c r="O1213" i="1"/>
  <c r="N1213" i="1"/>
  <c r="P1212" i="1"/>
  <c r="O1212" i="1"/>
  <c r="N1212" i="1"/>
  <c r="P1211" i="1"/>
  <c r="O1211" i="1"/>
  <c r="N1211" i="1"/>
  <c r="P1210" i="1"/>
  <c r="O1210" i="1"/>
  <c r="N1210" i="1"/>
  <c r="P1209" i="1"/>
  <c r="O1209" i="1"/>
  <c r="N1209" i="1"/>
  <c r="P1208" i="1"/>
  <c r="O1208" i="1"/>
  <c r="N1208" i="1"/>
  <c r="P1207" i="1"/>
  <c r="O1207" i="1"/>
  <c r="N1207" i="1"/>
  <c r="P1206" i="1"/>
  <c r="O1206" i="1"/>
  <c r="N1206" i="1"/>
  <c r="P1205" i="1"/>
  <c r="O1205" i="1"/>
  <c r="N1205" i="1"/>
  <c r="P1204" i="1"/>
  <c r="O1204" i="1"/>
  <c r="N1204" i="1"/>
  <c r="P1203" i="1"/>
  <c r="O1203" i="1"/>
  <c r="N1203" i="1"/>
  <c r="P1202" i="1"/>
  <c r="O1202" i="1"/>
  <c r="N1202" i="1"/>
  <c r="P1201" i="1"/>
  <c r="O1201" i="1"/>
  <c r="N1201" i="1"/>
  <c r="P1200" i="1"/>
  <c r="O1200" i="1"/>
  <c r="N1200" i="1"/>
  <c r="P1199" i="1"/>
  <c r="O1199" i="1"/>
  <c r="N1199" i="1"/>
  <c r="P1198" i="1"/>
  <c r="O1198" i="1"/>
  <c r="N1198" i="1"/>
  <c r="P1197" i="1"/>
  <c r="O1197" i="1"/>
  <c r="N1197" i="1"/>
  <c r="P1196" i="1"/>
  <c r="O1196" i="1"/>
  <c r="N1196" i="1"/>
  <c r="P1195" i="1"/>
  <c r="O1195" i="1"/>
  <c r="N1195" i="1"/>
  <c r="P1194" i="1"/>
  <c r="O1194" i="1"/>
  <c r="N1194" i="1"/>
  <c r="P1193" i="1"/>
  <c r="O1193" i="1"/>
  <c r="N1193" i="1"/>
  <c r="P1192" i="1"/>
  <c r="O1192" i="1"/>
  <c r="N1192" i="1"/>
  <c r="P1191" i="1"/>
  <c r="O1191" i="1"/>
  <c r="N1191" i="1"/>
  <c r="P1190" i="1"/>
  <c r="O1190" i="1"/>
  <c r="N1190" i="1"/>
  <c r="P1189" i="1"/>
  <c r="O1189" i="1"/>
  <c r="N1189" i="1"/>
  <c r="P1188" i="1"/>
  <c r="O1188" i="1"/>
  <c r="N1188" i="1"/>
  <c r="P1187" i="1"/>
  <c r="O1187" i="1"/>
  <c r="N1187" i="1"/>
  <c r="P1186" i="1"/>
  <c r="O1186" i="1"/>
  <c r="N1186" i="1"/>
  <c r="P1185" i="1"/>
  <c r="O1185" i="1"/>
  <c r="N1185" i="1"/>
  <c r="P1184" i="1"/>
  <c r="O1184" i="1"/>
  <c r="N1184" i="1"/>
  <c r="P1183" i="1"/>
  <c r="O1183" i="1"/>
  <c r="N1183" i="1"/>
  <c r="P1182" i="1"/>
  <c r="O1182" i="1"/>
  <c r="N1182" i="1"/>
  <c r="P1181" i="1"/>
  <c r="O1181" i="1"/>
  <c r="N1181" i="1"/>
  <c r="P1180" i="1"/>
  <c r="O1180" i="1"/>
  <c r="N1180" i="1"/>
  <c r="P1179" i="1"/>
  <c r="O1179" i="1"/>
  <c r="N1179" i="1"/>
  <c r="P1178" i="1"/>
  <c r="O1178" i="1"/>
  <c r="N1178" i="1"/>
  <c r="P1177" i="1"/>
  <c r="O1177" i="1"/>
  <c r="N1177" i="1"/>
  <c r="P1176" i="1"/>
  <c r="O1176" i="1"/>
  <c r="N1176" i="1"/>
  <c r="P1175" i="1"/>
  <c r="O1175" i="1"/>
  <c r="N1175" i="1"/>
  <c r="P1174" i="1"/>
  <c r="O1174" i="1"/>
  <c r="N1174" i="1"/>
  <c r="P1173" i="1"/>
  <c r="O1173" i="1"/>
  <c r="N1173" i="1"/>
  <c r="P1172" i="1"/>
  <c r="O1172" i="1"/>
  <c r="N1172" i="1"/>
  <c r="P1171" i="1"/>
  <c r="O1171" i="1"/>
  <c r="N1171" i="1"/>
  <c r="P1170" i="1"/>
  <c r="O1170" i="1"/>
  <c r="N1170" i="1"/>
  <c r="P1169" i="1"/>
  <c r="O1169" i="1"/>
  <c r="N1169" i="1"/>
  <c r="P1168" i="1"/>
  <c r="O1168" i="1"/>
  <c r="N1168" i="1"/>
  <c r="P1167" i="1"/>
  <c r="O1167" i="1"/>
  <c r="N1167" i="1"/>
  <c r="P1166" i="1"/>
  <c r="O1166" i="1"/>
  <c r="N1166" i="1"/>
  <c r="P1165" i="1"/>
  <c r="O1165" i="1"/>
  <c r="N1165" i="1"/>
  <c r="P1164" i="1"/>
  <c r="O1164" i="1"/>
  <c r="N1164" i="1"/>
  <c r="P1163" i="1"/>
  <c r="O1163" i="1"/>
  <c r="N1163" i="1"/>
  <c r="P1162" i="1"/>
  <c r="O1162" i="1"/>
  <c r="N1162" i="1"/>
  <c r="P1161" i="1"/>
  <c r="O1161" i="1"/>
  <c r="N1161" i="1"/>
  <c r="P1160" i="1"/>
  <c r="O1160" i="1"/>
  <c r="N1160" i="1"/>
  <c r="P1159" i="1"/>
  <c r="O1159" i="1"/>
  <c r="N1159" i="1"/>
  <c r="P1158" i="1"/>
  <c r="O1158" i="1"/>
  <c r="N1158" i="1"/>
  <c r="P1157" i="1"/>
  <c r="O1157" i="1"/>
  <c r="N1157" i="1"/>
  <c r="P1156" i="1"/>
  <c r="O1156" i="1"/>
  <c r="N1156" i="1"/>
  <c r="P1155" i="1"/>
  <c r="O1155" i="1"/>
  <c r="N1155" i="1"/>
  <c r="P1154" i="1"/>
  <c r="O1154" i="1"/>
  <c r="N1154" i="1"/>
  <c r="P1153" i="1"/>
  <c r="O1153" i="1"/>
  <c r="N1153" i="1"/>
  <c r="P1152" i="1"/>
  <c r="O1152" i="1"/>
  <c r="N1152" i="1"/>
  <c r="P1151" i="1"/>
  <c r="O1151" i="1"/>
  <c r="N1151" i="1"/>
  <c r="P1150" i="1"/>
  <c r="O1150" i="1"/>
  <c r="N1150" i="1"/>
  <c r="P1149" i="1"/>
  <c r="O1149" i="1"/>
  <c r="N1149" i="1"/>
  <c r="P1148" i="1"/>
  <c r="O1148" i="1"/>
  <c r="N1148" i="1"/>
  <c r="P1147" i="1"/>
  <c r="O1147" i="1"/>
  <c r="N1147" i="1"/>
  <c r="P1146" i="1"/>
  <c r="O1146" i="1"/>
  <c r="N1146" i="1"/>
  <c r="P1145" i="1"/>
  <c r="O1145" i="1"/>
  <c r="N1145" i="1"/>
  <c r="P1144" i="1"/>
  <c r="O1144" i="1"/>
  <c r="N1144" i="1"/>
  <c r="P1143" i="1"/>
  <c r="O1143" i="1"/>
  <c r="N1143" i="1"/>
  <c r="P1142" i="1"/>
  <c r="O1142" i="1"/>
  <c r="N1142" i="1"/>
  <c r="P1141" i="1"/>
  <c r="O1141" i="1"/>
  <c r="N1141" i="1"/>
  <c r="P1140" i="1"/>
  <c r="O1140" i="1"/>
  <c r="N1140" i="1"/>
  <c r="P1139" i="1"/>
  <c r="O1139" i="1"/>
  <c r="N1139" i="1"/>
  <c r="P1138" i="1"/>
  <c r="O1138" i="1"/>
  <c r="N1138" i="1"/>
  <c r="P1137" i="1"/>
  <c r="O1137" i="1"/>
  <c r="N1137" i="1"/>
  <c r="P1136" i="1"/>
  <c r="O1136" i="1"/>
  <c r="N1136" i="1"/>
  <c r="P1135" i="1"/>
  <c r="O1135" i="1"/>
  <c r="N1135" i="1"/>
  <c r="P1134" i="1"/>
  <c r="O1134" i="1"/>
  <c r="N1134" i="1"/>
  <c r="P1133" i="1"/>
  <c r="O1133" i="1"/>
  <c r="N1133" i="1"/>
  <c r="P1132" i="1"/>
  <c r="O1132" i="1"/>
  <c r="N1132" i="1"/>
  <c r="P1131" i="1"/>
  <c r="O1131" i="1"/>
  <c r="N1131" i="1"/>
  <c r="P1130" i="1"/>
  <c r="O1130" i="1"/>
  <c r="N1130" i="1"/>
  <c r="P1129" i="1"/>
  <c r="O1129" i="1"/>
  <c r="N1129" i="1"/>
  <c r="P1128" i="1"/>
  <c r="O1128" i="1"/>
  <c r="N1128" i="1"/>
  <c r="P1127" i="1"/>
  <c r="O1127" i="1"/>
  <c r="N1127" i="1"/>
  <c r="P1126" i="1"/>
  <c r="O1126" i="1"/>
  <c r="N1126" i="1"/>
  <c r="P1125" i="1"/>
  <c r="O1125" i="1"/>
  <c r="N1125" i="1"/>
  <c r="P1124" i="1"/>
  <c r="O1124" i="1"/>
  <c r="N1124" i="1"/>
  <c r="P1123" i="1"/>
  <c r="O1123" i="1"/>
  <c r="N1123" i="1"/>
  <c r="P1122" i="1"/>
  <c r="O1122" i="1"/>
  <c r="N1122" i="1"/>
  <c r="P1121" i="1"/>
  <c r="O1121" i="1"/>
  <c r="N1121" i="1"/>
  <c r="P1120" i="1"/>
  <c r="O1120" i="1"/>
  <c r="N1120" i="1"/>
  <c r="P1119" i="1"/>
  <c r="O1119" i="1"/>
  <c r="N1119" i="1"/>
  <c r="P1118" i="1"/>
  <c r="O1118" i="1"/>
  <c r="N1118" i="1"/>
  <c r="P1117" i="1"/>
  <c r="O1117" i="1"/>
  <c r="N1117" i="1"/>
  <c r="P1116" i="1"/>
  <c r="O1116" i="1"/>
  <c r="N1116" i="1"/>
  <c r="P1115" i="1"/>
  <c r="O1115" i="1"/>
  <c r="N1115" i="1"/>
  <c r="P1114" i="1"/>
  <c r="O1114" i="1"/>
  <c r="N1114" i="1"/>
  <c r="P1113" i="1"/>
  <c r="O1113" i="1"/>
  <c r="N1113" i="1"/>
  <c r="P1112" i="1"/>
  <c r="O1112" i="1"/>
  <c r="N1112" i="1"/>
  <c r="P1111" i="1"/>
  <c r="O1111" i="1"/>
  <c r="N1111" i="1"/>
  <c r="P1110" i="1"/>
  <c r="O1110" i="1"/>
  <c r="N1110" i="1"/>
  <c r="P1109" i="1"/>
  <c r="O1109" i="1"/>
  <c r="N1109" i="1"/>
  <c r="P1108" i="1"/>
  <c r="O1108" i="1"/>
  <c r="N1108" i="1"/>
  <c r="P1107" i="1"/>
  <c r="O1107" i="1"/>
  <c r="N1107" i="1"/>
  <c r="P1106" i="1"/>
  <c r="O1106" i="1"/>
  <c r="N1106" i="1"/>
  <c r="P1105" i="1"/>
  <c r="O1105" i="1"/>
  <c r="N1105" i="1"/>
  <c r="P1104" i="1"/>
  <c r="O1104" i="1"/>
  <c r="N1104" i="1"/>
  <c r="P1103" i="1"/>
  <c r="O1103" i="1"/>
  <c r="N1103" i="1"/>
  <c r="P1102" i="1"/>
  <c r="O1102" i="1"/>
  <c r="N1102" i="1"/>
  <c r="P1101" i="1"/>
  <c r="O1101" i="1"/>
  <c r="N1101" i="1"/>
  <c r="P1100" i="1"/>
  <c r="O1100" i="1"/>
  <c r="N1100" i="1"/>
  <c r="P1099" i="1"/>
  <c r="O1099" i="1"/>
  <c r="N1099" i="1"/>
  <c r="P1098" i="1"/>
  <c r="O1098" i="1"/>
  <c r="N1098" i="1"/>
  <c r="P1097" i="1"/>
  <c r="O1097" i="1"/>
  <c r="N1097" i="1"/>
  <c r="P1096" i="1"/>
  <c r="O1096" i="1"/>
  <c r="N1096" i="1"/>
  <c r="P1095" i="1"/>
  <c r="O1095" i="1"/>
  <c r="N1095" i="1"/>
  <c r="P1093" i="1"/>
  <c r="O1093" i="1"/>
  <c r="N1093" i="1"/>
  <c r="P1092" i="1"/>
  <c r="O1092" i="1"/>
  <c r="N1092" i="1"/>
  <c r="P1091" i="1"/>
  <c r="O1091" i="1"/>
  <c r="N1091" i="1"/>
  <c r="P1090" i="1"/>
  <c r="O1090" i="1"/>
  <c r="N1090" i="1"/>
  <c r="P1089" i="1"/>
  <c r="O1089" i="1"/>
  <c r="N1089" i="1"/>
  <c r="P1088" i="1"/>
  <c r="O1088" i="1"/>
  <c r="N1088" i="1"/>
  <c r="P1087" i="1"/>
  <c r="O1087" i="1"/>
  <c r="N1087" i="1"/>
  <c r="P1086" i="1"/>
  <c r="O1086" i="1"/>
  <c r="N1086" i="1"/>
  <c r="P1085" i="1"/>
  <c r="O1085" i="1"/>
  <c r="N1085" i="1"/>
  <c r="P1084" i="1"/>
  <c r="O1084" i="1"/>
  <c r="N1084" i="1"/>
  <c r="P1083" i="1"/>
  <c r="O1083" i="1"/>
  <c r="N1083" i="1"/>
  <c r="P1082" i="1"/>
  <c r="O1082" i="1"/>
  <c r="N1082" i="1"/>
  <c r="P1081" i="1"/>
  <c r="O1081" i="1"/>
  <c r="N1081" i="1"/>
  <c r="P1080" i="1"/>
  <c r="O1080" i="1"/>
  <c r="N1080" i="1"/>
  <c r="P1079" i="1"/>
  <c r="O1079" i="1"/>
  <c r="N1079" i="1"/>
  <c r="P1078" i="1"/>
  <c r="O1078" i="1"/>
  <c r="N1078" i="1"/>
  <c r="P1077" i="1"/>
  <c r="O1077" i="1"/>
  <c r="N1077" i="1"/>
  <c r="P1076" i="1"/>
  <c r="O1076" i="1"/>
  <c r="N1076" i="1"/>
  <c r="P1075" i="1"/>
  <c r="O1075" i="1"/>
  <c r="N1075" i="1"/>
  <c r="P1074" i="1"/>
  <c r="O1074" i="1"/>
  <c r="N1074" i="1"/>
  <c r="P1073" i="1"/>
  <c r="O1073" i="1"/>
  <c r="N1073" i="1"/>
  <c r="P1072" i="1"/>
  <c r="O1072" i="1"/>
  <c r="N1072" i="1"/>
  <c r="P1071" i="1"/>
  <c r="O1071" i="1"/>
  <c r="N1071" i="1"/>
  <c r="P1070" i="1"/>
  <c r="O1070" i="1"/>
  <c r="N1070" i="1"/>
  <c r="P1069" i="1"/>
  <c r="O1069" i="1"/>
  <c r="N1069" i="1"/>
  <c r="P1068" i="1"/>
  <c r="O1068" i="1"/>
  <c r="N1068" i="1"/>
  <c r="P1067" i="1"/>
  <c r="O1067" i="1"/>
  <c r="N1067" i="1"/>
  <c r="P1066" i="1"/>
  <c r="O1066" i="1"/>
  <c r="N1066" i="1"/>
  <c r="P1065" i="1"/>
  <c r="O1065" i="1"/>
  <c r="N1065" i="1"/>
  <c r="P1064" i="1"/>
  <c r="O1064" i="1"/>
  <c r="N1064" i="1"/>
  <c r="P1063" i="1"/>
  <c r="O1063" i="1"/>
  <c r="N1063" i="1"/>
  <c r="P1062" i="1"/>
  <c r="O1062" i="1"/>
  <c r="N1062" i="1"/>
  <c r="P1061" i="1"/>
  <c r="O1061" i="1"/>
  <c r="N1061" i="1"/>
  <c r="P1060" i="1"/>
  <c r="O1060" i="1"/>
  <c r="N1060" i="1"/>
  <c r="P1058" i="1"/>
  <c r="O1058" i="1"/>
  <c r="N1058" i="1"/>
  <c r="P1057" i="1"/>
  <c r="O1057" i="1"/>
  <c r="N1057" i="1"/>
  <c r="P1056" i="1"/>
  <c r="O1056" i="1"/>
  <c r="N1056" i="1"/>
  <c r="P1055" i="1"/>
  <c r="O1055" i="1"/>
  <c r="N1055" i="1"/>
  <c r="P1054" i="1"/>
  <c r="O1054" i="1"/>
  <c r="N1054" i="1"/>
  <c r="P1053" i="1"/>
  <c r="O1053" i="1"/>
  <c r="N1053" i="1"/>
  <c r="P1052" i="1"/>
  <c r="O1052" i="1"/>
  <c r="N1052" i="1"/>
  <c r="P1051" i="1"/>
  <c r="O1051" i="1"/>
  <c r="N1051" i="1"/>
  <c r="P1050" i="1"/>
  <c r="O1050" i="1"/>
  <c r="N1050" i="1"/>
  <c r="P1049" i="1"/>
  <c r="O1049" i="1"/>
  <c r="N1049" i="1"/>
  <c r="P1048" i="1"/>
  <c r="O1048" i="1"/>
  <c r="N1048" i="1"/>
  <c r="P1047" i="1"/>
  <c r="O1047" i="1"/>
  <c r="N1047" i="1"/>
  <c r="P1046" i="1"/>
  <c r="O1046" i="1"/>
  <c r="N1046" i="1"/>
  <c r="P1045" i="1"/>
  <c r="O1045" i="1"/>
  <c r="N1045" i="1"/>
  <c r="P1044" i="1"/>
  <c r="O1044" i="1"/>
  <c r="N1044" i="1"/>
  <c r="P1043" i="1"/>
  <c r="O1043" i="1"/>
  <c r="N1043" i="1"/>
  <c r="P1042" i="1"/>
  <c r="O1042" i="1"/>
  <c r="N1042" i="1"/>
  <c r="P1041" i="1"/>
  <c r="O1041" i="1"/>
  <c r="N1041" i="1"/>
  <c r="P1040" i="1"/>
  <c r="O1040" i="1"/>
  <c r="N1040" i="1"/>
  <c r="P1039" i="1"/>
  <c r="O1039" i="1"/>
  <c r="N1039" i="1"/>
  <c r="P1038" i="1"/>
  <c r="O1038" i="1"/>
  <c r="N1038" i="1"/>
  <c r="P1037" i="1"/>
  <c r="O1037" i="1"/>
  <c r="N1037" i="1"/>
  <c r="P1036" i="1"/>
  <c r="O1036" i="1"/>
  <c r="N1036" i="1"/>
  <c r="P1035" i="1"/>
  <c r="O1035" i="1"/>
  <c r="N1035" i="1"/>
  <c r="P1034" i="1"/>
  <c r="O1034" i="1"/>
  <c r="N1034" i="1"/>
  <c r="P1033" i="1"/>
  <c r="O1033" i="1"/>
  <c r="N1033" i="1"/>
  <c r="P1032" i="1"/>
  <c r="O1032" i="1"/>
  <c r="N1032" i="1"/>
  <c r="P1031" i="1"/>
  <c r="O1031" i="1"/>
  <c r="N1031" i="1"/>
  <c r="P1030" i="1"/>
  <c r="O1030" i="1"/>
  <c r="N1030" i="1"/>
  <c r="P1029" i="1"/>
  <c r="O1029" i="1"/>
  <c r="N1029" i="1"/>
  <c r="P1028" i="1"/>
  <c r="O1028" i="1"/>
  <c r="N1028" i="1"/>
  <c r="P1027" i="1"/>
  <c r="O1027" i="1"/>
  <c r="N1027" i="1"/>
  <c r="P1026" i="1"/>
  <c r="O1026" i="1"/>
  <c r="N1026" i="1"/>
  <c r="P1025" i="1"/>
  <c r="O1025" i="1"/>
  <c r="N1025" i="1"/>
  <c r="P1024" i="1"/>
  <c r="O1024" i="1"/>
  <c r="N1024" i="1"/>
  <c r="P1023" i="1"/>
  <c r="O1023" i="1"/>
  <c r="N1023" i="1"/>
  <c r="P1022" i="1"/>
  <c r="O1022" i="1"/>
  <c r="N1022" i="1"/>
  <c r="P1021" i="1"/>
  <c r="O1021" i="1"/>
  <c r="N1021" i="1"/>
  <c r="P1020" i="1"/>
  <c r="O1020" i="1"/>
  <c r="N1020" i="1"/>
  <c r="P1019" i="1"/>
  <c r="O1019" i="1"/>
  <c r="N1019" i="1"/>
  <c r="P1018" i="1"/>
  <c r="O1018" i="1"/>
  <c r="N1018" i="1"/>
  <c r="P1017" i="1"/>
  <c r="O1017" i="1"/>
  <c r="N1017" i="1"/>
  <c r="P1016" i="1"/>
  <c r="O1016" i="1"/>
  <c r="N1016" i="1"/>
  <c r="P1015" i="1"/>
  <c r="O1015" i="1"/>
  <c r="N1015" i="1"/>
  <c r="P1014" i="1"/>
  <c r="O1014" i="1"/>
  <c r="N1014" i="1"/>
  <c r="P1013" i="1"/>
  <c r="O1013" i="1"/>
  <c r="N1013" i="1"/>
  <c r="P1012" i="1"/>
  <c r="O1012" i="1"/>
  <c r="N1012" i="1"/>
  <c r="P1011" i="1"/>
  <c r="O1011" i="1"/>
  <c r="N1011" i="1"/>
  <c r="P1010" i="1"/>
  <c r="O1010" i="1"/>
  <c r="N1010" i="1"/>
  <c r="P1009" i="1"/>
  <c r="O1009" i="1"/>
  <c r="N1009" i="1"/>
  <c r="P1008" i="1"/>
  <c r="O1008" i="1"/>
  <c r="N1008" i="1"/>
  <c r="P1007" i="1"/>
  <c r="O1007" i="1"/>
  <c r="N1007" i="1"/>
  <c r="P1006" i="1"/>
  <c r="O1006" i="1"/>
  <c r="N1006" i="1"/>
  <c r="P1005" i="1"/>
  <c r="O1005" i="1"/>
  <c r="N1005" i="1"/>
  <c r="P1004" i="1"/>
  <c r="O1004" i="1"/>
  <c r="N1004" i="1"/>
  <c r="P1003" i="1"/>
  <c r="O1003" i="1"/>
  <c r="N1003" i="1"/>
  <c r="P1002" i="1"/>
  <c r="O1002" i="1"/>
  <c r="N1002" i="1"/>
  <c r="P1001" i="1"/>
  <c r="O1001" i="1"/>
  <c r="N1001" i="1"/>
  <c r="P1000" i="1"/>
  <c r="O1000" i="1"/>
  <c r="N1000" i="1"/>
  <c r="P999" i="1"/>
  <c r="O999" i="1"/>
  <c r="N999" i="1"/>
  <c r="P998" i="1"/>
  <c r="O998" i="1"/>
  <c r="N998" i="1"/>
  <c r="P997" i="1"/>
  <c r="O997" i="1"/>
  <c r="N997" i="1"/>
  <c r="P996" i="1"/>
  <c r="O996" i="1"/>
  <c r="N996" i="1"/>
  <c r="P995" i="1"/>
  <c r="O995" i="1"/>
  <c r="N995" i="1"/>
  <c r="P994" i="1"/>
  <c r="O994" i="1"/>
  <c r="N994" i="1"/>
  <c r="P993" i="1"/>
  <c r="O993" i="1"/>
  <c r="N993" i="1"/>
  <c r="P992" i="1"/>
  <c r="O992" i="1"/>
  <c r="N992" i="1"/>
  <c r="P991" i="1"/>
  <c r="O991" i="1"/>
  <c r="N991" i="1"/>
  <c r="P990" i="1"/>
  <c r="O990" i="1"/>
  <c r="N990" i="1"/>
  <c r="P989" i="1"/>
  <c r="O989" i="1"/>
  <c r="N989" i="1"/>
  <c r="P988" i="1"/>
  <c r="O988" i="1"/>
  <c r="N988" i="1"/>
  <c r="P987" i="1"/>
  <c r="O987" i="1"/>
  <c r="N987" i="1"/>
  <c r="P986" i="1"/>
  <c r="O986" i="1"/>
  <c r="N986" i="1"/>
  <c r="P985" i="1"/>
  <c r="O985" i="1"/>
  <c r="N985" i="1"/>
  <c r="P984" i="1"/>
  <c r="O984" i="1"/>
  <c r="N984" i="1"/>
  <c r="P983" i="1"/>
  <c r="O983" i="1"/>
  <c r="N983" i="1"/>
  <c r="P982" i="1"/>
  <c r="O982" i="1"/>
  <c r="N982" i="1"/>
  <c r="P981" i="1"/>
  <c r="O981" i="1"/>
  <c r="N981" i="1"/>
  <c r="P980" i="1"/>
  <c r="O980" i="1"/>
  <c r="N980" i="1"/>
  <c r="P979" i="1"/>
  <c r="O979" i="1"/>
  <c r="N979" i="1"/>
  <c r="P978" i="1"/>
  <c r="O978" i="1"/>
  <c r="N978" i="1"/>
  <c r="P977" i="1"/>
  <c r="O977" i="1"/>
  <c r="N977" i="1"/>
  <c r="P976" i="1"/>
  <c r="O976" i="1"/>
  <c r="N976" i="1"/>
  <c r="P975" i="1"/>
  <c r="O975" i="1"/>
  <c r="N975" i="1"/>
  <c r="P974" i="1"/>
  <c r="O974" i="1"/>
  <c r="N974" i="1"/>
  <c r="P973" i="1"/>
  <c r="O973" i="1"/>
  <c r="N973" i="1"/>
  <c r="P972" i="1"/>
  <c r="O972" i="1"/>
  <c r="N972" i="1"/>
  <c r="P971" i="1"/>
  <c r="O971" i="1"/>
  <c r="N971" i="1"/>
  <c r="P970" i="1"/>
  <c r="O970" i="1"/>
  <c r="N970" i="1"/>
  <c r="P969" i="1"/>
  <c r="O969" i="1"/>
  <c r="N969" i="1"/>
  <c r="P968" i="1"/>
  <c r="O968" i="1"/>
  <c r="N968" i="1"/>
  <c r="P967" i="1"/>
  <c r="O967" i="1"/>
  <c r="N967" i="1"/>
  <c r="P966" i="1"/>
  <c r="O966" i="1"/>
  <c r="N966" i="1"/>
  <c r="P965" i="1"/>
  <c r="O965" i="1"/>
  <c r="N965" i="1"/>
  <c r="P964" i="1"/>
  <c r="O964" i="1"/>
  <c r="N964" i="1"/>
  <c r="P963" i="1"/>
  <c r="O963" i="1"/>
  <c r="N963" i="1"/>
  <c r="P962" i="1"/>
  <c r="O962" i="1"/>
  <c r="N962" i="1"/>
  <c r="P961" i="1"/>
  <c r="O961" i="1"/>
  <c r="N961" i="1"/>
  <c r="P960" i="1"/>
  <c r="O960" i="1"/>
  <c r="N960" i="1"/>
  <c r="P959" i="1"/>
  <c r="O959" i="1"/>
  <c r="N959" i="1"/>
  <c r="P958" i="1"/>
  <c r="O958" i="1"/>
  <c r="N958" i="1"/>
  <c r="P957" i="1"/>
  <c r="O957" i="1"/>
  <c r="N957" i="1"/>
  <c r="P956" i="1"/>
  <c r="O956" i="1"/>
  <c r="N956" i="1"/>
  <c r="P955" i="1"/>
  <c r="O955" i="1"/>
  <c r="N955" i="1"/>
  <c r="P954" i="1"/>
  <c r="O954" i="1"/>
  <c r="N954" i="1"/>
  <c r="P953" i="1"/>
  <c r="O953" i="1"/>
  <c r="N953" i="1"/>
  <c r="P952" i="1"/>
  <c r="O952" i="1"/>
  <c r="N952" i="1"/>
  <c r="P951" i="1"/>
  <c r="O951" i="1"/>
  <c r="N951" i="1"/>
  <c r="P950" i="1"/>
  <c r="O950" i="1"/>
  <c r="N950" i="1"/>
  <c r="P949" i="1"/>
  <c r="O949" i="1"/>
  <c r="N949" i="1"/>
  <c r="P948" i="1"/>
  <c r="O948" i="1"/>
  <c r="N948" i="1"/>
  <c r="P947" i="1"/>
  <c r="O947" i="1"/>
  <c r="N947" i="1"/>
  <c r="P946" i="1"/>
  <c r="O946" i="1"/>
  <c r="N946" i="1"/>
  <c r="P945" i="1"/>
  <c r="O945" i="1"/>
  <c r="N945" i="1"/>
  <c r="P944" i="1"/>
  <c r="O944" i="1"/>
  <c r="N944" i="1"/>
  <c r="P943" i="1"/>
  <c r="O943" i="1"/>
  <c r="N943" i="1"/>
  <c r="P942" i="1"/>
  <c r="O942" i="1"/>
  <c r="N942" i="1"/>
  <c r="P941" i="1"/>
  <c r="O941" i="1"/>
  <c r="N941" i="1"/>
  <c r="P940" i="1"/>
  <c r="O940" i="1"/>
  <c r="N940" i="1"/>
  <c r="P939" i="1"/>
  <c r="O939" i="1"/>
  <c r="N939" i="1"/>
  <c r="P938" i="1"/>
  <c r="O938" i="1"/>
  <c r="N938" i="1"/>
  <c r="P937" i="1"/>
  <c r="O937" i="1"/>
  <c r="N937" i="1"/>
  <c r="P936" i="1"/>
  <c r="O936" i="1"/>
  <c r="N936" i="1"/>
  <c r="P935" i="1"/>
  <c r="O935" i="1"/>
  <c r="N935" i="1"/>
  <c r="P934" i="1"/>
  <c r="O934" i="1"/>
  <c r="N934" i="1"/>
  <c r="P933" i="1"/>
  <c r="O933" i="1"/>
  <c r="N933" i="1"/>
  <c r="P932" i="1"/>
  <c r="O932" i="1"/>
  <c r="N932" i="1"/>
  <c r="P931" i="1"/>
  <c r="O931" i="1"/>
  <c r="N931" i="1"/>
  <c r="P930" i="1"/>
  <c r="O930" i="1"/>
  <c r="N930" i="1"/>
  <c r="P929" i="1"/>
  <c r="O929" i="1"/>
  <c r="N929" i="1"/>
  <c r="P928" i="1"/>
  <c r="O928" i="1"/>
  <c r="N928" i="1"/>
  <c r="P927" i="1"/>
  <c r="O927" i="1"/>
  <c r="N927" i="1"/>
  <c r="P926" i="1"/>
  <c r="O926" i="1"/>
  <c r="N926" i="1"/>
  <c r="P925" i="1"/>
  <c r="O925" i="1"/>
  <c r="N925" i="1"/>
  <c r="P924" i="1"/>
  <c r="O924" i="1"/>
  <c r="N924" i="1"/>
  <c r="P923" i="1"/>
  <c r="O923" i="1"/>
  <c r="N923" i="1"/>
  <c r="P922" i="1"/>
  <c r="O922" i="1"/>
  <c r="N922" i="1"/>
  <c r="P921" i="1"/>
  <c r="O921" i="1"/>
  <c r="N921" i="1"/>
  <c r="P920" i="1"/>
  <c r="O920" i="1"/>
  <c r="N920" i="1"/>
  <c r="P919" i="1"/>
  <c r="O919" i="1"/>
  <c r="N919" i="1"/>
  <c r="P918" i="1"/>
  <c r="O918" i="1"/>
  <c r="N918" i="1"/>
  <c r="P917" i="1"/>
  <c r="O917" i="1"/>
  <c r="N917" i="1"/>
  <c r="P916" i="1"/>
  <c r="O916" i="1"/>
  <c r="N916" i="1"/>
  <c r="P915" i="1"/>
  <c r="O915" i="1"/>
  <c r="N915" i="1"/>
  <c r="P914" i="1"/>
  <c r="O914" i="1"/>
  <c r="N914" i="1"/>
  <c r="P913" i="1"/>
  <c r="O913" i="1"/>
  <c r="N913" i="1"/>
  <c r="P912" i="1"/>
  <c r="O912" i="1"/>
  <c r="N912" i="1"/>
  <c r="P911" i="1"/>
  <c r="O911" i="1"/>
  <c r="N911" i="1"/>
  <c r="P910" i="1"/>
  <c r="O910" i="1"/>
  <c r="N910" i="1"/>
  <c r="P909" i="1"/>
  <c r="O909" i="1"/>
  <c r="N909" i="1"/>
  <c r="P908" i="1"/>
  <c r="O908" i="1"/>
  <c r="N908" i="1"/>
  <c r="P907" i="1"/>
  <c r="O907" i="1"/>
  <c r="N907" i="1"/>
  <c r="P906" i="1"/>
  <c r="O906" i="1"/>
  <c r="N906" i="1"/>
  <c r="P905" i="1"/>
  <c r="O905" i="1"/>
  <c r="N905" i="1"/>
  <c r="P904" i="1"/>
  <c r="O904" i="1"/>
  <c r="N904" i="1"/>
  <c r="P903" i="1"/>
  <c r="O903" i="1"/>
  <c r="N903" i="1"/>
  <c r="P902" i="1"/>
  <c r="O902" i="1"/>
  <c r="N902" i="1"/>
  <c r="P901" i="1"/>
  <c r="O901" i="1"/>
  <c r="N901" i="1"/>
  <c r="P900" i="1"/>
  <c r="O900" i="1"/>
  <c r="N900" i="1"/>
  <c r="P899" i="1"/>
  <c r="O899" i="1"/>
  <c r="N899" i="1"/>
  <c r="P898" i="1"/>
  <c r="O898" i="1"/>
  <c r="N898" i="1"/>
  <c r="P897" i="1"/>
  <c r="O897" i="1"/>
  <c r="N897" i="1"/>
  <c r="P896" i="1"/>
  <c r="O896" i="1"/>
  <c r="N896" i="1"/>
  <c r="P895" i="1"/>
  <c r="O895" i="1"/>
  <c r="N895" i="1"/>
  <c r="P894" i="1"/>
  <c r="O894" i="1"/>
  <c r="N894" i="1"/>
  <c r="P893" i="1"/>
  <c r="O893" i="1"/>
  <c r="N893" i="1"/>
  <c r="P892" i="1"/>
  <c r="O892" i="1"/>
  <c r="N892" i="1"/>
  <c r="P891" i="1"/>
  <c r="O891" i="1"/>
  <c r="N891" i="1"/>
  <c r="P890" i="1"/>
  <c r="O890" i="1"/>
  <c r="N890" i="1"/>
  <c r="P889" i="1"/>
  <c r="O889" i="1"/>
  <c r="N889" i="1"/>
  <c r="P888" i="1"/>
  <c r="O888" i="1"/>
  <c r="N888" i="1"/>
  <c r="P887" i="1"/>
  <c r="O887" i="1"/>
  <c r="N887" i="1"/>
  <c r="P886" i="1"/>
  <c r="O886" i="1"/>
  <c r="N886" i="1"/>
  <c r="P885" i="1"/>
  <c r="O885" i="1"/>
  <c r="N885" i="1"/>
  <c r="P884" i="1"/>
  <c r="O884" i="1"/>
  <c r="N884" i="1"/>
  <c r="P883" i="1"/>
  <c r="O883" i="1"/>
  <c r="N883" i="1"/>
  <c r="P882" i="1"/>
  <c r="O882" i="1"/>
  <c r="N882" i="1"/>
  <c r="P881" i="1"/>
  <c r="O881" i="1"/>
  <c r="N881" i="1"/>
  <c r="P880" i="1"/>
  <c r="O880" i="1"/>
  <c r="N880" i="1"/>
  <c r="P879" i="1"/>
  <c r="O879" i="1"/>
  <c r="N879" i="1"/>
  <c r="P878" i="1"/>
  <c r="O878" i="1"/>
  <c r="N878" i="1"/>
  <c r="P877" i="1"/>
  <c r="O877" i="1"/>
  <c r="N877" i="1"/>
  <c r="P874" i="1"/>
  <c r="O874" i="1"/>
  <c r="N874" i="1"/>
  <c r="P873" i="1"/>
  <c r="O873" i="1"/>
  <c r="N873" i="1"/>
  <c r="P872" i="1"/>
  <c r="O872" i="1"/>
  <c r="N872" i="1"/>
  <c r="P871" i="1"/>
  <c r="O871" i="1"/>
  <c r="N871" i="1"/>
  <c r="P870" i="1"/>
  <c r="O870" i="1"/>
  <c r="N870" i="1"/>
  <c r="P869" i="1"/>
  <c r="O869" i="1"/>
  <c r="N869" i="1"/>
  <c r="P868" i="1"/>
  <c r="O868" i="1"/>
  <c r="N868" i="1"/>
  <c r="P867" i="1"/>
  <c r="O867" i="1"/>
  <c r="N867" i="1"/>
  <c r="P866" i="1"/>
  <c r="O866" i="1"/>
  <c r="N866" i="1"/>
  <c r="P865" i="1"/>
  <c r="O865" i="1"/>
  <c r="N865" i="1"/>
  <c r="P864" i="1"/>
  <c r="O864" i="1"/>
  <c r="N864" i="1"/>
  <c r="P863" i="1"/>
  <c r="O863" i="1"/>
  <c r="N863" i="1"/>
  <c r="P862" i="1"/>
  <c r="O862" i="1"/>
  <c r="N862" i="1"/>
  <c r="P861" i="1"/>
  <c r="O861" i="1"/>
  <c r="N861" i="1"/>
  <c r="P860" i="1"/>
  <c r="O860" i="1"/>
  <c r="N860" i="1"/>
  <c r="P859" i="1"/>
  <c r="O859" i="1"/>
  <c r="N859" i="1"/>
  <c r="P858" i="1"/>
  <c r="O858" i="1"/>
  <c r="N858" i="1"/>
  <c r="P857" i="1"/>
  <c r="O857" i="1"/>
  <c r="N857" i="1"/>
  <c r="P856" i="1"/>
  <c r="O856" i="1"/>
  <c r="N856" i="1"/>
  <c r="P855" i="1"/>
  <c r="O855" i="1"/>
  <c r="N855" i="1"/>
  <c r="P854" i="1"/>
  <c r="O854" i="1"/>
  <c r="N854" i="1"/>
  <c r="P853" i="1"/>
  <c r="O853" i="1"/>
  <c r="N853" i="1"/>
  <c r="P852" i="1"/>
  <c r="O852" i="1"/>
  <c r="N852" i="1"/>
  <c r="P851" i="1"/>
  <c r="O851" i="1"/>
  <c r="N851" i="1"/>
  <c r="P850" i="1"/>
  <c r="O850" i="1"/>
  <c r="N850" i="1"/>
  <c r="P849" i="1"/>
  <c r="O849" i="1"/>
  <c r="N849" i="1"/>
  <c r="P848" i="1"/>
  <c r="O848" i="1"/>
  <c r="N848" i="1"/>
  <c r="P847" i="1"/>
  <c r="O847" i="1"/>
  <c r="N847" i="1"/>
  <c r="P846" i="1"/>
  <c r="O846" i="1"/>
  <c r="N846" i="1"/>
  <c r="P845" i="1"/>
  <c r="O845" i="1"/>
  <c r="N845" i="1"/>
  <c r="P844" i="1"/>
  <c r="O844" i="1"/>
  <c r="N844" i="1"/>
  <c r="P843" i="1"/>
  <c r="O843" i="1"/>
  <c r="N843" i="1"/>
  <c r="P842" i="1"/>
  <c r="O842" i="1"/>
  <c r="N842" i="1"/>
  <c r="P841" i="1"/>
  <c r="O841" i="1"/>
  <c r="N841" i="1"/>
  <c r="P840" i="1"/>
  <c r="O840" i="1"/>
  <c r="N840" i="1"/>
  <c r="P839" i="1"/>
  <c r="O839" i="1"/>
  <c r="N839" i="1"/>
  <c r="P838" i="1"/>
  <c r="O838" i="1"/>
  <c r="N838" i="1"/>
  <c r="P837" i="1"/>
  <c r="O837" i="1"/>
  <c r="N837" i="1"/>
  <c r="P836" i="1"/>
  <c r="O836" i="1"/>
  <c r="N836" i="1"/>
  <c r="P835" i="1"/>
  <c r="O835" i="1"/>
  <c r="N835" i="1"/>
  <c r="P834" i="1"/>
  <c r="O834" i="1"/>
  <c r="N834" i="1"/>
  <c r="P833" i="1"/>
  <c r="O833" i="1"/>
  <c r="N833" i="1"/>
  <c r="P832" i="1"/>
  <c r="O832" i="1"/>
  <c r="N832" i="1"/>
  <c r="P831" i="1"/>
  <c r="O831" i="1"/>
  <c r="N831" i="1"/>
  <c r="P830" i="1"/>
  <c r="O830" i="1"/>
  <c r="N830" i="1"/>
  <c r="P829" i="1"/>
  <c r="O829" i="1"/>
  <c r="N829" i="1"/>
  <c r="P828" i="1"/>
  <c r="O828" i="1"/>
  <c r="N828" i="1"/>
  <c r="P827" i="1"/>
  <c r="O827" i="1"/>
  <c r="N827" i="1"/>
  <c r="P826" i="1"/>
  <c r="O826" i="1"/>
  <c r="N826" i="1"/>
  <c r="P825" i="1"/>
  <c r="O825" i="1"/>
  <c r="N825" i="1"/>
  <c r="P824" i="1"/>
  <c r="O824" i="1"/>
  <c r="N824" i="1"/>
  <c r="P823" i="1"/>
  <c r="O823" i="1"/>
  <c r="N823" i="1"/>
  <c r="P822" i="1"/>
  <c r="O822" i="1"/>
  <c r="N822" i="1"/>
  <c r="P821" i="1"/>
  <c r="O821" i="1"/>
  <c r="N821" i="1"/>
  <c r="P820" i="1"/>
  <c r="O820" i="1"/>
  <c r="N820" i="1"/>
  <c r="P819" i="1"/>
  <c r="O819" i="1"/>
  <c r="N819" i="1"/>
  <c r="P818" i="1"/>
  <c r="O818" i="1"/>
  <c r="N818" i="1"/>
  <c r="P817" i="1"/>
  <c r="O817" i="1"/>
  <c r="N817" i="1"/>
  <c r="P816" i="1"/>
  <c r="O816" i="1"/>
  <c r="N816" i="1"/>
  <c r="P815" i="1"/>
  <c r="O815" i="1"/>
  <c r="N815" i="1"/>
  <c r="P814" i="1"/>
  <c r="O814" i="1"/>
  <c r="N814" i="1"/>
  <c r="P813" i="1"/>
  <c r="O813" i="1"/>
  <c r="N813" i="1"/>
  <c r="P812" i="1"/>
  <c r="O812" i="1"/>
  <c r="N812" i="1"/>
  <c r="P811" i="1"/>
  <c r="O811" i="1"/>
  <c r="N811" i="1"/>
  <c r="P810" i="1"/>
  <c r="O810" i="1"/>
  <c r="N810" i="1"/>
  <c r="P809" i="1"/>
  <c r="O809" i="1"/>
  <c r="N809" i="1"/>
  <c r="P808" i="1"/>
  <c r="O808" i="1"/>
  <c r="N808" i="1"/>
  <c r="P807" i="1"/>
  <c r="O807" i="1"/>
  <c r="N807" i="1"/>
  <c r="P806" i="1"/>
  <c r="O806" i="1"/>
  <c r="N806" i="1"/>
  <c r="P805" i="1"/>
  <c r="O805" i="1"/>
  <c r="N805" i="1"/>
  <c r="P804" i="1"/>
  <c r="O804" i="1"/>
  <c r="N804" i="1"/>
  <c r="P803" i="1"/>
  <c r="O803" i="1"/>
  <c r="N803" i="1"/>
  <c r="P802" i="1"/>
  <c r="O802" i="1"/>
  <c r="N802" i="1"/>
  <c r="P801" i="1"/>
  <c r="O801" i="1"/>
  <c r="N801" i="1"/>
  <c r="P800" i="1"/>
  <c r="O800" i="1"/>
  <c r="N800" i="1"/>
  <c r="P799" i="1"/>
  <c r="O799" i="1"/>
  <c r="N799" i="1"/>
  <c r="P798" i="1"/>
  <c r="O798" i="1"/>
  <c r="N798" i="1"/>
  <c r="P797" i="1"/>
  <c r="O797" i="1"/>
  <c r="N797" i="1"/>
  <c r="P796" i="1"/>
  <c r="O796" i="1"/>
  <c r="N796" i="1"/>
  <c r="P795" i="1"/>
  <c r="O795" i="1"/>
  <c r="N795" i="1"/>
  <c r="P794" i="1"/>
  <c r="O794" i="1"/>
  <c r="N794" i="1"/>
  <c r="P793" i="1"/>
  <c r="O793" i="1"/>
  <c r="N793" i="1"/>
  <c r="P792" i="1"/>
  <c r="O792" i="1"/>
  <c r="N792" i="1"/>
  <c r="P791" i="1"/>
  <c r="O791" i="1"/>
  <c r="N791" i="1"/>
  <c r="P790" i="1"/>
  <c r="O790" i="1"/>
  <c r="N790" i="1"/>
  <c r="P789" i="1"/>
  <c r="O789" i="1"/>
  <c r="N789" i="1"/>
  <c r="P788" i="1"/>
  <c r="O788" i="1"/>
  <c r="N788" i="1"/>
  <c r="P787" i="1"/>
  <c r="O787" i="1"/>
  <c r="N787" i="1"/>
  <c r="P786" i="1"/>
  <c r="O786" i="1"/>
  <c r="N786" i="1"/>
  <c r="P785" i="1"/>
  <c r="O785" i="1"/>
  <c r="N785" i="1"/>
  <c r="P784" i="1"/>
  <c r="O784" i="1"/>
  <c r="N784" i="1"/>
  <c r="P783" i="1"/>
  <c r="O783" i="1"/>
  <c r="N783" i="1"/>
  <c r="P782" i="1"/>
  <c r="O782" i="1"/>
  <c r="N782" i="1"/>
  <c r="P781" i="1"/>
  <c r="O781" i="1"/>
  <c r="N781" i="1"/>
  <c r="P780" i="1"/>
  <c r="O780" i="1"/>
  <c r="N780" i="1"/>
  <c r="P779" i="1"/>
  <c r="O779" i="1"/>
  <c r="N779" i="1"/>
  <c r="P778" i="1"/>
  <c r="O778" i="1"/>
  <c r="N778" i="1"/>
  <c r="P777" i="1"/>
  <c r="O777" i="1"/>
  <c r="N777" i="1"/>
  <c r="P776" i="1"/>
  <c r="O776" i="1"/>
  <c r="N776" i="1"/>
  <c r="P775" i="1"/>
  <c r="O775" i="1"/>
  <c r="N775" i="1"/>
  <c r="P774" i="1"/>
  <c r="O774" i="1"/>
  <c r="N774" i="1"/>
  <c r="P773" i="1"/>
  <c r="O773" i="1"/>
  <c r="N773" i="1"/>
  <c r="P772" i="1"/>
  <c r="O772" i="1"/>
  <c r="N772" i="1"/>
  <c r="P771" i="1"/>
  <c r="O771" i="1"/>
  <c r="N771" i="1"/>
  <c r="P770" i="1"/>
  <c r="O770" i="1"/>
  <c r="N770" i="1"/>
  <c r="P769" i="1"/>
  <c r="O769" i="1"/>
  <c r="N769" i="1"/>
  <c r="P768" i="1"/>
  <c r="O768" i="1"/>
  <c r="N768" i="1"/>
  <c r="P767" i="1"/>
  <c r="O767" i="1"/>
  <c r="N767" i="1"/>
  <c r="P766" i="1"/>
  <c r="O766" i="1"/>
  <c r="N766" i="1"/>
  <c r="P765" i="1"/>
  <c r="O765" i="1"/>
  <c r="N765" i="1"/>
  <c r="P764" i="1"/>
  <c r="O764" i="1"/>
  <c r="N764" i="1"/>
  <c r="P763" i="1"/>
  <c r="O763" i="1"/>
  <c r="N763" i="1"/>
  <c r="P762" i="1"/>
  <c r="O762" i="1"/>
  <c r="N762" i="1"/>
  <c r="P761" i="1"/>
  <c r="O761" i="1"/>
  <c r="N761" i="1"/>
  <c r="P760" i="1"/>
  <c r="O760" i="1"/>
  <c r="N760" i="1"/>
  <c r="P759" i="1"/>
  <c r="O759" i="1"/>
  <c r="N759" i="1"/>
  <c r="P758" i="1"/>
  <c r="O758" i="1"/>
  <c r="N758" i="1"/>
  <c r="P757" i="1"/>
  <c r="O757" i="1"/>
  <c r="N757" i="1"/>
  <c r="P756" i="1"/>
  <c r="O756" i="1"/>
  <c r="N756" i="1"/>
  <c r="P755" i="1"/>
  <c r="O755" i="1"/>
  <c r="N755" i="1"/>
  <c r="P754" i="1"/>
  <c r="O754" i="1"/>
  <c r="N754" i="1"/>
  <c r="P753" i="1"/>
  <c r="O753" i="1"/>
  <c r="N753" i="1"/>
  <c r="P752" i="1"/>
  <c r="O752" i="1"/>
  <c r="N752" i="1"/>
  <c r="P751" i="1"/>
  <c r="O751" i="1"/>
  <c r="N751" i="1"/>
  <c r="P750" i="1"/>
  <c r="O750" i="1"/>
  <c r="N750" i="1"/>
  <c r="P749" i="1"/>
  <c r="O749" i="1"/>
  <c r="N749" i="1"/>
  <c r="P748" i="1"/>
  <c r="O748" i="1"/>
  <c r="N748" i="1"/>
  <c r="P747" i="1"/>
  <c r="O747" i="1"/>
  <c r="N747" i="1"/>
  <c r="P746" i="1"/>
  <c r="O746" i="1"/>
  <c r="N746" i="1"/>
  <c r="P745" i="1"/>
  <c r="O745" i="1"/>
  <c r="N745" i="1"/>
  <c r="P744" i="1"/>
  <c r="O744" i="1"/>
  <c r="N744" i="1"/>
  <c r="P743" i="1"/>
  <c r="O743" i="1"/>
  <c r="N743" i="1"/>
  <c r="P742" i="1"/>
  <c r="O742" i="1"/>
  <c r="N742" i="1"/>
  <c r="P741" i="1"/>
  <c r="O741" i="1"/>
  <c r="N741" i="1"/>
  <c r="P740" i="1"/>
  <c r="O740" i="1"/>
  <c r="N740" i="1"/>
  <c r="P739" i="1"/>
  <c r="O739" i="1"/>
  <c r="N739" i="1"/>
  <c r="P738" i="1"/>
  <c r="O738" i="1"/>
  <c r="N738" i="1"/>
  <c r="P737" i="1"/>
  <c r="O737" i="1"/>
  <c r="N737" i="1"/>
  <c r="P736" i="1"/>
  <c r="O736" i="1"/>
  <c r="N736" i="1"/>
  <c r="P735" i="1"/>
  <c r="O735" i="1"/>
  <c r="N735" i="1"/>
  <c r="P734" i="1"/>
  <c r="O734" i="1"/>
  <c r="N734" i="1"/>
  <c r="P733" i="1"/>
  <c r="O733" i="1"/>
  <c r="N733" i="1"/>
  <c r="P732" i="1"/>
  <c r="O732" i="1"/>
  <c r="N732" i="1"/>
  <c r="P731" i="1"/>
  <c r="O731" i="1"/>
  <c r="N731" i="1"/>
  <c r="P730" i="1"/>
  <c r="O730" i="1"/>
  <c r="N730" i="1"/>
  <c r="P729" i="1"/>
  <c r="O729" i="1"/>
  <c r="N729" i="1"/>
  <c r="P728" i="1"/>
  <c r="O728" i="1"/>
  <c r="N728" i="1"/>
  <c r="P727" i="1"/>
  <c r="O727" i="1"/>
  <c r="N727" i="1"/>
  <c r="P726" i="1"/>
  <c r="O726" i="1"/>
  <c r="N726" i="1"/>
  <c r="P725" i="1"/>
  <c r="O725" i="1"/>
  <c r="N725" i="1"/>
  <c r="P724" i="1"/>
  <c r="O724" i="1"/>
  <c r="N724" i="1"/>
  <c r="P723" i="1"/>
  <c r="O723" i="1"/>
  <c r="N723" i="1"/>
  <c r="P722" i="1"/>
  <c r="O722" i="1"/>
  <c r="N722" i="1"/>
  <c r="P721" i="1"/>
  <c r="O721" i="1"/>
  <c r="N721" i="1"/>
  <c r="P720" i="1"/>
  <c r="O720" i="1"/>
  <c r="N720" i="1"/>
  <c r="P719" i="1"/>
  <c r="O719" i="1"/>
  <c r="N719" i="1"/>
  <c r="P718" i="1"/>
  <c r="O718" i="1"/>
  <c r="N718" i="1"/>
  <c r="P717" i="1"/>
  <c r="O717" i="1"/>
  <c r="N717" i="1"/>
  <c r="P716" i="1"/>
  <c r="O716" i="1"/>
  <c r="N716" i="1"/>
  <c r="P715" i="1"/>
  <c r="O715" i="1"/>
  <c r="N715" i="1"/>
  <c r="P714" i="1"/>
  <c r="O714" i="1"/>
  <c r="N714" i="1"/>
  <c r="P713" i="1"/>
  <c r="O713" i="1"/>
  <c r="N713" i="1"/>
  <c r="P712" i="1"/>
  <c r="O712" i="1"/>
  <c r="N712" i="1"/>
  <c r="P711" i="1"/>
  <c r="O711" i="1"/>
  <c r="N711" i="1"/>
  <c r="P710" i="1"/>
  <c r="O710" i="1"/>
  <c r="N710" i="1"/>
  <c r="P709" i="1"/>
  <c r="O709" i="1"/>
  <c r="N709" i="1"/>
  <c r="P708" i="1"/>
  <c r="O708" i="1"/>
  <c r="N708" i="1"/>
  <c r="P707" i="1"/>
  <c r="O707" i="1"/>
  <c r="N707" i="1"/>
  <c r="P706" i="1"/>
  <c r="O706" i="1"/>
  <c r="N706" i="1"/>
  <c r="P705" i="1"/>
  <c r="O705" i="1"/>
  <c r="N705" i="1"/>
  <c r="P704" i="1"/>
  <c r="O704" i="1"/>
  <c r="N704" i="1"/>
  <c r="P703" i="1"/>
  <c r="O703" i="1"/>
  <c r="N703" i="1"/>
  <c r="P702" i="1"/>
  <c r="O702" i="1"/>
  <c r="N702" i="1"/>
  <c r="P701" i="1"/>
  <c r="O701" i="1"/>
  <c r="N701" i="1"/>
  <c r="P700" i="1"/>
  <c r="O700" i="1"/>
  <c r="N700" i="1"/>
  <c r="P699" i="1"/>
  <c r="O699" i="1"/>
  <c r="N699" i="1"/>
  <c r="P698" i="1"/>
  <c r="O698" i="1"/>
  <c r="N698" i="1"/>
  <c r="P697" i="1"/>
  <c r="O697" i="1"/>
  <c r="N697" i="1"/>
  <c r="P696" i="1"/>
  <c r="O696" i="1"/>
  <c r="N696" i="1"/>
  <c r="P695" i="1"/>
  <c r="O695" i="1"/>
  <c r="N695" i="1"/>
  <c r="P694" i="1"/>
  <c r="O694" i="1"/>
  <c r="N694" i="1"/>
  <c r="P693" i="1"/>
  <c r="O693" i="1"/>
  <c r="N693" i="1"/>
  <c r="P692" i="1"/>
  <c r="O692" i="1"/>
  <c r="N692" i="1"/>
  <c r="P691" i="1"/>
  <c r="O691" i="1"/>
  <c r="N691" i="1"/>
  <c r="P690" i="1"/>
  <c r="O690" i="1"/>
  <c r="N690" i="1"/>
  <c r="P689" i="1"/>
  <c r="O689" i="1"/>
  <c r="N689" i="1"/>
  <c r="P688" i="1"/>
  <c r="O688" i="1"/>
  <c r="N688" i="1"/>
  <c r="P687" i="1"/>
  <c r="O687" i="1"/>
  <c r="N687" i="1"/>
  <c r="P686" i="1"/>
  <c r="O686" i="1"/>
  <c r="N686" i="1"/>
  <c r="P685" i="1"/>
  <c r="O685" i="1"/>
  <c r="N685" i="1"/>
  <c r="P684" i="1"/>
  <c r="O684" i="1"/>
  <c r="N684" i="1"/>
  <c r="P683" i="1"/>
  <c r="O683" i="1"/>
  <c r="N683" i="1"/>
  <c r="P682" i="1"/>
  <c r="O682" i="1"/>
  <c r="N682" i="1"/>
  <c r="P681" i="1"/>
  <c r="O681" i="1"/>
  <c r="N681" i="1"/>
  <c r="P680" i="1"/>
  <c r="O680" i="1"/>
  <c r="N680" i="1"/>
  <c r="P679" i="1"/>
  <c r="O679" i="1"/>
  <c r="N679" i="1"/>
  <c r="P678" i="1"/>
  <c r="O678" i="1"/>
  <c r="N678" i="1"/>
  <c r="P677" i="1"/>
  <c r="O677" i="1"/>
  <c r="N677" i="1"/>
  <c r="P676" i="1"/>
  <c r="O676" i="1"/>
  <c r="N676" i="1"/>
  <c r="P675" i="1"/>
  <c r="O675" i="1"/>
  <c r="N675" i="1"/>
  <c r="P674" i="1"/>
  <c r="O674" i="1"/>
  <c r="N674" i="1"/>
  <c r="P673" i="1"/>
  <c r="O673" i="1"/>
  <c r="N673" i="1"/>
  <c r="P672" i="1"/>
  <c r="O672" i="1"/>
  <c r="N672" i="1"/>
  <c r="P671" i="1"/>
  <c r="O671" i="1"/>
  <c r="N671" i="1"/>
  <c r="P670" i="1"/>
  <c r="O670" i="1"/>
  <c r="N670" i="1"/>
  <c r="P669" i="1"/>
  <c r="O669" i="1"/>
  <c r="N669" i="1"/>
  <c r="P668" i="1"/>
  <c r="O668" i="1"/>
  <c r="N668" i="1"/>
  <c r="P667" i="1"/>
  <c r="O667" i="1"/>
  <c r="N667" i="1"/>
  <c r="P666" i="1"/>
  <c r="O666" i="1"/>
  <c r="N666" i="1"/>
  <c r="P665" i="1"/>
  <c r="O665" i="1"/>
  <c r="N665" i="1"/>
  <c r="P664" i="1"/>
  <c r="O664" i="1"/>
  <c r="N664" i="1"/>
  <c r="P663" i="1"/>
  <c r="O663" i="1"/>
  <c r="N663" i="1"/>
  <c r="P662" i="1"/>
  <c r="O662" i="1"/>
  <c r="N662" i="1"/>
  <c r="P661" i="1"/>
  <c r="O661" i="1"/>
  <c r="N661" i="1"/>
  <c r="P660" i="1"/>
  <c r="O660" i="1"/>
  <c r="N660" i="1"/>
  <c r="P659" i="1"/>
  <c r="O659" i="1"/>
  <c r="N659" i="1"/>
  <c r="P658" i="1"/>
  <c r="O658" i="1"/>
  <c r="N658" i="1"/>
  <c r="P657" i="1"/>
  <c r="O657" i="1"/>
  <c r="N657" i="1"/>
  <c r="P656" i="1"/>
  <c r="O656" i="1"/>
  <c r="N656" i="1"/>
  <c r="P655" i="1"/>
  <c r="O655" i="1"/>
  <c r="N655" i="1"/>
  <c r="P654" i="1"/>
  <c r="O654" i="1"/>
  <c r="N654" i="1"/>
  <c r="P653" i="1"/>
  <c r="O653" i="1"/>
  <c r="N653" i="1"/>
  <c r="P652" i="1"/>
  <c r="O652" i="1"/>
  <c r="N652" i="1"/>
  <c r="P651" i="1"/>
  <c r="O651" i="1"/>
  <c r="N651" i="1"/>
  <c r="P650" i="1"/>
  <c r="O650" i="1"/>
  <c r="N650" i="1"/>
  <c r="P649" i="1"/>
  <c r="O649" i="1"/>
  <c r="N649" i="1"/>
  <c r="P648" i="1"/>
  <c r="O648" i="1"/>
  <c r="N648" i="1"/>
  <c r="P647" i="1"/>
  <c r="O647" i="1"/>
  <c r="N647" i="1"/>
  <c r="P646" i="1"/>
  <c r="O646" i="1"/>
  <c r="N646" i="1"/>
  <c r="P645" i="1"/>
  <c r="O645" i="1"/>
  <c r="N645" i="1"/>
  <c r="P644" i="1"/>
  <c r="O644" i="1"/>
  <c r="N644" i="1"/>
  <c r="P643" i="1"/>
  <c r="O643" i="1"/>
  <c r="N643" i="1"/>
  <c r="P642" i="1"/>
  <c r="O642" i="1"/>
  <c r="N642" i="1"/>
  <c r="P641" i="1"/>
  <c r="O641" i="1"/>
  <c r="N641" i="1"/>
  <c r="P640" i="1"/>
  <c r="O640" i="1"/>
  <c r="N640" i="1"/>
  <c r="P639" i="1"/>
  <c r="O639" i="1"/>
  <c r="N639" i="1"/>
  <c r="P638" i="1"/>
  <c r="O638" i="1"/>
  <c r="N638" i="1"/>
  <c r="P637" i="1"/>
  <c r="O637" i="1"/>
  <c r="N637" i="1"/>
  <c r="P636" i="1"/>
  <c r="O636" i="1"/>
  <c r="N636" i="1"/>
  <c r="P635" i="1"/>
  <c r="O635" i="1"/>
  <c r="N635" i="1"/>
  <c r="P634" i="1"/>
  <c r="O634" i="1"/>
  <c r="N634" i="1"/>
  <c r="P633" i="1"/>
  <c r="O633" i="1"/>
  <c r="N633" i="1"/>
  <c r="P632" i="1"/>
  <c r="O632" i="1"/>
  <c r="N632" i="1"/>
  <c r="P631" i="1"/>
  <c r="O631" i="1"/>
  <c r="N631" i="1"/>
  <c r="P630" i="1"/>
  <c r="O630" i="1"/>
  <c r="N630" i="1"/>
  <c r="P629" i="1"/>
  <c r="O629" i="1"/>
  <c r="N629" i="1"/>
  <c r="P628" i="1"/>
  <c r="O628" i="1"/>
  <c r="N628" i="1"/>
  <c r="P627" i="1"/>
  <c r="O627" i="1"/>
  <c r="N627" i="1"/>
  <c r="P626" i="1"/>
  <c r="O626" i="1"/>
  <c r="N626" i="1"/>
  <c r="P625" i="1"/>
  <c r="O625" i="1"/>
  <c r="N625" i="1"/>
  <c r="P624" i="1"/>
  <c r="O624" i="1"/>
  <c r="N624" i="1"/>
  <c r="P623" i="1"/>
  <c r="O623" i="1"/>
  <c r="N623" i="1"/>
  <c r="P622" i="1"/>
  <c r="O622" i="1"/>
  <c r="N622" i="1"/>
  <c r="P621" i="1"/>
  <c r="O621" i="1"/>
  <c r="N621" i="1"/>
  <c r="P620" i="1"/>
  <c r="O620" i="1"/>
  <c r="N620" i="1"/>
  <c r="P619" i="1"/>
  <c r="O619" i="1"/>
  <c r="N619" i="1"/>
  <c r="P618" i="1"/>
  <c r="O618" i="1"/>
  <c r="N618" i="1"/>
  <c r="P617" i="1"/>
  <c r="O617" i="1"/>
  <c r="N617" i="1"/>
  <c r="P616" i="1"/>
  <c r="O616" i="1"/>
  <c r="N616" i="1"/>
  <c r="P615" i="1"/>
  <c r="O615" i="1"/>
  <c r="N615" i="1"/>
  <c r="P614" i="1"/>
  <c r="O614" i="1"/>
  <c r="N614" i="1"/>
  <c r="P613" i="1"/>
  <c r="O613" i="1"/>
  <c r="N613" i="1"/>
  <c r="P612" i="1"/>
  <c r="O612" i="1"/>
  <c r="N612" i="1"/>
  <c r="P611" i="1"/>
  <c r="O611" i="1"/>
  <c r="N611" i="1"/>
  <c r="P610" i="1"/>
  <c r="O610" i="1"/>
  <c r="N610" i="1"/>
  <c r="P609" i="1"/>
  <c r="O609" i="1"/>
  <c r="N609" i="1"/>
  <c r="P608" i="1"/>
  <c r="O608" i="1"/>
  <c r="N608" i="1"/>
  <c r="P607" i="1"/>
  <c r="O607" i="1"/>
  <c r="N607" i="1"/>
  <c r="P606" i="1"/>
  <c r="O606" i="1"/>
  <c r="N606" i="1"/>
  <c r="P605" i="1"/>
  <c r="O605" i="1"/>
  <c r="N605" i="1"/>
  <c r="P604" i="1"/>
  <c r="O604" i="1"/>
  <c r="N604" i="1"/>
  <c r="P603" i="1"/>
  <c r="O603" i="1"/>
  <c r="N603" i="1"/>
  <c r="P602" i="1"/>
  <c r="O602" i="1"/>
  <c r="N602" i="1"/>
  <c r="P601" i="1"/>
  <c r="O601" i="1"/>
  <c r="N601" i="1"/>
  <c r="P600" i="1"/>
  <c r="O600" i="1"/>
  <c r="N600" i="1"/>
  <c r="P599" i="1"/>
  <c r="O599" i="1"/>
  <c r="N599" i="1"/>
  <c r="P598" i="1"/>
  <c r="O598" i="1"/>
  <c r="N598" i="1"/>
  <c r="P597" i="1"/>
  <c r="O597" i="1"/>
  <c r="N597" i="1"/>
  <c r="P596" i="1"/>
  <c r="O596" i="1"/>
  <c r="N596" i="1"/>
  <c r="P595" i="1"/>
  <c r="O595" i="1"/>
  <c r="N595" i="1"/>
  <c r="P594" i="1"/>
  <c r="O594" i="1"/>
  <c r="N594" i="1"/>
  <c r="P593" i="1"/>
  <c r="O593" i="1"/>
  <c r="N593" i="1"/>
  <c r="P592" i="1"/>
  <c r="O592" i="1"/>
  <c r="N592" i="1"/>
  <c r="P591" i="1"/>
  <c r="O591" i="1"/>
  <c r="N591" i="1"/>
  <c r="P590" i="1"/>
  <c r="O590" i="1"/>
  <c r="N590" i="1"/>
  <c r="P589" i="1"/>
  <c r="O589" i="1"/>
  <c r="N589" i="1"/>
  <c r="P588" i="1"/>
  <c r="O588" i="1"/>
  <c r="N588" i="1"/>
  <c r="P587" i="1"/>
  <c r="O587" i="1"/>
  <c r="N587" i="1"/>
  <c r="P586" i="1"/>
  <c r="O586" i="1"/>
  <c r="N586" i="1"/>
  <c r="P585" i="1"/>
  <c r="O585" i="1"/>
  <c r="N585" i="1"/>
  <c r="P584" i="1"/>
  <c r="O584" i="1"/>
  <c r="N584" i="1"/>
  <c r="P583" i="1"/>
  <c r="O583" i="1"/>
  <c r="N583" i="1"/>
  <c r="P582" i="1"/>
  <c r="O582" i="1"/>
  <c r="N582" i="1"/>
  <c r="P581" i="1"/>
  <c r="O581" i="1"/>
  <c r="N581" i="1"/>
  <c r="P580" i="1"/>
  <c r="O580" i="1"/>
  <c r="N580" i="1"/>
  <c r="P579" i="1"/>
  <c r="O579" i="1"/>
  <c r="N579" i="1"/>
  <c r="P578" i="1"/>
  <c r="O578" i="1"/>
  <c r="N578" i="1"/>
  <c r="P577" i="1"/>
  <c r="O577" i="1"/>
  <c r="N577" i="1"/>
  <c r="P576" i="1"/>
  <c r="O576" i="1"/>
  <c r="N576" i="1"/>
  <c r="P575" i="1"/>
  <c r="O575" i="1"/>
  <c r="N575" i="1"/>
  <c r="P574" i="1"/>
  <c r="O574" i="1"/>
  <c r="N574" i="1"/>
  <c r="P573" i="1"/>
  <c r="O573" i="1"/>
  <c r="N573" i="1"/>
  <c r="P572" i="1"/>
  <c r="O572" i="1"/>
  <c r="N572" i="1"/>
  <c r="P571" i="1"/>
  <c r="O571" i="1"/>
  <c r="N571" i="1"/>
  <c r="P570" i="1"/>
  <c r="O570" i="1"/>
  <c r="N570" i="1"/>
  <c r="P569" i="1"/>
  <c r="O569" i="1"/>
  <c r="N569" i="1"/>
  <c r="P568" i="1"/>
  <c r="O568" i="1"/>
  <c r="N568" i="1"/>
  <c r="P567" i="1"/>
  <c r="O567" i="1"/>
  <c r="N567" i="1"/>
  <c r="P566" i="1"/>
  <c r="O566" i="1"/>
  <c r="N566" i="1"/>
  <c r="P565" i="1"/>
  <c r="O565" i="1"/>
  <c r="N565" i="1"/>
  <c r="P564" i="1"/>
  <c r="O564" i="1"/>
  <c r="N564" i="1"/>
  <c r="P563" i="1"/>
  <c r="O563" i="1"/>
  <c r="N563" i="1"/>
  <c r="P562" i="1"/>
  <c r="O562" i="1"/>
  <c r="N562" i="1"/>
  <c r="P561" i="1"/>
  <c r="O561" i="1"/>
  <c r="N561" i="1"/>
  <c r="P560" i="1"/>
  <c r="O560" i="1"/>
  <c r="N560" i="1"/>
  <c r="P559" i="1"/>
  <c r="O559" i="1"/>
  <c r="N559" i="1"/>
  <c r="P558" i="1"/>
  <c r="O558" i="1"/>
  <c r="N558" i="1"/>
  <c r="P557" i="1"/>
  <c r="O557" i="1"/>
  <c r="N557" i="1"/>
  <c r="P556" i="1"/>
  <c r="O556" i="1"/>
  <c r="N556" i="1"/>
  <c r="P555" i="1"/>
  <c r="O555" i="1"/>
  <c r="N555" i="1"/>
  <c r="P554" i="1"/>
  <c r="O554" i="1"/>
  <c r="N554" i="1"/>
  <c r="P553" i="1"/>
  <c r="O553" i="1"/>
  <c r="N553" i="1"/>
  <c r="P552" i="1"/>
  <c r="O552" i="1"/>
  <c r="N552" i="1"/>
  <c r="P551" i="1"/>
  <c r="O551" i="1"/>
  <c r="N551" i="1"/>
  <c r="P550" i="1"/>
  <c r="O550" i="1"/>
  <c r="N550" i="1"/>
  <c r="P549" i="1"/>
  <c r="O549" i="1"/>
  <c r="N549" i="1"/>
  <c r="P548" i="1"/>
  <c r="O548" i="1"/>
  <c r="N548" i="1"/>
  <c r="P547" i="1"/>
  <c r="O547" i="1"/>
  <c r="N547" i="1"/>
  <c r="P546" i="1"/>
  <c r="O546" i="1"/>
  <c r="N546" i="1"/>
  <c r="P545" i="1"/>
  <c r="O545" i="1"/>
  <c r="N545" i="1"/>
  <c r="P544" i="1"/>
  <c r="O544" i="1"/>
  <c r="N544" i="1"/>
  <c r="P543" i="1"/>
  <c r="O543" i="1"/>
  <c r="N543" i="1"/>
  <c r="P542" i="1"/>
  <c r="O542" i="1"/>
  <c r="N542" i="1"/>
  <c r="P541" i="1"/>
  <c r="O541" i="1"/>
  <c r="N541" i="1"/>
  <c r="P540" i="1"/>
  <c r="O540" i="1"/>
  <c r="N540" i="1"/>
  <c r="P539" i="1"/>
  <c r="O539" i="1"/>
  <c r="N539" i="1"/>
  <c r="P538" i="1"/>
  <c r="O538" i="1"/>
  <c r="N538" i="1"/>
  <c r="P537" i="1"/>
  <c r="O537" i="1"/>
  <c r="N537" i="1"/>
  <c r="P536" i="1"/>
  <c r="O536" i="1"/>
  <c r="N536" i="1"/>
  <c r="P535" i="1"/>
  <c r="O535" i="1"/>
  <c r="N535" i="1"/>
  <c r="P534" i="1"/>
  <c r="O534" i="1"/>
  <c r="N534" i="1"/>
  <c r="P533" i="1"/>
  <c r="O533" i="1"/>
  <c r="N533" i="1"/>
  <c r="P532" i="1"/>
  <c r="O532" i="1"/>
  <c r="N532" i="1"/>
  <c r="P531" i="1"/>
  <c r="O531" i="1"/>
  <c r="N531" i="1"/>
  <c r="P530" i="1"/>
  <c r="O530" i="1"/>
  <c r="N530" i="1"/>
  <c r="P529" i="1"/>
  <c r="O529" i="1"/>
  <c r="N529" i="1"/>
  <c r="P528" i="1"/>
  <c r="O528" i="1"/>
  <c r="N528" i="1"/>
  <c r="P527" i="1"/>
  <c r="O527" i="1"/>
  <c r="N527" i="1"/>
  <c r="P526" i="1"/>
  <c r="O526" i="1"/>
  <c r="N526" i="1"/>
  <c r="P525" i="1"/>
  <c r="O525" i="1"/>
  <c r="N525" i="1"/>
  <c r="P524" i="1"/>
  <c r="O524" i="1"/>
  <c r="N524" i="1"/>
  <c r="P523" i="1"/>
  <c r="O523" i="1"/>
  <c r="N523" i="1"/>
  <c r="P522" i="1"/>
  <c r="O522" i="1"/>
  <c r="N522" i="1"/>
  <c r="P521" i="1"/>
  <c r="O521" i="1"/>
  <c r="N521" i="1"/>
  <c r="P520" i="1"/>
  <c r="O520" i="1"/>
  <c r="N520" i="1"/>
  <c r="P519" i="1"/>
  <c r="O519" i="1"/>
  <c r="N519" i="1"/>
  <c r="P518" i="1"/>
  <c r="O518" i="1"/>
  <c r="N518" i="1"/>
  <c r="P517" i="1"/>
  <c r="O517" i="1"/>
  <c r="N517" i="1"/>
  <c r="P516" i="1"/>
  <c r="O516" i="1"/>
  <c r="N516" i="1"/>
  <c r="P515" i="1"/>
  <c r="O515" i="1"/>
  <c r="N515" i="1"/>
  <c r="P514" i="1"/>
  <c r="O514" i="1"/>
  <c r="N514" i="1"/>
  <c r="P513" i="1"/>
  <c r="O513" i="1"/>
  <c r="N513" i="1"/>
  <c r="P512" i="1"/>
  <c r="O512" i="1"/>
  <c r="N512" i="1"/>
  <c r="P511" i="1"/>
  <c r="O511" i="1"/>
  <c r="N511" i="1"/>
  <c r="P510" i="1"/>
  <c r="O510" i="1"/>
  <c r="N510" i="1"/>
  <c r="P509" i="1"/>
  <c r="O509" i="1"/>
  <c r="N509" i="1"/>
  <c r="P508" i="1"/>
  <c r="O508" i="1"/>
  <c r="N508" i="1"/>
  <c r="P507" i="1"/>
  <c r="O507" i="1"/>
  <c r="N507" i="1"/>
  <c r="P506" i="1"/>
  <c r="O506" i="1"/>
  <c r="N506" i="1"/>
  <c r="P505" i="1"/>
  <c r="O505" i="1"/>
  <c r="N505" i="1"/>
  <c r="P504" i="1"/>
  <c r="O504" i="1"/>
  <c r="N504" i="1"/>
  <c r="P503" i="1"/>
  <c r="O503" i="1"/>
  <c r="N503" i="1"/>
  <c r="P502" i="1"/>
  <c r="O502" i="1"/>
  <c r="N502" i="1"/>
  <c r="P501" i="1"/>
  <c r="O501" i="1"/>
  <c r="N501" i="1"/>
  <c r="P500" i="1"/>
  <c r="O500" i="1"/>
  <c r="N500" i="1"/>
  <c r="P499" i="1"/>
  <c r="O499" i="1"/>
  <c r="N499" i="1"/>
  <c r="P498" i="1"/>
  <c r="O498" i="1"/>
  <c r="N498" i="1"/>
  <c r="P497" i="1"/>
  <c r="O497" i="1"/>
  <c r="N497" i="1"/>
  <c r="P496" i="1"/>
  <c r="O496" i="1"/>
  <c r="N496" i="1"/>
  <c r="P495" i="1"/>
  <c r="O495" i="1"/>
  <c r="N495" i="1"/>
  <c r="P494" i="1"/>
  <c r="O494" i="1"/>
  <c r="N494" i="1"/>
  <c r="P493" i="1"/>
  <c r="O493" i="1"/>
  <c r="N493" i="1"/>
  <c r="P492" i="1"/>
  <c r="O492" i="1"/>
  <c r="N492" i="1"/>
  <c r="P491" i="1"/>
  <c r="O491" i="1"/>
  <c r="N491" i="1"/>
  <c r="P490" i="1"/>
  <c r="O490" i="1"/>
  <c r="N490" i="1"/>
  <c r="P489" i="1"/>
  <c r="O489" i="1"/>
  <c r="N489" i="1"/>
  <c r="P488" i="1"/>
  <c r="O488" i="1"/>
  <c r="N488" i="1"/>
  <c r="P487" i="1"/>
  <c r="O487" i="1"/>
  <c r="N487" i="1"/>
  <c r="P486" i="1"/>
  <c r="O486" i="1"/>
  <c r="N486" i="1"/>
  <c r="P485" i="1"/>
  <c r="O485" i="1"/>
  <c r="N485" i="1"/>
  <c r="P484" i="1"/>
  <c r="O484" i="1"/>
  <c r="N484" i="1"/>
  <c r="P483" i="1"/>
  <c r="O483" i="1"/>
  <c r="N483" i="1"/>
  <c r="P482" i="1"/>
  <c r="O482" i="1"/>
  <c r="N482" i="1"/>
  <c r="P481" i="1"/>
  <c r="O481" i="1"/>
  <c r="N481" i="1"/>
  <c r="P480" i="1"/>
  <c r="O480" i="1"/>
  <c r="N480" i="1"/>
  <c r="P479" i="1"/>
  <c r="O479" i="1"/>
  <c r="N479" i="1"/>
  <c r="P478" i="1"/>
  <c r="O478" i="1"/>
  <c r="N478" i="1"/>
  <c r="P477" i="1"/>
  <c r="O477" i="1"/>
  <c r="N477" i="1"/>
  <c r="P476" i="1"/>
  <c r="O476" i="1"/>
  <c r="N476" i="1"/>
  <c r="P475" i="1"/>
  <c r="O475" i="1"/>
  <c r="N475" i="1"/>
  <c r="P474" i="1"/>
  <c r="O474" i="1"/>
  <c r="N474" i="1"/>
  <c r="P473" i="1"/>
  <c r="O473" i="1"/>
  <c r="N473" i="1"/>
  <c r="P472" i="1"/>
  <c r="O472" i="1"/>
  <c r="N472" i="1"/>
  <c r="P471" i="1"/>
  <c r="O471" i="1"/>
  <c r="N471" i="1"/>
  <c r="P470" i="1"/>
  <c r="O470" i="1"/>
  <c r="N470" i="1"/>
  <c r="P469" i="1"/>
  <c r="O469" i="1"/>
  <c r="N469" i="1"/>
  <c r="P468" i="1"/>
  <c r="O468" i="1"/>
  <c r="N468" i="1"/>
  <c r="P467" i="1"/>
  <c r="O467" i="1"/>
  <c r="N467" i="1"/>
  <c r="P466" i="1"/>
  <c r="O466" i="1"/>
  <c r="N466" i="1"/>
  <c r="P465" i="1"/>
  <c r="O465" i="1"/>
  <c r="N465" i="1"/>
  <c r="P464" i="1"/>
  <c r="O464" i="1"/>
  <c r="N464" i="1"/>
  <c r="P463" i="1"/>
  <c r="O463" i="1"/>
  <c r="N463" i="1"/>
  <c r="P462" i="1"/>
  <c r="O462" i="1"/>
  <c r="N462" i="1"/>
  <c r="P461" i="1"/>
  <c r="O461" i="1"/>
  <c r="N461" i="1"/>
  <c r="P460" i="1"/>
  <c r="O460" i="1"/>
  <c r="N460" i="1"/>
  <c r="P459" i="1"/>
  <c r="O459" i="1"/>
  <c r="N459" i="1"/>
  <c r="P458" i="1"/>
  <c r="O458" i="1"/>
  <c r="N458" i="1"/>
  <c r="P457" i="1"/>
  <c r="O457" i="1"/>
  <c r="N457" i="1"/>
  <c r="P456" i="1"/>
  <c r="O456" i="1"/>
  <c r="N456" i="1"/>
  <c r="P455" i="1"/>
  <c r="O455" i="1"/>
  <c r="N455" i="1"/>
  <c r="P454" i="1"/>
  <c r="O454" i="1"/>
  <c r="N454" i="1"/>
  <c r="P453" i="1"/>
  <c r="O453" i="1"/>
  <c r="N453" i="1"/>
  <c r="P452" i="1"/>
  <c r="O452" i="1"/>
  <c r="N452" i="1"/>
  <c r="P451" i="1"/>
  <c r="O451" i="1"/>
  <c r="N451" i="1"/>
  <c r="P450" i="1"/>
  <c r="O450" i="1"/>
  <c r="N450" i="1"/>
  <c r="P449" i="1"/>
  <c r="O449" i="1"/>
  <c r="N449" i="1"/>
  <c r="P448" i="1"/>
  <c r="O448" i="1"/>
  <c r="N448" i="1"/>
  <c r="P447" i="1"/>
  <c r="O447" i="1"/>
  <c r="N447" i="1"/>
  <c r="P446" i="1"/>
  <c r="O446" i="1"/>
  <c r="N446" i="1"/>
  <c r="P445" i="1"/>
  <c r="O445" i="1"/>
  <c r="N445" i="1"/>
  <c r="P444" i="1"/>
  <c r="O444" i="1"/>
  <c r="N444" i="1"/>
  <c r="P443" i="1"/>
  <c r="O443" i="1"/>
  <c r="N443" i="1"/>
  <c r="P442" i="1"/>
  <c r="O442" i="1"/>
  <c r="N442" i="1"/>
  <c r="P441" i="1"/>
  <c r="O441" i="1"/>
  <c r="N441" i="1"/>
  <c r="P440" i="1"/>
  <c r="O440" i="1"/>
  <c r="N440" i="1"/>
  <c r="P439" i="1"/>
  <c r="O439" i="1"/>
  <c r="N439" i="1"/>
  <c r="P438" i="1"/>
  <c r="O438" i="1"/>
  <c r="N438" i="1"/>
  <c r="P437" i="1"/>
  <c r="O437" i="1"/>
  <c r="N437" i="1"/>
  <c r="P436" i="1"/>
  <c r="O436" i="1"/>
  <c r="N436" i="1"/>
  <c r="P435" i="1"/>
  <c r="O435" i="1"/>
  <c r="N435" i="1"/>
  <c r="P434" i="1"/>
  <c r="O434" i="1"/>
  <c r="N434" i="1"/>
  <c r="P433" i="1"/>
  <c r="O433" i="1"/>
  <c r="N433" i="1"/>
  <c r="P432" i="1"/>
  <c r="O432" i="1"/>
  <c r="N432" i="1"/>
  <c r="P431" i="1"/>
  <c r="O431" i="1"/>
  <c r="N431" i="1"/>
  <c r="P430" i="1"/>
  <c r="O430" i="1"/>
  <c r="N430" i="1"/>
  <c r="P429" i="1"/>
  <c r="O429" i="1"/>
  <c r="N429" i="1"/>
  <c r="P428" i="1"/>
  <c r="O428" i="1"/>
  <c r="N428" i="1"/>
  <c r="P427" i="1"/>
  <c r="O427" i="1"/>
  <c r="N427" i="1"/>
  <c r="P426" i="1"/>
  <c r="O426" i="1"/>
  <c r="N426" i="1"/>
  <c r="P425" i="1"/>
  <c r="O425" i="1"/>
  <c r="N425" i="1"/>
  <c r="P423" i="1"/>
  <c r="O423" i="1"/>
  <c r="N423" i="1"/>
  <c r="P422" i="1"/>
  <c r="O422" i="1"/>
  <c r="N422" i="1"/>
  <c r="P421" i="1"/>
  <c r="O421" i="1"/>
  <c r="N421" i="1"/>
  <c r="P420" i="1"/>
  <c r="O420" i="1"/>
  <c r="N420" i="1"/>
  <c r="P419" i="1"/>
  <c r="O419" i="1"/>
  <c r="N419" i="1"/>
  <c r="P418" i="1"/>
  <c r="O418" i="1"/>
  <c r="N418" i="1"/>
  <c r="P417" i="1"/>
  <c r="O417" i="1"/>
  <c r="N417" i="1"/>
  <c r="P416" i="1"/>
  <c r="O416" i="1"/>
  <c r="N416" i="1"/>
  <c r="P415" i="1"/>
  <c r="O415" i="1"/>
  <c r="N415" i="1"/>
  <c r="P414" i="1"/>
  <c r="O414" i="1"/>
  <c r="N414" i="1"/>
  <c r="P413" i="1"/>
  <c r="O413" i="1"/>
  <c r="N413" i="1"/>
  <c r="P412" i="1"/>
  <c r="O412" i="1"/>
  <c r="N412" i="1"/>
  <c r="P411" i="1"/>
  <c r="O411" i="1"/>
  <c r="N411" i="1"/>
  <c r="P410" i="1"/>
  <c r="O410" i="1"/>
  <c r="N410" i="1"/>
  <c r="P409" i="1"/>
  <c r="O409" i="1"/>
  <c r="N409" i="1"/>
  <c r="P408" i="1"/>
  <c r="O408" i="1"/>
  <c r="N408" i="1"/>
  <c r="P407" i="1"/>
  <c r="O407" i="1"/>
  <c r="N407" i="1"/>
  <c r="P406" i="1"/>
  <c r="O406" i="1"/>
  <c r="N406" i="1"/>
  <c r="P405" i="1"/>
  <c r="O405" i="1"/>
  <c r="N405" i="1"/>
  <c r="P404" i="1"/>
  <c r="O404" i="1"/>
  <c r="N404" i="1"/>
  <c r="P403" i="1"/>
  <c r="O403" i="1"/>
  <c r="N403" i="1"/>
  <c r="P402" i="1"/>
  <c r="O402" i="1"/>
  <c r="N402" i="1"/>
  <c r="P401" i="1"/>
  <c r="O401" i="1"/>
  <c r="N401" i="1"/>
  <c r="P400" i="1"/>
  <c r="O400" i="1"/>
  <c r="N400" i="1"/>
  <c r="P399" i="1"/>
  <c r="O399" i="1"/>
  <c r="N399" i="1"/>
  <c r="P398" i="1"/>
  <c r="O398" i="1"/>
  <c r="N398" i="1"/>
  <c r="P397" i="1"/>
  <c r="O397" i="1"/>
  <c r="N397" i="1"/>
  <c r="P396" i="1"/>
  <c r="O396" i="1"/>
  <c r="N396" i="1"/>
  <c r="P395" i="1"/>
  <c r="O395" i="1"/>
  <c r="N395" i="1"/>
  <c r="P394" i="1"/>
  <c r="O394" i="1"/>
  <c r="N394" i="1"/>
  <c r="P393" i="1"/>
  <c r="O393" i="1"/>
  <c r="N393" i="1"/>
  <c r="P392" i="1"/>
  <c r="O392" i="1"/>
  <c r="N392" i="1"/>
  <c r="P391" i="1"/>
  <c r="O391" i="1"/>
  <c r="N391" i="1"/>
  <c r="P390" i="1"/>
  <c r="O390" i="1"/>
  <c r="N390" i="1"/>
  <c r="P389" i="1"/>
  <c r="O389" i="1"/>
  <c r="N389" i="1"/>
  <c r="P388" i="1"/>
  <c r="O388" i="1"/>
  <c r="N388" i="1"/>
  <c r="P387" i="1"/>
  <c r="O387" i="1"/>
  <c r="N387" i="1"/>
  <c r="P386" i="1"/>
  <c r="O386" i="1"/>
  <c r="N386" i="1"/>
  <c r="P385" i="1"/>
  <c r="O385" i="1"/>
  <c r="N385" i="1"/>
  <c r="P383" i="1"/>
  <c r="O383" i="1"/>
  <c r="N383" i="1"/>
  <c r="P382" i="1"/>
  <c r="O382" i="1"/>
  <c r="N382" i="1"/>
  <c r="P381" i="1"/>
  <c r="O381" i="1"/>
  <c r="N381" i="1"/>
  <c r="P380" i="1"/>
  <c r="O380" i="1"/>
  <c r="N380" i="1"/>
  <c r="P379" i="1"/>
  <c r="O379" i="1"/>
  <c r="N379" i="1"/>
  <c r="P378" i="1"/>
  <c r="O378" i="1"/>
  <c r="N378" i="1"/>
  <c r="P377" i="1"/>
  <c r="O377" i="1"/>
  <c r="N377" i="1"/>
  <c r="P376" i="1"/>
  <c r="O376" i="1"/>
  <c r="N376" i="1"/>
  <c r="P375" i="1"/>
  <c r="O375" i="1"/>
  <c r="N375" i="1"/>
  <c r="P374" i="1"/>
  <c r="O374" i="1"/>
  <c r="N374" i="1"/>
  <c r="P373" i="1"/>
  <c r="O373" i="1"/>
  <c r="N373" i="1"/>
  <c r="P372" i="1"/>
  <c r="O372" i="1"/>
  <c r="N372" i="1"/>
  <c r="P371" i="1"/>
  <c r="O371" i="1"/>
  <c r="N371" i="1"/>
  <c r="P370" i="1"/>
  <c r="O370" i="1"/>
  <c r="N370" i="1"/>
  <c r="P369" i="1"/>
  <c r="O369" i="1"/>
  <c r="N369" i="1"/>
  <c r="P368" i="1"/>
  <c r="O368" i="1"/>
  <c r="N368" i="1"/>
  <c r="P367" i="1"/>
  <c r="O367" i="1"/>
  <c r="N367" i="1"/>
  <c r="P366" i="1"/>
  <c r="O366" i="1"/>
  <c r="N366" i="1"/>
  <c r="P365" i="1"/>
  <c r="O365" i="1"/>
  <c r="N365" i="1"/>
  <c r="P364" i="1"/>
  <c r="O364" i="1"/>
  <c r="N364" i="1"/>
  <c r="P363" i="1"/>
  <c r="O363" i="1"/>
  <c r="N363" i="1"/>
  <c r="P362" i="1"/>
  <c r="O362" i="1"/>
  <c r="N362" i="1"/>
  <c r="P361" i="1"/>
  <c r="O361" i="1"/>
  <c r="N361" i="1"/>
  <c r="P360" i="1"/>
  <c r="O360" i="1"/>
  <c r="N360" i="1"/>
  <c r="P359" i="1"/>
  <c r="O359" i="1"/>
  <c r="N359" i="1"/>
  <c r="P358" i="1"/>
  <c r="O358" i="1"/>
  <c r="N358" i="1"/>
  <c r="P357" i="1"/>
  <c r="O357" i="1"/>
  <c r="N357" i="1"/>
  <c r="P356" i="1"/>
  <c r="O356" i="1"/>
  <c r="N356" i="1"/>
  <c r="P355" i="1"/>
  <c r="O355" i="1"/>
  <c r="N355" i="1"/>
  <c r="P354" i="1"/>
  <c r="O354" i="1"/>
  <c r="N354" i="1"/>
  <c r="P353" i="1"/>
  <c r="O353" i="1"/>
  <c r="N353" i="1"/>
  <c r="P352" i="1"/>
  <c r="O352" i="1"/>
  <c r="N352" i="1"/>
  <c r="P351" i="1"/>
  <c r="O351" i="1"/>
  <c r="N351" i="1"/>
  <c r="P350" i="1"/>
  <c r="O350" i="1"/>
  <c r="N350" i="1"/>
  <c r="P349" i="1"/>
  <c r="O349" i="1"/>
  <c r="N349" i="1"/>
  <c r="P348" i="1"/>
  <c r="O348" i="1"/>
  <c r="N348" i="1"/>
  <c r="P347" i="1"/>
  <c r="O347" i="1"/>
  <c r="N347" i="1"/>
  <c r="P346" i="1"/>
  <c r="O346" i="1"/>
  <c r="N346" i="1"/>
  <c r="P345" i="1"/>
  <c r="O345" i="1"/>
  <c r="N345" i="1"/>
  <c r="P344" i="1"/>
  <c r="O344" i="1"/>
  <c r="N344" i="1"/>
  <c r="P343" i="1"/>
  <c r="O343" i="1"/>
  <c r="N343" i="1"/>
  <c r="P341" i="1"/>
  <c r="O341" i="1"/>
  <c r="N341" i="1"/>
  <c r="P340" i="1"/>
  <c r="O340" i="1"/>
  <c r="N340" i="1"/>
  <c r="P339" i="1"/>
  <c r="O339" i="1"/>
  <c r="N339" i="1"/>
  <c r="P338" i="1"/>
  <c r="O338" i="1"/>
  <c r="N338" i="1"/>
  <c r="P337" i="1"/>
  <c r="O337" i="1"/>
  <c r="N337" i="1"/>
  <c r="P336" i="1"/>
  <c r="O336" i="1"/>
  <c r="N336" i="1"/>
  <c r="P335" i="1"/>
  <c r="O335" i="1"/>
  <c r="N335" i="1"/>
  <c r="P334" i="1"/>
  <c r="O334" i="1"/>
  <c r="N334" i="1"/>
  <c r="P333" i="1"/>
  <c r="O333" i="1"/>
  <c r="N333" i="1"/>
  <c r="P332" i="1"/>
  <c r="O332" i="1"/>
  <c r="N332" i="1"/>
  <c r="P331" i="1"/>
  <c r="O331" i="1"/>
  <c r="N331" i="1"/>
  <c r="P330" i="1"/>
  <c r="O330" i="1"/>
  <c r="N330" i="1"/>
  <c r="P329" i="1"/>
  <c r="O329" i="1"/>
  <c r="N329" i="1"/>
  <c r="P328" i="1"/>
  <c r="O328" i="1"/>
  <c r="N328" i="1"/>
  <c r="P327" i="1"/>
  <c r="O327" i="1"/>
  <c r="N327" i="1"/>
  <c r="P326" i="1"/>
  <c r="O326" i="1"/>
  <c r="N326" i="1"/>
  <c r="P325" i="1"/>
  <c r="O325" i="1"/>
  <c r="N325" i="1"/>
  <c r="P324" i="1"/>
  <c r="O324" i="1"/>
  <c r="N324" i="1"/>
  <c r="P323" i="1"/>
  <c r="O323" i="1"/>
  <c r="N323" i="1"/>
  <c r="P322" i="1"/>
  <c r="O322" i="1"/>
  <c r="N322" i="1"/>
  <c r="P321" i="1"/>
  <c r="O321" i="1"/>
  <c r="N321" i="1"/>
  <c r="P320" i="1"/>
  <c r="O320" i="1"/>
  <c r="N320" i="1"/>
  <c r="P319" i="1"/>
  <c r="O319" i="1"/>
  <c r="N319" i="1"/>
  <c r="P318" i="1"/>
  <c r="O318" i="1"/>
  <c r="N318" i="1"/>
  <c r="P317" i="1"/>
  <c r="O317" i="1"/>
  <c r="N317" i="1"/>
  <c r="P316" i="1"/>
  <c r="O316" i="1"/>
  <c r="N316" i="1"/>
  <c r="P315" i="1"/>
  <c r="O315" i="1"/>
  <c r="N315" i="1"/>
  <c r="P314" i="1"/>
  <c r="O314" i="1"/>
  <c r="N314" i="1"/>
  <c r="P313" i="1"/>
  <c r="O313" i="1"/>
  <c r="N313" i="1"/>
  <c r="P312" i="1"/>
  <c r="O312" i="1"/>
  <c r="N312" i="1"/>
  <c r="P311" i="1"/>
  <c r="O311" i="1"/>
  <c r="N311" i="1"/>
  <c r="P310" i="1"/>
  <c r="O310" i="1"/>
  <c r="N310" i="1"/>
  <c r="P309" i="1"/>
  <c r="O309" i="1"/>
  <c r="N309" i="1"/>
  <c r="P308" i="1"/>
  <c r="O308" i="1"/>
  <c r="N308" i="1"/>
  <c r="P307" i="1"/>
  <c r="O307" i="1"/>
  <c r="N307" i="1"/>
  <c r="P306" i="1"/>
  <c r="O306" i="1"/>
  <c r="N306" i="1"/>
  <c r="P305" i="1"/>
  <c r="O305" i="1"/>
  <c r="N305" i="1"/>
  <c r="P304" i="1"/>
  <c r="O304" i="1"/>
  <c r="N304" i="1"/>
  <c r="P303" i="1"/>
  <c r="O303" i="1"/>
  <c r="N303" i="1"/>
  <c r="P302" i="1"/>
  <c r="O302" i="1"/>
  <c r="N302" i="1"/>
  <c r="P301" i="1"/>
  <c r="O301" i="1"/>
  <c r="N301" i="1"/>
  <c r="P300" i="1"/>
  <c r="O300" i="1"/>
  <c r="N300" i="1"/>
  <c r="P299" i="1"/>
  <c r="O299" i="1"/>
  <c r="N299" i="1"/>
  <c r="P298" i="1"/>
  <c r="O298" i="1"/>
  <c r="N298" i="1"/>
  <c r="P297" i="1"/>
  <c r="O297" i="1"/>
  <c r="N297" i="1"/>
  <c r="P296" i="1"/>
  <c r="O296" i="1"/>
  <c r="N296" i="1"/>
  <c r="P295" i="1"/>
  <c r="O295" i="1"/>
  <c r="N295" i="1"/>
  <c r="P294" i="1"/>
  <c r="O294" i="1"/>
  <c r="N294" i="1"/>
  <c r="P293" i="1"/>
  <c r="O293" i="1"/>
  <c r="N293" i="1"/>
  <c r="P292" i="1"/>
  <c r="O292" i="1"/>
  <c r="N292" i="1"/>
  <c r="P291" i="1"/>
  <c r="O291" i="1"/>
  <c r="N291" i="1"/>
  <c r="P290" i="1"/>
  <c r="O290" i="1"/>
  <c r="N290" i="1"/>
  <c r="P289" i="1"/>
  <c r="O289" i="1"/>
  <c r="N289" i="1"/>
  <c r="P288" i="1"/>
  <c r="O288" i="1"/>
  <c r="N288" i="1"/>
  <c r="P287" i="1"/>
  <c r="O287" i="1"/>
  <c r="N287" i="1"/>
  <c r="P286" i="1"/>
  <c r="O286" i="1"/>
  <c r="N286" i="1"/>
  <c r="P285" i="1"/>
  <c r="O285" i="1"/>
  <c r="N285" i="1"/>
  <c r="P284" i="1"/>
  <c r="O284" i="1"/>
  <c r="N284" i="1"/>
  <c r="P283" i="1"/>
  <c r="O283" i="1"/>
  <c r="N283" i="1"/>
  <c r="P282" i="1"/>
  <c r="O282" i="1"/>
  <c r="N282" i="1"/>
  <c r="P281" i="1"/>
  <c r="O281" i="1"/>
  <c r="N281" i="1"/>
  <c r="P280" i="1"/>
  <c r="O280" i="1"/>
  <c r="N280" i="1"/>
  <c r="P279" i="1"/>
  <c r="O279" i="1"/>
  <c r="N279" i="1"/>
  <c r="P278" i="1"/>
  <c r="O278" i="1"/>
  <c r="N278" i="1"/>
  <c r="P277" i="1"/>
  <c r="O277" i="1"/>
  <c r="N277" i="1"/>
  <c r="P276" i="1"/>
  <c r="O276" i="1"/>
  <c r="N276" i="1"/>
  <c r="P275" i="1"/>
  <c r="O275" i="1"/>
  <c r="N275" i="1"/>
  <c r="P274" i="1"/>
  <c r="O274" i="1"/>
  <c r="N274" i="1"/>
  <c r="P273" i="1"/>
  <c r="O273" i="1"/>
  <c r="N273" i="1"/>
  <c r="P272" i="1"/>
  <c r="O272" i="1"/>
  <c r="N272" i="1"/>
  <c r="P271" i="1"/>
  <c r="O271" i="1"/>
  <c r="N271" i="1"/>
  <c r="P270" i="1"/>
  <c r="O270" i="1"/>
  <c r="N270" i="1"/>
  <c r="P269" i="1"/>
  <c r="O269" i="1"/>
  <c r="N269" i="1"/>
  <c r="P268" i="1"/>
  <c r="O268" i="1"/>
  <c r="N268" i="1"/>
  <c r="P267" i="1"/>
  <c r="O267" i="1"/>
  <c r="N267" i="1"/>
  <c r="P266" i="1"/>
  <c r="O266" i="1"/>
  <c r="N266" i="1"/>
  <c r="P265" i="1"/>
  <c r="O265" i="1"/>
  <c r="N265" i="1"/>
  <c r="P264" i="1"/>
  <c r="O264" i="1"/>
  <c r="N264" i="1"/>
  <c r="P263" i="1"/>
  <c r="O263" i="1"/>
  <c r="N263" i="1"/>
  <c r="P262" i="1"/>
  <c r="O262" i="1"/>
  <c r="N262" i="1"/>
  <c r="P261" i="1"/>
  <c r="O261" i="1"/>
  <c r="N261" i="1"/>
  <c r="P260" i="1"/>
  <c r="O260" i="1"/>
  <c r="N260" i="1"/>
  <c r="P259" i="1"/>
  <c r="O259" i="1"/>
  <c r="N259" i="1"/>
  <c r="P258" i="1"/>
  <c r="O258" i="1"/>
  <c r="N258" i="1"/>
  <c r="P257" i="1"/>
  <c r="O257" i="1"/>
  <c r="N257" i="1"/>
  <c r="P256" i="1"/>
  <c r="O256" i="1"/>
  <c r="N256" i="1"/>
  <c r="P255" i="1"/>
  <c r="O255" i="1"/>
  <c r="N255" i="1"/>
  <c r="P254" i="1"/>
  <c r="O254" i="1"/>
  <c r="N254" i="1"/>
  <c r="P253" i="1"/>
  <c r="O253" i="1"/>
  <c r="N253" i="1"/>
  <c r="P252" i="1"/>
  <c r="O252" i="1"/>
  <c r="N252" i="1"/>
  <c r="P251" i="1"/>
  <c r="O251" i="1"/>
  <c r="N251" i="1"/>
  <c r="P250" i="1"/>
  <c r="O250" i="1"/>
  <c r="N250" i="1"/>
  <c r="P249" i="1"/>
  <c r="O249" i="1"/>
  <c r="N249" i="1"/>
  <c r="P248" i="1"/>
  <c r="O248" i="1"/>
  <c r="N248" i="1"/>
  <c r="P247" i="1"/>
  <c r="O247" i="1"/>
  <c r="N247" i="1"/>
  <c r="P246" i="1"/>
  <c r="O246" i="1"/>
  <c r="N246" i="1"/>
  <c r="P245" i="1"/>
  <c r="O245" i="1"/>
  <c r="N245" i="1"/>
  <c r="P244" i="1"/>
  <c r="O244" i="1"/>
  <c r="N244" i="1"/>
  <c r="P243" i="1"/>
  <c r="O243" i="1"/>
  <c r="N243" i="1"/>
  <c r="P242" i="1"/>
  <c r="O242" i="1"/>
  <c r="N242" i="1"/>
  <c r="P241" i="1"/>
  <c r="O241" i="1"/>
  <c r="N241" i="1"/>
  <c r="P240" i="1"/>
  <c r="O240" i="1"/>
  <c r="N240" i="1"/>
  <c r="P239" i="1"/>
  <c r="O239" i="1"/>
  <c r="N239" i="1"/>
  <c r="P238" i="1"/>
  <c r="O238" i="1"/>
  <c r="N238" i="1"/>
  <c r="P237" i="1"/>
  <c r="O237" i="1"/>
  <c r="N237" i="1"/>
  <c r="P236" i="1"/>
  <c r="O236" i="1"/>
  <c r="N236" i="1"/>
  <c r="P235" i="1"/>
  <c r="O235" i="1"/>
  <c r="N235" i="1"/>
  <c r="P234" i="1"/>
  <c r="O234" i="1"/>
  <c r="N234" i="1"/>
  <c r="P233" i="1"/>
  <c r="O233" i="1"/>
  <c r="N233" i="1"/>
  <c r="P232" i="1"/>
  <c r="O232" i="1"/>
  <c r="N232" i="1"/>
  <c r="P231" i="1"/>
  <c r="O231" i="1"/>
  <c r="N231" i="1"/>
  <c r="P230" i="1"/>
  <c r="O230" i="1"/>
  <c r="N230" i="1"/>
  <c r="P229" i="1"/>
  <c r="O229" i="1"/>
  <c r="N229" i="1"/>
  <c r="P228" i="1"/>
  <c r="O228" i="1"/>
  <c r="N228" i="1"/>
  <c r="P227" i="1"/>
  <c r="O227" i="1"/>
  <c r="N227" i="1"/>
  <c r="P226" i="1"/>
  <c r="O226" i="1"/>
  <c r="N226" i="1"/>
  <c r="P225" i="1"/>
  <c r="O225" i="1"/>
  <c r="N225" i="1"/>
  <c r="P224" i="1"/>
  <c r="O224" i="1"/>
  <c r="N224" i="1"/>
  <c r="P223" i="1"/>
  <c r="O223" i="1"/>
  <c r="N223" i="1"/>
  <c r="P222" i="1"/>
  <c r="O222" i="1"/>
  <c r="N222" i="1"/>
  <c r="P221" i="1"/>
  <c r="O221" i="1"/>
  <c r="N221" i="1"/>
  <c r="P220" i="1"/>
  <c r="O220" i="1"/>
  <c r="N220" i="1"/>
  <c r="P219" i="1"/>
  <c r="O219" i="1"/>
  <c r="N219" i="1"/>
  <c r="P218" i="1"/>
  <c r="O218" i="1"/>
  <c r="N218" i="1"/>
  <c r="P217" i="1"/>
  <c r="O217" i="1"/>
  <c r="N217" i="1"/>
  <c r="P216" i="1"/>
  <c r="O216" i="1"/>
  <c r="N216" i="1"/>
  <c r="P215" i="1"/>
  <c r="O215" i="1"/>
  <c r="N215" i="1"/>
  <c r="P214" i="1"/>
  <c r="O214" i="1"/>
  <c r="N214" i="1"/>
  <c r="P213" i="1"/>
  <c r="O213" i="1"/>
  <c r="N213" i="1"/>
  <c r="P212" i="1"/>
  <c r="O212" i="1"/>
  <c r="N212" i="1"/>
  <c r="P211" i="1"/>
  <c r="O211" i="1"/>
  <c r="N211" i="1"/>
  <c r="P210" i="1"/>
  <c r="O210" i="1"/>
  <c r="N210" i="1"/>
  <c r="P209" i="1"/>
  <c r="O209" i="1"/>
  <c r="N209" i="1"/>
  <c r="P208" i="1"/>
  <c r="O208" i="1"/>
  <c r="N208" i="1"/>
  <c r="P207" i="1"/>
  <c r="O207" i="1"/>
  <c r="N207" i="1"/>
  <c r="P206" i="1"/>
  <c r="O206" i="1"/>
  <c r="N206" i="1"/>
  <c r="P205" i="1"/>
  <c r="O205" i="1"/>
  <c r="N205" i="1"/>
  <c r="P204" i="1"/>
  <c r="O204" i="1"/>
  <c r="N204" i="1"/>
  <c r="P203" i="1"/>
  <c r="O203" i="1"/>
  <c r="N203" i="1"/>
  <c r="P202" i="1"/>
  <c r="O202" i="1"/>
  <c r="N202" i="1"/>
  <c r="P201" i="1"/>
  <c r="O201" i="1"/>
  <c r="N201" i="1"/>
  <c r="P200" i="1"/>
  <c r="O200" i="1"/>
  <c r="N200" i="1"/>
  <c r="P199" i="1"/>
  <c r="O199" i="1"/>
  <c r="N199" i="1"/>
  <c r="P198" i="1"/>
  <c r="O198" i="1"/>
  <c r="N198" i="1"/>
  <c r="P197" i="1"/>
  <c r="O197" i="1"/>
  <c r="N197" i="1"/>
  <c r="P196" i="1"/>
  <c r="O196" i="1"/>
  <c r="N196" i="1"/>
  <c r="P195" i="1"/>
  <c r="O195" i="1"/>
  <c r="N195" i="1"/>
  <c r="P194" i="1"/>
  <c r="O194" i="1"/>
  <c r="N194" i="1"/>
  <c r="P193" i="1"/>
  <c r="O193" i="1"/>
  <c r="N193" i="1"/>
  <c r="P192" i="1"/>
  <c r="O192" i="1"/>
  <c r="N192" i="1"/>
  <c r="P191" i="1"/>
  <c r="O191" i="1"/>
  <c r="N191" i="1"/>
  <c r="P190" i="1"/>
  <c r="O190" i="1"/>
  <c r="N190" i="1"/>
  <c r="P189" i="1"/>
  <c r="O189" i="1"/>
  <c r="N189" i="1"/>
  <c r="P188" i="1"/>
  <c r="O188" i="1"/>
  <c r="N188" i="1"/>
  <c r="P187" i="1"/>
  <c r="O187" i="1"/>
  <c r="N187" i="1"/>
  <c r="P186" i="1"/>
  <c r="O186" i="1"/>
  <c r="N186" i="1"/>
  <c r="P185" i="1"/>
  <c r="O185" i="1"/>
  <c r="N185" i="1"/>
  <c r="P184" i="1"/>
  <c r="O184" i="1"/>
  <c r="N184" i="1"/>
  <c r="P183" i="1"/>
  <c r="O183" i="1"/>
  <c r="N183" i="1"/>
  <c r="P182" i="1"/>
  <c r="O182" i="1"/>
  <c r="N182" i="1"/>
  <c r="P181" i="1"/>
  <c r="O181" i="1"/>
  <c r="N181" i="1"/>
  <c r="P180" i="1"/>
  <c r="O180" i="1"/>
  <c r="N180" i="1"/>
  <c r="P179" i="1"/>
  <c r="O179" i="1"/>
  <c r="N179" i="1"/>
  <c r="P178" i="1"/>
  <c r="O178" i="1"/>
  <c r="N178" i="1"/>
  <c r="P177" i="1"/>
  <c r="O177" i="1"/>
  <c r="N177" i="1"/>
  <c r="P176" i="1"/>
  <c r="O176" i="1"/>
  <c r="N176" i="1"/>
  <c r="P175" i="1"/>
  <c r="O175" i="1"/>
  <c r="N175" i="1"/>
  <c r="P174" i="1"/>
  <c r="O174" i="1"/>
  <c r="N174" i="1"/>
  <c r="P173" i="1"/>
  <c r="O173" i="1"/>
  <c r="N173" i="1"/>
  <c r="P172" i="1"/>
  <c r="O172" i="1"/>
  <c r="N172" i="1"/>
  <c r="P171" i="1"/>
  <c r="O171" i="1"/>
  <c r="N171" i="1"/>
  <c r="P170" i="1"/>
  <c r="O170" i="1"/>
  <c r="N170" i="1"/>
  <c r="P169" i="1"/>
  <c r="O169" i="1"/>
  <c r="N169" i="1"/>
  <c r="P168" i="1"/>
  <c r="O168" i="1"/>
  <c r="N168" i="1"/>
  <c r="P167" i="1"/>
  <c r="O167" i="1"/>
  <c r="N167" i="1"/>
  <c r="P166" i="1"/>
  <c r="O166" i="1"/>
  <c r="N166" i="1"/>
  <c r="P165" i="1"/>
  <c r="O165" i="1"/>
  <c r="N165" i="1"/>
  <c r="P164" i="1"/>
  <c r="O164" i="1"/>
  <c r="N164" i="1"/>
  <c r="P163" i="1"/>
  <c r="O163" i="1"/>
  <c r="N163" i="1"/>
  <c r="P162" i="1"/>
  <c r="O162" i="1"/>
  <c r="N162" i="1"/>
  <c r="P161" i="1"/>
  <c r="O161" i="1"/>
  <c r="N161" i="1"/>
  <c r="P160" i="1"/>
  <c r="O160" i="1"/>
  <c r="N160" i="1"/>
  <c r="P159" i="1"/>
  <c r="O159" i="1"/>
  <c r="N159" i="1"/>
  <c r="P158" i="1"/>
  <c r="O158" i="1"/>
  <c r="N158" i="1"/>
  <c r="P157" i="1"/>
  <c r="O157" i="1"/>
  <c r="N157" i="1"/>
  <c r="P156" i="1"/>
  <c r="O156" i="1"/>
  <c r="N156" i="1"/>
  <c r="P155" i="1"/>
  <c r="O155" i="1"/>
  <c r="N155" i="1"/>
  <c r="P154" i="1"/>
  <c r="O154" i="1"/>
  <c r="N154" i="1"/>
  <c r="P153" i="1"/>
  <c r="O153" i="1"/>
  <c r="N153" i="1"/>
  <c r="P152" i="1"/>
  <c r="O152" i="1"/>
  <c r="N152" i="1"/>
  <c r="P151" i="1"/>
  <c r="O151" i="1"/>
  <c r="N151" i="1"/>
  <c r="P150" i="1"/>
  <c r="O150" i="1"/>
  <c r="N150" i="1"/>
  <c r="P149" i="1"/>
  <c r="O149" i="1"/>
  <c r="N149" i="1"/>
  <c r="P148" i="1"/>
  <c r="O148" i="1"/>
  <c r="N148" i="1"/>
  <c r="P147" i="1"/>
  <c r="O147" i="1"/>
  <c r="N147" i="1"/>
  <c r="P146" i="1"/>
  <c r="O146" i="1"/>
  <c r="N146" i="1"/>
  <c r="P145" i="1"/>
  <c r="O145" i="1"/>
  <c r="N145" i="1"/>
  <c r="P144" i="1"/>
  <c r="O144" i="1"/>
  <c r="N144" i="1"/>
  <c r="P143" i="1"/>
  <c r="O143" i="1"/>
  <c r="N143" i="1"/>
  <c r="P142" i="1"/>
  <c r="O142" i="1"/>
  <c r="N142" i="1"/>
  <c r="P141" i="1"/>
  <c r="O141" i="1"/>
  <c r="N141" i="1"/>
  <c r="P140" i="1"/>
  <c r="O140" i="1"/>
  <c r="N140" i="1"/>
  <c r="P139" i="1"/>
  <c r="O139" i="1"/>
  <c r="N139" i="1"/>
  <c r="P138" i="1"/>
  <c r="O138" i="1"/>
  <c r="N138" i="1"/>
  <c r="P137" i="1"/>
  <c r="O137" i="1"/>
  <c r="N137" i="1"/>
  <c r="P136" i="1"/>
  <c r="O136" i="1"/>
  <c r="N136" i="1"/>
  <c r="P135" i="1"/>
  <c r="O135" i="1"/>
  <c r="N135" i="1"/>
  <c r="P134" i="1"/>
  <c r="O134" i="1"/>
  <c r="N134" i="1"/>
  <c r="P133" i="1"/>
  <c r="O133" i="1"/>
  <c r="N133" i="1"/>
  <c r="P132" i="1"/>
  <c r="O132" i="1"/>
  <c r="N132" i="1"/>
  <c r="P131" i="1"/>
  <c r="O131" i="1"/>
  <c r="N131" i="1"/>
  <c r="P130" i="1"/>
  <c r="O130" i="1"/>
  <c r="N130" i="1"/>
  <c r="P129" i="1"/>
  <c r="O129" i="1"/>
  <c r="N129" i="1"/>
  <c r="P128" i="1"/>
  <c r="O128" i="1"/>
  <c r="N128" i="1"/>
  <c r="P127" i="1"/>
  <c r="O127" i="1"/>
  <c r="N127" i="1"/>
  <c r="P126" i="1"/>
  <c r="O126" i="1"/>
  <c r="N126" i="1"/>
  <c r="P125" i="1"/>
  <c r="O125" i="1"/>
  <c r="N125" i="1"/>
  <c r="P124" i="1"/>
  <c r="O124" i="1"/>
  <c r="N124" i="1"/>
  <c r="P123" i="1"/>
  <c r="O123" i="1"/>
  <c r="N123" i="1"/>
  <c r="P122" i="1"/>
  <c r="O122" i="1"/>
  <c r="N122" i="1"/>
  <c r="P121" i="1"/>
  <c r="O121" i="1"/>
  <c r="N121" i="1"/>
  <c r="P120" i="1"/>
  <c r="O120" i="1"/>
  <c r="N120" i="1"/>
  <c r="P119" i="1"/>
  <c r="O119" i="1"/>
  <c r="N119" i="1"/>
  <c r="P118" i="1"/>
  <c r="O118" i="1"/>
  <c r="N118" i="1"/>
  <c r="P117" i="1"/>
  <c r="O117" i="1"/>
  <c r="N117" i="1"/>
  <c r="P116" i="1"/>
  <c r="O116" i="1"/>
  <c r="N116" i="1"/>
  <c r="P115" i="1"/>
  <c r="O115" i="1"/>
  <c r="N115" i="1"/>
  <c r="P114" i="1"/>
  <c r="O114" i="1"/>
  <c r="N114" i="1"/>
  <c r="P113" i="1"/>
  <c r="O113" i="1"/>
  <c r="N113" i="1"/>
  <c r="P112" i="1"/>
  <c r="O112" i="1"/>
  <c r="N112" i="1"/>
  <c r="P111" i="1"/>
  <c r="O111" i="1"/>
  <c r="N111" i="1"/>
  <c r="P110" i="1"/>
  <c r="O110" i="1"/>
  <c r="N110" i="1"/>
  <c r="P109" i="1"/>
  <c r="O109" i="1"/>
  <c r="N109" i="1"/>
  <c r="P108" i="1"/>
  <c r="O108" i="1"/>
  <c r="N108" i="1"/>
  <c r="P107" i="1"/>
  <c r="O107" i="1"/>
  <c r="N107" i="1"/>
  <c r="P106" i="1"/>
  <c r="O106" i="1"/>
  <c r="N106" i="1"/>
  <c r="P105" i="1"/>
  <c r="O105" i="1"/>
  <c r="N105" i="1"/>
  <c r="P104" i="1"/>
  <c r="O104" i="1"/>
  <c r="N104" i="1"/>
  <c r="P103" i="1"/>
  <c r="O103" i="1"/>
  <c r="N103" i="1"/>
  <c r="P102" i="1"/>
  <c r="O102" i="1"/>
  <c r="N102" i="1"/>
  <c r="P101" i="1"/>
  <c r="O101" i="1"/>
  <c r="N101" i="1"/>
  <c r="P100" i="1"/>
  <c r="O100" i="1"/>
  <c r="N100" i="1"/>
  <c r="P99" i="1"/>
  <c r="O99" i="1"/>
  <c r="N99" i="1"/>
  <c r="P98" i="1"/>
  <c r="O98" i="1"/>
  <c r="N98" i="1"/>
  <c r="P97" i="1"/>
  <c r="O97" i="1"/>
  <c r="N97" i="1"/>
  <c r="P96" i="1"/>
  <c r="O96" i="1"/>
  <c r="N96" i="1"/>
  <c r="P95" i="1"/>
  <c r="O95" i="1"/>
  <c r="N95" i="1"/>
  <c r="P94" i="1"/>
  <c r="O94" i="1"/>
  <c r="N94" i="1"/>
  <c r="P93" i="1"/>
  <c r="O93" i="1"/>
  <c r="N93" i="1"/>
  <c r="P92" i="1"/>
  <c r="O92" i="1"/>
  <c r="N92" i="1"/>
  <c r="P91" i="1"/>
  <c r="O91" i="1"/>
  <c r="N91" i="1"/>
  <c r="P90" i="1"/>
  <c r="O90" i="1"/>
  <c r="N90" i="1"/>
  <c r="P89" i="1"/>
  <c r="O89" i="1"/>
  <c r="N89" i="1"/>
  <c r="P88" i="1"/>
  <c r="O88" i="1"/>
  <c r="N88" i="1"/>
  <c r="P87" i="1"/>
  <c r="O87" i="1"/>
  <c r="N87" i="1"/>
  <c r="P86" i="1"/>
  <c r="O86" i="1"/>
  <c r="N86" i="1"/>
  <c r="P85" i="1"/>
  <c r="O85" i="1"/>
  <c r="N85" i="1"/>
  <c r="P84" i="1"/>
  <c r="O84" i="1"/>
  <c r="N84" i="1"/>
  <c r="P83" i="1"/>
  <c r="O83" i="1"/>
  <c r="N83" i="1"/>
  <c r="P82" i="1"/>
  <c r="O82" i="1"/>
  <c r="N82" i="1"/>
  <c r="P81" i="1"/>
  <c r="O81" i="1"/>
  <c r="N81" i="1"/>
  <c r="P80" i="1"/>
  <c r="O80" i="1"/>
  <c r="N80" i="1"/>
  <c r="P79" i="1"/>
  <c r="O79" i="1"/>
  <c r="N79" i="1"/>
  <c r="P78" i="1"/>
  <c r="O78" i="1"/>
  <c r="N78" i="1"/>
  <c r="P77" i="1"/>
  <c r="O77" i="1"/>
  <c r="N77" i="1"/>
  <c r="P76" i="1"/>
  <c r="O76" i="1"/>
  <c r="N76" i="1"/>
  <c r="P75" i="1"/>
  <c r="O75" i="1"/>
  <c r="N75" i="1"/>
  <c r="P74" i="1"/>
  <c r="O74" i="1"/>
  <c r="N74" i="1"/>
  <c r="P73" i="1"/>
  <c r="O73" i="1"/>
  <c r="N73" i="1"/>
  <c r="P72" i="1"/>
  <c r="O72" i="1"/>
  <c r="N72" i="1"/>
  <c r="P71" i="1"/>
  <c r="O71" i="1"/>
  <c r="N71" i="1"/>
  <c r="P70" i="1"/>
  <c r="O70" i="1"/>
  <c r="N70" i="1"/>
  <c r="P69" i="1"/>
  <c r="O69" i="1"/>
  <c r="N69" i="1"/>
  <c r="P68" i="1"/>
  <c r="O68" i="1"/>
  <c r="N68" i="1"/>
  <c r="P67" i="1"/>
  <c r="O67" i="1"/>
  <c r="N67" i="1"/>
  <c r="P66" i="1"/>
  <c r="O66" i="1"/>
  <c r="N66" i="1"/>
  <c r="P65" i="1"/>
  <c r="O65" i="1"/>
  <c r="N65" i="1"/>
  <c r="P64" i="1"/>
  <c r="O64" i="1"/>
  <c r="N64" i="1"/>
  <c r="P63" i="1"/>
  <c r="O63" i="1"/>
  <c r="N63" i="1"/>
  <c r="P62" i="1"/>
  <c r="O62" i="1"/>
  <c r="N62" i="1"/>
  <c r="P61" i="1"/>
  <c r="O61" i="1"/>
  <c r="N61" i="1"/>
  <c r="P60" i="1"/>
  <c r="O60" i="1"/>
  <c r="N60" i="1"/>
  <c r="P59" i="1"/>
  <c r="O59" i="1"/>
  <c r="N59" i="1"/>
  <c r="P58" i="1"/>
  <c r="O58" i="1"/>
  <c r="N58" i="1"/>
  <c r="P57" i="1"/>
  <c r="O57" i="1"/>
  <c r="N57" i="1"/>
  <c r="P56" i="1"/>
  <c r="O56" i="1"/>
  <c r="N56" i="1"/>
  <c r="P55" i="1"/>
  <c r="O55" i="1"/>
  <c r="N55" i="1"/>
  <c r="P54" i="1"/>
  <c r="O54" i="1"/>
  <c r="N54" i="1"/>
  <c r="P53" i="1"/>
  <c r="O53" i="1"/>
  <c r="N53" i="1"/>
  <c r="P52" i="1"/>
  <c r="O52" i="1"/>
  <c r="N52" i="1"/>
  <c r="P51" i="1"/>
  <c r="O51" i="1"/>
  <c r="N51" i="1"/>
  <c r="P50" i="1"/>
  <c r="O50" i="1"/>
  <c r="N50" i="1"/>
  <c r="P49" i="1"/>
  <c r="O49" i="1"/>
  <c r="N49" i="1"/>
  <c r="P48" i="1"/>
  <c r="O48" i="1"/>
  <c r="N48" i="1"/>
  <c r="P47" i="1"/>
  <c r="O47" i="1"/>
  <c r="N47" i="1"/>
  <c r="P46" i="1"/>
  <c r="O46" i="1"/>
  <c r="N46" i="1"/>
  <c r="P45" i="1"/>
  <c r="O45" i="1"/>
  <c r="N45" i="1"/>
  <c r="P44" i="1"/>
  <c r="O44" i="1"/>
  <c r="N44" i="1"/>
  <c r="P43" i="1"/>
  <c r="O43" i="1"/>
  <c r="N43" i="1"/>
  <c r="P42" i="1"/>
  <c r="O42" i="1"/>
  <c r="N42" i="1"/>
  <c r="P41" i="1"/>
  <c r="O41" i="1"/>
  <c r="N41" i="1"/>
  <c r="P40" i="1"/>
  <c r="O40" i="1"/>
  <c r="N40" i="1"/>
  <c r="P38" i="1"/>
  <c r="O38" i="1"/>
  <c r="N38" i="1"/>
  <c r="P37" i="1"/>
  <c r="O37" i="1"/>
  <c r="N37" i="1"/>
  <c r="P36" i="1"/>
  <c r="O36" i="1"/>
  <c r="N36" i="1"/>
  <c r="P35" i="1"/>
  <c r="O35" i="1"/>
  <c r="N35" i="1"/>
  <c r="P34" i="1"/>
  <c r="O34" i="1"/>
  <c r="N34" i="1"/>
  <c r="P33" i="1"/>
  <c r="O33" i="1"/>
  <c r="N33" i="1"/>
  <c r="P32" i="1"/>
  <c r="O32" i="1"/>
  <c r="N32" i="1"/>
  <c r="P31" i="1"/>
  <c r="O31" i="1"/>
  <c r="N31" i="1"/>
  <c r="P30" i="1"/>
  <c r="O30" i="1"/>
  <c r="N30" i="1"/>
  <c r="P29" i="1"/>
  <c r="O29" i="1"/>
  <c r="N29" i="1"/>
  <c r="P28" i="1"/>
  <c r="O28" i="1"/>
  <c r="N28" i="1"/>
  <c r="P27" i="1"/>
  <c r="O27" i="1"/>
  <c r="N27" i="1"/>
  <c r="P26" i="1"/>
  <c r="O26" i="1"/>
  <c r="N26" i="1"/>
  <c r="P25" i="1"/>
  <c r="O25" i="1"/>
  <c r="N25" i="1"/>
  <c r="P24" i="1"/>
  <c r="O24" i="1"/>
  <c r="N24" i="1"/>
  <c r="P23" i="1"/>
  <c r="O23" i="1"/>
  <c r="N23" i="1"/>
  <c r="P22" i="1"/>
  <c r="O22" i="1"/>
  <c r="N22" i="1"/>
  <c r="P21" i="1"/>
  <c r="O21" i="1"/>
  <c r="N21" i="1"/>
  <c r="P20" i="1"/>
  <c r="O20" i="1"/>
  <c r="N20" i="1"/>
  <c r="P19" i="1"/>
  <c r="O19" i="1"/>
  <c r="N19" i="1"/>
  <c r="P18" i="1"/>
  <c r="O18" i="1"/>
  <c r="N18" i="1"/>
  <c r="P17" i="1"/>
  <c r="O17" i="1"/>
  <c r="N17" i="1"/>
  <c r="P16" i="1"/>
  <c r="O16" i="1"/>
  <c r="N16" i="1"/>
  <c r="P15" i="1"/>
  <c r="O15" i="1"/>
  <c r="N15" i="1"/>
  <c r="P14" i="1"/>
  <c r="O14" i="1"/>
  <c r="N14" i="1"/>
  <c r="P13" i="1"/>
  <c r="O13" i="1"/>
  <c r="N13" i="1"/>
  <c r="P12" i="1"/>
  <c r="O12" i="1"/>
  <c r="N12" i="1"/>
  <c r="P11" i="1"/>
  <c r="O11" i="1"/>
  <c r="N11" i="1"/>
  <c r="P10" i="1"/>
  <c r="O10" i="1"/>
  <c r="N10" i="1"/>
  <c r="P9" i="1"/>
  <c r="O9" i="1"/>
  <c r="N9" i="1"/>
  <c r="P8" i="1"/>
  <c r="O8" i="1"/>
  <c r="N8" i="1"/>
  <c r="P7" i="1"/>
  <c r="O7" i="1"/>
  <c r="N7" i="1"/>
  <c r="P6" i="1"/>
  <c r="O6" i="1"/>
  <c r="N6" i="1"/>
  <c r="P5" i="1"/>
  <c r="O5" i="1"/>
  <c r="N5" i="1"/>
  <c r="P4" i="1"/>
  <c r="O4" i="1"/>
  <c r="N4" i="1"/>
  <c r="P3" i="1"/>
  <c r="O3" i="1"/>
  <c r="N3" i="1"/>
  <c r="P2" i="1"/>
  <c r="O2" i="1"/>
  <c r="N2" i="1"/>
  <c r="O1359" i="1" l="1"/>
  <c r="P135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Deny Arif Nugroho</author>
  </authors>
  <commentList>
    <comment ref="H53" authorId="0" shapeId="0" xr:uid="{130824E7-5209-4F88-9369-B2E1B1624CB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106975000</t>
        </r>
      </text>
    </comment>
    <comment ref="H92" authorId="0" shapeId="0" xr:uid="{26266204-0175-405E-BB9B-FB37CFDAE4C8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12243000</t>
        </r>
      </text>
    </comment>
    <comment ref="H116" authorId="0" shapeId="0" xr:uid="{168FF3ED-2C9C-41EA-A2DD-CFA7CE5E162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65388889</t>
        </r>
      </text>
    </comment>
    <comment ref="H127" authorId="0" shapeId="0" xr:uid="{32240678-875D-46A7-A5A8-22C16CBAC57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65388889</t>
        </r>
      </text>
    </comment>
    <comment ref="H128" authorId="0" shapeId="0" xr:uid="{416606E3-5D4D-47E8-BDF5-48B40817E12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135000000</t>
        </r>
      </text>
    </comment>
    <comment ref="H296" authorId="0" shapeId="0" xr:uid="{50936F09-9089-4BF0-BBBF-32D20D012984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248100000</t>
        </r>
      </text>
    </comment>
    <comment ref="C342" authorId="0" shapeId="0" xr:uid="{B970B2FD-87FB-44A8-B5BF-3E57AAB9887A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Identifikasi Hadi BPKAD</t>
        </r>
      </text>
    </comment>
    <comment ref="G426" authorId="0" shapeId="0" xr:uid="{00000000-0006-0000-0000-000001000000}">
      <text>
        <r>
          <rPr>
            <b/>
            <sz val="9"/>
            <rFont val="Tahoma"/>
            <charset val="134"/>
          </rPr>
          <t>ASUS:</t>
        </r>
        <r>
          <rPr>
            <sz val="9"/>
            <rFont val="Tahoma"/>
            <charset val="134"/>
          </rPr>
          <t xml:space="preserve">
Bansos, tdk bs digeser</t>
        </r>
      </text>
    </comment>
    <comment ref="H451" authorId="1" shapeId="0" xr:uid="{00000000-0006-0000-0000-000002000000}">
      <text>
        <r>
          <rPr>
            <b/>
            <sz val="9"/>
            <rFont val="Tahoma"/>
            <charset val="134"/>
          </rPr>
          <t>Deny Arif Nugroho:</t>
        </r>
        <r>
          <rPr>
            <sz val="9"/>
            <rFont val="Tahoma"/>
            <charset val="134"/>
          </rPr>
          <t xml:space="preserve">
Tambahan</t>
        </r>
      </text>
    </comment>
    <comment ref="H497" authorId="0" shapeId="0" xr:uid="{85724927-67BE-46BA-8936-CD62CE6F0F9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64554000</t>
        </r>
      </text>
    </comment>
    <comment ref="H592" authorId="0" shapeId="0" xr:uid="{DF0741EA-140B-4599-9DBB-BC68179CDF2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130777778</t>
        </r>
      </text>
    </comment>
    <comment ref="H684" authorId="0" shapeId="0" xr:uid="{E9C03E60-DEA3-4E7C-AC71-37914CC13B36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64554000</t>
        </r>
      </text>
    </comment>
    <comment ref="H710" authorId="0" shapeId="0" xr:uid="{8B0A8633-778F-4EF6-8733-794B950F006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125300000</t>
        </r>
      </text>
    </comment>
    <comment ref="H725" authorId="0" shapeId="0" xr:uid="{20DBEF98-342B-4EE7-BCEA-975C73B71FA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64554000</t>
        </r>
      </text>
    </comment>
    <comment ref="J778" authorId="0" shapeId="0" xr:uid="{00000000-0006-0000-0000-000003000000}">
      <text>
        <r>
          <rPr>
            <b/>
            <sz val="9"/>
            <rFont val="Tahoma"/>
            <charset val="134"/>
          </rPr>
          <t>ASUS:</t>
        </r>
        <r>
          <rPr>
            <sz val="9"/>
            <rFont val="Tahoma"/>
            <charset val="134"/>
          </rPr>
          <t xml:space="preserve">
Semula Krama Jaya</t>
        </r>
      </text>
    </comment>
    <comment ref="H795" authorId="0" shapeId="0" xr:uid="{8E1CF77A-5521-424B-8B36-DDF3A32F5B2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75000000</t>
        </r>
      </text>
    </comment>
    <comment ref="H810" authorId="0" shapeId="0" xr:uid="{F1634C9B-7F86-4CEC-AB29-2759A729582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65388889</t>
        </r>
      </text>
    </comment>
    <comment ref="H821" authorId="0" shapeId="0" xr:uid="{D8A63A18-0C8E-4A71-823F-97CD21878C3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14469000</t>
        </r>
      </text>
    </comment>
    <comment ref="H834" authorId="0" shapeId="0" xr:uid="{36EE144B-8FC9-40AA-9A5E-AA111B7D7FAD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2791800000</t>
        </r>
      </text>
    </comment>
    <comment ref="H835" authorId="0" shapeId="0" xr:uid="{28E277C0-DE80-4A27-991E-9FDCAAD9180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135000000</t>
        </r>
      </text>
    </comment>
    <comment ref="H862" authorId="0" shapeId="0" xr:uid="{518D4390-1723-4994-9585-A6A4EF9015A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150000000</t>
        </r>
      </text>
    </comment>
    <comment ref="C876" authorId="0" shapeId="0" xr:uid="{C8F111B6-A19D-4CDE-97C2-81DC49B09E0F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Identifikasi Hadi (Pokir Blm ada di DPA</t>
        </r>
      </text>
    </comment>
    <comment ref="H913" authorId="0" shapeId="0" xr:uid="{4D76FDE4-42F2-4B06-95B9-5EF9277B2E7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ANGGRAN SEMULA 89100000</t>
        </r>
      </text>
    </comment>
    <comment ref="H973" authorId="0" shapeId="0" xr:uid="{ACBE3913-AA84-4EF2-A4F8-2A28452128B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49500000</t>
        </r>
      </text>
    </comment>
    <comment ref="H1017" authorId="0" shapeId="0" xr:uid="{E754BBED-84DB-418A-AE6A-5D1F82AEADD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189000000</t>
        </r>
      </text>
    </comment>
    <comment ref="C1059" authorId="0" shapeId="0" xr:uid="{1DCEC485-CD13-489B-ABF6-52541863FE81}">
      <text>
        <r>
          <rPr>
            <b/>
            <sz val="9"/>
            <color indexed="81"/>
            <rFont val="Tahoma"/>
            <charset val="1"/>
          </rPr>
          <t xml:space="preserve">Identifikasi Hadi (Pokir Belum ada di DPA)
</t>
        </r>
      </text>
    </comment>
    <comment ref="H1064" authorId="0" shapeId="0" xr:uid="{1A780F1D-BF2D-4006-BF22-FA71C2B80AF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150000000</t>
        </r>
      </text>
    </comment>
    <comment ref="H1074" authorId="0" shapeId="0" xr:uid="{738EBB7F-1222-4BAF-8809-C299E739FA59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2124850000</t>
        </r>
      </text>
    </comment>
    <comment ref="H1075" authorId="0" shapeId="0" xr:uid="{1E73E14C-8D29-4E4C-B957-19B266D6CBEA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39000000</t>
        </r>
      </text>
    </comment>
    <comment ref="C1094" authorId="0" shapeId="0" xr:uid="{BE730A91-F9A9-4A1A-8E44-C0354E5C2FEC}">
      <text>
        <r>
          <rPr>
            <b/>
            <sz val="9"/>
            <color indexed="81"/>
            <rFont val="Tahoma"/>
            <charset val="1"/>
          </rPr>
          <t>ASUS:</t>
        </r>
        <r>
          <rPr>
            <sz val="9"/>
            <color indexed="81"/>
            <rFont val="Tahoma"/>
            <charset val="1"/>
          </rPr>
          <t xml:space="preserve">
Identifikasi Hadi</t>
        </r>
      </text>
    </comment>
    <comment ref="H1096" authorId="1" shapeId="0" xr:uid="{00000000-0006-0000-0000-000004000000}">
      <text>
        <r>
          <rPr>
            <b/>
            <sz val="9"/>
            <rFont val="Tahoma"/>
            <charset val="134"/>
          </rPr>
          <t>Deny Arif Nugroho:</t>
        </r>
        <r>
          <rPr>
            <sz val="9"/>
            <rFont val="Tahoma"/>
            <charset val="134"/>
          </rPr>
          <t xml:space="preserve">
Tambahan 5,2M</t>
        </r>
      </text>
    </comment>
    <comment ref="H1291" authorId="0" shapeId="0" xr:uid="{23406F2E-2A51-4033-B7C4-C11A55A3E82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ANGGARAN SEMULA 106975000</t>
        </r>
      </text>
    </comment>
  </commentList>
</comments>
</file>

<file path=xl/sharedStrings.xml><?xml version="1.0" encoding="utf-8"?>
<sst xmlns="http://schemas.openxmlformats.org/spreadsheetml/2006/main" count="13849" uniqueCount="995">
  <si>
    <t>NO</t>
  </si>
  <si>
    <t>AKSI PRIORITAS</t>
  </si>
  <si>
    <t>PERANGKAT DAERAH</t>
  </si>
  <si>
    <t>PROGRAM</t>
  </si>
  <si>
    <t>KEGIATAN</t>
  </si>
  <si>
    <t>SUB KEGIATAN</t>
  </si>
  <si>
    <t>PEKERJAAN</t>
  </si>
  <si>
    <t>PAGU ANGGARAN</t>
  </si>
  <si>
    <t>KODE DESA</t>
  </si>
  <si>
    <t>DESA /KELURAHAN</t>
  </si>
  <si>
    <t>KODE KECAMATAN</t>
  </si>
  <si>
    <t>KECAMATAN</t>
  </si>
  <si>
    <t xml:space="preserve">LUAS </t>
  </si>
  <si>
    <t>PENDUDUK</t>
  </si>
  <si>
    <t>JUMLAH ANGKA KEMISKINANAN</t>
  </si>
  <si>
    <t>JUMLAH ANGKA STUNTING</t>
  </si>
  <si>
    <t>POTENSI DESA</t>
  </si>
  <si>
    <t>STRATA DESA</t>
  </si>
  <si>
    <t>LATITUDE</t>
  </si>
  <si>
    <t>LONGITUDE</t>
  </si>
  <si>
    <t>Dinas Pendidikan dan Kebudayaan</t>
  </si>
  <si>
    <t>PROGRAM PENGEMBANGAN KEBUDAYAAN</t>
  </si>
  <si>
    <t>Pembinaan Lembaga Adat yang Penganutnya dalam Daerah Kabupaten/Kota</t>
  </si>
  <si>
    <t xml:space="preserve">Penyediaan Sarana dan Prasarana Pembinaan Lembaga Adat </t>
  </si>
  <si>
    <t>Pengadaan Alat Kesenian Kelompok Kesenian  (Pengadaan Hadrah dan Kasidah)</t>
  </si>
  <si>
    <t>01.07</t>
  </si>
  <si>
    <t>BABUSSALAM</t>
  </si>
  <si>
    <t>52.01.01</t>
  </si>
  <si>
    <t>GERUNG</t>
  </si>
  <si>
    <t>Dinas Kesehatan</t>
  </si>
  <si>
    <t>PROGRAM PEMENUHAN UPAYA KESEHATAN PERORANGAN DAN UPAYA KESEHATAN MASYARAKAT</t>
  </si>
  <si>
    <t>Penyediaan Layanan Kesehatan untuk UKM dan UKP Rujukan Tingkat Daerah Kabupaten/Kota</t>
  </si>
  <si>
    <t>Pengelolaan Jaminan Kesehatan Masyarakat</t>
  </si>
  <si>
    <t>Belanja Iuran Jaminan Kesehatan bagi Peserta PBPU dan BP Kelas 3</t>
  </si>
  <si>
    <t>Belanja Bantuan Iuran Jaminan Kesehatan bagi Peserta PBPU dan BP Kelas 3</t>
  </si>
  <si>
    <t>Dinas Pekerjaan Umum, Penataan Ruang, Perumahan dan Kawasan Permukiman</t>
  </si>
  <si>
    <t>PROGRAM KAWASAN PERMUKIMAN</t>
  </si>
  <si>
    <t>Peningkatan Kualitas Kawasan Permukiman Kumuh dengan Luas di Bawah 10 (Sepuluh) Ha</t>
  </si>
  <si>
    <t xml:space="preserve">Perbaikan Rumah Tidak Layak Huni </t>
  </si>
  <si>
    <t>Pembangunan RTLH</t>
  </si>
  <si>
    <t>Pelaksanaan Peremajaan Kawasan Permukiman Kumuh</t>
  </si>
  <si>
    <t>Penataan Jalan Lingkungan</t>
  </si>
  <si>
    <t>PROGRAM PENGELOLAAN DAN PENGEMBANGAN SISTEM AIR LIMBAH</t>
  </si>
  <si>
    <t>Pengelolaan dan Pengembangan Sistem Air Limbah Domestik dalam Daerah Kabupaten/Kota</t>
  </si>
  <si>
    <t>Penyediaan Unit pengolahan setempat</t>
  </si>
  <si>
    <t>Pembangunan MCK Tempat Ibadah</t>
  </si>
  <si>
    <t>Dinas Sosial, Pemberdayaan Perempuan, dan Perlindungan Anak</t>
  </si>
  <si>
    <t>PROGRAM REHABILITASI SOSIAL</t>
  </si>
  <si>
    <t>Rehabilitasi Sosial Dasar Penyandang Disabilitas Terlantar, Anak Terlantar, Lanjut Usia Terlantar, serta Gelandangan Pengemis di Luar Panti Sosial</t>
  </si>
  <si>
    <t>Penyediaan Alat Bantu</t>
  </si>
  <si>
    <t>Bantuan Alat Bantu Dengar</t>
  </si>
  <si>
    <t>Dinas Pekerjaan Umum, Penataan Ruang, Perumahan dan Kawasan Permukiman (Provinsi)</t>
  </si>
  <si>
    <t>PROGRAM PENINGKATAN PRASARANA, SARANA DAN UTILITAS UMUM (PSU)</t>
  </si>
  <si>
    <t>Urusan Penyelenggaraan PSU Permukiman</t>
  </si>
  <si>
    <t>Penyediaan Prasarana, Sarana, dan Utilitas Umum di Permukiman</t>
  </si>
  <si>
    <t>Pengadaan PPSU</t>
  </si>
  <si>
    <t>03.13</t>
  </si>
  <si>
    <t>BADRAIN</t>
  </si>
  <si>
    <t>52.01.03</t>
  </si>
  <si>
    <t>NARMADA</t>
  </si>
  <si>
    <t>Dinas Lingkungan Hidup</t>
  </si>
  <si>
    <t>PROGRAM PENGELOLAAN PERSAMPAHAN</t>
  </si>
  <si>
    <t>Pengelolaan Sampah</t>
  </si>
  <si>
    <t>Peningkatan Peran Serta Masyarakat dalam Pengelolaan Persampahan</t>
  </si>
  <si>
    <t>Rehab Bangunan Gedung TPS3R</t>
  </si>
  <si>
    <t>PROGRAM PENYELENGGARAAN JALAN</t>
  </si>
  <si>
    <t>Penyelenggaraan Jalan Kabupaten/Kota</t>
  </si>
  <si>
    <t>Pembangunan Jembatan</t>
  </si>
  <si>
    <t>Dinas Perindustrian, Koperasi, Umkm Dan Tenaga Kerja</t>
  </si>
  <si>
    <t>PROGRAM PENGEMBANGAN UMKM</t>
  </si>
  <si>
    <t>Pengembangan Usaha Mikro dengan Orientasi Peningkatan Skala Usaha Menjadi Usaha Kecil</t>
  </si>
  <si>
    <t>Pengembangan Usaha Mikro</t>
  </si>
  <si>
    <t>Bantuan Alat Kue</t>
  </si>
  <si>
    <t>Pembangunan PPSU</t>
  </si>
  <si>
    <t>Dinas Perdagangan dan Perindustrian (Provinsi)</t>
  </si>
  <si>
    <t>PROGRAM PENINGKATAN SARANA DISTRIBUSI PERDAGANGAN</t>
  </si>
  <si>
    <t>Pembangunan dan Pengelolaan Pusat Distribusi Regional dan Pusat Distribusi Provinsi serta Pasar Lelang Komoditas</t>
  </si>
  <si>
    <t>Penyediaan Sarana dan Prasarana Pusat Distribusi Regional dan Pusat Distribusi Provinsi</t>
  </si>
  <si>
    <t>Bantuan Peralatan Pertukangan</t>
  </si>
  <si>
    <t>Bantuan Peralatan Banjar</t>
  </si>
  <si>
    <t>08.03</t>
  </si>
  <si>
    <t>BAGIK POLAK</t>
  </si>
  <si>
    <t>52.01.08</t>
  </si>
  <si>
    <t>LABUAPI</t>
  </si>
  <si>
    <t>Dinas Pertanian</t>
  </si>
  <si>
    <t>PROGRAM PENYEDIAAN DAN PENGEMBANGAN SARANA PERTANIAN</t>
  </si>
  <si>
    <t>Penyediaan Benih/Bibit Ternak dan Hijauan Pakan Ternak yang Sumbernya dalam 1 (Satu) Daerah Kabupaten/Kota Lain</t>
  </si>
  <si>
    <t>Pengadaan Bibit Ternak yang Sumbernya dari Daerah Kabupaten/Kota Lain</t>
  </si>
  <si>
    <t>Pengadaan Bibit &amp; Pakan Ayam Pedaging/KUB</t>
  </si>
  <si>
    <t>PROGRAM PENYEDIAAN DAN PENGEMBANGAN PRASARANA PERTANIAN</t>
  </si>
  <si>
    <t>Pembangunan Prasarana Pertanian</t>
  </si>
  <si>
    <t>Pembangunan, Rehabilitasi dan Pemeliharaan Prasarana Pertanian Lainnya</t>
  </si>
  <si>
    <t>Kandang Ayam/Kandang Itik</t>
  </si>
  <si>
    <t>Rehabilitasi Jalan</t>
  </si>
  <si>
    <t>Rehabilitasi/Pemeliharaan Jalan</t>
  </si>
  <si>
    <t>Urusan Penyelenggaraan PSU Perumahan</t>
  </si>
  <si>
    <t>Perbaikan Prasarana, Sarana, dan Utilitas Umum di Perumahan</t>
  </si>
  <si>
    <t xml:space="preserve">Penataan Halaman Masjid </t>
  </si>
  <si>
    <t xml:space="preserve">Penataan Jalan Lingkungan </t>
  </si>
  <si>
    <t xml:space="preserve">Penataan Mushalla </t>
  </si>
  <si>
    <t>PROGRAM PERLINDUNGAN DAN JAMINAN SOSIAL</t>
  </si>
  <si>
    <t>Pengelolaan Data Fakir Miskin Cakupan Daerah Kabupaten/Kota</t>
  </si>
  <si>
    <t>Fasilitasi Bantuan Pengembangan Ekonomi Masyarakat</t>
  </si>
  <si>
    <t>Bantuan Alat Perbengkelan</t>
  </si>
  <si>
    <t>PROGRAM PENGELOLAAN PENDIDIKAN</t>
  </si>
  <si>
    <t>Pengelolaan Pendidikan Sekolah Dasar</t>
  </si>
  <si>
    <t>Pembangunan Ruang Kelas Baru</t>
  </si>
  <si>
    <t>Pembangunan RKB PAUD</t>
  </si>
  <si>
    <t>08.11</t>
  </si>
  <si>
    <t>BAGIK POLAK BARAT</t>
  </si>
  <si>
    <t>Dinas Pariwisata, Ekonomi Kreatif, Pemuda, dan Olahraga</t>
  </si>
  <si>
    <t>PROGRAM PENGEMBANGAN KAPASITAS DAYA SAING KEOLAHRAGAAN</t>
  </si>
  <si>
    <t>Pembinaan dan Pengembangan Olahraga Pendidikan pada Jenjang Pendidikan yang Menjadi Kewenangan Daerah Kabupaten/Kota</t>
  </si>
  <si>
    <t>Koordinasi dan sinkronisasi penyediaan prasarana olahraga melalui perencanaan, pengadaan, pemanfaatan, pemeliharaan, dan pengawasan Prasarana Olahraga di tingkat kabupaten/kota</t>
  </si>
  <si>
    <t>Penataan Lapangan Futsal</t>
  </si>
  <si>
    <t>08.06</t>
  </si>
  <si>
    <t>BAJUR</t>
  </si>
  <si>
    <t>Penataan Pondok Pesantren</t>
  </si>
  <si>
    <t>PROGRAM PERENCANAAN DAN PEMBANGUNAN INDUSTRI</t>
  </si>
  <si>
    <t>Penyusunan dan Evaluasi Rencana Pembangunan Industri Kabupaten/Kota</t>
  </si>
  <si>
    <t>Koordinasi, Sinkronisasi, dan Pelaksanaan Pembangunan Sarana dan Prasarana Industri</t>
  </si>
  <si>
    <t>Bantuan Mesin Jahit</t>
  </si>
  <si>
    <t>PROGRAM PEMBERDAYAAN SOSIAL</t>
  </si>
  <si>
    <t>Pengembangan Potensi Sumber Kesejahteraan Sosial Daerah Kabupaten/Kota</t>
  </si>
  <si>
    <t>Peningkatan Kemampuan Potensi Sumber Kesejahteraan Sosial Kelembagaan Masyarakat Kewenangan Kabupaten/Kota</t>
  </si>
  <si>
    <t>Bantuan Alat Banjar</t>
  </si>
  <si>
    <t>Pembangunan Sarana, Prasarana dan Utilitas Sekolah</t>
  </si>
  <si>
    <t>Pembangunan Toilet SDN 3 Banyu Urip</t>
  </si>
  <si>
    <t>01.06</t>
  </si>
  <si>
    <t>BANYU URIP</t>
  </si>
  <si>
    <t>Dinas Perhubungan</t>
  </si>
  <si>
    <t>PROGRAM PENYELENGGARAAN LALU LINTAS DAN ANGKUTAN JALAN (LLAJ)</t>
  </si>
  <si>
    <t>Penyediaan Perlengkapan Jalan di Jalan Kabupaten/Kota</t>
  </si>
  <si>
    <t>Pengadaan dan Pemasangan PJU</t>
  </si>
  <si>
    <t>PROGRAM PENGELOLAAN DAN PENGEMBANGAN SISTEM DRAINASE</t>
  </si>
  <si>
    <t>Pengelolaan dan Pengembangan Sistem Drainase yang Terhubung Langsung dengan Sungai Lintas Daerah Kabupaten/Kota dan Kawasan Strategis Provinsi</t>
  </si>
  <si>
    <t>Pembangunan Sistem Drainase Perkotaan</t>
  </si>
  <si>
    <t>Pembangunan Drainase</t>
  </si>
  <si>
    <t>Rehabilitasi Sedang/Berat Sarana, Prasarana dan Utilitas Sekolah</t>
  </si>
  <si>
    <t>Rehab Toilet SDN 5 Banyumulek</t>
  </si>
  <si>
    <t>02.06</t>
  </si>
  <si>
    <t>BANYUMULEK</t>
  </si>
  <si>
    <t>52.01.02</t>
  </si>
  <si>
    <t>KEDIRI</t>
  </si>
  <si>
    <t>Rehab Toilet SMPN 2 Kediri</t>
  </si>
  <si>
    <t>Pengelolaan Pendidikan Anak Usia Dini (PAUD)</t>
  </si>
  <si>
    <t>Pengadaan Alat Praktik dan Peraga  Peserta Didik PAUD</t>
  </si>
  <si>
    <t>Pengadaan Alat Permainan Edukatif Smart Table TKN 2 Kediri</t>
  </si>
  <si>
    <t>Penyediaan Fasilitas Pelayanan Kesehatan untuk UKM dan UKP Kewenangan Daerah Kabupaten/Kota</t>
  </si>
  <si>
    <t>Pengembangan Puskesmas</t>
  </si>
  <si>
    <t>Pembangunan Rawat Inap Puskesmas</t>
  </si>
  <si>
    <t>Sekretariat Daerah</t>
  </si>
  <si>
    <t>PROGRAM PEMERINTAHAN DAN KESEJAHTERAAN RAKYAT</t>
  </si>
  <si>
    <t>Pelaksanaan Kebijakan Kesejahteraan Rakyat</t>
  </si>
  <si>
    <t>Fasilitasi Pengelolaan Bina Mental Spiritual</t>
  </si>
  <si>
    <t>Hibah Uang Kepada Lembaga Keagamaan</t>
  </si>
  <si>
    <t>PROGRAM PENGELOLAAN SUMBER DAYA AIR (SDA)</t>
  </si>
  <si>
    <t>Pengembangan dan Pengelolaan Sistem Irigasi Primer dan Sekunder pada Daerah Irigasi yang Luasnya di Bawah 1000 Ha dalam 1 (Satu) Daerah Kabupaten/Kota</t>
  </si>
  <si>
    <t>Rehabilitasi Jaringan Irigasi Permukaan</t>
  </si>
  <si>
    <t>Perbaikan Saluran Irigasi Pondok Pesantren</t>
  </si>
  <si>
    <t>Rekonstruksi Jalan</t>
  </si>
  <si>
    <t>Peningkatan Ruas Jalan</t>
  </si>
  <si>
    <t>Pengadaan Kerajinan Gerabah</t>
  </si>
  <si>
    <t>Bantuan Kursi Roda anak dan Tongkat Ketiak</t>
  </si>
  <si>
    <t xml:space="preserve">Rehab Toilet SDN 4 Batu Kumbung </t>
  </si>
  <si>
    <t>12.02</t>
  </si>
  <si>
    <t>BATU KUMBUNG</t>
  </si>
  <si>
    <t>52.01.12</t>
  </si>
  <si>
    <t>LINGSAR</t>
  </si>
  <si>
    <t>Rehabilitasi Sedang/Berat Ruang Kelas Sekolah</t>
  </si>
  <si>
    <t>Rehab Ruang Kelas SDN 4 Batu Kumbung</t>
  </si>
  <si>
    <t>Pengadaan Mebel PAUD</t>
  </si>
  <si>
    <t xml:space="preserve">Pengadaan Mebel TK Lombok Islamic School </t>
  </si>
  <si>
    <t>Bantuan Kursi Roda Standar Untuk Penyandang Disabilitas dan Lanjut Usia</t>
  </si>
  <si>
    <t>Pengadaan PSU</t>
  </si>
  <si>
    <t>Rehab Ruang Kelas MI Qur'aniyah</t>
  </si>
  <si>
    <t>03.05</t>
  </si>
  <si>
    <t>BATU KUTA</t>
  </si>
  <si>
    <t>PROGRAM PENGEMBANGAN KAPASITAS DAYA SAING KEPEMUDAAN</t>
  </si>
  <si>
    <t>Penyadaran, Pemberdayaan, dan Pengembangan Pemuda dan Kepemudaan Terhadap Pemuda Pelopor Kabupaten/Kota, Wirausaha Muda Pemula, dan Pemuda Kader Kabupaten/Kota</t>
  </si>
  <si>
    <t>Penyediaan dan Pengelolaan Prasarana dan Sarana Kepemudaan tingkat kabupaten/kota</t>
  </si>
  <si>
    <t>Pengadaan Pakaian Seragam Olah Raga</t>
  </si>
  <si>
    <t>Penataan RTH/Taman</t>
  </si>
  <si>
    <t>12.10</t>
  </si>
  <si>
    <t>BATU MEKAR</t>
  </si>
  <si>
    <t>PROGRAM PENGELOLAAN KEANEKARAGAMAN HAYATI (KEHATI)</t>
  </si>
  <si>
    <t>Pengelolaan Keanekaragaman Hayati Kabupaten/Kota</t>
  </si>
  <si>
    <t>Pengelolaan Ruang Terbuka Hijau (RTH)</t>
  </si>
  <si>
    <t>Pengadaan Bibit Buah-Buahan untuk Tutupan Vegetasi</t>
  </si>
  <si>
    <t>Pengawasan Penggunaan Sarana Pertanian</t>
  </si>
  <si>
    <t>Pendampingan Penggunaan Sarana Pendukung Pertanian</t>
  </si>
  <si>
    <t>Pengadaan Hand Traktor PSP</t>
  </si>
  <si>
    <t>Bantuan Wirelless</t>
  </si>
  <si>
    <t>Bantuan Alat Musik</t>
  </si>
  <si>
    <t>07.06</t>
  </si>
  <si>
    <t>BATU PUTIH</t>
  </si>
  <si>
    <t>52.01.07</t>
  </si>
  <si>
    <t>SEKOTONG</t>
  </si>
  <si>
    <t>Dinas Kelautan, Perikanan, dan Ketahanan Pangan</t>
  </si>
  <si>
    <t>PROGRAM PENGELOLAAN PERIKANAN TANGKAP</t>
  </si>
  <si>
    <t>Pengelolaan Penangkapan Ikan di Wilayah Sungai, Danau, Waduk, Rawa, dan Genangan Air Lainnya yang Dapat Diusahakan dalam 1 (Satu) Daerah Kabupaten/ Kota</t>
  </si>
  <si>
    <t>Penyediaan Sarana Usaha Perikanan Tangkap</t>
  </si>
  <si>
    <t>Pengadaan Sarana Perikanan Tangkap</t>
  </si>
  <si>
    <t>Penyediaan Permakanan</t>
  </si>
  <si>
    <t>Bantuan Sembako</t>
  </si>
  <si>
    <t>14.01</t>
  </si>
  <si>
    <t>BATULAYAR</t>
  </si>
  <si>
    <t>52.01.14</t>
  </si>
  <si>
    <t>PROGRAM PEMASARAN PARIWISATA</t>
  </si>
  <si>
    <t>Pemasaran Pariwisata Dalam dan Luar Negeri Daya Tarik, Destinasi dan Kawasan Strategis Pariwisata Kabupaten/Kota</t>
  </si>
  <si>
    <t>Fasilitasi Kegiatan Pemasaran Pariwisata Baik Dalam dan Luar Negeri Pariwisata Kabupaten/Kota</t>
  </si>
  <si>
    <t xml:space="preserve">Pemasaran Pariwisata Baik Dalam dan Luar Negeri </t>
  </si>
  <si>
    <t>PROGRAM PENGELOLAAN DAN PENGEMBANGAN SISTEM PENYEDIAAN AIR MINUM</t>
  </si>
  <si>
    <t>Pengelolaan dan Pengembangan Sistem Penyediaan Air Minum (SPAM) di Daerah Kabupaten/Kota</t>
  </si>
  <si>
    <t>Perluasan Sistem Penyediaan Air Minum (SPAM) Jaringan Perpipaan</t>
  </si>
  <si>
    <t xml:space="preserve">Peningkatan SPAM Jaringan Perpipaan </t>
  </si>
  <si>
    <t>Penembokan Halaman SDN 4 Batulayar Barat</t>
  </si>
  <si>
    <t>14.09</t>
  </si>
  <si>
    <t>BATULAYAR BARAT</t>
  </si>
  <si>
    <t>Rehab Ruang Kelas SDN 3 Batulayar Barat</t>
  </si>
  <si>
    <t>Event Lebaran Topat</t>
  </si>
  <si>
    <t xml:space="preserve">Penataan Masjid </t>
  </si>
  <si>
    <t>01.09</t>
  </si>
  <si>
    <t>BELEKE</t>
  </si>
  <si>
    <t>Dinas Kearsipan dan Perpustakaan</t>
  </si>
  <si>
    <t>PROGRAM PEMBINAAN PERPUSTAKAAN</t>
  </si>
  <si>
    <t>Pembudayaan Gemar Membaca Tingkat Daerah Kabupaten/Kota</t>
  </si>
  <si>
    <t>Pembangunan dan Pemeliharaan Sarana Perpustakaan di Tempat-Tempat Umum yang Menjadi Kewenangan Daerah Kabupaten/Kota</t>
  </si>
  <si>
    <t>Pengadaan Buku</t>
  </si>
  <si>
    <t>Pengadaan Ayam Pedaging &amp; Pakan</t>
  </si>
  <si>
    <t>08.01</t>
  </si>
  <si>
    <t xml:space="preserve">Pengadaan Kandang Ayam Pedaging </t>
  </si>
  <si>
    <t>Aksi Prioritas 4 : Transformasi dan kemandirian Ekonomi</t>
  </si>
  <si>
    <t>Koordinasi, Sinkronisasi, dan Pelaksanaan Pembangunan Sumber Daya Industri</t>
  </si>
  <si>
    <t>Pelatihan Aneka Kerajinan</t>
  </si>
  <si>
    <t>52.01.15</t>
  </si>
  <si>
    <t>KURIPAN</t>
  </si>
  <si>
    <t>Bantuan Genset</t>
  </si>
  <si>
    <t>14.07</t>
  </si>
  <si>
    <t>BENGKAUNG</t>
  </si>
  <si>
    <t>Pengadaan Mebel Sekolah</t>
  </si>
  <si>
    <t>Pengadaan Mebel SMP Plus Hikmah Adnani Bengkel Labuapi</t>
  </si>
  <si>
    <t>BENGKEL</t>
  </si>
  <si>
    <t>Pembangunan Sarana, Prasarana dan Utilitas PAUD</t>
  </si>
  <si>
    <t>Pembangunan Toilet TKN 1 Labuapi</t>
  </si>
  <si>
    <t>Satuan Polisi Pamong Praja</t>
  </si>
  <si>
    <t>PROGRAM PENINGKATAN KETENTERAMAN DAN KETERTIBAN UMUM</t>
  </si>
  <si>
    <t>Penanganan Gangguan Ketenteraman dan Ketertiban Umum dalam 1 (Satu) Daerah Kabupaten/Kota</t>
  </si>
  <si>
    <t>Pengadaan dan Pemeliharaan Sarana dan Prasarana Ketentraman dan Ketertiban Umum</t>
  </si>
  <si>
    <t>Pengadaan Berugak Keamanan Lingkungan</t>
  </si>
  <si>
    <t xml:space="preserve">Pengadaan Bibit Buah-Buahan untuk Penghijauan </t>
  </si>
  <si>
    <t>Pengadaan Motor Roda Tiga Pengangkut Sampah</t>
  </si>
  <si>
    <t>Pengelolaan SDA dan Bangunan Pengaman Pantai pada Wilayah Sungai (WS) dalam 1 (Satu) Daerah Kabupaten/Kota</t>
  </si>
  <si>
    <t>Pembangunan Tanggul Sungai</t>
  </si>
  <si>
    <t>Perkuatan Tebing Saluran</t>
  </si>
  <si>
    <t>PROGRAM PENATAAN BANGUNAN GEDUNG</t>
  </si>
  <si>
    <t>Penyelenggaraan Bangunan Gedung di Wilayah Daerah Kabupaten/Kota, Pemberian Izin Mendirikan Bangunan (IMB) dan Sertifikat Laik Fungsi Bangunan Gedung</t>
  </si>
  <si>
    <t>Pembangunan, Pemanfaatan,  Pelestariaan dan Pembongkaran Bangunan Gedung untuk Kepentingan Strategis Daerah Kabupaten/Kota</t>
  </si>
  <si>
    <t>Pembangunan Gedung Serba Guna</t>
  </si>
  <si>
    <t>Dinas Pendidikan, Pemuda dan Olahraga (Provinsi)</t>
  </si>
  <si>
    <t>PROGRAM PENGEMBANGAN DAYA SAING KEOLAHRAGAAN</t>
  </si>
  <si>
    <t>Pembinaan dan Pengembangan Olahraga Pendidikan pada Jenjang Pendidikan yang Menjadi Kewenangan Daerah Provinsi</t>
  </si>
  <si>
    <t>Koordinasi dan sinkronisasi penyediaan prasarana olahraga melalui perencanaan, pengadaan, pemanfaatan, pemeliharaan, dan pengawasan Prasarana Olahraga di tingkat provinsi</t>
  </si>
  <si>
    <t>Pengadaan Peralatan dan Perlengkapan Olahraga</t>
  </si>
  <si>
    <t>Dinas Lingkungan Hidup dan Kehutanan (Provinsi)</t>
  </si>
  <si>
    <t>Penanganan Sampah di TPA/TPST Regional</t>
  </si>
  <si>
    <t>Pengadaan sarana dan prasarana pengelolaan sampah regional</t>
  </si>
  <si>
    <t>Kendaraan Roda Tiga Khusus Persampahan untuk kelompok pengelola persampahan</t>
  </si>
  <si>
    <t xml:space="preserve">Pengadaan Laptop Paud Al Hidayah </t>
  </si>
  <si>
    <t>12.12</t>
  </si>
  <si>
    <t>BUG-BUG</t>
  </si>
  <si>
    <t>Pengadaan Mebel SDN 1 Jembatan Kembar</t>
  </si>
  <si>
    <t>Pembangunan, Rehabilitasi dan Pemeliharaan Jalan Usaha Tani</t>
  </si>
  <si>
    <t xml:space="preserve">Pembangunan/ Rehabilitasi Jalan Usaha Tani </t>
  </si>
  <si>
    <t>Penataan Lapangan Sepak Bola</t>
  </si>
  <si>
    <t>Pemasangan Batu Sikat Halaman Tempat Ibadah</t>
  </si>
  <si>
    <t xml:space="preserve">Pembangunan Tanggul Sungai </t>
  </si>
  <si>
    <t>PROGRAM PENEMPATAN TENAGA KERJA</t>
  </si>
  <si>
    <t>Pelayanan antar Kerja di Daerah Kabupaten/Kota</t>
  </si>
  <si>
    <t>Perluasan Kesempatan Kerja</t>
  </si>
  <si>
    <t>Pelatihan Perbengkelan</t>
  </si>
  <si>
    <t>Pelatihan Menjahit</t>
  </si>
  <si>
    <t>Penyediaan Sandang</t>
  </si>
  <si>
    <t>Bantuan Pakaian  Muslim</t>
  </si>
  <si>
    <t>Pembangunan Ruang Guru/Kepala Sekolah/TU</t>
  </si>
  <si>
    <t>Pembangunan Ruang Guru SDN 3 Bukit Tinggi</t>
  </si>
  <si>
    <t>09.16</t>
  </si>
  <si>
    <t>BUKIT TINGGI</t>
  </si>
  <si>
    <t>52.01.09</t>
  </si>
  <si>
    <t>GUNUNGSARI</t>
  </si>
  <si>
    <t xml:space="preserve">Rehab Toilet SDN 2 Bukit Tinggi </t>
  </si>
  <si>
    <t>PROGRAM PENINGKATAN DAYA TARIK DESTINASI PARIWISATA</t>
  </si>
  <si>
    <t>Pengelolaan Destinasi Pariwisata Kabupaten/Kota</t>
  </si>
  <si>
    <t>Pengadaan/Pemeliharaan/Rehabilitasi Sarana dan Prasarana dalam Pengelolaan Destinasi Pariwisata Kabupaten/Kota</t>
  </si>
  <si>
    <t xml:space="preserve">Penataan Destinasi Wisata </t>
  </si>
  <si>
    <t>Penembokan Halaman SDN 9 Buwun Mas</t>
  </si>
  <si>
    <t>07.04</t>
  </si>
  <si>
    <t>BUWUN MAS</t>
  </si>
  <si>
    <t>Rehab Ruang Kelas SDN 3 Buwun Mas</t>
  </si>
  <si>
    <t>Pengelolaan Pendidikan Sekolah Menengah Pertama</t>
  </si>
  <si>
    <t>Pembangunan Laboratorium</t>
  </si>
  <si>
    <t>Pembangunan Ruang Laboraturium Komputer SMP IT Budi Mulia</t>
  </si>
  <si>
    <t>Pengadaan Alat Praktik dan Peraga Peserta Didik</t>
  </si>
  <si>
    <t>Pengadaan Laptop SMP IT Insan Budi Mulya</t>
  </si>
  <si>
    <t>Pengadaan APE Luar PAUD/KB Bina Bangsa</t>
  </si>
  <si>
    <t>PROGRAM PENGEMBANGAN SUMBER DAYA PARIWISATA DAN EKONOMI KREATIF</t>
  </si>
  <si>
    <t>Pelaksanaan Peningkatan Kapasitas Sumber Daya Manusia Pariwisata dan Ekonomi Kreatif Tingkat Dasar</t>
  </si>
  <si>
    <t>Monitoring dan Evaluasi Pengembangan Sumber Daya Pariwisata dan Ekonomi Kreatif</t>
  </si>
  <si>
    <t>Pendampingan  Wisata (Pembinaan Monitoring  Wisata)</t>
  </si>
  <si>
    <t>Pembangunan Bangunan Pelengkap Ruas Jalan</t>
  </si>
  <si>
    <t xml:space="preserve">Pembangunan Jembatan </t>
  </si>
  <si>
    <t xml:space="preserve">Penataan Tempat Pemakaman Umum </t>
  </si>
  <si>
    <t>03.20</t>
  </si>
  <si>
    <t>BUWUN SEJATI</t>
  </si>
  <si>
    <t>PROGRAM PENGEMBANGAN EKONOMI KREATIF MELALUI PEMANFAATAN DAN PERLINDUNGAN HAK KEKAYAAN INTELEKTUAL</t>
  </si>
  <si>
    <t>Pengembangan Ekosistem Ekonomi Kreatif </t>
  </si>
  <si>
    <t>Fasilitasi penguatan Kekayaan Intelektual</t>
  </si>
  <si>
    <t xml:space="preserve">Pengadaan alat gamelan </t>
  </si>
  <si>
    <t>Penataan Halaman Masjid</t>
  </si>
  <si>
    <t>Penataan Pura</t>
  </si>
  <si>
    <t>Penataan Tempat Pemakaman Umum/Tempat Peribadatan</t>
  </si>
  <si>
    <t>Penyelenggaraan Jalan Provinsi</t>
  </si>
  <si>
    <t>Pemeliharaan Rutin Jalan</t>
  </si>
  <si>
    <t>Dinas Koperasi, Usaha Kecil dan Menengah (Provinsi)</t>
  </si>
  <si>
    <t>PROGRAM Perencanaan DAN PEMBANGUNAN INDUSTRI</t>
  </si>
  <si>
    <t>Penyusunan, Penerapan, dan Evaluasi Rencana Pembangunan Industri Provinsi</t>
  </si>
  <si>
    <t>Koordinasi, Sinkronisasi, dan Pelaksanaan Pemberdayaan Industri dan Peran Serta Masyarakat</t>
  </si>
  <si>
    <t>Bantuan Alat Catering</t>
  </si>
  <si>
    <t>Pembangunan RKB PAUD Semai Benih Kompak</t>
  </si>
  <si>
    <t>07.08</t>
  </si>
  <si>
    <t>CENDI MANIK</t>
  </si>
  <si>
    <t>Pengadaan Alat Permainan Edukatif Smart Table TKN 1 Sekotong</t>
  </si>
  <si>
    <t>PROGRAM PENGOLAHAN DAN PEMASARAN HASIL PERIKANAN</t>
  </si>
  <si>
    <t>Penyediaan dan Penyaluran Bahan Baku Industri Pengolahan Ikan dalam 1 (Satu) Daerah Kabupaten/ Kota</t>
  </si>
  <si>
    <t>Pemberian Fasilitas bagi Pelaku Usaha Perikanan Skala Mikro dan Kecil dalam 1 (Satu) Daerah Kabupaten/Kota</t>
  </si>
  <si>
    <t>Bantuan Peralatan Usaha Garam Rebus</t>
  </si>
  <si>
    <t>Peningkatan SPAM Jaringan Perpipaan</t>
  </si>
  <si>
    <t xml:space="preserve">Pembangunan RKB SDN 1 Dasan Baru </t>
  </si>
  <si>
    <t>02.08</t>
  </si>
  <si>
    <t>DASAN BARU</t>
  </si>
  <si>
    <t>Peningkatan/Rekonstruksi Jalan</t>
  </si>
  <si>
    <t>01.04</t>
  </si>
  <si>
    <t>DASAN GERES</t>
  </si>
  <si>
    <t>PROGRAM PENANGANAN KERAWANAN PANGAN</t>
  </si>
  <si>
    <t>Penanganan Kerawanan Pangan Kewenangan Kabupaten/Kota</t>
  </si>
  <si>
    <t>Pelaksanaan Pengadaan, Pengelolaan, dan Penyaluran Cadangan Pangan pada Kerawanan Pangan yang Mencakup dalam 1 (satu) Daerah Kabupaten/Kota</t>
  </si>
  <si>
    <t>Paket Sembako</t>
  </si>
  <si>
    <t>Pembangunan MCK</t>
  </si>
  <si>
    <t>Pematangan Lahan Islamic Center</t>
  </si>
  <si>
    <t>Pembangunan Pusat Kuliner\</t>
  </si>
  <si>
    <t>Rehabilitasi Taman Kota</t>
  </si>
  <si>
    <t>Pembebasan Lahan Giri Menang Square (GMS)</t>
  </si>
  <si>
    <t>Pembebasan Lahan Utara Dinas Sosial</t>
  </si>
  <si>
    <t>Pengadaan Tanah Pembangunan Islamic Center</t>
  </si>
  <si>
    <t>PROGRAM PENATAAN BANGUNAN DAN LINGKUNGANNYA</t>
  </si>
  <si>
    <t>Penyelenggaraan Penataan Bangunan dan Lingkungannya di Daerah Kabupaten/Kota</t>
  </si>
  <si>
    <t>Penataan Bangunan dan Lingkungan di Daerah Kabupaten/Kota</t>
  </si>
  <si>
    <t>Pembangunan Food Court</t>
  </si>
  <si>
    <t xml:space="preserve">Pembangunan Mini Soccer dan Lapangan Volly </t>
  </si>
  <si>
    <t>Penataan Kawasan Alun-Alun</t>
  </si>
  <si>
    <t>Penataan Tempat Parkir</t>
  </si>
  <si>
    <t xml:space="preserve">Pembangunan Pagar Giri Menang Square (GMS) </t>
  </si>
  <si>
    <t>Pembangunan Jalan</t>
  </si>
  <si>
    <t>Pengadaan Tanah Untuk Ruas Jalan</t>
  </si>
  <si>
    <t>Pembangunan Jembatan Ruas Jalan</t>
  </si>
  <si>
    <t>Perbaikan Trotoar</t>
  </si>
  <si>
    <t>Review Perencanaan Trotoar</t>
  </si>
  <si>
    <t>Penataan Tempat Ibadah</t>
  </si>
  <si>
    <t>Bantuan Peralatan Catering</t>
  </si>
  <si>
    <t>Bantuan Terop</t>
  </si>
  <si>
    <t>Bantuan Kursi Plastik</t>
  </si>
  <si>
    <t>Bantuan Kursi Roda 3 in 1 Untuk Lanjut Usia</t>
  </si>
  <si>
    <t>Pengelolaan SDA dan Bangunan Pengaman Pantai pada Wilayah Sungai Lintas Daerah Kabupaten/Kota</t>
  </si>
  <si>
    <t>Peningkatan Tanggul Sungai</t>
  </si>
  <si>
    <t>Peningkatan Tanggul Sungai (Talud)</t>
  </si>
  <si>
    <t>Pembangunan RKB SDN 2 Dasan Geria</t>
  </si>
  <si>
    <t>12.07</t>
  </si>
  <si>
    <t>DASAN GERIA</t>
  </si>
  <si>
    <t>Rehab Ruang Kelas SDN 1 Dasan Geria</t>
  </si>
  <si>
    <t>Pengadaan Alat Permainan Edukatif Smart Table TKN 1 Lembar</t>
  </si>
  <si>
    <t>Perkuatan Tebing Sungai</t>
  </si>
  <si>
    <t>Rehab Toilet SDN 2 Dasan Tapen</t>
  </si>
  <si>
    <t>01.08</t>
  </si>
  <si>
    <t>DASAN TAPEN</t>
  </si>
  <si>
    <t>Rehab Ruang Kelas SDN 2 Dasan Tapen</t>
  </si>
  <si>
    <t>Pengadaan Alat Permainan Edukatif Smart Table TKN 2 Gerung</t>
  </si>
  <si>
    <t>Rehabilitasi Ruas Jalan</t>
  </si>
  <si>
    <t>Dinas Sosial, Pemberdayaan Perempuan, dan Perlindungan Anak (Provinsi)</t>
  </si>
  <si>
    <t>Pengelolaan Data Fakir Miskin Cakupan Daerah Provinsi</t>
  </si>
  <si>
    <t>Bantuan Perlengkapan Ibadah</t>
  </si>
  <si>
    <t>Peralatan Kesenian Bagi kelompok Kesenian (Pengadaan Gendang Beleq )</t>
  </si>
  <si>
    <t>03.12</t>
  </si>
  <si>
    <t>DASAN TERENG</t>
  </si>
  <si>
    <t xml:space="preserve"> Penataan Jalan Lingkungan</t>
  </si>
  <si>
    <t>Dinas Pertanian dan Ketahanan Pangan (Provinsi)</t>
  </si>
  <si>
    <t>Penyediaan Benih/Bibit Ternak dan Hijauan Pakan Ternak yang Sumbernya dari Daerah Provinsi Lain</t>
  </si>
  <si>
    <t>Pengadaan Bibit Ternak yang Sumbernya dari Daerah Provinsi Lain</t>
  </si>
  <si>
    <t>Pengembangan Ternak Unggas</t>
  </si>
  <si>
    <t>Pembangunan RKB SDN 1 Dopang</t>
  </si>
  <si>
    <t>09.07</t>
  </si>
  <si>
    <t>DOPANG</t>
  </si>
  <si>
    <t>Pengadaan Lampu Tenaga Surya</t>
  </si>
  <si>
    <t xml:space="preserve">Pengadaan Bibit Ayam Pejantan </t>
  </si>
  <si>
    <t xml:space="preserve">Pengadaan Bibit Kambing Jantan Lokal  &gt;70-80 cm  </t>
  </si>
  <si>
    <t>PROGRAM PENGELOLAAN PERIKANAN BUDIDAYA</t>
  </si>
  <si>
    <t>Pemberdayaan Pembudi Daya Ikan Kecil</t>
  </si>
  <si>
    <t>Pengembangan Kapasitas Pembudi Daya Ikan Kecil</t>
  </si>
  <si>
    <t>Pengadaan Sarana Perikanan Budi Daya</t>
  </si>
  <si>
    <t>Pengadaan Peralatan Sepak Bola (Kostum dan Bola)</t>
  </si>
  <si>
    <t>Penataan Masjid</t>
  </si>
  <si>
    <t>12.04</t>
  </si>
  <si>
    <t>DUMAN</t>
  </si>
  <si>
    <t>13.10</t>
  </si>
  <si>
    <t>EYAT MAYANG</t>
  </si>
  <si>
    <t>52.01.13</t>
  </si>
  <si>
    <t>LEMBAR</t>
  </si>
  <si>
    <t xml:space="preserve">Bantuan Peralatan Studio </t>
  </si>
  <si>
    <t>Peningkatan Tanggul Sungai (Bronjong)</t>
  </si>
  <si>
    <t>Pembangunan Toilet SDN 2 Gapuk</t>
  </si>
  <si>
    <t>01.03</t>
  </si>
  <si>
    <t>GAPUK</t>
  </si>
  <si>
    <t>Pembangunan Area Bermain Luar TKN 6 Gerung</t>
  </si>
  <si>
    <t>Pembangunan Toilet TKN 6 Gerung</t>
  </si>
  <si>
    <t>Pembangunan RKB TKN 6 Gerung</t>
  </si>
  <si>
    <t>Penataan Halaman PAUD HAlimatus Sa'diyah NW</t>
  </si>
  <si>
    <t>12.13</t>
  </si>
  <si>
    <t>GEGELANG</t>
  </si>
  <si>
    <t>Bantuan Sarana Budi Daya Air Tawar</t>
  </si>
  <si>
    <t>Pengawasan Perkuatan Tebing Sungai Desa Gegelang Kec. Lingsar</t>
  </si>
  <si>
    <t>Perencanaan Perkuatan Tebing Sungai Desa Gegelang Kec. Lingsar</t>
  </si>
  <si>
    <t>Perkuatan Tebing Sungai Desa Gegelang Kec. Lingsar</t>
  </si>
  <si>
    <t>PROGRAM PENDIDIKAN DAN LATIHAN PERKOPERASIAN</t>
  </si>
  <si>
    <t>Pendidikan dan Latihan Perkoperasian Bagi Koperasi yang Wilayah Keanggotaan dalam Daerah Kabupaten/Kota</t>
  </si>
  <si>
    <t>Pelatihan tata Boga</t>
  </si>
  <si>
    <t>12.09</t>
  </si>
  <si>
    <t>GEGERUNG</t>
  </si>
  <si>
    <t xml:space="preserve">Pembangunan/Rehabilitasi Jalan Usaha Tani </t>
  </si>
  <si>
    <t>Pengawasan Penataan Jalan Lingkungan Dusun Ketapang Desa Gegerung Kec. Lingsar</t>
  </si>
  <si>
    <t>Perencanaan Penataan Jalan Lingkungan Dusun Ketapang Desa Gegerung Kec. Lingsar</t>
  </si>
  <si>
    <t>Penataan Jalan Lingkungan Dusun Ketapang Desa Gegerung Kec. Lingsar</t>
  </si>
  <si>
    <t>Pengadaan APE Luar PAUD Raihanul Jannah</t>
  </si>
  <si>
    <t>09.14</t>
  </si>
  <si>
    <t>GELANGSAR</t>
  </si>
  <si>
    <t>Pengawasan Perkuatan Tebing Sungai Desa Gelangsar Kec. Gunungsari</t>
  </si>
  <si>
    <t>Perencanaan Perkuatan Tebing Sungai Desa Gelangsar Kec. Gunungsari</t>
  </si>
  <si>
    <t>Perkuatan Tebing Sungai Desa Gelangsar Kec. Gunungsari</t>
  </si>
  <si>
    <t>Pengawasan Perbaikan Saluran Irigasi Desa Gelangsar Kec. Gunungsari</t>
  </si>
  <si>
    <t>Perencaan Perbaikan Saluran Irigasi Desa Gelangsar Kec. Gunungsari</t>
  </si>
  <si>
    <t>Perbaikan Saluran Irigasi Desa Gelangsar Kec. Gunungsari</t>
  </si>
  <si>
    <t>Rehab Ruang Kelas SDN 1 Gelogor</t>
  </si>
  <si>
    <t>02.04</t>
  </si>
  <si>
    <t>GELOGOR</t>
  </si>
  <si>
    <t>Pembangunan RKB TK IT Anak Sholeh</t>
  </si>
  <si>
    <t>Pembangunan Sumur BOR</t>
  </si>
  <si>
    <t>Penataan Prasarana Pertanian</t>
  </si>
  <si>
    <t>Koordinasi, Sinkronisasi dan Pelaksanaan Pengelolaan Jalan Usaha Tani</t>
  </si>
  <si>
    <t>Bantuan Jalan Usaha Tani</t>
  </si>
  <si>
    <t>03.16</t>
  </si>
  <si>
    <t>GERIMAX INDAH</t>
  </si>
  <si>
    <t>Penataan Tempat Pemakaman Umum</t>
  </si>
  <si>
    <t>Koordinasi, Sinkronisasi dan Pelaksanaan Pengelolaan Jaringan Irigasi di Tingkat Usaha Tani</t>
  </si>
  <si>
    <t>Jaringan Irigasi Tersier</t>
  </si>
  <si>
    <t>01.11</t>
  </si>
  <si>
    <t>GERUNG SELATAN</t>
  </si>
  <si>
    <t>Pemasangan Paving Block Tempat Ibadah</t>
  </si>
  <si>
    <t>Pematangan Lahan Revitalisasi Pasar Gerung</t>
  </si>
  <si>
    <t>Pembangunan Pasar Moderen</t>
  </si>
  <si>
    <t>Pemeliharaan Berkala Ruas Jalan</t>
  </si>
  <si>
    <t>Penataan Lingkungan Yayasan</t>
  </si>
  <si>
    <t>Perbaikan Drainase</t>
  </si>
  <si>
    <t>Bantuan Peralatan Menjahit</t>
  </si>
  <si>
    <t>01.01</t>
  </si>
  <si>
    <t>GERUNG UTARA</t>
  </si>
  <si>
    <t>PROGRAM PENINGKATAN DIVERSIFIKASI DAN KETAHANAN PANGAN MASYARAKAT</t>
  </si>
  <si>
    <t>Pelaksanaan Pencapaian Target Konsumsi Pangan Perkapita/Tahun sesuai dengan Angka Kecukupan Gizi</t>
  </si>
  <si>
    <t>Pemberdayaan Masyarakat dalam Penganekaragaman Konsumsi Pangan Berbasis Sumber Daya Lokal</t>
  </si>
  <si>
    <t>Bibit Itik/Bebek  DOD (AD)</t>
  </si>
  <si>
    <t>Penembokan Tempat Ibadah</t>
  </si>
  <si>
    <t>07.07</t>
  </si>
  <si>
    <t>GILI GEDE INDAH</t>
  </si>
  <si>
    <t>Pengadaan Pos Keamanan Lingkungan</t>
  </si>
  <si>
    <t>Pengadaan Alat Pancing</t>
  </si>
  <si>
    <t xml:space="preserve">Pembangunan Baru SPAM Jaringan Perpipaan </t>
  </si>
  <si>
    <t>Bantuan Mesin Tempel</t>
  </si>
  <si>
    <t>12.11</t>
  </si>
  <si>
    <t>GIRI MADIA</t>
  </si>
  <si>
    <t>Pengadaan Sapi Jantan ≥110 cm</t>
  </si>
  <si>
    <t>15.06</t>
  </si>
  <si>
    <t>GIRI SASAK</t>
  </si>
  <si>
    <t xml:space="preserve">Pembangunan MCK </t>
  </si>
  <si>
    <t>01.14</t>
  </si>
  <si>
    <t>GIRI TEMBESI</t>
  </si>
  <si>
    <t>Badan Penanggulangan Bencana Daerah</t>
  </si>
  <si>
    <t>PROGRAM PENANGGULANGAN BENCANA</t>
  </si>
  <si>
    <t>Penataan Sistem Dasar Penanggulangan Bencana</t>
  </si>
  <si>
    <t>Koordinasi penanganan Pascabencana Kabupaten/Kota</t>
  </si>
  <si>
    <t>Pengadaan Sumur Bor</t>
  </si>
  <si>
    <t>Pembangunan Embung</t>
  </si>
  <si>
    <t xml:space="preserve">Penataan Bale Kul-kul </t>
  </si>
  <si>
    <t>Penataan Halaman Tempat Ibadah</t>
  </si>
  <si>
    <t>03.18</t>
  </si>
  <si>
    <t>GOLONG</t>
  </si>
  <si>
    <t>Perbaikan Jaringan Irigasi</t>
  </si>
  <si>
    <t>Penataan Sarana dan Prasarana Pondok Pesantren</t>
  </si>
  <si>
    <t>Rehabilitasi Jaringan Irigasi Tersier</t>
  </si>
  <si>
    <t>12.15</t>
  </si>
  <si>
    <t>GONTORAN</t>
  </si>
  <si>
    <t>Pengawasan Rehab Jalan Desa Gontoran Kec. Lingsar</t>
  </si>
  <si>
    <t>Perencanaan Rehab Jalan Desa Gontoran Kec. Lingsar</t>
  </si>
  <si>
    <t>Rehab Jalan Desa Gontoran Kec. Lingsar</t>
  </si>
  <si>
    <t>09.11</t>
  </si>
  <si>
    <t>GUNTUR MACAN</t>
  </si>
  <si>
    <t>09.01</t>
  </si>
  <si>
    <t>Rehabilitasi dan Pemeliharaan Jaringan Irigasi Usaha Tani</t>
  </si>
  <si>
    <t>Pembangunan Drainase Jalan Lingkungan</t>
  </si>
  <si>
    <t>Pengadaan Peralatan Sepak Bola</t>
  </si>
  <si>
    <t>Pembangunan Balai Jajar</t>
  </si>
  <si>
    <t>Pembangunan Aula Serba Guna</t>
  </si>
  <si>
    <t>Pembangunan Balai Duduk dan Balai Pertemuan Masyarakat Adat</t>
  </si>
  <si>
    <t>Bantuan Alat Prasmanan</t>
  </si>
  <si>
    <t>Pengadaan Genzet</t>
  </si>
  <si>
    <t>Pengadaan kereta dorong, cangkul dan sekop</t>
  </si>
  <si>
    <t>Rehab Ruang Kelas SDN 4 Jagaraga</t>
  </si>
  <si>
    <t>15.02</t>
  </si>
  <si>
    <t>JAGARAGA</t>
  </si>
  <si>
    <t>Pengadaan Mebel SMPN 4 Kuripan</t>
  </si>
  <si>
    <t>Pengadaan APE Luar PAUD AL-HAQ</t>
  </si>
  <si>
    <t xml:space="preserve">Penataan Halaman Pura </t>
  </si>
  <si>
    <t xml:space="preserve">Pengadaan Alat Las </t>
  </si>
  <si>
    <t>Pengadaan Alat Prasmanan</t>
  </si>
  <si>
    <t>02.03</t>
  </si>
  <si>
    <t>JAGARAGA INDAH</t>
  </si>
  <si>
    <t>Perencanaan Perbaikan Saluran Irigasi Desa Jagaraga Indah Kec. Kediri</t>
  </si>
  <si>
    <t>Pengawasan Perbaikan Saluran Irigasi Desa Jagaraga Indah Kec. Kediri</t>
  </si>
  <si>
    <t>Perbaikan Saluran Irigasi Desa Jagaraga Indah Kec. Kediri</t>
  </si>
  <si>
    <t>PROGRAM PELATIHAN KERJA DAN PRODUKTIVITAS TENAGA KERJA</t>
  </si>
  <si>
    <t>Pelaksanaan Pelatihan berdasarkan Unit Kompetensi</t>
  </si>
  <si>
    <t>Proses Pelaksanaan Pendidikan dan Pelatihan Keterampilan bagi Pencari Kerja berdasarkan Klaster Kompetensi</t>
  </si>
  <si>
    <t>Pelatihan Welding</t>
  </si>
  <si>
    <t>09.10</t>
  </si>
  <si>
    <t>JATISELA</t>
  </si>
  <si>
    <t>Bantuan Alat Kuliner</t>
  </si>
  <si>
    <t>13.06</t>
  </si>
  <si>
    <t>JEMBATAN GANTUNG</t>
  </si>
  <si>
    <t>Bantuan Peralatan Pertukangan Kayu</t>
  </si>
  <si>
    <t>Bantuan Wireless Sound Portable</t>
  </si>
  <si>
    <t>Dinas Perdagangan</t>
  </si>
  <si>
    <t>Pembangunan dan Pengelolaan Sarana Distribusi Perdagangan</t>
  </si>
  <si>
    <t>Fasilitasi Pengelolaan Sarana Distribusi Perdagangan</t>
  </si>
  <si>
    <t>Pengadaan Gerobak</t>
  </si>
  <si>
    <t>Pembangunan Toilet SDN 1 Jembatan Kembar</t>
  </si>
  <si>
    <t>13.02</t>
  </si>
  <si>
    <t>JEMBATAN KEMBAR</t>
  </si>
  <si>
    <t xml:space="preserve">Rehab Ruang Kelas SMPN 5 Lembar </t>
  </si>
  <si>
    <t>Peralatan Kesenian (Gamelan) Bagi kelompok Kesenian Baleganjur  (kelompok kesenian sekaa baleganjur drupadi)</t>
  </si>
  <si>
    <t>Koordinasi, Sinkronisasi, dan Pelaksanaan Kebijakan Percepatan Pengembangan, Penyebaran dan Perwilayahan Industri</t>
  </si>
  <si>
    <t>Pembangunan Sentra Industri Hasil Tembakau (SIHT)</t>
  </si>
  <si>
    <t>Bantuan Perbengkelan</t>
  </si>
  <si>
    <t xml:space="preserve">Rehab Ruang Kelas SDN 2 Jembatan Kembar Timur </t>
  </si>
  <si>
    <t>13.09</t>
  </si>
  <si>
    <t>JEMBATAN KEMBAR TIMUR</t>
  </si>
  <si>
    <t>Pembangunan Gedung Serba Guna SMP SAINS KAHIRUL WADI TEBU IRENG 19  Jembatan Kembar</t>
  </si>
  <si>
    <t>Pengadaan Arco/Kereta Dorong</t>
  </si>
  <si>
    <t>Bantuan Terop dan Kursi</t>
  </si>
  <si>
    <t>09.15</t>
  </si>
  <si>
    <t>JERINGO</t>
  </si>
  <si>
    <t>Pembuatan Drainase Pembuang</t>
  </si>
  <si>
    <t>Pelatihan Tata Boga</t>
  </si>
  <si>
    <t>12.05</t>
  </si>
  <si>
    <t>KARANG BAYAN</t>
  </si>
  <si>
    <t>Pelayanan Pencegahan dan Kesiapsiagaan Terhadap Bencana</t>
  </si>
  <si>
    <t>Penguatan Kapasitas Kawasan untuk Pencegahan dan Kesiapsiagaan Bencana</t>
  </si>
  <si>
    <t>Pembentukan Tangguh Bencana</t>
  </si>
  <si>
    <t>08.09</t>
  </si>
  <si>
    <t>KARANG BONGKOT</t>
  </si>
  <si>
    <t>Bantuan Alat Pembuat Roti</t>
  </si>
  <si>
    <t>Pengadaan Tempat Kuliner</t>
  </si>
  <si>
    <t>Bantuan Bibit Ayam dan Pakan</t>
  </si>
  <si>
    <t>Bantuan Bibit Itik dan Pakan</t>
  </si>
  <si>
    <t>Bantuan Bibit Sapi</t>
  </si>
  <si>
    <t>Pengadaan Alat Penyuling Air</t>
  </si>
  <si>
    <t>Pengadaan Mebel Lab komputer SMPN 3 Gerung</t>
  </si>
  <si>
    <t>01.02</t>
  </si>
  <si>
    <t>KEBON AYU</t>
  </si>
  <si>
    <t>Penataan Halaman dan Penembokan TKN 5 Gerung</t>
  </si>
  <si>
    <t>Rehab Toilet SDN 3 Kedaro</t>
  </si>
  <si>
    <t>07.05</t>
  </si>
  <si>
    <t>KEDARO</t>
  </si>
  <si>
    <t>Rehab Ruang Kelas SDN 3 Kedaro</t>
  </si>
  <si>
    <t>Pembangunan /Rehabilitasi Jalan Usaha Tani</t>
  </si>
  <si>
    <t>Pembangunan Toilet SDIT Insan Mulia Kediri</t>
  </si>
  <si>
    <t>02.01</t>
  </si>
  <si>
    <t>Penataan Halaman SDIT Insan Mulia Kediri</t>
  </si>
  <si>
    <t>Pengadaan Berugak Baca</t>
  </si>
  <si>
    <t xml:space="preserve">Penataan Ponpes </t>
  </si>
  <si>
    <t xml:space="preserve">Pengadaan Mebel TK Islam Al Yamadi Aalamat </t>
  </si>
  <si>
    <t>02.09</t>
  </si>
  <si>
    <t>KEDIRI SELATAN</t>
  </si>
  <si>
    <t>Pembangunan RKB PAUD Dusun Bangket Dalem</t>
  </si>
  <si>
    <t>Pembangunan RKB TK Islam Al Yamadi</t>
  </si>
  <si>
    <t>Pengadaan Alat Permainan Edukatif Smart Table TKIT Anak Sholeh Kediri</t>
  </si>
  <si>
    <t xml:space="preserve">Penataan Halaman Komplek Pondok Pesantren </t>
  </si>
  <si>
    <t>Penataan Jalan lingkungan</t>
  </si>
  <si>
    <t>Pengadaan Alat Permainan Edukatif Smart Table TKN 3 Gunungsari</t>
  </si>
  <si>
    <t>09.04</t>
  </si>
  <si>
    <t>KEKAIT</t>
  </si>
  <si>
    <t>Pelatihan Barista</t>
  </si>
  <si>
    <t>PROGRAM PENGEMBANGAN PERMUKIMAN</t>
  </si>
  <si>
    <t>Penyelenggaraan Infrastruktur pada Permukiman di Kawasan Strategis Daerah Provinsi</t>
  </si>
  <si>
    <t>Pembangunan Sistem Penyediaan Air Minum (SPAM) Jaringan Perpipaan di Kawasan Strategis Provinsi</t>
  </si>
  <si>
    <t>Pembangunan Air Bersih</t>
  </si>
  <si>
    <t>Penetapan dan Penyelenggaraan Bangunan Gedung untuk Kepentingan Strategis Daerah Provinsi</t>
  </si>
  <si>
    <t>Pembangunan, Pemanfaatan,  Pelestariaan dan Pembongkaran Bangunan Gedung untuk Kepentingan Strategis Daerah Provinsi</t>
  </si>
  <si>
    <t>09.05</t>
  </si>
  <si>
    <t>KEKERI</t>
  </si>
  <si>
    <t>Pengadaan Souvenir/Cindramata</t>
  </si>
  <si>
    <t>Aksi Prioritas 3 : Pengentasan Pengangguran</t>
  </si>
  <si>
    <t>03.04</t>
  </si>
  <si>
    <t>KERU</t>
  </si>
  <si>
    <t>Pengadaan Alat Fitnes</t>
  </si>
  <si>
    <t xml:space="preserve">Perkuatan Tebing Sungai </t>
  </si>
  <si>
    <t>Rehabilitasi Jaringan Irigasi</t>
  </si>
  <si>
    <t>03.15</t>
  </si>
  <si>
    <t>KRAMA JAYA</t>
  </si>
  <si>
    <t xml:space="preserve">Pengadaan Bibit Itik Petelur dan Pakan </t>
  </si>
  <si>
    <t>Bangunan Pelengkap</t>
  </si>
  <si>
    <t>Bantuan Bibit Ayam Petelur dan Pakan</t>
  </si>
  <si>
    <t>Penggantian Plat Jembatan</t>
  </si>
  <si>
    <t>Pembangunan RKB PAUD Nelayan</t>
  </si>
  <si>
    <t>08.08</t>
  </si>
  <si>
    <t>KURANJI</t>
  </si>
  <si>
    <t xml:space="preserve">Pengadaan Bibit Sapi Betina 102 cm </t>
  </si>
  <si>
    <t>Penyediaan Sarana dan Prasarana Pembinaan Lembaga Adat</t>
  </si>
  <si>
    <t>08.12</t>
  </si>
  <si>
    <t>KURANJI DALANG</t>
  </si>
  <si>
    <t>Pengadaan Mesing Ketinting</t>
  </si>
  <si>
    <t>Pengadaan Alat Permainan Edukatif Smart Table TKN 2 Kuripan</t>
  </si>
  <si>
    <t>15.01</t>
  </si>
  <si>
    <t>Rehab PAUD Yayasan Tunas Harapan</t>
  </si>
  <si>
    <t>Rehabilitasi Puskesmas</t>
  </si>
  <si>
    <t>Pengadaan Terop</t>
  </si>
  <si>
    <t>Bantuan Kendaraan Roda Tiga</t>
  </si>
  <si>
    <t xml:space="preserve"> Pembangunan Drainase</t>
  </si>
  <si>
    <t>15.04</t>
  </si>
  <si>
    <t>KURIPAN SELATAN</t>
  </si>
  <si>
    <t xml:space="preserve">Pengadaan Pohon Pelindung untuk Konservasi Kawasan Mata Air </t>
  </si>
  <si>
    <t>Bantuan Pertukangan</t>
  </si>
  <si>
    <t>Bantuan Bibit Ayam Petelur Dan Pakan</t>
  </si>
  <si>
    <t>Dinas Kesehatan (Provinsi)</t>
  </si>
  <si>
    <t xml:space="preserve">PROGRAM PEMENUHAN UPAYA KESEHATAN PERORANGAN DAN UPAYA KESEHATAN MASYARAKAT </t>
  </si>
  <si>
    <t>Penyediaan Layanan Kesehatan untuk UKP Rujukan, UKM dan UKM Rujukan Tingkat Daerah Provinsi</t>
  </si>
  <si>
    <t>Pengelolaan Rujukan dan Rujuk Balik</t>
  </si>
  <si>
    <t>Pengadaan Mobil Ambulance</t>
  </si>
  <si>
    <t>15.05</t>
  </si>
  <si>
    <t>KURIPAN TIMUR</t>
  </si>
  <si>
    <t>Pembangunan Tangki Septik Skala Individual</t>
  </si>
  <si>
    <t>Pengembangan dan Pengelolaan Sistem Irigasi Primer dan Sekunder pada Daerah Irigasi yang Luasnya 1000 Ha-3000 Ha dan Daerah Irigasi Lintas Daerah Kabupaten/Kota</t>
  </si>
  <si>
    <t>Operasi dan Pemeliharaan Jaringan Irigasi Permukaan</t>
  </si>
  <si>
    <t>Rehab Jaringan Irigasi</t>
  </si>
  <si>
    <t>Rehab Ruang Kepala Sekolah SDN 3 Kuripan Utara</t>
  </si>
  <si>
    <t>15.03</t>
  </si>
  <si>
    <t>KURIPAN UTARA</t>
  </si>
  <si>
    <t>Pengadaan Mebel SDN 3 Kuripan Utara</t>
  </si>
  <si>
    <t>Rehab Toilet SDN 3 Kuripan Utara</t>
  </si>
  <si>
    <t>Penembokan Halaman TKN 1 Kuripan</t>
  </si>
  <si>
    <t>Pengadaan Alat Permainan Edukatif Smart Table TKN 1 Kuripan</t>
  </si>
  <si>
    <t xml:space="preserve">Pengadaan Sapi Bibit Jantan 107 cm </t>
  </si>
  <si>
    <t>Bantuan Terop, Kursi dan Werlless</t>
  </si>
  <si>
    <t>Rehab Ruang Kelas SDN 2 Labuan Tereng</t>
  </si>
  <si>
    <t>13.05</t>
  </si>
  <si>
    <t>LABUAN TERENG</t>
  </si>
  <si>
    <t>Rehab Ruang Kelas SDN 3 Labuan Tereng</t>
  </si>
  <si>
    <t>Rehab Ruang Kelas SDN 4 Labuan Tereng</t>
  </si>
  <si>
    <t>Pengadaan Alat Permainan Edukatif Smart Table TKN 1 Labuapi</t>
  </si>
  <si>
    <t>08.10</t>
  </si>
  <si>
    <t>Penataan Sarana dan Prasarana Pos Ramil</t>
  </si>
  <si>
    <t>Pembangunan Ruang Guru SMP Peduli Anak Lingsar</t>
  </si>
  <si>
    <t>12.06</t>
  </si>
  <si>
    <t>LANGKO</t>
  </si>
  <si>
    <t>Rehabilitasi dan Pemeliharaan Fasilitas Kesehatan Lainnya</t>
  </si>
  <si>
    <t>Penataan dan Penembokan Pustu</t>
  </si>
  <si>
    <t>Pembangunan Gedung Bulu Tangkis</t>
  </si>
  <si>
    <t>Rehabilitasi Ruang Kelas SMK</t>
  </si>
  <si>
    <t>Pembangunan RKB KB Bukit Hijau</t>
  </si>
  <si>
    <t>03.10</t>
  </si>
  <si>
    <t>LEBAH SEMPAGE</t>
  </si>
  <si>
    <t>Rehab Toilet SDN 2 Lebah Sempage</t>
  </si>
  <si>
    <t>02.10</t>
  </si>
  <si>
    <t>LELEDE</t>
  </si>
  <si>
    <t>Penyediaan Unit pengolahan setempat di Kawasan Strategis Provinsi</t>
  </si>
  <si>
    <t>Pembangunan RKB PAUD Dahlia</t>
  </si>
  <si>
    <t>14.04</t>
  </si>
  <si>
    <t>LEMBAH SARI</t>
  </si>
  <si>
    <t>Pengadaan Motor Roda Pengangkut Sampah Tiga</t>
  </si>
  <si>
    <t xml:space="preserve">Pemasangan Talud </t>
  </si>
  <si>
    <t>Rehab Toilet SMPN 1 Lembar</t>
  </si>
  <si>
    <t>13.01</t>
  </si>
  <si>
    <t>Rehabilitasi Berat Pustu</t>
  </si>
  <si>
    <t xml:space="preserve">Pengadaan Laptop/Notebook/Netbook </t>
  </si>
  <si>
    <t>Pengadaan Kursi Plastik</t>
  </si>
  <si>
    <t>Pengelolaan dan Pengembangan Sistem Drainase yang Terhubung Langsung dengan Sungai dalam Daerah Kabupaten/Kota</t>
  </si>
  <si>
    <t>Pembangunan Sistem Drainase Lingkungan</t>
  </si>
  <si>
    <t xml:space="preserve">Pembangunan Saluran Pembuang </t>
  </si>
  <si>
    <t>13.07</t>
  </si>
  <si>
    <t>LEMBAR SELATAN</t>
  </si>
  <si>
    <t>Pengadaan Perahu Pengangkut Sampah</t>
  </si>
  <si>
    <t xml:space="preserve">Pengadaan Sepatu Boat </t>
  </si>
  <si>
    <t>Pengadaan Tong Sampah</t>
  </si>
  <si>
    <t>Pengadaan Jaring Nelayan</t>
  </si>
  <si>
    <t>Pengadaan Peralatan Produksi Usaha Garam Rebus</t>
  </si>
  <si>
    <t>Pembangunan IPLT</t>
  </si>
  <si>
    <t>Pembangunan Parkir</t>
  </si>
  <si>
    <t>Penembokan Halaman TKN 1 Narmada</t>
  </si>
  <si>
    <t>03.01</t>
  </si>
  <si>
    <t>LEMBUAK</t>
  </si>
  <si>
    <t xml:space="preserve">Rehabilitasi Mushalla </t>
  </si>
  <si>
    <t>Penataan Mushalla</t>
  </si>
  <si>
    <t>Pembangunan Ruang Guru TKN 2 Lingsar</t>
  </si>
  <si>
    <t>12.01</t>
  </si>
  <si>
    <t>Pengadaan Alat Permainan Edukatif Smart Table TKN 2 Lingsar</t>
  </si>
  <si>
    <t>Penyediaan Sarana dan Prasarana Pengelolaan Persampahan di TPA/TPST/SPA Kabupaten/Kota</t>
  </si>
  <si>
    <t>Pembuatan Sumur Bor PDU Lingsar</t>
  </si>
  <si>
    <t>Rehab Bangunan TPST</t>
  </si>
  <si>
    <t>Event Perang Topat</t>
  </si>
  <si>
    <t>Pembangunan Bangunan Pelengkap</t>
  </si>
  <si>
    <t>Normalisasi Saluran Irigasi</t>
  </si>
  <si>
    <t>09.06</t>
  </si>
  <si>
    <t>MAMBALAN</t>
  </si>
  <si>
    <t>PROGRAM PENGENDALIAN PENCEMARAN DAN/ATAU KERUSAKAN LINGKUNGAN HIDUP</t>
  </si>
  <si>
    <t>Penanggulangan Pencemaran dan/atau Kerusakan Lingkungan Hidup Kabupaten/Kota</t>
  </si>
  <si>
    <t>Penghentian Pencemaran dan/atau Kerusakan Lingkungan Hidup</t>
  </si>
  <si>
    <t xml:space="preserve">Pembuatan Bak Perlindungan Mata Air  </t>
  </si>
  <si>
    <t xml:space="preserve">Pengadaan Bibit Kambing Jantan Lokal  &gt;70-80 cm </t>
  </si>
  <si>
    <t>13.03</t>
  </si>
  <si>
    <t>MAREJE</t>
  </si>
  <si>
    <t xml:space="preserve">Pengadaan Sapi Bibit Betina 105 cm </t>
  </si>
  <si>
    <t xml:space="preserve">Pengadaan Interior Bangunan Gedung Kantor </t>
  </si>
  <si>
    <t>Pembangunan Jaringan Irigasi Air Tanah</t>
  </si>
  <si>
    <t>13.08</t>
  </si>
  <si>
    <t>MAREJE TIMUR</t>
  </si>
  <si>
    <t xml:space="preserve">Kandang Ayam </t>
  </si>
  <si>
    <t>03.19</t>
  </si>
  <si>
    <t>MEKAR SARI</t>
  </si>
  <si>
    <t>Rehab Toilet SATAP 4 Gunungsari</t>
  </si>
  <si>
    <t>09.12</t>
  </si>
  <si>
    <t>MEKARSARI</t>
  </si>
  <si>
    <t xml:space="preserve">Pengadaan Media Pendidikan KB Lombok Insani School </t>
  </si>
  <si>
    <t>14.02</t>
  </si>
  <si>
    <t>MENINTING</t>
  </si>
  <si>
    <t>Bantuan Peralatan Pertukangan Paving Block</t>
  </si>
  <si>
    <t>Penembokan Halaman TKN 3 Labuapi</t>
  </si>
  <si>
    <t>08.02</t>
  </si>
  <si>
    <t>MEREMBU</t>
  </si>
  <si>
    <t xml:space="preserve">Pembangunan Toilet  TKN 3 Labuapi </t>
  </si>
  <si>
    <t>Pengadaan Alat Permainan Edukatif Smart Table TKN 3 Labuapi</t>
  </si>
  <si>
    <t>Bantuan Bibit Durian dan Jambu Kristal</t>
  </si>
  <si>
    <t>Pengadaan Mebel SMP Islam Darun Nadwah</t>
  </si>
  <si>
    <t>01.12</t>
  </si>
  <si>
    <t>MESANGGOK</t>
  </si>
  <si>
    <t>Bantuan Motor Roda Tiga Pengangkut Sampah</t>
  </si>
  <si>
    <t>Bantuan Peralatan Perbengkelan KuBe Dasker Motor dan Zapir Motor</t>
  </si>
  <si>
    <t>09.02</t>
  </si>
  <si>
    <t>MIDANG</t>
  </si>
  <si>
    <t xml:space="preserve">Pembangunan Toilet TKN 1 Kediri </t>
  </si>
  <si>
    <t>02.02</t>
  </si>
  <si>
    <t>MONTONG ARE</t>
  </si>
  <si>
    <t xml:space="preserve">Pengadaan Mebel Ruang Guru TKN 1 Kediri </t>
  </si>
  <si>
    <t>Pengadaan Alat Permainan Edukatif Smart Table TKN 1 Kediri</t>
  </si>
  <si>
    <t>Penembokan Halaman SDN 3 Narmada</t>
  </si>
  <si>
    <t>03.21</t>
  </si>
  <si>
    <t>Lanjutan Revitalisasi SDN 3 Narmada</t>
  </si>
  <si>
    <t>Rehab Toilet SDN 1 Narmada</t>
  </si>
  <si>
    <t>Pengadaan Alat Permainan Edukatif Smart Table TKN 1 Narmada</t>
  </si>
  <si>
    <t>03.02</t>
  </si>
  <si>
    <t>NYURLEMBANG</t>
  </si>
  <si>
    <t>Bantuan Bibit Itik Dan Pakan</t>
  </si>
  <si>
    <t xml:space="preserve">Penembokan Halaman TK IT Imam Buhkari </t>
  </si>
  <si>
    <t>02.07</t>
  </si>
  <si>
    <t>OMBE BARU</t>
  </si>
  <si>
    <t xml:space="preserve">Pengadaan Terop </t>
  </si>
  <si>
    <t>Pembangunan Tangki Septik Skala Individual Peran</t>
  </si>
  <si>
    <t>Bantuan Tongkat Kaki Tiga Untuk Penyandang Disabilitas dan Lanjut Usia</t>
  </si>
  <si>
    <t>Pembangunan RKB PAUD As-Syafillah</t>
  </si>
  <si>
    <t>03.17</t>
  </si>
  <si>
    <t>PAKUAN</t>
  </si>
  <si>
    <t>Bantuan Tongkat Kruk Ketiak Untuk Penyandang Disabilitas dan Lanjut Usia</t>
  </si>
  <si>
    <t>Bantuan Peralatan Usaha</t>
  </si>
  <si>
    <t>Rehab Toilet SDN 6 Pelangan</t>
  </si>
  <si>
    <t>07.03</t>
  </si>
  <si>
    <t>PELANGAN</t>
  </si>
  <si>
    <t xml:space="preserve">Pembangunan RKB PAUD  Cerdas  Ceria </t>
  </si>
  <si>
    <t>09.08</t>
  </si>
  <si>
    <t>PENIMBUNG</t>
  </si>
  <si>
    <t>Penataan Jalan Lingkungan (Saluran/Drainase)</t>
  </si>
  <si>
    <t>Rehab Toilet SMPN 2 Labuapi</t>
  </si>
  <si>
    <t>08.05</t>
  </si>
  <si>
    <t>PERAMPUAN</t>
  </si>
  <si>
    <t>Pembangunan RKB TKN 4 Labuapi</t>
  </si>
  <si>
    <t>03.03</t>
  </si>
  <si>
    <t>PERESAK</t>
  </si>
  <si>
    <t>Pengadaan Gedung Sederhana
- Karakter kompleksitas dan teknologi sederhana.
- Masa penjaminan kegagalan bangunan 10 tahun.
- Gedung Kantor dengan in prototype atau jumlah lantai s.d.2 lantai, 9,6 m2 per personil 
- Rumah Dinas tipe C, D, E tidak bertingkat 
- Puskesmas, SD, SMP s.d. 2 lantai.</t>
  </si>
  <si>
    <t>Pengadaan Roda 3</t>
  </si>
  <si>
    <t>12.08</t>
  </si>
  <si>
    <t>PETELUAN INDAH</t>
  </si>
  <si>
    <t>Pengadaan Bantuan Bibit Ayam &amp; Pakan</t>
  </si>
  <si>
    <t xml:space="preserve">Pemasangan Paving Block </t>
  </si>
  <si>
    <t>14.08</t>
  </si>
  <si>
    <t>PUSUK LESTARI</t>
  </si>
  <si>
    <t>Pembangunan/ Rehabilitasi Jalan Usaha Tani</t>
  </si>
  <si>
    <t>Pengadaan Alat Permainan Edukatif Smart Table TKN 2 Gunungsari</t>
  </si>
  <si>
    <t>09.13</t>
  </si>
  <si>
    <t>RANJOK</t>
  </si>
  <si>
    <t>Pembangunan /Rehabilitasi Jaringan Irigasi Tingkat Usaha Tani (psp)- 01.11</t>
  </si>
  <si>
    <t xml:space="preserve">Pembangunan/Rehabilitasi Jaringan Irigasi Tingkat Usaha Tani </t>
  </si>
  <si>
    <t>Pengawasan Perbaikan Saluran Irigasi Desa Ranjok Kec. Gunungsari</t>
  </si>
  <si>
    <t>Perencanaan Perbaikan Saluran Irigasi Desa Ranjok Kec. Gunungsari</t>
  </si>
  <si>
    <t>Perbaikan Saluran Irigasi Desa Ranjok Kec. Gunungsari</t>
  </si>
  <si>
    <t>Pengawasan Pembangunan Bangunan Pelengkap Ruas Jalan Desa Ranjok Kec. Gunungsari</t>
  </si>
  <si>
    <t>Perencanaan Pembangunan Bangunan Pelengkap Ruas Jalan Desa Ranjok Kec. Gunungsari</t>
  </si>
  <si>
    <t>Pembangunan Bangunan Pelengkap Ruas Jalan Desa Ranjok Kec. Gunungsari</t>
  </si>
  <si>
    <t>02.05</t>
  </si>
  <si>
    <t>RUMAK</t>
  </si>
  <si>
    <t>Pengadaan Alat Permainan Edukatif Smart Table TKN 1 Batulayar</t>
  </si>
  <si>
    <t>14.03</t>
  </si>
  <si>
    <t>SANDIK</t>
  </si>
  <si>
    <t>Pengadaan Parut Kelapa</t>
  </si>
  <si>
    <t>Bantuan Kendaraan Roda 3</t>
  </si>
  <si>
    <t>Bantuan Bibit Ayam</t>
  </si>
  <si>
    <t>Bantuan Pres Batako</t>
  </si>
  <si>
    <t>Bantuan Wireless</t>
  </si>
  <si>
    <t>12.14</t>
  </si>
  <si>
    <t>SARIBAYA</t>
  </si>
  <si>
    <t xml:space="preserve">Perbaikan/Rehabilitasi Jaringan Irigasi </t>
  </si>
  <si>
    <t>Penembokan Halaman PAUD Ulul Albab</t>
  </si>
  <si>
    <t>03.07</t>
  </si>
  <si>
    <t>SEDAU</t>
  </si>
  <si>
    <t xml:space="preserve">Pembangunan RKB PKBM Cahaya </t>
  </si>
  <si>
    <t>Pengadaan Bebek Entok</t>
  </si>
  <si>
    <t xml:space="preserve">Penataan Amenitas Kawasan Wisata </t>
  </si>
  <si>
    <t>07.02</t>
  </si>
  <si>
    <t>SEKOTONG BARAT</t>
  </si>
  <si>
    <t xml:space="preserve">Lanjutan Pembangunan MTs Ittihadul Bayan Telaga Lebur </t>
  </si>
  <si>
    <t>07.01</t>
  </si>
  <si>
    <t>SEKOTONG TENGAH</t>
  </si>
  <si>
    <t>Pembangunan Toilet TKN 1 Sekotong</t>
  </si>
  <si>
    <t xml:space="preserve">Pembuatan Bak Perlindungan Mata Air </t>
  </si>
  <si>
    <t>Penanganan Long Segmen Peningkatan/Rekonstruksi Jalan Ruas</t>
  </si>
  <si>
    <t>13.04</t>
  </si>
  <si>
    <t>SEKOTONG TIMUR</t>
  </si>
  <si>
    <t>Pembangunan Gedung Serba Guna MTs Putri Hikmatusysyarief NW</t>
  </si>
  <si>
    <t>03.09</t>
  </si>
  <si>
    <t>SELAT</t>
  </si>
  <si>
    <t xml:space="preserve">Pengadaan Seragam Gendang Beleq </t>
  </si>
  <si>
    <t>Pengadaan Mebel SDI Aswaja Nurul Hidayah</t>
  </si>
  <si>
    <t>03.14</t>
  </si>
  <si>
    <t>SEMBUNG</t>
  </si>
  <si>
    <t>Pengadaan Mebel SDIT Amirul Ummah</t>
  </si>
  <si>
    <t xml:space="preserve">Pengadaan Kandang Itik 1 </t>
  </si>
  <si>
    <t xml:space="preserve">Pengadaan Kandang Itik 2 </t>
  </si>
  <si>
    <t xml:space="preserve">Pengadaan Kandang Itik 3 </t>
  </si>
  <si>
    <t>Pengawasan Peredaran Sarana Pertanian</t>
  </si>
  <si>
    <t>Pengawasan Sebaran Pupuk, Pestisida, Alsintan, dan Sarana Pendukung Pertanian</t>
  </si>
  <si>
    <t>Bantuan Alat dan Mesin Pertanian</t>
  </si>
  <si>
    <t>Pengembangan Ternak Sapi</t>
  </si>
  <si>
    <t>Rehab Toilet SDN 2 Senggigi</t>
  </si>
  <si>
    <t>14.06</t>
  </si>
  <si>
    <t>SENGGIGI</t>
  </si>
  <si>
    <t>Festival Pesona Senggigi</t>
  </si>
  <si>
    <t xml:space="preserve">Penataan Kawasan Senggigi (Tempat Parkir dan Oleh-Oleh) </t>
  </si>
  <si>
    <t>Dinas Pariwisata dan Ekonomi Kreatif (Provinsi)</t>
  </si>
  <si>
    <t>Pengelolaan Destinasi Pariwisata Provinsi</t>
  </si>
  <si>
    <t>Pengadaan/Pemeliharaan/Rehabilitasi Sarana dan Prasarana dalam Pengelolaan Destinasi Pariwisata Provinsi</t>
  </si>
  <si>
    <t>Pengadaan Peralatan Surfing</t>
  </si>
  <si>
    <t>14.05</t>
  </si>
  <si>
    <t>SENTELUK</t>
  </si>
  <si>
    <t>Pembuatan Sumur Bor TPST Senteluk</t>
  </si>
  <si>
    <t xml:space="preserve">Peningkatan/Rekonstruksi Jalan Lingkar Penyangget </t>
  </si>
  <si>
    <t>03.11</t>
  </si>
  <si>
    <t>SESAOT</t>
  </si>
  <si>
    <t xml:space="preserve">Rehabilitasi Amenitas di kawasan Wisata </t>
  </si>
  <si>
    <t>Pengadaan APE Luar PAUD Alang</t>
  </si>
  <si>
    <t>09.03</t>
  </si>
  <si>
    <t>SESELA</t>
  </si>
  <si>
    <t>Penyediaan Sarana Distribusi Perdagangan</t>
  </si>
  <si>
    <t>Rehab Pasar Seni</t>
  </si>
  <si>
    <t>Pengadaan Alat Sablon</t>
  </si>
  <si>
    <t>Bantuan Kompor 2 tungku</t>
  </si>
  <si>
    <t>Pembangunan RKB</t>
  </si>
  <si>
    <t>Pembangunan Toilet TKN 1 Lingsar</t>
  </si>
  <si>
    <t>12.03</t>
  </si>
  <si>
    <t>SIGERONGAN</t>
  </si>
  <si>
    <t>Pengadaan Alat Permainan Edukatif Smart Table TKN 1 Lingsar</t>
  </si>
  <si>
    <t>Pembangunan PONED Puskesmas</t>
  </si>
  <si>
    <t>Bantuan Soundsystem</t>
  </si>
  <si>
    <t>01.05</t>
  </si>
  <si>
    <t>SUKA MAKMUR</t>
  </si>
  <si>
    <t>Bantuan RTLH</t>
  </si>
  <si>
    <t>Penataan Yayasan</t>
  </si>
  <si>
    <t>03.08</t>
  </si>
  <si>
    <t>SURANADI</t>
  </si>
  <si>
    <t xml:space="preserve">Penataan Pura </t>
  </si>
  <si>
    <t>Rehab Ruang Guru SDN 2 Taman Ayu</t>
  </si>
  <si>
    <t>01.13</t>
  </si>
  <si>
    <t>TAMAN AYU</t>
  </si>
  <si>
    <t>Rehab Ruang Kelas SDN 2 Taman Ayu</t>
  </si>
  <si>
    <t xml:space="preserve">Rehabilitasi Jaringan Irigasi </t>
  </si>
  <si>
    <t>07.09</t>
  </si>
  <si>
    <t>TAMAN BARU</t>
  </si>
  <si>
    <t>Pembangunan Perpustakaan Sekolah</t>
  </si>
  <si>
    <t>Pembangunan Ruang Perpustakaan SD Islam Zilalul Qur'an</t>
  </si>
  <si>
    <t>09.09</t>
  </si>
  <si>
    <t>TAMANSARI</t>
  </si>
  <si>
    <t xml:space="preserve">Pembangunan Ruang MI NWDI Darul Hikmah </t>
  </si>
  <si>
    <t>03.06</t>
  </si>
  <si>
    <t>TANAK BEAK</t>
  </si>
  <si>
    <t>Perbaikan Ruas Jalan</t>
  </si>
  <si>
    <t>08.04</t>
  </si>
  <si>
    <t>TELAGAWARU</t>
  </si>
  <si>
    <t>Pengadaan Sarana Prasarana Tenis Meja</t>
  </si>
  <si>
    <t>Bantuan Laundry</t>
  </si>
  <si>
    <t>Peningkatan Tanggul Sungai (Talud/Bronjong)</t>
  </si>
  <si>
    <t>Pembangunan Gedung Serba Guna MTs As-Saidiyah NW</t>
  </si>
  <si>
    <t>01.10</t>
  </si>
  <si>
    <t>TEMPOS</t>
  </si>
  <si>
    <t>Pengadaan Laptop SMP Islam Mubarok</t>
  </si>
  <si>
    <t>Pengelolaan Daya Tarik Wisata Provinsi</t>
  </si>
  <si>
    <t>Pengadaan, Pemeliharaan, Rehabilitasi Sarana dan Prasarana dalam Daya Tarik Wisata Provinsi</t>
  </si>
  <si>
    <t>Dinas Pemberdayaan Masyarakat, Pemerintahan Desa, Kependudukan dan Pencatatan Sipil (Provinsi)</t>
  </si>
  <si>
    <t>PROGRAM PENDIDIKAN DAN PELATIHAN, PENYULUHAN DAN PEMBERDAYAAN MASYARAKAT DI BIDANG KEHUTANAN</t>
  </si>
  <si>
    <t>Pelaksanaan Penyuluhan Kehutanan Provinsi dan Pemberdayaan Masyarakat di Bidang Kehutanan</t>
  </si>
  <si>
    <t xml:space="preserve">Penguatan dan Pendampingan Kelembagaan Kelompok Tani Hutan </t>
  </si>
  <si>
    <t>Bantuan Stup dan Koloni lebah madu trigona bagi kelompok tani hutan</t>
  </si>
  <si>
    <t>Pembangunan Gedung Serbaguna</t>
  </si>
  <si>
    <t>Operasi dan Pemeliharaan Embung</t>
  </si>
  <si>
    <t>Rehabilitasi Embung</t>
  </si>
  <si>
    <t>BANSOS KUBE</t>
  </si>
  <si>
    <t>08.07</t>
  </si>
  <si>
    <t>TERONG TAWAH</t>
  </si>
  <si>
    <t>Hibah Uang Kepada Lembaga Keagamaan (Masjid Baitul Atiq)</t>
  </si>
  <si>
    <t xml:space="preserve">Fasilitasi Pengelolaan Bina Mental Spiritual </t>
  </si>
  <si>
    <t>Hibah Uang Kepada Lembaga Keagamaan (Masjid Baiturrahman)</t>
  </si>
  <si>
    <t>Hibah Uang Kepada Lembaga Keagamaan (Yayasan Nurul Hakim)</t>
  </si>
  <si>
    <t>Pengadaan Wearless</t>
  </si>
  <si>
    <t>Pengadaan Alat Pertukangan</t>
  </si>
  <si>
    <t>Pengadaan Seragam Yasinan</t>
  </si>
  <si>
    <t>Pengadaan Terop dan Kursi Plastik</t>
  </si>
  <si>
    <t>Pengadaan Etalase</t>
  </si>
  <si>
    <t>Pengadaan Seragam Kepemudaan</t>
  </si>
  <si>
    <t>Peningkatan Pemahaman dan Pengetahuan UMKM serta Kapasitas dan Kompetensi SDM UMKM dan Kewirausahaan melalui Pendidikan dan</t>
  </si>
  <si>
    <t>Pelatihan)</t>
  </si>
  <si>
    <t>Bantuan alat Menjahit</t>
  </si>
  <si>
    <t>Bantuan alat Perbengkelan</t>
  </si>
  <si>
    <t>Bantuan alat Tata Boga</t>
  </si>
  <si>
    <t>Pelatihan</t>
  </si>
  <si>
    <t>52.01.015</t>
  </si>
  <si>
    <t>Column1</t>
  </si>
  <si>
    <t>PENURUNAN</t>
  </si>
  <si>
    <t>PAGU SEMULA</t>
  </si>
  <si>
    <t>***Bantuan Werlless</t>
  </si>
  <si>
    <t>Bantuan Terop, Kursi, Alat Pertukangan</t>
  </si>
  <si>
    <t>Bantuan terop dan Kursi</t>
  </si>
  <si>
    <t>Perbaikan Jaringan Irigasi DI. Nyurbaye Desa Saribaya Kec. Lingsar</t>
  </si>
  <si>
    <t>BAZNAS LOMBOK BARAT</t>
  </si>
  <si>
    <t>REKAP ANGGARAN SEJAHTERA DARI DESA TAHUN 2026</t>
  </si>
  <si>
    <t>NO.</t>
  </si>
  <si>
    <t>DESA</t>
  </si>
  <si>
    <t>ALOKASI (Rp)</t>
  </si>
  <si>
    <t>USULAN</t>
  </si>
  <si>
    <t>KEMISKINAN</t>
  </si>
  <si>
    <t>Jumlah (Usulan + Kemiskinan + Stunting)</t>
  </si>
  <si>
    <t>Alokasi Semestinya</t>
  </si>
  <si>
    <t>Kekurangan</t>
  </si>
  <si>
    <t>Rencana Intervensi Basnas (Unit)</t>
  </si>
  <si>
    <t>Keterangan</t>
  </si>
  <si>
    <t>Butuh BNBA</t>
  </si>
  <si>
    <t xml:space="preserve"> </t>
  </si>
  <si>
    <t>DATA DIANA 13 APRIL</t>
  </si>
  <si>
    <t>SELISIH</t>
  </si>
  <si>
    <t>URAIAN</t>
  </si>
  <si>
    <t>PAGU</t>
  </si>
  <si>
    <t>PERSENTASE</t>
  </si>
  <si>
    <t>Blueprint Alokasi Indikatif</t>
  </si>
  <si>
    <t>Penguatan Ekonomi Desa (BUMDes, Alat Produksi UMKM, Desa Wisata, Dukungan Pertanian/Perikanan)</t>
  </si>
  <si>
    <t>30 - 40 %</t>
  </si>
  <si>
    <t>Peningkatan Kualitas SDM (Intervensi Stunting, Posyandu, Beasiswa, Pelatihan Keterampilan Kerja)</t>
  </si>
  <si>
    <t>20 - 25 %</t>
  </si>
  <si>
    <t>Infrastruktur Dasar (Drainase, Sumber Daya Air, Jalan, PJU)</t>
  </si>
  <si>
    <t>Sosial, Kelembagaan dan Lingkungan (Kapasitas Pemdes, Karang taruna, Perlindungan Sosial Komunitas)</t>
  </si>
  <si>
    <t>10 - 15 %</t>
  </si>
  <si>
    <t>JUMLAH</t>
  </si>
  <si>
    <t>Infrastruktur Dasar (Jalan, Drainase, Irigasi, talud, jembatan, tanggul, PJU, dll)</t>
  </si>
  <si>
    <t>PENATAAN LINGKUNGAN :</t>
  </si>
  <si>
    <t>Stunting : RLH, Sanitasi, Air Minum</t>
  </si>
  <si>
    <t>REKAP SEMENTARA PAGU PER PILAR SDD APBD TAHUN 2026</t>
  </si>
  <si>
    <t>PILAR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</si>
</sst>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sz val="12"/>
      <color theme="1"/>
      <name val="Calibri Light"/>
      <charset val="134"/>
      <scheme val="major"/>
    </font>
    <font>
      <sz val="9"/>
      <name val="Tahoma"/>
      <charset val="134"/>
    </font>
    <font>
      <b/>
      <sz val="9"/>
      <name val="Tahoma"/>
      <charset val="134"/>
    </font>
    <font>
      <sz val="11"/>
      <color theme="1"/>
      <name val="Calibri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charset val="134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Bookman Old Style"/>
      <family val="1"/>
    </font>
    <font>
      <b/>
      <sz val="12"/>
      <color rgb="FF000000"/>
      <name val="Bookman Old Style"/>
      <family val="1"/>
    </font>
    <font>
      <sz val="12"/>
      <color rgb="FF000000"/>
      <name val="Bookman Old Style"/>
      <family val="1"/>
    </font>
    <font>
      <sz val="12"/>
      <color theme="1"/>
      <name val="Bookman Old Style"/>
      <family val="1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1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5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 vertical="center"/>
    </xf>
    <xf numFmtId="0" fontId="5" fillId="0" borderId="0" xfId="0" applyFont="1"/>
    <xf numFmtId="44" fontId="5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20" fontId="5" fillId="0" borderId="0" xfId="0" applyNumberFormat="1" applyFont="1" applyAlignment="1">
      <alignment horizontal="center"/>
    </xf>
    <xf numFmtId="0" fontId="5" fillId="3" borderId="0" xfId="0" applyFont="1" applyFill="1"/>
    <xf numFmtId="44" fontId="5" fillId="0" borderId="0" xfId="0" applyNumberFormat="1" applyFont="1" applyFill="1"/>
    <xf numFmtId="0" fontId="15" fillId="0" borderId="0" xfId="0" applyFont="1"/>
    <xf numFmtId="165" fontId="5" fillId="0" borderId="0" xfId="0" applyNumberFormat="1" applyFont="1" applyFill="1"/>
    <xf numFmtId="165" fontId="12" fillId="0" borderId="0" xfId="0" applyNumberFormat="1" applyFont="1" applyFill="1"/>
    <xf numFmtId="43" fontId="5" fillId="0" borderId="0" xfId="0" applyNumberFormat="1" applyFont="1" applyFill="1"/>
    <xf numFmtId="44" fontId="10" fillId="0" borderId="0" xfId="0" applyNumberFormat="1" applyFont="1" applyFill="1"/>
    <xf numFmtId="44" fontId="6" fillId="0" borderId="0" xfId="0" applyNumberFormat="1" applyFont="1" applyFill="1" applyAlignment="1">
      <alignment horizontal="center" vertical="center" wrapText="1"/>
    </xf>
    <xf numFmtId="44" fontId="12" fillId="0" borderId="0" xfId="0" applyNumberFormat="1" applyFont="1" applyFill="1"/>
    <xf numFmtId="44" fontId="12" fillId="0" borderId="1" xfId="0" applyNumberFormat="1" applyFont="1" applyFill="1" applyBorder="1"/>
    <xf numFmtId="44" fontId="0" fillId="0" borderId="0" xfId="0" applyNumberFormat="1" applyFill="1"/>
    <xf numFmtId="0" fontId="12" fillId="0" borderId="0" xfId="0" applyFont="1" applyFill="1"/>
    <xf numFmtId="44" fontId="12" fillId="0" borderId="0" xfId="0" applyNumberFormat="1" applyFont="1" applyFill="1" applyBorder="1"/>
    <xf numFmtId="41" fontId="4" fillId="0" borderId="0" xfId="1" applyFont="1" applyFill="1" applyBorder="1" applyAlignment="1">
      <alignment horizontal="center" vertical="top"/>
    </xf>
    <xf numFmtId="0" fontId="0" fillId="0" borderId="0" xfId="0" applyFill="1"/>
    <xf numFmtId="0" fontId="11" fillId="0" borderId="0" xfId="0" applyFont="1" applyFill="1"/>
    <xf numFmtId="20" fontId="11" fillId="0" borderId="0" xfId="0" applyNumberFormat="1" applyFont="1" applyFill="1" applyAlignment="1">
      <alignment horizontal="center"/>
    </xf>
    <xf numFmtId="0" fontId="11" fillId="0" borderId="0" xfId="0" applyFont="1" applyFill="1" applyAlignment="1">
      <alignment horizontal="center"/>
    </xf>
    <xf numFmtId="0" fontId="11" fillId="0" borderId="0" xfId="0" applyFont="1" applyFill="1" applyAlignment="1">
      <alignment horizontal="left"/>
    </xf>
    <xf numFmtId="0" fontId="4" fillId="0" borderId="0" xfId="0" applyFont="1" applyFill="1" applyBorder="1" applyAlignment="1">
      <alignment vertical="top"/>
    </xf>
    <xf numFmtId="0" fontId="0" fillId="0" borderId="0" xfId="0" applyFill="1" applyBorder="1"/>
    <xf numFmtId="0" fontId="11" fillId="0" borderId="0" xfId="0" applyNumberFormat="1" applyFont="1" applyFill="1"/>
    <xf numFmtId="0" fontId="11" fillId="0" borderId="0" xfId="0" applyNumberFormat="1" applyFont="1" applyFill="1" applyAlignment="1">
      <alignment horizontal="left"/>
    </xf>
    <xf numFmtId="0" fontId="11" fillId="0" borderId="0" xfId="0" applyFont="1" applyFill="1" applyBorder="1" applyAlignment="1">
      <alignment vertical="top"/>
    </xf>
    <xf numFmtId="0" fontId="11" fillId="0" borderId="1" xfId="0" applyFont="1" applyFill="1" applyBorder="1"/>
    <xf numFmtId="0" fontId="11" fillId="0" borderId="0" xfId="0" applyFont="1" applyFill="1" applyBorder="1" applyAlignment="1">
      <alignment horizontal="center" vertical="top"/>
    </xf>
    <xf numFmtId="0" fontId="11" fillId="0" borderId="0" xfId="0" quotePrefix="1" applyFont="1" applyFill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0" xfId="0" applyFont="1" applyFill="1" applyBorder="1"/>
    <xf numFmtId="0" fontId="11" fillId="0" borderId="2" xfId="0" applyFont="1" applyFill="1" applyBorder="1"/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166" fontId="5" fillId="0" borderId="0" xfId="0" applyNumberFormat="1" applyFont="1"/>
    <xf numFmtId="166" fontId="5" fillId="2" borderId="0" xfId="0" applyNumberFormat="1" applyFont="1" applyFill="1"/>
    <xf numFmtId="166" fontId="5" fillId="3" borderId="0" xfId="0" applyNumberFormat="1" applyFont="1" applyFill="1"/>
    <xf numFmtId="166" fontId="0" fillId="0" borderId="0" xfId="0" applyNumberFormat="1" applyFill="1"/>
    <xf numFmtId="166" fontId="12" fillId="0" borderId="0" xfId="0" applyNumberFormat="1" applyFont="1" applyFill="1"/>
    <xf numFmtId="166" fontId="0" fillId="0" borderId="0" xfId="0" applyNumberFormat="1" applyFill="1" applyBorder="1"/>
    <xf numFmtId="166" fontId="12" fillId="0" borderId="0" xfId="0" applyNumberFormat="1" applyFont="1" applyFill="1" applyAlignment="1">
      <alignment horizontal="right"/>
    </xf>
    <xf numFmtId="166" fontId="10" fillId="0" borderId="0" xfId="0" applyNumberFormat="1" applyFont="1"/>
    <xf numFmtId="166" fontId="16" fillId="0" borderId="0" xfId="0" applyNumberFormat="1" applyFont="1"/>
    <xf numFmtId="0" fontId="17" fillId="0" borderId="0" xfId="0" applyFont="1" applyAlignment="1">
      <alignment horizontal="center" vertical="center"/>
    </xf>
    <xf numFmtId="165" fontId="5" fillId="4" borderId="0" xfId="0" applyNumberFormat="1" applyFont="1" applyFill="1"/>
    <xf numFmtId="44" fontId="5" fillId="4" borderId="0" xfId="0" applyNumberFormat="1" applyFont="1" applyFill="1"/>
    <xf numFmtId="166" fontId="16" fillId="4" borderId="0" xfId="0" applyNumberFormat="1" applyFont="1" applyFill="1"/>
    <xf numFmtId="166" fontId="5" fillId="5" borderId="0" xfId="2" applyNumberFormat="1" applyFont="1" applyFill="1"/>
    <xf numFmtId="166" fontId="12" fillId="5" borderId="0" xfId="2" applyNumberFormat="1" applyFont="1" applyFill="1"/>
    <xf numFmtId="164" fontId="12" fillId="5" borderId="0" xfId="2" applyFont="1" applyFill="1"/>
    <xf numFmtId="10" fontId="11" fillId="0" borderId="0" xfId="0" applyNumberFormat="1" applyFont="1" applyFill="1"/>
    <xf numFmtId="44" fontId="5" fillId="6" borderId="0" xfId="0" applyNumberFormat="1" applyFont="1" applyFill="1"/>
    <xf numFmtId="165" fontId="5" fillId="6" borderId="0" xfId="0" applyNumberFormat="1" applyFont="1" applyFill="1"/>
    <xf numFmtId="164" fontId="11" fillId="0" borderId="0" xfId="0" applyNumberFormat="1" applyFont="1" applyFill="1"/>
    <xf numFmtId="166" fontId="0" fillId="0" borderId="0" xfId="2" applyNumberFormat="1" applyFont="1" applyFill="1"/>
    <xf numFmtId="0" fontId="5" fillId="4" borderId="0" xfId="0" applyFont="1" applyFill="1"/>
    <xf numFmtId="0" fontId="10" fillId="4" borderId="0" xfId="0" applyFont="1" applyFill="1"/>
    <xf numFmtId="0" fontId="11" fillId="4" borderId="0" xfId="0" applyFont="1" applyFill="1"/>
    <xf numFmtId="0" fontId="11" fillId="4" borderId="0" xfId="0" applyFont="1" applyFill="1" applyBorder="1" applyAlignment="1">
      <alignment vertical="top"/>
    </xf>
    <xf numFmtId="164" fontId="12" fillId="0" borderId="0" xfId="2" applyFont="1" applyFill="1"/>
    <xf numFmtId="44" fontId="10" fillId="0" borderId="0" xfId="0" applyNumberFormat="1" applyFont="1"/>
    <xf numFmtId="44" fontId="5" fillId="7" borderId="0" xfId="0" applyNumberFormat="1" applyFont="1" applyFill="1"/>
    <xf numFmtId="0" fontId="11" fillId="0" borderId="0" xfId="0" applyFont="1" applyFill="1" applyAlignment="1">
      <alignment horizontal="right"/>
    </xf>
    <xf numFmtId="44" fontId="10" fillId="4" borderId="0" xfId="0" applyNumberFormat="1" applyFont="1" applyFill="1"/>
    <xf numFmtId="166" fontId="12" fillId="0" borderId="0" xfId="2" applyNumberFormat="1" applyFont="1" applyFill="1"/>
    <xf numFmtId="0" fontId="20" fillId="0" borderId="0" xfId="3" applyFont="1"/>
    <xf numFmtId="0" fontId="3" fillId="0" borderId="0" xfId="3"/>
    <xf numFmtId="0" fontId="3" fillId="0" borderId="0" xfId="3" applyAlignment="1">
      <alignment horizontal="right"/>
    </xf>
    <xf numFmtId="0" fontId="3" fillId="0" borderId="0" xfId="3" applyAlignment="1">
      <alignment horizontal="center" vertical="top"/>
    </xf>
    <xf numFmtId="0" fontId="21" fillId="8" borderId="3" xfId="3" applyFont="1" applyFill="1" applyBorder="1" applyAlignment="1">
      <alignment horizontal="center" vertical="center" wrapText="1"/>
    </xf>
    <xf numFmtId="0" fontId="3" fillId="0" borderId="0" xfId="3" applyAlignment="1">
      <alignment horizontal="center" vertical="center" wrapText="1"/>
    </xf>
    <xf numFmtId="0" fontId="3" fillId="0" borderId="4" xfId="3" applyBorder="1" applyAlignment="1">
      <alignment horizontal="center" vertical="center" wrapText="1"/>
    </xf>
    <xf numFmtId="0" fontId="3" fillId="0" borderId="4" xfId="3" applyBorder="1" applyAlignment="1">
      <alignment horizontal="center" vertical="center"/>
    </xf>
    <xf numFmtId="0" fontId="3" fillId="0" borderId="0" xfId="3" applyAlignment="1">
      <alignment horizontal="center" vertical="center"/>
    </xf>
    <xf numFmtId="0" fontId="22" fillId="0" borderId="3" xfId="3" applyFont="1" applyBorder="1" applyAlignment="1">
      <alignment horizontal="center" vertical="top"/>
    </xf>
    <xf numFmtId="0" fontId="22" fillId="0" borderId="3" xfId="3" applyFont="1" applyBorder="1" applyAlignment="1">
      <alignment vertical="top"/>
    </xf>
    <xf numFmtId="44" fontId="22" fillId="0" borderId="3" xfId="3" applyNumberFormat="1" applyFont="1" applyBorder="1" applyAlignment="1">
      <alignment horizontal="right" vertical="top" wrapText="1"/>
    </xf>
    <xf numFmtId="0" fontId="23" fillId="0" borderId="3" xfId="3" applyFont="1" applyBorder="1" applyAlignment="1">
      <alignment horizontal="center" vertical="top"/>
    </xf>
    <xf numFmtId="0" fontId="22" fillId="9" borderId="3" xfId="3" applyFont="1" applyFill="1" applyBorder="1" applyAlignment="1">
      <alignment horizontal="center" vertical="top"/>
    </xf>
    <xf numFmtId="0" fontId="22" fillId="9" borderId="3" xfId="3" applyFont="1" applyFill="1" applyBorder="1" applyAlignment="1">
      <alignment vertical="top"/>
    </xf>
    <xf numFmtId="0" fontId="23" fillId="9" borderId="3" xfId="3" applyFont="1" applyFill="1" applyBorder="1" applyAlignment="1">
      <alignment horizontal="center" vertical="top"/>
    </xf>
    <xf numFmtId="0" fontId="3" fillId="9" borderId="0" xfId="3" applyFill="1"/>
    <xf numFmtId="0" fontId="22" fillId="4" borderId="3" xfId="3" applyFont="1" applyFill="1" applyBorder="1" applyAlignment="1">
      <alignment vertical="top"/>
    </xf>
    <xf numFmtId="166" fontId="0" fillId="0" borderId="4" xfId="4" applyNumberFormat="1" applyFont="1" applyBorder="1"/>
    <xf numFmtId="166" fontId="3" fillId="0" borderId="4" xfId="3" applyNumberFormat="1" applyBorder="1"/>
    <xf numFmtId="0" fontId="3" fillId="0" borderId="4" xfId="3" applyBorder="1" applyAlignment="1">
      <alignment horizontal="center"/>
    </xf>
    <xf numFmtId="0" fontId="3" fillId="0" borderId="4" xfId="3" applyBorder="1"/>
    <xf numFmtId="0" fontId="22" fillId="7" borderId="3" xfId="3" applyFont="1" applyFill="1" applyBorder="1" applyAlignment="1">
      <alignment vertical="top"/>
    </xf>
    <xf numFmtId="44" fontId="23" fillId="0" borderId="0" xfId="3" applyNumberFormat="1" applyFont="1"/>
    <xf numFmtId="44" fontId="3" fillId="0" borderId="0" xfId="3" applyNumberFormat="1" applyAlignment="1">
      <alignment horizontal="right"/>
    </xf>
    <xf numFmtId="164" fontId="0" fillId="0" borderId="0" xfId="4" applyFont="1" applyAlignment="1">
      <alignment horizontal="right"/>
    </xf>
    <xf numFmtId="164" fontId="0" fillId="7" borderId="0" xfId="4" applyFont="1" applyFill="1" applyAlignment="1">
      <alignment horizontal="right"/>
    </xf>
    <xf numFmtId="164" fontId="3" fillId="0" borderId="0" xfId="3" applyNumberFormat="1" applyAlignment="1">
      <alignment horizontal="right"/>
    </xf>
    <xf numFmtId="0" fontId="2" fillId="0" borderId="0" xfId="3" applyFont="1" applyAlignment="1">
      <alignment horizontal="center" vertical="center"/>
    </xf>
    <xf numFmtId="164" fontId="3" fillId="0" borderId="0" xfId="2" applyFont="1"/>
    <xf numFmtId="164" fontId="3" fillId="0" borderId="0" xfId="3" applyNumberFormat="1"/>
    <xf numFmtId="164" fontId="23" fillId="0" borderId="0" xfId="2" applyFont="1"/>
    <xf numFmtId="0" fontId="1" fillId="0" borderId="0" xfId="5"/>
    <xf numFmtId="0" fontId="24" fillId="0" borderId="5" xfId="5" applyFont="1" applyBorder="1" applyAlignment="1">
      <alignment horizontal="center"/>
    </xf>
    <xf numFmtId="0" fontId="24" fillId="10" borderId="4" xfId="5" applyFont="1" applyFill="1" applyBorder="1" applyAlignment="1">
      <alignment horizontal="center" vertical="center" wrapText="1"/>
    </xf>
    <xf numFmtId="0" fontId="1" fillId="0" borderId="4" xfId="5" applyBorder="1" applyAlignment="1">
      <alignment horizontal="center" vertical="center" wrapText="1"/>
    </xf>
    <xf numFmtId="0" fontId="1" fillId="0" borderId="4" xfId="5" applyBorder="1" applyAlignment="1">
      <alignment vertical="center" wrapText="1"/>
    </xf>
    <xf numFmtId="166" fontId="0" fillId="0" borderId="4" xfId="6" applyNumberFormat="1" applyFont="1" applyBorder="1" applyAlignment="1">
      <alignment vertical="center" wrapText="1"/>
    </xf>
    <xf numFmtId="164" fontId="0" fillId="0" borderId="4" xfId="6" applyFont="1" applyBorder="1" applyAlignment="1">
      <alignment vertical="center" wrapText="1"/>
    </xf>
    <xf numFmtId="164" fontId="0" fillId="0" borderId="4" xfId="6" quotePrefix="1" applyFont="1" applyBorder="1" applyAlignment="1">
      <alignment horizontal="center" vertical="center" wrapText="1"/>
    </xf>
    <xf numFmtId="166" fontId="1" fillId="0" borderId="4" xfId="5" applyNumberFormat="1" applyBorder="1" applyAlignment="1">
      <alignment vertical="center" wrapText="1"/>
    </xf>
    <xf numFmtId="166" fontId="0" fillId="0" borderId="0" xfId="6" applyNumberFormat="1" applyFont="1"/>
    <xf numFmtId="166" fontId="1" fillId="0" borderId="0" xfId="5" applyNumberFormat="1"/>
    <xf numFmtId="164" fontId="0" fillId="0" borderId="0" xfId="6" applyFont="1"/>
    <xf numFmtId="164" fontId="1" fillId="0" borderId="0" xfId="5" applyNumberFormat="1"/>
    <xf numFmtId="0" fontId="1" fillId="0" borderId="0" xfId="0" applyFont="1" applyAlignment="1">
      <alignment vertical="center"/>
    </xf>
    <xf numFmtId="0" fontId="1" fillId="4" borderId="0" xfId="5" applyFill="1"/>
    <xf numFmtId="0" fontId="20" fillId="0" borderId="0" xfId="3" applyFont="1" applyAlignment="1">
      <alignment horizontal="center" vertical="center" wrapText="1"/>
    </xf>
    <xf numFmtId="0" fontId="24" fillId="0" borderId="5" xfId="5" applyFont="1" applyBorder="1" applyAlignment="1">
      <alignment horizontal="center"/>
    </xf>
    <xf numFmtId="0" fontId="1" fillId="0" borderId="6" xfId="5" applyBorder="1" applyAlignment="1">
      <alignment horizontal="center" vertical="center" wrapText="1"/>
    </xf>
    <xf numFmtId="0" fontId="1" fillId="0" borderId="7" xfId="5" applyBorder="1" applyAlignment="1">
      <alignment horizontal="center" vertical="center" wrapText="1"/>
    </xf>
  </cellXfs>
  <cellStyles count="7">
    <cellStyle name="Comma" xfId="2" builtinId="3"/>
    <cellStyle name="Comma [0]" xfId="1" builtinId="6"/>
    <cellStyle name="Comma 2" xfId="4" xr:uid="{9FB3E2B7-2A1D-42BA-87C1-58855ABBB735}"/>
    <cellStyle name="Comma 3" xfId="6" xr:uid="{01F8F8D1-8AAA-42FB-9E65-01408F73C3EF}"/>
    <cellStyle name="Normal" xfId="0" builtinId="0"/>
    <cellStyle name="Normal 2" xfId="3" xr:uid="{0E6B4392-EE7D-4894-8C98-81A5A0CC2945}"/>
    <cellStyle name="Normal 3" xfId="5" xr:uid="{DC50C904-738C-45DE-BD09-513C30BF2ACE}"/>
  </cellStyles>
  <dxfs count="21"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_(* #,##0_);_(* \(#,##0\);_(* &quot;-&quot;??_);_(@_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left"/>
    </dxf>
    <dxf>
      <font>
        <strike val="0"/>
        <u val="none"/>
        <sz val="11"/>
        <color auto="1"/>
        <name val="Calibri"/>
        <family val="2"/>
        <scheme val="none"/>
      </font>
      <numFmt numFmtId="0" formatCode="General"/>
      <fill>
        <patternFill patternType="none"/>
      </fill>
      <alignment horizontal="left"/>
    </dxf>
    <dxf>
      <font>
        <strike val="0"/>
        <u val="none"/>
        <sz val="11"/>
        <color auto="1"/>
        <name val="Calibri"/>
        <family val="2"/>
        <scheme val="none"/>
      </font>
      <numFmt numFmtId="0" formatCode="General"/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  <alignment horizontal="center"/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  <dxf>
      <font>
        <strike val="0"/>
        <u val="none"/>
        <sz val="11"/>
        <color auto="1"/>
        <name val="Calibri"/>
        <family val="2"/>
        <scheme val="none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264381</xdr:colOff>
      <xdr:row>12</xdr:row>
      <xdr:rowOff>182881</xdr:rowOff>
    </xdr:from>
    <xdr:to>
      <xdr:col>2</xdr:col>
      <xdr:colOff>573626</xdr:colOff>
      <xdr:row>16</xdr:row>
      <xdr:rowOff>175361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4841F0-F3DF-4D81-B3A0-838649CA5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4381" y="3250759"/>
          <a:ext cx="4556567" cy="734602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1</xdr:row>
      <xdr:rowOff>145692</xdr:rowOff>
    </xdr:from>
    <xdr:to>
      <xdr:col>15</xdr:col>
      <xdr:colOff>469951</xdr:colOff>
      <xdr:row>15</xdr:row>
      <xdr:rowOff>147425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10840824-5D6C-4137-9E6C-5C86416D2390}"/>
            </a:ext>
          </a:extLst>
        </xdr:cNvPr>
        <xdr:cNvGrpSpPr/>
      </xdr:nvGrpSpPr>
      <xdr:grpSpPr>
        <a:xfrm>
          <a:off x="8408504" y="327909"/>
          <a:ext cx="6252317" cy="3430733"/>
          <a:chOff x="8408504" y="327909"/>
          <a:chExt cx="6252317" cy="3430733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29C59AE2-2830-4114-8510-3885CCA7CA3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8408504" y="327909"/>
            <a:ext cx="6252317" cy="3430733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8875D298-D3FD-4B92-89DF-DF460A53F564}"/>
              </a:ext>
            </a:extLst>
          </xdr:cNvPr>
          <xdr:cNvSpPr txBox="1"/>
        </xdr:nvSpPr>
        <xdr:spPr>
          <a:xfrm>
            <a:off x="8889999" y="1358351"/>
            <a:ext cx="673651" cy="56321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2026: 6,15%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4897D94F-634E-400B-AC35-8927437AB23A}"/>
              </a:ext>
            </a:extLst>
          </xdr:cNvPr>
          <xdr:cNvSpPr txBox="1"/>
        </xdr:nvSpPr>
        <xdr:spPr>
          <a:xfrm>
            <a:off x="10358783" y="1380432"/>
            <a:ext cx="850347" cy="54996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2026: 29,39%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544FCEDA-57EC-4B41-8A2F-0B936FB1A760}"/>
              </a:ext>
            </a:extLst>
          </xdr:cNvPr>
          <xdr:cNvSpPr txBox="1"/>
        </xdr:nvSpPr>
        <xdr:spPr>
          <a:xfrm>
            <a:off x="11805037" y="1435651"/>
            <a:ext cx="850347" cy="47213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2026: 60,03%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BE9FBC1A-0872-4B0A-95B7-093871FF5DC9}"/>
              </a:ext>
            </a:extLst>
          </xdr:cNvPr>
          <xdr:cNvSpPr txBox="1"/>
        </xdr:nvSpPr>
        <xdr:spPr>
          <a:xfrm>
            <a:off x="13122522" y="1435650"/>
            <a:ext cx="850347" cy="48649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2026: 4,42%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B72DD49-2A37-413A-9432-DE225DCCD57F}"/>
              </a:ext>
            </a:extLst>
          </xdr:cNvPr>
          <xdr:cNvSpPr txBox="1"/>
        </xdr:nvSpPr>
        <xdr:spPr>
          <a:xfrm>
            <a:off x="8876747" y="2256187"/>
            <a:ext cx="673651" cy="4991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2027:                       11,6%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5DA7B10-E4DE-4343-9502-736F876198B4}"/>
              </a:ext>
            </a:extLst>
          </xdr:cNvPr>
          <xdr:cNvSpPr txBox="1"/>
        </xdr:nvSpPr>
        <xdr:spPr>
          <a:xfrm>
            <a:off x="10404060" y="2265022"/>
            <a:ext cx="673651" cy="4991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2027:                       52,3%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C9BBFB4-B6B7-4E85-A7DF-3BB095A2DE7A}"/>
              </a:ext>
            </a:extLst>
          </xdr:cNvPr>
          <xdr:cNvSpPr txBox="1"/>
        </xdr:nvSpPr>
        <xdr:spPr>
          <a:xfrm>
            <a:off x="11865112" y="2273857"/>
            <a:ext cx="673651" cy="4991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2027:                       60,0%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2E649A6E-F6DA-4998-9F29-191225A59CD4}"/>
              </a:ext>
            </a:extLst>
          </xdr:cNvPr>
          <xdr:cNvSpPr txBox="1"/>
        </xdr:nvSpPr>
        <xdr:spPr>
          <a:xfrm>
            <a:off x="13204686" y="2282692"/>
            <a:ext cx="673651" cy="49916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ctr">
            <a:noAutofit/>
          </a:bodyPr>
          <a:lstStyle/>
          <a:p>
            <a:pPr algn="ctr"/>
            <a:r>
              <a:rPr lang="en-ID" sz="1000" b="0" i="0" u="none" strike="noStrike">
                <a:solidFill>
                  <a:schemeClr val="tx1"/>
                </a:solidFill>
                <a:effectLst>
                  <a:glow rad="139700">
                    <a:schemeClr val="bg1">
                      <a:alpha val="75000"/>
                    </a:schemeClr>
                  </a:glow>
                </a:effectLst>
                <a:latin typeface="Arial Black" panose="020B0A04020102020204" pitchFamily="34" charset="0"/>
                <a:ea typeface="+mn-ea"/>
                <a:cs typeface="+mn-cs"/>
              </a:rPr>
              <a:t>2027:                         4,42%</a:t>
            </a:r>
            <a:endParaRPr lang="en-ID" sz="1000" b="0">
              <a:effectLst>
                <a:glow rad="139700">
                  <a:schemeClr val="bg1">
                    <a:alpha val="75000"/>
                  </a:schemeClr>
                </a:glow>
              </a:effectLst>
              <a:latin typeface="Arial Black" panose="020B0A04020102020204" pitchFamily="34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UPOKSI%20PENATA%20LAYANAN%20OPERASIONAL\DB%20SEJAHTERA%20DARI%20DESA\DATA%20PDDK,KK,USIA%2010-18,USIA%200-17,AKTA%200-17,%20KIA%20baru%20(14Jan26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%20Desil%201-4%20Updat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mografi%20Balita%20202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Pembagian%20SDD%20(DIANA%2013%20APRI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C1" t="str">
            <v>NAMA DESA</v>
          </cell>
          <cell r="D1" t="str">
            <v>JUMLAH PENDUDUK</v>
          </cell>
        </row>
        <row r="2">
          <cell r="C2" t="str">
            <v>SEKOTONG TENGAH</v>
          </cell>
          <cell r="D2">
            <v>8741</v>
          </cell>
        </row>
        <row r="3">
          <cell r="C3" t="str">
            <v>SEKOTONG BARAT</v>
          </cell>
          <cell r="D3">
            <v>10749</v>
          </cell>
        </row>
        <row r="4">
          <cell r="C4" t="str">
            <v>PELANGAN</v>
          </cell>
          <cell r="D4">
            <v>9297</v>
          </cell>
        </row>
        <row r="5">
          <cell r="C5" t="str">
            <v>BUWUN MAS</v>
          </cell>
          <cell r="D5">
            <v>15814</v>
          </cell>
        </row>
        <row r="6">
          <cell r="C6" t="str">
            <v>KEDARO</v>
          </cell>
          <cell r="D6">
            <v>6613</v>
          </cell>
        </row>
        <row r="7">
          <cell r="C7" t="str">
            <v>BATU PUTIH</v>
          </cell>
          <cell r="D7">
            <v>8280</v>
          </cell>
        </row>
        <row r="8">
          <cell r="C8" t="str">
            <v>GILI GEDE INDAH</v>
          </cell>
          <cell r="D8">
            <v>1531</v>
          </cell>
        </row>
        <row r="9">
          <cell r="C9" t="str">
            <v>CENDI MANIK</v>
          </cell>
          <cell r="D9">
            <v>6520</v>
          </cell>
        </row>
        <row r="10">
          <cell r="C10" t="str">
            <v>TAMAN BARU</v>
          </cell>
          <cell r="D10">
            <v>4534</v>
          </cell>
        </row>
        <row r="11">
          <cell r="C11" t="str">
            <v>LEMBAR</v>
          </cell>
          <cell r="D11">
            <v>5858</v>
          </cell>
        </row>
        <row r="12">
          <cell r="C12" t="str">
            <v>JEMBATAN KEMBAR</v>
          </cell>
          <cell r="D12">
            <v>4624</v>
          </cell>
        </row>
        <row r="13">
          <cell r="C13" t="str">
            <v>MAREJE</v>
          </cell>
          <cell r="D13">
            <v>4965</v>
          </cell>
        </row>
        <row r="14">
          <cell r="C14" t="str">
            <v>SEKOTONG TIMUR</v>
          </cell>
          <cell r="D14">
            <v>4991</v>
          </cell>
        </row>
        <row r="15">
          <cell r="C15" t="str">
            <v>LABUAN TERENG</v>
          </cell>
          <cell r="D15">
            <v>7092</v>
          </cell>
        </row>
        <row r="16">
          <cell r="C16" t="str">
            <v>JEMBATAN GANTUNG</v>
          </cell>
          <cell r="D16">
            <v>7134</v>
          </cell>
        </row>
        <row r="17">
          <cell r="C17" t="str">
            <v>LEMBAR SELATAN</v>
          </cell>
          <cell r="D17">
            <v>12680</v>
          </cell>
        </row>
        <row r="18">
          <cell r="C18" t="str">
            <v>MAREJE TIMUR</v>
          </cell>
          <cell r="D18">
            <v>3812</v>
          </cell>
        </row>
        <row r="19">
          <cell r="C19" t="str">
            <v>JEMBATAN KEMBAR TIMUR</v>
          </cell>
          <cell r="D19">
            <v>5085</v>
          </cell>
        </row>
        <row r="20">
          <cell r="C20" t="str">
            <v>EYAT MAYANG</v>
          </cell>
          <cell r="D20">
            <v>3438</v>
          </cell>
        </row>
        <row r="21">
          <cell r="C21" t="str">
            <v>GERUNG UTARA</v>
          </cell>
          <cell r="D21">
            <v>7039</v>
          </cell>
        </row>
        <row r="22">
          <cell r="C22" t="str">
            <v>DASAN GERES</v>
          </cell>
          <cell r="D22">
            <v>8762</v>
          </cell>
        </row>
        <row r="23">
          <cell r="C23" t="str">
            <v>GERUNG SELATAN</v>
          </cell>
          <cell r="D23">
            <v>8911</v>
          </cell>
        </row>
        <row r="24">
          <cell r="C24" t="str">
            <v>KEBON AYU</v>
          </cell>
          <cell r="D24">
            <v>7271</v>
          </cell>
        </row>
        <row r="25">
          <cell r="C25" t="str">
            <v>GAPUK</v>
          </cell>
          <cell r="D25">
            <v>4404</v>
          </cell>
        </row>
        <row r="26">
          <cell r="C26" t="str">
            <v>SUKA MAKMUR</v>
          </cell>
          <cell r="D26">
            <v>5380</v>
          </cell>
        </row>
        <row r="27">
          <cell r="C27" t="str">
            <v>BANYU URIP</v>
          </cell>
          <cell r="D27">
            <v>8519</v>
          </cell>
        </row>
        <row r="28">
          <cell r="C28" t="str">
            <v>BABUSSALAM</v>
          </cell>
          <cell r="D28">
            <v>9709</v>
          </cell>
        </row>
        <row r="29">
          <cell r="C29" t="str">
            <v>DASAN TAPEN</v>
          </cell>
          <cell r="D29">
            <v>6498</v>
          </cell>
        </row>
        <row r="30">
          <cell r="C30" t="str">
            <v>BELEKE</v>
          </cell>
          <cell r="D30">
            <v>8249</v>
          </cell>
        </row>
        <row r="31">
          <cell r="C31" t="str">
            <v>TEMPOS</v>
          </cell>
          <cell r="D31">
            <v>5435</v>
          </cell>
        </row>
        <row r="32">
          <cell r="C32" t="str">
            <v>MESANGGOK</v>
          </cell>
          <cell r="D32">
            <v>4856</v>
          </cell>
        </row>
        <row r="33">
          <cell r="C33" t="str">
            <v>TAMAN AYU</v>
          </cell>
          <cell r="D33">
            <v>7368</v>
          </cell>
        </row>
        <row r="34">
          <cell r="C34" t="str">
            <v>GIRI TEMBESI</v>
          </cell>
          <cell r="D34">
            <v>3638</v>
          </cell>
        </row>
        <row r="35">
          <cell r="C35" t="str">
            <v>BENGKEL</v>
          </cell>
          <cell r="D35">
            <v>9579</v>
          </cell>
        </row>
        <row r="36">
          <cell r="C36" t="str">
            <v>MEREMBU</v>
          </cell>
          <cell r="D36">
            <v>7827</v>
          </cell>
        </row>
        <row r="37">
          <cell r="C37" t="str">
            <v>BAGIK POLAK</v>
          </cell>
          <cell r="D37">
            <v>5385</v>
          </cell>
        </row>
        <row r="38">
          <cell r="C38" t="str">
            <v>TELAGAWARU</v>
          </cell>
          <cell r="D38">
            <v>6848</v>
          </cell>
        </row>
        <row r="39">
          <cell r="C39" t="str">
            <v>PERAMPUAN</v>
          </cell>
          <cell r="D39">
            <v>7046</v>
          </cell>
        </row>
        <row r="40">
          <cell r="C40" t="str">
            <v>BAJUR</v>
          </cell>
          <cell r="D40">
            <v>10391</v>
          </cell>
        </row>
        <row r="41">
          <cell r="C41" t="str">
            <v>TERONG TAWAH</v>
          </cell>
          <cell r="D41">
            <v>9435</v>
          </cell>
        </row>
        <row r="42">
          <cell r="C42" t="str">
            <v>KURANJI</v>
          </cell>
          <cell r="D42">
            <v>2518</v>
          </cell>
        </row>
        <row r="43">
          <cell r="C43" t="str">
            <v>KARANG BONGKOT</v>
          </cell>
          <cell r="D43">
            <v>8874</v>
          </cell>
        </row>
        <row r="44">
          <cell r="C44" t="str">
            <v>LABUAPI</v>
          </cell>
          <cell r="D44">
            <v>4965</v>
          </cell>
        </row>
        <row r="45">
          <cell r="C45" t="str">
            <v>BAGIK POLAK BARAT</v>
          </cell>
          <cell r="D45">
            <v>5081</v>
          </cell>
        </row>
        <row r="46">
          <cell r="C46" t="str">
            <v>KURANJI DALANG</v>
          </cell>
          <cell r="D46">
            <v>3067</v>
          </cell>
        </row>
        <row r="47">
          <cell r="C47" t="str">
            <v>KEDIRI</v>
          </cell>
          <cell r="D47">
            <v>10575</v>
          </cell>
        </row>
        <row r="48">
          <cell r="C48" t="str">
            <v>MONTONG ARE</v>
          </cell>
          <cell r="D48">
            <v>6366</v>
          </cell>
        </row>
        <row r="49">
          <cell r="C49" t="str">
            <v>JAGARAGA INDAH</v>
          </cell>
          <cell r="D49">
            <v>6280</v>
          </cell>
        </row>
        <row r="50">
          <cell r="C50" t="str">
            <v>GELOGOR</v>
          </cell>
          <cell r="D50">
            <v>7937</v>
          </cell>
        </row>
        <row r="51">
          <cell r="C51" t="str">
            <v>RUMAK</v>
          </cell>
          <cell r="D51">
            <v>6160</v>
          </cell>
        </row>
        <row r="52">
          <cell r="C52" t="str">
            <v>BANYUMULEK</v>
          </cell>
          <cell r="D52">
            <v>9330</v>
          </cell>
        </row>
        <row r="53">
          <cell r="C53" t="str">
            <v>OMBE BARU</v>
          </cell>
          <cell r="D53">
            <v>5728</v>
          </cell>
        </row>
        <row r="54">
          <cell r="C54" t="str">
            <v>DASAN BARU</v>
          </cell>
          <cell r="D54">
            <v>4610</v>
          </cell>
        </row>
        <row r="55">
          <cell r="C55" t="str">
            <v>KEDIRI SELATAN</v>
          </cell>
          <cell r="D55">
            <v>7526</v>
          </cell>
        </row>
        <row r="56">
          <cell r="C56" t="str">
            <v>LELEDE</v>
          </cell>
          <cell r="D56">
            <v>4066</v>
          </cell>
        </row>
        <row r="57">
          <cell r="C57" t="str">
            <v>KURIPAN</v>
          </cell>
          <cell r="D57">
            <v>10451</v>
          </cell>
        </row>
        <row r="58">
          <cell r="C58" t="str">
            <v>JAGARAGA</v>
          </cell>
          <cell r="D58">
            <v>10620</v>
          </cell>
        </row>
        <row r="59">
          <cell r="C59" t="str">
            <v>KURIPAN UTARA</v>
          </cell>
          <cell r="D59">
            <v>10454</v>
          </cell>
        </row>
        <row r="60">
          <cell r="C60" t="str">
            <v>KURIPAN SELATAN</v>
          </cell>
          <cell r="D60">
            <v>5774</v>
          </cell>
        </row>
        <row r="61">
          <cell r="C61" t="str">
            <v>KURIPAN TIMUR</v>
          </cell>
          <cell r="D61">
            <v>3455</v>
          </cell>
        </row>
        <row r="62">
          <cell r="C62" t="str">
            <v>GIRI SASAK</v>
          </cell>
          <cell r="D62">
            <v>4702</v>
          </cell>
        </row>
        <row r="63">
          <cell r="C63" t="str">
            <v>LEMBUAK</v>
          </cell>
          <cell r="D63">
            <v>5780</v>
          </cell>
        </row>
        <row r="64">
          <cell r="C64" t="str">
            <v>NYURLEMBANG</v>
          </cell>
          <cell r="D64">
            <v>3854</v>
          </cell>
        </row>
        <row r="65">
          <cell r="C65" t="str">
            <v>PERESAK</v>
          </cell>
          <cell r="D65">
            <v>7796</v>
          </cell>
        </row>
        <row r="66">
          <cell r="C66" t="str">
            <v>KERU</v>
          </cell>
          <cell r="D66">
            <v>6114</v>
          </cell>
        </row>
        <row r="67">
          <cell r="C67" t="str">
            <v>BATU KUTA</v>
          </cell>
          <cell r="D67">
            <v>3822</v>
          </cell>
        </row>
        <row r="68">
          <cell r="C68" t="str">
            <v>TANAK BEAK</v>
          </cell>
          <cell r="D68">
            <v>5968</v>
          </cell>
        </row>
        <row r="69">
          <cell r="C69" t="str">
            <v>SEDAU</v>
          </cell>
          <cell r="D69">
            <v>5535</v>
          </cell>
        </row>
        <row r="70">
          <cell r="C70" t="str">
            <v>SURANADI</v>
          </cell>
          <cell r="D70">
            <v>7151</v>
          </cell>
        </row>
        <row r="71">
          <cell r="C71" t="str">
            <v>SELAT</v>
          </cell>
          <cell r="D71">
            <v>7065</v>
          </cell>
        </row>
        <row r="72">
          <cell r="C72" t="str">
            <v>LEBAH SEMPAGE</v>
          </cell>
          <cell r="D72">
            <v>5167</v>
          </cell>
        </row>
        <row r="73">
          <cell r="C73" t="str">
            <v>SESAOT</v>
          </cell>
          <cell r="D73">
            <v>6543</v>
          </cell>
        </row>
        <row r="74">
          <cell r="C74" t="str">
            <v>DASAN TERENG</v>
          </cell>
          <cell r="D74">
            <v>5142</v>
          </cell>
        </row>
        <row r="75">
          <cell r="C75" t="str">
            <v>BADRAIN</v>
          </cell>
          <cell r="D75">
            <v>4859</v>
          </cell>
        </row>
        <row r="76">
          <cell r="C76" t="str">
            <v>SEMBUNG</v>
          </cell>
          <cell r="D76">
            <v>4365</v>
          </cell>
        </row>
        <row r="77">
          <cell r="C77" t="str">
            <v>KRAMA JAYA</v>
          </cell>
          <cell r="D77">
            <v>5344</v>
          </cell>
        </row>
        <row r="78">
          <cell r="C78" t="str">
            <v>GERIMAX INDAH</v>
          </cell>
          <cell r="D78">
            <v>5100</v>
          </cell>
        </row>
        <row r="79">
          <cell r="C79" t="str">
            <v>PAKUAN</v>
          </cell>
          <cell r="D79">
            <v>3393</v>
          </cell>
        </row>
        <row r="80">
          <cell r="C80" t="str">
            <v>GOLONG</v>
          </cell>
          <cell r="D80">
            <v>7017</v>
          </cell>
        </row>
        <row r="81">
          <cell r="C81" t="str">
            <v>MEKARSARI</v>
          </cell>
          <cell r="D81">
            <v>2305</v>
          </cell>
        </row>
        <row r="82">
          <cell r="C82" t="str">
            <v>BUWUN SEJATI</v>
          </cell>
          <cell r="D82">
            <v>4805</v>
          </cell>
        </row>
        <row r="83">
          <cell r="C83" t="str">
            <v>NARMADA</v>
          </cell>
          <cell r="D83">
            <v>4663</v>
          </cell>
        </row>
        <row r="84">
          <cell r="C84" t="str">
            <v>LINGSAR</v>
          </cell>
          <cell r="D84">
            <v>5274</v>
          </cell>
        </row>
        <row r="85">
          <cell r="C85" t="str">
            <v>BATU KUMBUNG</v>
          </cell>
          <cell r="D85">
            <v>8237</v>
          </cell>
        </row>
        <row r="86">
          <cell r="C86" t="str">
            <v>SIGERONGAN</v>
          </cell>
          <cell r="D86">
            <v>6640</v>
          </cell>
        </row>
        <row r="87">
          <cell r="C87" t="str">
            <v>DUMAN</v>
          </cell>
          <cell r="D87">
            <v>5302</v>
          </cell>
        </row>
        <row r="88">
          <cell r="C88" t="str">
            <v>KARANG BAYAN</v>
          </cell>
          <cell r="D88">
            <v>6004</v>
          </cell>
        </row>
        <row r="89">
          <cell r="C89" t="str">
            <v>LANGKO</v>
          </cell>
          <cell r="D89">
            <v>7737</v>
          </cell>
        </row>
        <row r="90">
          <cell r="C90" t="str">
            <v>DASAN GERIA</v>
          </cell>
          <cell r="D90">
            <v>6099</v>
          </cell>
        </row>
        <row r="91">
          <cell r="C91" t="str">
            <v>PETELUAN INDAH</v>
          </cell>
          <cell r="D91">
            <v>4149</v>
          </cell>
        </row>
        <row r="92">
          <cell r="C92" t="str">
            <v>GEGERUNG</v>
          </cell>
          <cell r="D92">
            <v>5240</v>
          </cell>
        </row>
        <row r="93">
          <cell r="C93" t="str">
            <v>BATU MEKAR</v>
          </cell>
          <cell r="D93">
            <v>10990</v>
          </cell>
        </row>
        <row r="94">
          <cell r="C94" t="str">
            <v>GIRI MADIA</v>
          </cell>
          <cell r="D94">
            <v>3045</v>
          </cell>
        </row>
        <row r="95">
          <cell r="C95" t="str">
            <v>BUG-BUG</v>
          </cell>
          <cell r="D95">
            <v>4048</v>
          </cell>
        </row>
        <row r="96">
          <cell r="C96" t="str">
            <v>GEGELANG</v>
          </cell>
          <cell r="D96">
            <v>3981</v>
          </cell>
        </row>
        <row r="97">
          <cell r="C97" t="str">
            <v>SARIBAYA</v>
          </cell>
          <cell r="D97">
            <v>2402</v>
          </cell>
        </row>
        <row r="98">
          <cell r="C98" t="str">
            <v>GONTORAN</v>
          </cell>
          <cell r="D98">
            <v>1920</v>
          </cell>
        </row>
        <row r="99">
          <cell r="C99" t="str">
            <v>GUNUNGSARI</v>
          </cell>
          <cell r="D99">
            <v>10258</v>
          </cell>
        </row>
        <row r="100">
          <cell r="C100" t="str">
            <v>MIDANG</v>
          </cell>
          <cell r="D100">
            <v>9026</v>
          </cell>
        </row>
        <row r="101">
          <cell r="C101" t="str">
            <v>SESELA</v>
          </cell>
          <cell r="D101">
            <v>14604</v>
          </cell>
        </row>
        <row r="102">
          <cell r="C102" t="str">
            <v>KEKAIT</v>
          </cell>
          <cell r="D102">
            <v>8726</v>
          </cell>
        </row>
        <row r="103">
          <cell r="C103" t="str">
            <v>KEKERI</v>
          </cell>
          <cell r="D103">
            <v>6458</v>
          </cell>
        </row>
        <row r="104">
          <cell r="C104" t="str">
            <v>MAMBALAN</v>
          </cell>
          <cell r="D104">
            <v>3696</v>
          </cell>
        </row>
        <row r="105">
          <cell r="C105" t="str">
            <v>DOPANG</v>
          </cell>
          <cell r="D105">
            <v>3394</v>
          </cell>
        </row>
        <row r="106">
          <cell r="C106" t="str">
            <v>PENIMBUNG</v>
          </cell>
          <cell r="D106">
            <v>4382</v>
          </cell>
        </row>
        <row r="107">
          <cell r="C107" t="str">
            <v>TAMANSARI</v>
          </cell>
          <cell r="D107">
            <v>12083</v>
          </cell>
        </row>
        <row r="108">
          <cell r="C108" t="str">
            <v>JATISELA</v>
          </cell>
          <cell r="D108">
            <v>8401</v>
          </cell>
        </row>
        <row r="109">
          <cell r="C109" t="str">
            <v>GUNTUR MACAN</v>
          </cell>
          <cell r="D109">
            <v>2989</v>
          </cell>
        </row>
        <row r="110">
          <cell r="C110" t="str">
            <v>MEKAR SARI</v>
          </cell>
          <cell r="D110">
            <v>4907</v>
          </cell>
        </row>
        <row r="111">
          <cell r="C111" t="str">
            <v>RANJOK</v>
          </cell>
          <cell r="D111">
            <v>2077</v>
          </cell>
        </row>
        <row r="112">
          <cell r="C112" t="str">
            <v>GELANGSAR</v>
          </cell>
          <cell r="D112">
            <v>2902</v>
          </cell>
        </row>
        <row r="113">
          <cell r="C113" t="str">
            <v>JERINGO</v>
          </cell>
          <cell r="D113">
            <v>2957</v>
          </cell>
        </row>
        <row r="114">
          <cell r="C114" t="str">
            <v>BUKIT TINGGI</v>
          </cell>
          <cell r="D114">
            <v>2741</v>
          </cell>
        </row>
        <row r="115">
          <cell r="C115" t="str">
            <v>BATULAYAR</v>
          </cell>
          <cell r="D115">
            <v>7573</v>
          </cell>
        </row>
        <row r="116">
          <cell r="C116" t="str">
            <v>MENINTING</v>
          </cell>
          <cell r="D116">
            <v>7302</v>
          </cell>
        </row>
        <row r="117">
          <cell r="C117" t="str">
            <v>SANDIK</v>
          </cell>
          <cell r="D117">
            <v>15681</v>
          </cell>
        </row>
        <row r="118">
          <cell r="C118" t="str">
            <v>LEMBAH SARI</v>
          </cell>
          <cell r="D118">
            <v>3505</v>
          </cell>
        </row>
        <row r="119">
          <cell r="C119" t="str">
            <v>SENTELUK</v>
          </cell>
          <cell r="D119">
            <v>5436</v>
          </cell>
        </row>
        <row r="120">
          <cell r="C120" t="str">
            <v>SENGGIGI</v>
          </cell>
          <cell r="D120">
            <v>5080</v>
          </cell>
        </row>
        <row r="121">
          <cell r="C121" t="str">
            <v>BENGKAUNG</v>
          </cell>
          <cell r="D121">
            <v>4448</v>
          </cell>
        </row>
        <row r="122">
          <cell r="C122" t="str">
            <v>PUSUK LESTARI</v>
          </cell>
          <cell r="D122">
            <v>1538</v>
          </cell>
        </row>
        <row r="123">
          <cell r="C123" t="str">
            <v>BATULAYAR BARAT</v>
          </cell>
          <cell r="D123">
            <v>5991</v>
          </cell>
        </row>
        <row r="124">
          <cell r="D124">
            <v>771858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Tabel"/>
      <sheetName val="Kecamatan"/>
      <sheetName val="Desa"/>
      <sheetName val="Grafik Data Per Kecamatan"/>
    </sheetNames>
    <sheetDataSet>
      <sheetData sheetId="0" refreshError="1"/>
      <sheetData sheetId="1" refreshError="1"/>
      <sheetData sheetId="2" refreshError="1">
        <row r="1">
          <cell r="A1" t="str">
            <v>DESA</v>
          </cell>
          <cell r="B1" t="str">
            <v>KELUARGA</v>
          </cell>
          <cell r="C1" t="str">
            <v>ANGGOTA KELUARGA</v>
          </cell>
          <cell r="D1" t="str">
            <v>Desil 1 Keluarga</v>
          </cell>
        </row>
        <row r="2">
          <cell r="A2" t="str">
            <v>Babussalam</v>
          </cell>
          <cell r="B2">
            <v>3.113</v>
          </cell>
          <cell r="C2">
            <v>9.6240000000000006</v>
          </cell>
          <cell r="D2">
            <v>464</v>
          </cell>
        </row>
        <row r="3">
          <cell r="A3" t="str">
            <v>Badrain</v>
          </cell>
          <cell r="B3">
            <v>1.5629999999999999</v>
          </cell>
          <cell r="C3">
            <v>4.8120000000000003</v>
          </cell>
          <cell r="D3">
            <v>185</v>
          </cell>
        </row>
        <row r="4">
          <cell r="A4" t="str">
            <v>Bagik Polak</v>
          </cell>
          <cell r="B4">
            <v>1.7490000000000001</v>
          </cell>
          <cell r="C4">
            <v>5.306</v>
          </cell>
          <cell r="D4">
            <v>110</v>
          </cell>
        </row>
        <row r="5">
          <cell r="A5" t="str">
            <v>Bagik Polak Barat</v>
          </cell>
          <cell r="B5">
            <v>1.6839999999999999</v>
          </cell>
          <cell r="C5">
            <v>5.1689999999999996</v>
          </cell>
          <cell r="D5">
            <v>78</v>
          </cell>
        </row>
        <row r="6">
          <cell r="A6" t="str">
            <v>Bajur</v>
          </cell>
          <cell r="B6">
            <v>3.9009999999999998</v>
          </cell>
          <cell r="C6">
            <v>12.79</v>
          </cell>
          <cell r="D6">
            <v>280</v>
          </cell>
        </row>
        <row r="7">
          <cell r="A7" t="str">
            <v>Banyu Urip</v>
          </cell>
          <cell r="B7">
            <v>2.847</v>
          </cell>
          <cell r="C7">
            <v>8.3650000000000002</v>
          </cell>
          <cell r="D7">
            <v>291</v>
          </cell>
        </row>
        <row r="8">
          <cell r="A8" t="str">
            <v>Banyumulek</v>
          </cell>
          <cell r="B8">
            <v>3.1459999999999999</v>
          </cell>
          <cell r="C8">
            <v>9.4629999999999992</v>
          </cell>
          <cell r="D8">
            <v>178</v>
          </cell>
        </row>
        <row r="9">
          <cell r="A9" t="str">
            <v>Batu Kumbung</v>
          </cell>
          <cell r="B9">
            <v>2.7879999999999998</v>
          </cell>
          <cell r="C9">
            <v>8.1590000000000007</v>
          </cell>
          <cell r="D9">
            <v>214</v>
          </cell>
        </row>
        <row r="10">
          <cell r="A10" t="str">
            <v>Batu Kuta</v>
          </cell>
          <cell r="B10">
            <v>1.3149999999999999</v>
          </cell>
          <cell r="C10">
            <v>3.93</v>
          </cell>
          <cell r="D10">
            <v>106</v>
          </cell>
        </row>
        <row r="11">
          <cell r="A11" t="str">
            <v>Batu Mekar</v>
          </cell>
          <cell r="B11">
            <v>3.726</v>
          </cell>
          <cell r="C11">
            <v>10.877000000000001</v>
          </cell>
          <cell r="D11">
            <v>383</v>
          </cell>
        </row>
        <row r="12">
          <cell r="A12" t="str">
            <v>Batu Putih</v>
          </cell>
          <cell r="B12">
            <v>2.6429999999999998</v>
          </cell>
          <cell r="C12">
            <v>8.2829999999999995</v>
          </cell>
          <cell r="D12">
            <v>756</v>
          </cell>
        </row>
        <row r="13">
          <cell r="A13" t="str">
            <v>Batulayar</v>
          </cell>
          <cell r="B13">
            <v>2.653</v>
          </cell>
          <cell r="C13">
            <v>7.7249999999999996</v>
          </cell>
          <cell r="D13">
            <v>246</v>
          </cell>
        </row>
        <row r="14">
          <cell r="A14" t="str">
            <v>Batulayar Barat</v>
          </cell>
          <cell r="B14">
            <v>1.956</v>
          </cell>
          <cell r="C14">
            <v>5.9489999999999998</v>
          </cell>
          <cell r="D14">
            <v>170</v>
          </cell>
        </row>
        <row r="15">
          <cell r="A15" t="str">
            <v>Beleke</v>
          </cell>
          <cell r="B15">
            <v>2.5019999999999998</v>
          </cell>
          <cell r="C15">
            <v>8.2889999999999997</v>
          </cell>
          <cell r="D15">
            <v>243</v>
          </cell>
        </row>
        <row r="16">
          <cell r="A16" t="str">
            <v>Bengkaung</v>
          </cell>
          <cell r="B16">
            <v>1.4770000000000001</v>
          </cell>
          <cell r="C16">
            <v>4.367</v>
          </cell>
          <cell r="D16">
            <v>176</v>
          </cell>
        </row>
        <row r="17">
          <cell r="A17" t="str">
            <v>Bengkel</v>
          </cell>
          <cell r="B17">
            <v>3.07</v>
          </cell>
          <cell r="C17">
            <v>9.5510000000000002</v>
          </cell>
          <cell r="D17">
            <v>203</v>
          </cell>
        </row>
        <row r="18">
          <cell r="A18" t="str">
            <v>Bug-Bug</v>
          </cell>
          <cell r="B18">
            <v>1.431</v>
          </cell>
          <cell r="C18">
            <v>4.3620000000000001</v>
          </cell>
          <cell r="D18">
            <v>148</v>
          </cell>
        </row>
        <row r="19">
          <cell r="A19" t="str">
            <v>Bukit tinggi</v>
          </cell>
          <cell r="B19">
            <v>948</v>
          </cell>
          <cell r="C19">
            <v>2.67</v>
          </cell>
          <cell r="D19">
            <v>134</v>
          </cell>
        </row>
        <row r="20">
          <cell r="A20" t="str">
            <v>Buwun Mas</v>
          </cell>
          <cell r="B20">
            <v>4.8929999999999998</v>
          </cell>
          <cell r="C20">
            <v>14.843999999999999</v>
          </cell>
          <cell r="D20">
            <v>1250</v>
          </cell>
        </row>
        <row r="21">
          <cell r="A21" t="str">
            <v>Buwun Sejati</v>
          </cell>
          <cell r="B21">
            <v>1.542</v>
          </cell>
          <cell r="C21">
            <v>4.6760000000000002</v>
          </cell>
          <cell r="D21">
            <v>260</v>
          </cell>
        </row>
        <row r="22">
          <cell r="A22" t="str">
            <v>Cendi Manik</v>
          </cell>
          <cell r="B22">
            <v>2.0779999999999998</v>
          </cell>
          <cell r="C22">
            <v>6.3630000000000004</v>
          </cell>
          <cell r="D22">
            <v>402</v>
          </cell>
        </row>
        <row r="23">
          <cell r="A23" t="str">
            <v>Dasan Baru</v>
          </cell>
          <cell r="B23">
            <v>1.4810000000000001</v>
          </cell>
          <cell r="C23">
            <v>4.6269999999999998</v>
          </cell>
          <cell r="D23">
            <v>157</v>
          </cell>
        </row>
        <row r="24">
          <cell r="A24" t="str">
            <v>Dasan Geres</v>
          </cell>
          <cell r="B24">
            <v>2.919</v>
          </cell>
          <cell r="C24">
            <v>8.8390000000000004</v>
          </cell>
          <cell r="D24">
            <v>188</v>
          </cell>
        </row>
        <row r="25">
          <cell r="A25" t="str">
            <v>Dasan Geria</v>
          </cell>
          <cell r="B25">
            <v>2.153</v>
          </cell>
          <cell r="C25">
            <v>6.5780000000000003</v>
          </cell>
          <cell r="D25">
            <v>205</v>
          </cell>
        </row>
        <row r="26">
          <cell r="A26" t="str">
            <v>Dasan Tapen</v>
          </cell>
          <cell r="B26">
            <v>2.069</v>
          </cell>
          <cell r="C26">
            <v>6.6849999999999996</v>
          </cell>
          <cell r="D26">
            <v>209</v>
          </cell>
        </row>
        <row r="27">
          <cell r="A27" t="str">
            <v>Dasan Tereng</v>
          </cell>
          <cell r="B27">
            <v>1.726</v>
          </cell>
          <cell r="C27">
            <v>5.1980000000000004</v>
          </cell>
          <cell r="D27">
            <v>181</v>
          </cell>
        </row>
        <row r="28">
          <cell r="A28" t="str">
            <v>Dopang</v>
          </cell>
          <cell r="B28">
            <v>1.157</v>
          </cell>
          <cell r="C28">
            <v>3.3690000000000002</v>
          </cell>
          <cell r="D28">
            <v>165</v>
          </cell>
        </row>
        <row r="29">
          <cell r="A29" t="str">
            <v>Duman</v>
          </cell>
          <cell r="B29">
            <v>1.879</v>
          </cell>
          <cell r="C29">
            <v>5.4089999999999998</v>
          </cell>
          <cell r="D29">
            <v>86</v>
          </cell>
        </row>
        <row r="30">
          <cell r="A30" t="str">
            <v>Eyat Mayang</v>
          </cell>
          <cell r="B30">
            <v>1.1279999999999999</v>
          </cell>
          <cell r="C30">
            <v>3.3759999999999999</v>
          </cell>
          <cell r="D30">
            <v>249</v>
          </cell>
        </row>
        <row r="31">
          <cell r="A31" t="str">
            <v>Gapuk</v>
          </cell>
          <cell r="B31">
            <v>1.5489999999999999</v>
          </cell>
          <cell r="C31">
            <v>4.4370000000000003</v>
          </cell>
          <cell r="D31">
            <v>140</v>
          </cell>
        </row>
        <row r="32">
          <cell r="A32" t="str">
            <v>Gegelang</v>
          </cell>
          <cell r="B32">
            <v>1.42</v>
          </cell>
          <cell r="C32">
            <v>4.1210000000000004</v>
          </cell>
          <cell r="D32">
            <v>135</v>
          </cell>
        </row>
        <row r="33">
          <cell r="A33" t="str">
            <v>Gegerung</v>
          </cell>
          <cell r="B33">
            <v>1.6879999999999999</v>
          </cell>
          <cell r="C33">
            <v>5.1390000000000002</v>
          </cell>
          <cell r="D33">
            <v>183</v>
          </cell>
        </row>
        <row r="34">
          <cell r="A34" t="str">
            <v>Gelangsar</v>
          </cell>
          <cell r="B34">
            <v>989</v>
          </cell>
          <cell r="C34">
            <v>2.85</v>
          </cell>
          <cell r="D34">
            <v>253</v>
          </cell>
        </row>
        <row r="35">
          <cell r="A35" t="str">
            <v>Gelogor</v>
          </cell>
          <cell r="B35">
            <v>2.5870000000000002</v>
          </cell>
          <cell r="C35">
            <v>8.0129999999999999</v>
          </cell>
          <cell r="D35">
            <v>253</v>
          </cell>
        </row>
        <row r="36">
          <cell r="A36" t="str">
            <v>Gerimax Indah</v>
          </cell>
          <cell r="B36">
            <v>1.6619999999999999</v>
          </cell>
          <cell r="C36">
            <v>5.1360000000000001</v>
          </cell>
          <cell r="D36">
            <v>199</v>
          </cell>
        </row>
        <row r="37">
          <cell r="A37" t="str">
            <v>Gerung Selatan</v>
          </cell>
          <cell r="B37">
            <v>2.9950000000000001</v>
          </cell>
          <cell r="C37">
            <v>9.2780000000000005</v>
          </cell>
          <cell r="D37">
            <v>177</v>
          </cell>
        </row>
        <row r="38">
          <cell r="A38" t="str">
            <v>Gerung Utara</v>
          </cell>
          <cell r="B38">
            <v>2.2160000000000002</v>
          </cell>
          <cell r="C38">
            <v>6.8040000000000003</v>
          </cell>
          <cell r="D38">
            <v>87</v>
          </cell>
        </row>
        <row r="39">
          <cell r="A39" t="str">
            <v>Gili Gede Indah</v>
          </cell>
          <cell r="B39">
            <v>487</v>
          </cell>
          <cell r="C39">
            <v>1.496</v>
          </cell>
          <cell r="D39">
            <v>53</v>
          </cell>
        </row>
        <row r="40">
          <cell r="A40" t="str">
            <v>Giri Madia</v>
          </cell>
          <cell r="B40">
            <v>1.0269999999999999</v>
          </cell>
          <cell r="C40">
            <v>2.9780000000000002</v>
          </cell>
          <cell r="D40">
            <v>112</v>
          </cell>
        </row>
        <row r="41">
          <cell r="A41" t="str">
            <v>Giri Sasak</v>
          </cell>
          <cell r="B41">
            <v>1.546</v>
          </cell>
          <cell r="C41">
            <v>4.569</v>
          </cell>
          <cell r="D41">
            <v>251</v>
          </cell>
        </row>
        <row r="42">
          <cell r="A42" t="str">
            <v>Giri Tembesi</v>
          </cell>
          <cell r="B42">
            <v>1.218</v>
          </cell>
          <cell r="C42">
            <v>3.5670000000000002</v>
          </cell>
          <cell r="D42">
            <v>138</v>
          </cell>
        </row>
        <row r="43">
          <cell r="A43" t="str">
            <v>Golong</v>
          </cell>
          <cell r="B43">
            <v>2.2200000000000002</v>
          </cell>
          <cell r="C43">
            <v>6.7160000000000002</v>
          </cell>
          <cell r="D43">
            <v>129</v>
          </cell>
        </row>
        <row r="44">
          <cell r="A44" t="str">
            <v>Gontoran</v>
          </cell>
          <cell r="B44">
            <v>671</v>
          </cell>
          <cell r="C44">
            <v>1.9279999999999999</v>
          </cell>
          <cell r="D44">
            <v>94</v>
          </cell>
        </row>
        <row r="45">
          <cell r="A45" t="str">
            <v>Guntur Macan</v>
          </cell>
          <cell r="B45">
            <v>1.0469999999999999</v>
          </cell>
          <cell r="C45">
            <v>2.9740000000000002</v>
          </cell>
          <cell r="D45">
            <v>141</v>
          </cell>
        </row>
        <row r="46">
          <cell r="A46" t="str">
            <v>Gunungsari</v>
          </cell>
          <cell r="B46">
            <v>3.2970000000000002</v>
          </cell>
          <cell r="C46">
            <v>10.231</v>
          </cell>
          <cell r="D46">
            <v>216</v>
          </cell>
        </row>
        <row r="47">
          <cell r="A47" t="str">
            <v>Jagaraga</v>
          </cell>
          <cell r="B47">
            <v>3.3980000000000001</v>
          </cell>
          <cell r="C47">
            <v>10.507999999999999</v>
          </cell>
          <cell r="D47">
            <v>456</v>
          </cell>
        </row>
        <row r="48">
          <cell r="A48" t="str">
            <v>Jagaraga Indah</v>
          </cell>
          <cell r="B48">
            <v>1.9610000000000001</v>
          </cell>
          <cell r="C48">
            <v>6.26</v>
          </cell>
          <cell r="D48">
            <v>217</v>
          </cell>
        </row>
        <row r="49">
          <cell r="A49" t="str">
            <v>Jatisela</v>
          </cell>
          <cell r="B49">
            <v>2.8050000000000002</v>
          </cell>
          <cell r="C49">
            <v>9.0579999999999998</v>
          </cell>
          <cell r="D49">
            <v>145</v>
          </cell>
        </row>
        <row r="50">
          <cell r="A50" t="str">
            <v>Jembatan Gantung</v>
          </cell>
          <cell r="B50">
            <v>2.3410000000000002</v>
          </cell>
          <cell r="C50">
            <v>7.0439999999999996</v>
          </cell>
          <cell r="D50">
            <v>283</v>
          </cell>
        </row>
        <row r="51">
          <cell r="A51" t="str">
            <v>Jembatan Kembar</v>
          </cell>
          <cell r="B51">
            <v>1.653</v>
          </cell>
          <cell r="C51">
            <v>4.7359999999999998</v>
          </cell>
          <cell r="D51">
            <v>271</v>
          </cell>
        </row>
        <row r="52">
          <cell r="A52" t="str">
            <v>Jembatan Kembar Timur</v>
          </cell>
          <cell r="B52">
            <v>1.6779999999999999</v>
          </cell>
          <cell r="C52">
            <v>5.0110000000000001</v>
          </cell>
          <cell r="D52">
            <v>162</v>
          </cell>
        </row>
        <row r="53">
          <cell r="A53" t="str">
            <v>Jeringo</v>
          </cell>
          <cell r="B53">
            <v>1.038</v>
          </cell>
          <cell r="C53">
            <v>2.9119999999999999</v>
          </cell>
          <cell r="D53">
            <v>221</v>
          </cell>
        </row>
        <row r="54">
          <cell r="A54" t="str">
            <v>Karang Bayan</v>
          </cell>
          <cell r="B54">
            <v>2.0830000000000002</v>
          </cell>
          <cell r="C54">
            <v>5.9240000000000004</v>
          </cell>
          <cell r="D54">
            <v>222</v>
          </cell>
        </row>
        <row r="55">
          <cell r="A55" t="str">
            <v>Karang Bongkot</v>
          </cell>
          <cell r="B55">
            <v>3.1619999999999999</v>
          </cell>
          <cell r="C55">
            <v>10.266999999999999</v>
          </cell>
          <cell r="D55">
            <v>113</v>
          </cell>
        </row>
        <row r="56">
          <cell r="A56" t="str">
            <v>Kebon Ayu</v>
          </cell>
          <cell r="B56">
            <v>2.7759999999999998</v>
          </cell>
          <cell r="C56">
            <v>7.2590000000000003</v>
          </cell>
          <cell r="D56">
            <v>305</v>
          </cell>
        </row>
        <row r="57">
          <cell r="A57" t="str">
            <v>Kedaro</v>
          </cell>
          <cell r="B57">
            <v>2.1019999999999999</v>
          </cell>
          <cell r="C57">
            <v>6.476</v>
          </cell>
          <cell r="D57">
            <v>428</v>
          </cell>
        </row>
        <row r="58">
          <cell r="A58" t="str">
            <v>Kediri</v>
          </cell>
          <cell r="B58">
            <v>3.1419999999999999</v>
          </cell>
          <cell r="C58">
            <v>10.365</v>
          </cell>
          <cell r="D58">
            <v>209</v>
          </cell>
        </row>
        <row r="59">
          <cell r="A59" t="str">
            <v>Kediri Selatan</v>
          </cell>
          <cell r="B59">
            <v>2.2789999999999999</v>
          </cell>
          <cell r="C59">
            <v>7.3860000000000001</v>
          </cell>
          <cell r="D59">
            <v>156</v>
          </cell>
        </row>
        <row r="60">
          <cell r="A60" t="str">
            <v>Kekait</v>
          </cell>
          <cell r="B60">
            <v>2.9420000000000002</v>
          </cell>
          <cell r="C60">
            <v>8.6270000000000007</v>
          </cell>
          <cell r="D60">
            <v>208</v>
          </cell>
        </row>
        <row r="61">
          <cell r="A61" t="str">
            <v>Kekeri</v>
          </cell>
          <cell r="B61">
            <v>2.2410000000000001</v>
          </cell>
          <cell r="C61">
            <v>7.0990000000000002</v>
          </cell>
          <cell r="D61">
            <v>191</v>
          </cell>
        </row>
        <row r="62">
          <cell r="A62" t="str">
            <v>Keru</v>
          </cell>
          <cell r="B62">
            <v>2.0470000000000002</v>
          </cell>
          <cell r="C62">
            <v>6.1070000000000002</v>
          </cell>
          <cell r="D62">
            <v>268</v>
          </cell>
        </row>
        <row r="63">
          <cell r="A63" t="str">
            <v>Krama Jaya</v>
          </cell>
          <cell r="B63">
            <v>1.77</v>
          </cell>
          <cell r="C63">
            <v>5.3639999999999999</v>
          </cell>
          <cell r="D63">
            <v>225</v>
          </cell>
        </row>
        <row r="64">
          <cell r="A64" t="str">
            <v>Kuranji</v>
          </cell>
          <cell r="B64">
            <v>873</v>
          </cell>
          <cell r="C64">
            <v>2.5129999999999999</v>
          </cell>
          <cell r="D64">
            <v>209</v>
          </cell>
        </row>
        <row r="65">
          <cell r="A65" t="str">
            <v>Kuranji Dalang</v>
          </cell>
          <cell r="B65">
            <v>1.091</v>
          </cell>
          <cell r="C65">
            <v>3.121</v>
          </cell>
          <cell r="D65">
            <v>123</v>
          </cell>
        </row>
        <row r="66">
          <cell r="A66" t="str">
            <v>Kuripan</v>
          </cell>
          <cell r="B66">
            <v>3.452</v>
          </cell>
          <cell r="C66">
            <v>10.521000000000001</v>
          </cell>
          <cell r="D66">
            <v>376</v>
          </cell>
        </row>
        <row r="67">
          <cell r="A67" t="str">
            <v>Kuripan Selatan</v>
          </cell>
          <cell r="B67">
            <v>1.9039999999999999</v>
          </cell>
          <cell r="C67">
            <v>5.6210000000000004</v>
          </cell>
          <cell r="D67">
            <v>215</v>
          </cell>
        </row>
        <row r="68">
          <cell r="A68" t="str">
            <v>Kuripan Timur</v>
          </cell>
          <cell r="B68">
            <v>1.0760000000000001</v>
          </cell>
          <cell r="C68">
            <v>3.3319999999999999</v>
          </cell>
          <cell r="D68">
            <v>142</v>
          </cell>
        </row>
        <row r="69">
          <cell r="A69" t="str">
            <v>Kuripan Utara</v>
          </cell>
          <cell r="B69">
            <v>3.36</v>
          </cell>
          <cell r="C69">
            <v>10.209</v>
          </cell>
          <cell r="D69">
            <v>495</v>
          </cell>
        </row>
        <row r="70">
          <cell r="A70" t="str">
            <v>Labuan Tereng</v>
          </cell>
          <cell r="B70">
            <v>2.3460000000000001</v>
          </cell>
          <cell r="C70">
            <v>7.0519999999999996</v>
          </cell>
          <cell r="D70">
            <v>378</v>
          </cell>
        </row>
        <row r="71">
          <cell r="A71" t="str">
            <v>Labuapi</v>
          </cell>
          <cell r="B71">
            <v>2.02</v>
          </cell>
          <cell r="C71">
            <v>6.52</v>
          </cell>
          <cell r="D71">
            <v>105</v>
          </cell>
        </row>
        <row r="72">
          <cell r="A72" t="str">
            <v>Langko</v>
          </cell>
          <cell r="B72">
            <v>2.633</v>
          </cell>
          <cell r="C72">
            <v>7.7489999999999997</v>
          </cell>
          <cell r="D72">
            <v>253</v>
          </cell>
        </row>
        <row r="73">
          <cell r="A73" t="str">
            <v>Lebah Sempage</v>
          </cell>
          <cell r="B73">
            <v>1.736</v>
          </cell>
          <cell r="C73">
            <v>5.0880000000000001</v>
          </cell>
          <cell r="D73">
            <v>250</v>
          </cell>
        </row>
        <row r="74">
          <cell r="A74" t="str">
            <v>Lelede</v>
          </cell>
          <cell r="B74">
            <v>1.3240000000000001</v>
          </cell>
          <cell r="C74">
            <v>4.0339999999999998</v>
          </cell>
          <cell r="D74">
            <v>117</v>
          </cell>
        </row>
        <row r="75">
          <cell r="A75" t="str">
            <v>Lembah Sari</v>
          </cell>
          <cell r="B75">
            <v>1.294</v>
          </cell>
          <cell r="C75">
            <v>3.54</v>
          </cell>
          <cell r="D75">
            <v>110</v>
          </cell>
        </row>
        <row r="76">
          <cell r="A76" t="str">
            <v>Lembar</v>
          </cell>
          <cell r="B76">
            <v>2.2170000000000001</v>
          </cell>
          <cell r="C76">
            <v>5.891</v>
          </cell>
          <cell r="D76">
            <v>304</v>
          </cell>
        </row>
        <row r="77">
          <cell r="A77" t="str">
            <v>Lembar Selatan</v>
          </cell>
          <cell r="B77">
            <v>3.9809999999999999</v>
          </cell>
          <cell r="C77">
            <v>12.532999999999999</v>
          </cell>
          <cell r="D77">
            <v>323</v>
          </cell>
        </row>
        <row r="78">
          <cell r="A78" t="str">
            <v>Lembuak</v>
          </cell>
          <cell r="B78">
            <v>1.911</v>
          </cell>
          <cell r="C78">
            <v>5.7039999999999997</v>
          </cell>
          <cell r="D78">
            <v>74</v>
          </cell>
        </row>
        <row r="79">
          <cell r="A79" t="str">
            <v>Lingsar</v>
          </cell>
          <cell r="B79">
            <v>1.786</v>
          </cell>
          <cell r="C79">
            <v>5.2789999999999999</v>
          </cell>
          <cell r="D79">
            <v>113</v>
          </cell>
        </row>
        <row r="80">
          <cell r="A80" t="str">
            <v>Mambalan</v>
          </cell>
          <cell r="B80">
            <v>1.3240000000000001</v>
          </cell>
          <cell r="C80">
            <v>4.0119999999999996</v>
          </cell>
          <cell r="D80">
            <v>229</v>
          </cell>
        </row>
        <row r="81">
          <cell r="A81" t="str">
            <v>Mareje</v>
          </cell>
          <cell r="B81">
            <v>1.756</v>
          </cell>
          <cell r="C81">
            <v>4.8529999999999998</v>
          </cell>
          <cell r="D81">
            <v>333</v>
          </cell>
        </row>
        <row r="82">
          <cell r="A82" t="str">
            <v>Mareje Timur</v>
          </cell>
          <cell r="B82">
            <v>1.286</v>
          </cell>
          <cell r="C82">
            <v>3.6880000000000002</v>
          </cell>
          <cell r="D82">
            <v>227</v>
          </cell>
        </row>
        <row r="83">
          <cell r="A83" t="str">
            <v>Mekar Sari</v>
          </cell>
          <cell r="B83">
            <v>1.6839999999999999</v>
          </cell>
          <cell r="C83">
            <v>4.8540000000000001</v>
          </cell>
          <cell r="D83">
            <v>365</v>
          </cell>
        </row>
        <row r="84">
          <cell r="A84" t="str">
            <v>Mekarsari</v>
          </cell>
          <cell r="B84">
            <v>744</v>
          </cell>
          <cell r="C84">
            <v>2.274</v>
          </cell>
          <cell r="D84">
            <v>111</v>
          </cell>
        </row>
        <row r="85">
          <cell r="A85" t="str">
            <v>Meninting</v>
          </cell>
          <cell r="B85">
            <v>2.5169999999999999</v>
          </cell>
          <cell r="C85">
            <v>7.6619999999999999</v>
          </cell>
          <cell r="D85">
            <v>146</v>
          </cell>
        </row>
        <row r="86">
          <cell r="A86" t="str">
            <v>Merembu</v>
          </cell>
          <cell r="B86">
            <v>2.4510000000000001</v>
          </cell>
          <cell r="C86">
            <v>7.92</v>
          </cell>
          <cell r="D86">
            <v>222</v>
          </cell>
        </row>
        <row r="87">
          <cell r="A87" t="str">
            <v>Mesanggok</v>
          </cell>
          <cell r="B87">
            <v>1.5469999999999999</v>
          </cell>
          <cell r="C87">
            <v>4.8159999999999998</v>
          </cell>
          <cell r="D87">
            <v>181</v>
          </cell>
        </row>
        <row r="88">
          <cell r="A88" t="str">
            <v>Midang</v>
          </cell>
          <cell r="B88">
            <v>3.0739999999999998</v>
          </cell>
          <cell r="C88">
            <v>10.119</v>
          </cell>
          <cell r="D88">
            <v>111</v>
          </cell>
        </row>
        <row r="89">
          <cell r="A89" t="str">
            <v>Montong Are</v>
          </cell>
          <cell r="B89">
            <v>2.0670000000000002</v>
          </cell>
          <cell r="C89">
            <v>6.3070000000000004</v>
          </cell>
          <cell r="D89">
            <v>215</v>
          </cell>
        </row>
        <row r="90">
          <cell r="A90" t="str">
            <v>Narmada</v>
          </cell>
          <cell r="B90">
            <v>1.57</v>
          </cell>
          <cell r="C90">
            <v>4.6959999999999997</v>
          </cell>
          <cell r="D90">
            <v>81</v>
          </cell>
        </row>
        <row r="91">
          <cell r="A91" t="str">
            <v>NyurLembang</v>
          </cell>
          <cell r="B91">
            <v>1.31</v>
          </cell>
          <cell r="C91">
            <v>3.7639999999999998</v>
          </cell>
          <cell r="D91">
            <v>64</v>
          </cell>
        </row>
        <row r="92">
          <cell r="A92" t="str">
            <v>Ombe Baru</v>
          </cell>
          <cell r="B92">
            <v>1.792</v>
          </cell>
          <cell r="C92">
            <v>5.758</v>
          </cell>
          <cell r="D92">
            <v>226</v>
          </cell>
        </row>
        <row r="93">
          <cell r="A93" t="str">
            <v>Pakuan</v>
          </cell>
          <cell r="B93">
            <v>1.135</v>
          </cell>
          <cell r="C93">
            <v>3.302</v>
          </cell>
          <cell r="D93">
            <v>193</v>
          </cell>
        </row>
        <row r="94">
          <cell r="A94" t="str">
            <v>Pelangan</v>
          </cell>
          <cell r="B94">
            <v>3.0049999999999999</v>
          </cell>
          <cell r="C94">
            <v>9.3490000000000002</v>
          </cell>
          <cell r="D94">
            <v>664</v>
          </cell>
        </row>
        <row r="95">
          <cell r="A95" t="str">
            <v>Penimbung</v>
          </cell>
          <cell r="B95">
            <v>1.484</v>
          </cell>
          <cell r="C95">
            <v>4.4210000000000003</v>
          </cell>
          <cell r="D95">
            <v>246</v>
          </cell>
        </row>
        <row r="96">
          <cell r="A96" t="str">
            <v>Perampuan</v>
          </cell>
          <cell r="B96">
            <v>2.327</v>
          </cell>
          <cell r="C96">
            <v>6.9939999999999998</v>
          </cell>
          <cell r="D96">
            <v>200</v>
          </cell>
        </row>
        <row r="97">
          <cell r="A97" t="str">
            <v>Peresak</v>
          </cell>
          <cell r="B97">
            <v>2.6920000000000002</v>
          </cell>
          <cell r="C97">
            <v>7.8849999999999998</v>
          </cell>
          <cell r="D97">
            <v>215</v>
          </cell>
        </row>
        <row r="98">
          <cell r="A98" t="str">
            <v>Peteluan Indah</v>
          </cell>
          <cell r="B98">
            <v>1.405</v>
          </cell>
          <cell r="C98">
            <v>4.2030000000000003</v>
          </cell>
          <cell r="D98">
            <v>96</v>
          </cell>
        </row>
        <row r="99">
          <cell r="A99" t="str">
            <v>Pusuk Lestari</v>
          </cell>
          <cell r="B99">
            <v>504</v>
          </cell>
          <cell r="C99">
            <v>1.4790000000000001</v>
          </cell>
          <cell r="D99">
            <v>41</v>
          </cell>
        </row>
        <row r="100">
          <cell r="A100" t="str">
            <v>Ranjok</v>
          </cell>
          <cell r="B100">
            <v>944</v>
          </cell>
          <cell r="C100">
            <v>2.95</v>
          </cell>
          <cell r="D100">
            <v>53</v>
          </cell>
        </row>
        <row r="101">
          <cell r="A101" t="str">
            <v>Rumak</v>
          </cell>
          <cell r="B101">
            <v>2.012</v>
          </cell>
          <cell r="C101">
            <v>6.3710000000000004</v>
          </cell>
          <cell r="D101">
            <v>109</v>
          </cell>
        </row>
        <row r="102">
          <cell r="A102" t="str">
            <v>Sandik</v>
          </cell>
          <cell r="B102">
            <v>5.3239999999999998</v>
          </cell>
          <cell r="C102">
            <v>16.957000000000001</v>
          </cell>
          <cell r="D102">
            <v>211</v>
          </cell>
        </row>
        <row r="103">
          <cell r="A103" t="str">
            <v>Saribaya</v>
          </cell>
          <cell r="B103">
            <v>853</v>
          </cell>
          <cell r="C103">
            <v>2.415</v>
          </cell>
          <cell r="D103">
            <v>72</v>
          </cell>
        </row>
        <row r="104">
          <cell r="A104" t="str">
            <v>Sedau</v>
          </cell>
          <cell r="B104">
            <v>1.964</v>
          </cell>
          <cell r="C104">
            <v>5.335</v>
          </cell>
          <cell r="D104">
            <v>254</v>
          </cell>
        </row>
        <row r="105">
          <cell r="A105" t="str">
            <v>Sekotong Barat</v>
          </cell>
          <cell r="B105">
            <v>3.4569999999999999</v>
          </cell>
          <cell r="C105">
            <v>10.538</v>
          </cell>
          <cell r="D105">
            <v>696</v>
          </cell>
        </row>
        <row r="106">
          <cell r="A106" t="str">
            <v>Sekotong Tengah</v>
          </cell>
          <cell r="B106">
            <v>3.0169999999999999</v>
          </cell>
          <cell r="C106">
            <v>8.6530000000000005</v>
          </cell>
          <cell r="D106">
            <v>640</v>
          </cell>
        </row>
        <row r="107">
          <cell r="A107" t="str">
            <v>Sekotong Timur</v>
          </cell>
          <cell r="B107">
            <v>1.7130000000000001</v>
          </cell>
          <cell r="C107">
            <v>4.95</v>
          </cell>
          <cell r="D107">
            <v>411</v>
          </cell>
        </row>
        <row r="108">
          <cell r="A108" t="str">
            <v>Selat</v>
          </cell>
          <cell r="B108">
            <v>2.4359999999999999</v>
          </cell>
          <cell r="C108">
            <v>7.077</v>
          </cell>
          <cell r="D108">
            <v>220</v>
          </cell>
        </row>
        <row r="109">
          <cell r="A109" t="str">
            <v>Sembung</v>
          </cell>
          <cell r="B109">
            <v>1.466</v>
          </cell>
          <cell r="C109">
            <v>4.4790000000000001</v>
          </cell>
          <cell r="D109">
            <v>189</v>
          </cell>
        </row>
        <row r="110">
          <cell r="A110" t="str">
            <v>Senggigi</v>
          </cell>
          <cell r="B110">
            <v>1.651</v>
          </cell>
          <cell r="C110">
            <v>4.9740000000000002</v>
          </cell>
          <cell r="D110">
            <v>109</v>
          </cell>
        </row>
        <row r="111">
          <cell r="A111" t="str">
            <v>Senteluk</v>
          </cell>
          <cell r="B111">
            <v>1.798</v>
          </cell>
          <cell r="C111">
            <v>5.3789999999999996</v>
          </cell>
          <cell r="D111">
            <v>109</v>
          </cell>
        </row>
        <row r="112">
          <cell r="A112" t="str">
            <v>Sesaot</v>
          </cell>
          <cell r="B112">
            <v>2.1480000000000001</v>
          </cell>
          <cell r="C112">
            <v>6.4429999999999996</v>
          </cell>
          <cell r="D112">
            <v>197</v>
          </cell>
        </row>
        <row r="113">
          <cell r="A113" t="str">
            <v>Sesela</v>
          </cell>
          <cell r="B113">
            <v>4.8390000000000004</v>
          </cell>
          <cell r="C113">
            <v>15.571</v>
          </cell>
          <cell r="D113">
            <v>480</v>
          </cell>
        </row>
        <row r="114">
          <cell r="A114" t="str">
            <v>Sigerongan</v>
          </cell>
          <cell r="B114">
            <v>2.274</v>
          </cell>
          <cell r="C114">
            <v>6.7409999999999997</v>
          </cell>
          <cell r="D114">
            <v>153</v>
          </cell>
        </row>
        <row r="115">
          <cell r="A115" t="str">
            <v>Suka Makmur</v>
          </cell>
          <cell r="B115">
            <v>1.85</v>
          </cell>
          <cell r="C115">
            <v>5.33</v>
          </cell>
          <cell r="D115">
            <v>137</v>
          </cell>
        </row>
        <row r="116">
          <cell r="A116" t="str">
            <v>Suranadi</v>
          </cell>
          <cell r="B116">
            <v>2.3029999999999999</v>
          </cell>
          <cell r="C116">
            <v>7.0739999999999998</v>
          </cell>
          <cell r="D116">
            <v>333</v>
          </cell>
        </row>
        <row r="117">
          <cell r="A117" t="str">
            <v>Taman Ayu</v>
          </cell>
          <cell r="B117">
            <v>2.5270000000000001</v>
          </cell>
          <cell r="C117">
            <v>7.2830000000000004</v>
          </cell>
          <cell r="D117">
            <v>481</v>
          </cell>
        </row>
        <row r="118">
          <cell r="A118" t="str">
            <v>Taman Baru</v>
          </cell>
          <cell r="B118">
            <v>1.4359999999999999</v>
          </cell>
          <cell r="C118">
            <v>4.4359999999999999</v>
          </cell>
          <cell r="D118">
            <v>316</v>
          </cell>
        </row>
        <row r="119">
          <cell r="A119" t="str">
            <v>TamanSari</v>
          </cell>
          <cell r="B119">
            <v>4.0629999999999997</v>
          </cell>
          <cell r="C119">
            <v>12.464</v>
          </cell>
          <cell r="D119">
            <v>421</v>
          </cell>
        </row>
        <row r="120">
          <cell r="A120" t="str">
            <v>Tanak Beak</v>
          </cell>
          <cell r="B120">
            <v>1.976</v>
          </cell>
          <cell r="C120">
            <v>5.7690000000000001</v>
          </cell>
          <cell r="D120">
            <v>162</v>
          </cell>
        </row>
        <row r="121">
          <cell r="A121" t="str">
            <v>Telagawaru</v>
          </cell>
          <cell r="B121">
            <v>2.3530000000000002</v>
          </cell>
          <cell r="C121">
            <v>7.3</v>
          </cell>
          <cell r="D121">
            <v>103</v>
          </cell>
        </row>
        <row r="122">
          <cell r="A122" t="str">
            <v>Tempos</v>
          </cell>
          <cell r="B122">
            <v>1.865</v>
          </cell>
          <cell r="C122">
            <v>5.4870000000000001</v>
          </cell>
          <cell r="D122">
            <v>430</v>
          </cell>
        </row>
        <row r="123">
          <cell r="A123" t="str">
            <v>Terong Tawah</v>
          </cell>
          <cell r="B123">
            <v>3.8319999999999999</v>
          </cell>
          <cell r="C123">
            <v>12.606</v>
          </cell>
          <cell r="D123">
            <v>300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1">
          <cell r="D1" t="str">
            <v>Desa/Kelurahan</v>
          </cell>
          <cell r="E1" t="str">
            <v>Jumlah Balita</v>
          </cell>
          <cell r="F1" t="str">
            <v>Balita Stunting</v>
          </cell>
        </row>
        <row r="2">
          <cell r="D2" t="str">
            <v>Babussalam</v>
          </cell>
          <cell r="E2">
            <v>567</v>
          </cell>
          <cell r="F2">
            <v>68</v>
          </cell>
        </row>
        <row r="3">
          <cell r="D3" t="str">
            <v>Badrain</v>
          </cell>
          <cell r="E3">
            <v>376</v>
          </cell>
          <cell r="F3">
            <v>48</v>
          </cell>
        </row>
        <row r="4">
          <cell r="D4" t="str">
            <v>Bagik Polak</v>
          </cell>
          <cell r="E4">
            <v>381</v>
          </cell>
          <cell r="F4">
            <v>14</v>
          </cell>
        </row>
        <row r="5">
          <cell r="D5" t="str">
            <v>Bagik Polak Barat</v>
          </cell>
          <cell r="E5">
            <v>323</v>
          </cell>
          <cell r="F5">
            <v>15</v>
          </cell>
        </row>
        <row r="6">
          <cell r="D6" t="str">
            <v>Bajur</v>
          </cell>
          <cell r="E6">
            <v>884</v>
          </cell>
          <cell r="F6">
            <v>88</v>
          </cell>
        </row>
        <row r="7">
          <cell r="D7" t="str">
            <v>Banyu Urip</v>
          </cell>
          <cell r="E7">
            <v>458</v>
          </cell>
          <cell r="F7">
            <v>27</v>
          </cell>
        </row>
        <row r="8">
          <cell r="D8" t="str">
            <v>Banyumulek</v>
          </cell>
          <cell r="E8">
            <v>668</v>
          </cell>
          <cell r="F8">
            <v>64</v>
          </cell>
        </row>
        <row r="9">
          <cell r="D9" t="str">
            <v>Batu Kumbung</v>
          </cell>
          <cell r="E9">
            <v>485</v>
          </cell>
          <cell r="F9">
            <v>44</v>
          </cell>
        </row>
        <row r="10">
          <cell r="D10" t="str">
            <v>Batu Kuta</v>
          </cell>
          <cell r="E10">
            <v>240</v>
          </cell>
          <cell r="F10">
            <v>37</v>
          </cell>
        </row>
        <row r="11">
          <cell r="D11" t="str">
            <v>BatuLayar Barat</v>
          </cell>
          <cell r="E11">
            <v>463</v>
          </cell>
          <cell r="F11">
            <v>43</v>
          </cell>
        </row>
        <row r="12">
          <cell r="D12" t="str">
            <v>Batu Mekar</v>
          </cell>
          <cell r="E12">
            <v>609</v>
          </cell>
          <cell r="F12">
            <v>78</v>
          </cell>
        </row>
        <row r="13">
          <cell r="D13" t="str">
            <v>Batu Putih</v>
          </cell>
          <cell r="E13">
            <v>722</v>
          </cell>
          <cell r="F13">
            <v>78</v>
          </cell>
        </row>
        <row r="14">
          <cell r="D14" t="str">
            <v>Batulayar</v>
          </cell>
          <cell r="E14">
            <v>446</v>
          </cell>
          <cell r="F14">
            <v>32</v>
          </cell>
        </row>
        <row r="15">
          <cell r="D15" t="str">
            <v>Beleke</v>
          </cell>
          <cell r="E15">
            <v>566</v>
          </cell>
          <cell r="F15">
            <v>57</v>
          </cell>
        </row>
        <row r="16">
          <cell r="D16" t="str">
            <v>Bengkaung</v>
          </cell>
          <cell r="E16">
            <v>328</v>
          </cell>
          <cell r="F16">
            <v>29</v>
          </cell>
        </row>
        <row r="17">
          <cell r="D17" t="str">
            <v>Bengkel</v>
          </cell>
          <cell r="E17">
            <v>556</v>
          </cell>
          <cell r="F17">
            <v>43</v>
          </cell>
        </row>
        <row r="18">
          <cell r="D18" t="str">
            <v>Bug-Bug</v>
          </cell>
          <cell r="E18">
            <v>228</v>
          </cell>
          <cell r="F18">
            <v>16</v>
          </cell>
        </row>
        <row r="19">
          <cell r="D19" t="str">
            <v>Bukit tinggi</v>
          </cell>
          <cell r="E19">
            <v>218</v>
          </cell>
          <cell r="F19">
            <v>18</v>
          </cell>
        </row>
        <row r="20">
          <cell r="D20" t="str">
            <v>Buwun Mas</v>
          </cell>
          <cell r="E20">
            <v>1.256</v>
          </cell>
          <cell r="F20">
            <v>116</v>
          </cell>
        </row>
        <row r="21">
          <cell r="D21" t="str">
            <v>Buwun Sejati</v>
          </cell>
          <cell r="E21">
            <v>320</v>
          </cell>
          <cell r="F21">
            <v>25</v>
          </cell>
        </row>
        <row r="22">
          <cell r="D22" t="str">
            <v>Cendi Manik</v>
          </cell>
          <cell r="E22">
            <v>635</v>
          </cell>
          <cell r="F22">
            <v>72</v>
          </cell>
        </row>
        <row r="23">
          <cell r="D23" t="str">
            <v>Dasan Baru</v>
          </cell>
          <cell r="E23">
            <v>354</v>
          </cell>
          <cell r="F23">
            <v>35</v>
          </cell>
        </row>
        <row r="24">
          <cell r="D24" t="str">
            <v>Dasan Geres</v>
          </cell>
          <cell r="E24">
            <v>553</v>
          </cell>
          <cell r="F24">
            <v>74</v>
          </cell>
        </row>
        <row r="25">
          <cell r="D25" t="str">
            <v>Dasan Geria</v>
          </cell>
          <cell r="E25">
            <v>471</v>
          </cell>
          <cell r="F25">
            <v>49</v>
          </cell>
        </row>
        <row r="26">
          <cell r="D26" t="str">
            <v>Dasan Tapen</v>
          </cell>
          <cell r="E26">
            <v>391</v>
          </cell>
          <cell r="F26">
            <v>29</v>
          </cell>
        </row>
        <row r="27">
          <cell r="D27" t="str">
            <v>Dasan Tereng</v>
          </cell>
          <cell r="E27">
            <v>324</v>
          </cell>
          <cell r="F27">
            <v>47</v>
          </cell>
        </row>
        <row r="28">
          <cell r="D28" t="str">
            <v>Dopang</v>
          </cell>
          <cell r="E28">
            <v>220</v>
          </cell>
          <cell r="F28">
            <v>9</v>
          </cell>
        </row>
        <row r="29">
          <cell r="D29" t="str">
            <v>Duman</v>
          </cell>
          <cell r="E29">
            <v>330</v>
          </cell>
          <cell r="F29">
            <v>30</v>
          </cell>
        </row>
        <row r="30">
          <cell r="D30" t="str">
            <v>Eyat Mayang</v>
          </cell>
          <cell r="E30">
            <v>251</v>
          </cell>
          <cell r="F30">
            <v>29</v>
          </cell>
        </row>
        <row r="31">
          <cell r="D31" t="str">
            <v>Gapuk</v>
          </cell>
          <cell r="E31">
            <v>289</v>
          </cell>
          <cell r="F31">
            <v>29</v>
          </cell>
        </row>
        <row r="32">
          <cell r="D32" t="str">
            <v>Gegelang</v>
          </cell>
          <cell r="E32">
            <v>212</v>
          </cell>
          <cell r="F32">
            <v>7</v>
          </cell>
        </row>
        <row r="33">
          <cell r="D33" t="str">
            <v>Gegerung</v>
          </cell>
          <cell r="E33">
            <v>439</v>
          </cell>
          <cell r="F33">
            <v>33</v>
          </cell>
        </row>
        <row r="34">
          <cell r="D34" t="str">
            <v>Gelangsar</v>
          </cell>
          <cell r="E34">
            <v>228</v>
          </cell>
          <cell r="F34">
            <v>23</v>
          </cell>
        </row>
        <row r="35">
          <cell r="D35" t="str">
            <v>Gelogor</v>
          </cell>
          <cell r="E35">
            <v>512</v>
          </cell>
          <cell r="F35">
            <v>45</v>
          </cell>
        </row>
        <row r="36">
          <cell r="D36" t="str">
            <v>Gerimax Indah</v>
          </cell>
          <cell r="E36">
            <v>328</v>
          </cell>
          <cell r="F36">
            <v>46</v>
          </cell>
        </row>
        <row r="37">
          <cell r="D37" t="str">
            <v>Gerung Selatan</v>
          </cell>
          <cell r="E37">
            <v>456</v>
          </cell>
          <cell r="F37">
            <v>42</v>
          </cell>
        </row>
        <row r="38">
          <cell r="D38" t="str">
            <v>Gerung Utara</v>
          </cell>
          <cell r="E38">
            <v>324</v>
          </cell>
          <cell r="F38">
            <v>22</v>
          </cell>
        </row>
        <row r="39">
          <cell r="D39" t="str">
            <v>Gili Gede Indah</v>
          </cell>
          <cell r="E39">
            <v>117</v>
          </cell>
          <cell r="F39">
            <v>11</v>
          </cell>
        </row>
        <row r="40">
          <cell r="D40" t="str">
            <v>Giri Madia</v>
          </cell>
          <cell r="E40">
            <v>223</v>
          </cell>
          <cell r="F40">
            <v>25</v>
          </cell>
        </row>
        <row r="41">
          <cell r="D41" t="str">
            <v>Giri Sasak</v>
          </cell>
          <cell r="E41">
            <v>337</v>
          </cell>
          <cell r="F41">
            <v>36</v>
          </cell>
        </row>
        <row r="42">
          <cell r="D42" t="str">
            <v>Giri Tembesi</v>
          </cell>
          <cell r="E42">
            <v>226</v>
          </cell>
          <cell r="F42">
            <v>27</v>
          </cell>
        </row>
        <row r="43">
          <cell r="D43" t="str">
            <v>Golong</v>
          </cell>
          <cell r="E43">
            <v>463</v>
          </cell>
          <cell r="F43">
            <v>35</v>
          </cell>
        </row>
        <row r="44">
          <cell r="D44" t="str">
            <v>Gontoran</v>
          </cell>
          <cell r="E44">
            <v>106</v>
          </cell>
          <cell r="F44">
            <v>10</v>
          </cell>
        </row>
        <row r="45">
          <cell r="D45" t="str">
            <v>Guntur Macan</v>
          </cell>
          <cell r="E45">
            <v>246</v>
          </cell>
          <cell r="F45">
            <v>13</v>
          </cell>
        </row>
        <row r="46">
          <cell r="D46" t="str">
            <v>Gunungsari</v>
          </cell>
          <cell r="E46">
            <v>526</v>
          </cell>
          <cell r="F46">
            <v>32</v>
          </cell>
        </row>
        <row r="47">
          <cell r="D47" t="str">
            <v>Jagaraga</v>
          </cell>
          <cell r="E47">
            <v>669</v>
          </cell>
          <cell r="F47">
            <v>73</v>
          </cell>
        </row>
        <row r="48">
          <cell r="D48" t="str">
            <v>Jagaraga Indah</v>
          </cell>
          <cell r="E48">
            <v>399</v>
          </cell>
          <cell r="F48">
            <v>33</v>
          </cell>
        </row>
        <row r="49">
          <cell r="D49" t="str">
            <v>Jatisela</v>
          </cell>
          <cell r="E49">
            <v>503</v>
          </cell>
          <cell r="F49">
            <v>45</v>
          </cell>
        </row>
        <row r="50">
          <cell r="D50" t="str">
            <v>Jembatan Gantung</v>
          </cell>
          <cell r="E50">
            <v>438</v>
          </cell>
          <cell r="F50">
            <v>69</v>
          </cell>
        </row>
        <row r="51">
          <cell r="D51" t="str">
            <v>Jembatan Kembar</v>
          </cell>
          <cell r="E51">
            <v>273</v>
          </cell>
          <cell r="F51">
            <v>31</v>
          </cell>
        </row>
        <row r="52">
          <cell r="D52" t="str">
            <v>Jembatan Kembar Timur</v>
          </cell>
          <cell r="E52">
            <v>337</v>
          </cell>
          <cell r="F52">
            <v>32</v>
          </cell>
        </row>
        <row r="53">
          <cell r="D53" t="str">
            <v>Jeringo</v>
          </cell>
          <cell r="E53">
            <v>242</v>
          </cell>
          <cell r="F53">
            <v>18</v>
          </cell>
        </row>
        <row r="54">
          <cell r="D54" t="str">
            <v>Karang Bayan</v>
          </cell>
          <cell r="E54">
            <v>397</v>
          </cell>
          <cell r="F54">
            <v>51</v>
          </cell>
        </row>
        <row r="55">
          <cell r="D55" t="str">
            <v>Karang Bongkot</v>
          </cell>
          <cell r="E55">
            <v>601</v>
          </cell>
          <cell r="F55">
            <v>76</v>
          </cell>
        </row>
        <row r="56">
          <cell r="D56" t="str">
            <v>Kebon Ayu</v>
          </cell>
          <cell r="E56">
            <v>374</v>
          </cell>
          <cell r="F56">
            <v>43</v>
          </cell>
        </row>
        <row r="57">
          <cell r="D57" t="str">
            <v>Kedaro</v>
          </cell>
          <cell r="E57">
            <v>533</v>
          </cell>
          <cell r="F57">
            <v>43</v>
          </cell>
        </row>
        <row r="58">
          <cell r="D58" t="str">
            <v>Kediri</v>
          </cell>
          <cell r="E58">
            <v>646</v>
          </cell>
          <cell r="F58">
            <v>53</v>
          </cell>
        </row>
        <row r="59">
          <cell r="D59" t="str">
            <v>Kediri Selatan</v>
          </cell>
          <cell r="E59">
            <v>476</v>
          </cell>
          <cell r="F59">
            <v>51</v>
          </cell>
        </row>
        <row r="60">
          <cell r="D60" t="str">
            <v>Kekait</v>
          </cell>
          <cell r="E60">
            <v>589</v>
          </cell>
          <cell r="F60">
            <v>48</v>
          </cell>
        </row>
        <row r="61">
          <cell r="D61" t="str">
            <v>Kekeri</v>
          </cell>
          <cell r="E61">
            <v>546</v>
          </cell>
          <cell r="F61">
            <v>61</v>
          </cell>
        </row>
        <row r="62">
          <cell r="D62" t="str">
            <v>Keru</v>
          </cell>
          <cell r="E62">
            <v>431</v>
          </cell>
          <cell r="F62">
            <v>31</v>
          </cell>
        </row>
        <row r="63">
          <cell r="D63" t="str">
            <v>Krama Jaya</v>
          </cell>
          <cell r="E63">
            <v>376</v>
          </cell>
          <cell r="F63">
            <v>60</v>
          </cell>
        </row>
        <row r="64">
          <cell r="D64" t="str">
            <v>Kuranji</v>
          </cell>
          <cell r="E64">
            <v>175</v>
          </cell>
          <cell r="F64">
            <v>11</v>
          </cell>
        </row>
        <row r="65">
          <cell r="D65" t="str">
            <v>Kuranji Dalang</v>
          </cell>
          <cell r="E65">
            <v>250</v>
          </cell>
          <cell r="F65">
            <v>15</v>
          </cell>
        </row>
        <row r="66">
          <cell r="D66" t="str">
            <v>Kuripan</v>
          </cell>
          <cell r="E66">
            <v>652</v>
          </cell>
          <cell r="F66">
            <v>71</v>
          </cell>
        </row>
        <row r="67">
          <cell r="D67" t="str">
            <v>Kuripan Selatan</v>
          </cell>
          <cell r="E67">
            <v>397</v>
          </cell>
          <cell r="F67">
            <v>42</v>
          </cell>
        </row>
        <row r="68">
          <cell r="D68" t="str">
            <v>Kuripan Timur</v>
          </cell>
          <cell r="E68">
            <v>196</v>
          </cell>
          <cell r="F68">
            <v>20</v>
          </cell>
        </row>
        <row r="69">
          <cell r="D69" t="str">
            <v>Kuripan Utara</v>
          </cell>
          <cell r="E69">
            <v>661</v>
          </cell>
          <cell r="F69">
            <v>72</v>
          </cell>
        </row>
        <row r="70">
          <cell r="D70" t="str">
            <v>Labuan Tereng</v>
          </cell>
          <cell r="E70">
            <v>484</v>
          </cell>
          <cell r="F70">
            <v>19</v>
          </cell>
        </row>
        <row r="71">
          <cell r="D71" t="str">
            <v>Labuapi</v>
          </cell>
          <cell r="E71">
            <v>312</v>
          </cell>
          <cell r="F71">
            <v>9</v>
          </cell>
        </row>
        <row r="72">
          <cell r="D72" t="str">
            <v>Langko</v>
          </cell>
          <cell r="E72">
            <v>564</v>
          </cell>
          <cell r="F72">
            <v>65</v>
          </cell>
        </row>
        <row r="73">
          <cell r="D73" t="str">
            <v>Lebah Sempage</v>
          </cell>
          <cell r="E73">
            <v>381</v>
          </cell>
          <cell r="F73">
            <v>44</v>
          </cell>
        </row>
        <row r="74">
          <cell r="D74" t="str">
            <v>Lelede</v>
          </cell>
          <cell r="E74">
            <v>277</v>
          </cell>
          <cell r="F74">
            <v>39</v>
          </cell>
        </row>
        <row r="75">
          <cell r="D75" t="str">
            <v>Lembah Sari</v>
          </cell>
          <cell r="E75">
            <v>277</v>
          </cell>
          <cell r="F75">
            <v>28</v>
          </cell>
        </row>
        <row r="76">
          <cell r="D76" t="str">
            <v>Lembar</v>
          </cell>
          <cell r="E76">
            <v>316</v>
          </cell>
          <cell r="F76">
            <v>48</v>
          </cell>
        </row>
        <row r="77">
          <cell r="D77" t="str">
            <v>Lembar Selatan</v>
          </cell>
          <cell r="E77">
            <v>753</v>
          </cell>
          <cell r="F77">
            <v>96</v>
          </cell>
        </row>
        <row r="78">
          <cell r="D78" t="str">
            <v>Lembuak</v>
          </cell>
          <cell r="E78">
            <v>362</v>
          </cell>
          <cell r="F78">
            <v>40</v>
          </cell>
        </row>
        <row r="79">
          <cell r="D79" t="str">
            <v>Lingsar</v>
          </cell>
          <cell r="E79">
            <v>328</v>
          </cell>
          <cell r="F79">
            <v>10</v>
          </cell>
        </row>
        <row r="80">
          <cell r="D80" t="str">
            <v>Mambalan</v>
          </cell>
          <cell r="E80">
            <v>264</v>
          </cell>
          <cell r="F80">
            <v>27</v>
          </cell>
        </row>
        <row r="81">
          <cell r="D81" t="str">
            <v>Mareje</v>
          </cell>
          <cell r="E81">
            <v>301</v>
          </cell>
          <cell r="F81">
            <v>24</v>
          </cell>
        </row>
        <row r="82">
          <cell r="D82" t="str">
            <v>Mareje Timur</v>
          </cell>
          <cell r="E82">
            <v>244</v>
          </cell>
          <cell r="F82">
            <v>19</v>
          </cell>
        </row>
        <row r="83">
          <cell r="D83" t="str">
            <v>Mekar Sari</v>
          </cell>
          <cell r="E83">
            <v>164</v>
          </cell>
          <cell r="F83">
            <v>20</v>
          </cell>
        </row>
        <row r="84">
          <cell r="D84" t="str">
            <v>Mekarsari</v>
          </cell>
          <cell r="E84">
            <v>396</v>
          </cell>
          <cell r="F84">
            <v>21</v>
          </cell>
        </row>
        <row r="85">
          <cell r="D85" t="str">
            <v>Meninting</v>
          </cell>
          <cell r="E85">
            <v>448</v>
          </cell>
          <cell r="F85">
            <v>39</v>
          </cell>
        </row>
        <row r="86">
          <cell r="D86" t="str">
            <v>Merembu</v>
          </cell>
          <cell r="E86">
            <v>560</v>
          </cell>
          <cell r="F86">
            <v>64</v>
          </cell>
        </row>
        <row r="87">
          <cell r="D87" t="str">
            <v>Mesanggok</v>
          </cell>
          <cell r="E87">
            <v>315</v>
          </cell>
          <cell r="F87">
            <v>42</v>
          </cell>
        </row>
        <row r="88">
          <cell r="D88" t="str">
            <v>Midang</v>
          </cell>
          <cell r="E88">
            <v>582</v>
          </cell>
          <cell r="F88">
            <v>65</v>
          </cell>
        </row>
        <row r="89">
          <cell r="D89" t="str">
            <v>Montong Are</v>
          </cell>
          <cell r="E89">
            <v>538</v>
          </cell>
          <cell r="F89">
            <v>43</v>
          </cell>
        </row>
        <row r="90">
          <cell r="D90" t="str">
            <v>Narmada</v>
          </cell>
          <cell r="E90">
            <v>297</v>
          </cell>
          <cell r="F90">
            <v>39</v>
          </cell>
        </row>
        <row r="91">
          <cell r="D91" t="str">
            <v>NyurLembang</v>
          </cell>
          <cell r="E91">
            <v>209</v>
          </cell>
          <cell r="F91">
            <v>26</v>
          </cell>
        </row>
        <row r="92">
          <cell r="D92" t="str">
            <v>Ombe Baru</v>
          </cell>
          <cell r="E92">
            <v>389</v>
          </cell>
          <cell r="F92">
            <v>31</v>
          </cell>
        </row>
        <row r="93">
          <cell r="D93" t="str">
            <v>Pakuan</v>
          </cell>
          <cell r="E93">
            <v>236</v>
          </cell>
          <cell r="F93">
            <v>27</v>
          </cell>
        </row>
        <row r="94">
          <cell r="D94" t="str">
            <v>Pelangan</v>
          </cell>
          <cell r="E94">
            <v>712</v>
          </cell>
          <cell r="F94">
            <v>75</v>
          </cell>
        </row>
        <row r="95">
          <cell r="D95" t="str">
            <v>Penimbung</v>
          </cell>
          <cell r="E95">
            <v>309</v>
          </cell>
          <cell r="F95">
            <v>22</v>
          </cell>
        </row>
        <row r="96">
          <cell r="D96" t="str">
            <v>Perampuan</v>
          </cell>
          <cell r="E96">
            <v>499</v>
          </cell>
          <cell r="F96">
            <v>73</v>
          </cell>
        </row>
        <row r="97">
          <cell r="D97" t="str">
            <v>Peresak</v>
          </cell>
          <cell r="E97">
            <v>529</v>
          </cell>
          <cell r="F97">
            <v>35</v>
          </cell>
        </row>
        <row r="98">
          <cell r="D98" t="str">
            <v>Peteluan Indah</v>
          </cell>
          <cell r="E98">
            <v>248</v>
          </cell>
          <cell r="F98">
            <v>24</v>
          </cell>
        </row>
        <row r="99">
          <cell r="D99" t="str">
            <v>Pusuk Lestari</v>
          </cell>
          <cell r="E99">
            <v>125</v>
          </cell>
          <cell r="F99">
            <v>13</v>
          </cell>
        </row>
        <row r="100">
          <cell r="D100" t="str">
            <v>Ranjok</v>
          </cell>
          <cell r="E100">
            <v>114</v>
          </cell>
          <cell r="F100">
            <v>6</v>
          </cell>
        </row>
        <row r="101">
          <cell r="D101" t="str">
            <v>Rumak</v>
          </cell>
          <cell r="E101">
            <v>415</v>
          </cell>
          <cell r="F101">
            <v>39</v>
          </cell>
        </row>
        <row r="102">
          <cell r="D102" t="str">
            <v>Sandik</v>
          </cell>
          <cell r="E102">
            <v>956</v>
          </cell>
          <cell r="F102">
            <v>73</v>
          </cell>
        </row>
        <row r="103">
          <cell r="D103" t="str">
            <v>Saribaya</v>
          </cell>
          <cell r="E103">
            <v>136</v>
          </cell>
          <cell r="F103">
            <v>17</v>
          </cell>
        </row>
        <row r="104">
          <cell r="D104" t="str">
            <v>Sedau</v>
          </cell>
          <cell r="E104">
            <v>400</v>
          </cell>
          <cell r="F104">
            <v>50</v>
          </cell>
        </row>
        <row r="105">
          <cell r="D105" t="str">
            <v>Sekotong Barat</v>
          </cell>
          <cell r="E105">
            <v>770</v>
          </cell>
          <cell r="F105">
            <v>62</v>
          </cell>
        </row>
        <row r="106">
          <cell r="D106" t="str">
            <v>Sekotong Tengah</v>
          </cell>
          <cell r="E106">
            <v>624</v>
          </cell>
          <cell r="F106">
            <v>72</v>
          </cell>
        </row>
        <row r="107">
          <cell r="D107" t="str">
            <v>Sekotong Timur</v>
          </cell>
          <cell r="E107">
            <v>297</v>
          </cell>
          <cell r="F107">
            <v>12</v>
          </cell>
        </row>
        <row r="108">
          <cell r="D108" t="str">
            <v>Selat</v>
          </cell>
          <cell r="E108">
            <v>412</v>
          </cell>
          <cell r="F108">
            <v>46</v>
          </cell>
        </row>
        <row r="109">
          <cell r="D109" t="str">
            <v>Sembung</v>
          </cell>
          <cell r="E109">
            <v>331</v>
          </cell>
          <cell r="F109">
            <v>51</v>
          </cell>
        </row>
        <row r="110">
          <cell r="D110" t="str">
            <v>Senggigi</v>
          </cell>
          <cell r="E110">
            <v>371</v>
          </cell>
          <cell r="F110">
            <v>25</v>
          </cell>
        </row>
        <row r="111">
          <cell r="D111" t="str">
            <v>Senteluk</v>
          </cell>
          <cell r="E111">
            <v>315</v>
          </cell>
          <cell r="F111">
            <v>25</v>
          </cell>
        </row>
        <row r="112">
          <cell r="D112" t="str">
            <v>Sesaot</v>
          </cell>
          <cell r="E112">
            <v>412</v>
          </cell>
          <cell r="F112">
            <v>49</v>
          </cell>
        </row>
        <row r="113">
          <cell r="D113" t="str">
            <v>Sesela</v>
          </cell>
          <cell r="E113">
            <v>1.101</v>
          </cell>
          <cell r="F113">
            <v>53</v>
          </cell>
        </row>
        <row r="114">
          <cell r="D114" t="str">
            <v>Sigerongan</v>
          </cell>
          <cell r="E114">
            <v>432</v>
          </cell>
          <cell r="F114">
            <v>42</v>
          </cell>
        </row>
        <row r="115">
          <cell r="D115" t="str">
            <v>Suka Makmur</v>
          </cell>
          <cell r="E115">
            <v>304</v>
          </cell>
          <cell r="F115">
            <v>14</v>
          </cell>
        </row>
        <row r="116">
          <cell r="D116" t="str">
            <v>Suranadi</v>
          </cell>
          <cell r="E116">
            <v>483</v>
          </cell>
          <cell r="F116">
            <v>48</v>
          </cell>
        </row>
        <row r="117">
          <cell r="D117" t="str">
            <v>Taman Ayu</v>
          </cell>
          <cell r="E117">
            <v>487</v>
          </cell>
          <cell r="F117">
            <v>51</v>
          </cell>
        </row>
        <row r="118">
          <cell r="D118" t="str">
            <v>Taman Baru</v>
          </cell>
          <cell r="E118">
            <v>368</v>
          </cell>
          <cell r="F118">
            <v>42</v>
          </cell>
        </row>
        <row r="119">
          <cell r="D119" t="str">
            <v>TamanSari</v>
          </cell>
          <cell r="E119">
            <v>887</v>
          </cell>
          <cell r="F119">
            <v>60</v>
          </cell>
        </row>
        <row r="120">
          <cell r="D120" t="str">
            <v>Tanak Beak</v>
          </cell>
          <cell r="E120">
            <v>389</v>
          </cell>
          <cell r="F120">
            <v>46</v>
          </cell>
        </row>
        <row r="121">
          <cell r="D121" t="str">
            <v>Telagawaru</v>
          </cell>
          <cell r="E121">
            <v>496</v>
          </cell>
          <cell r="F121">
            <v>42</v>
          </cell>
        </row>
        <row r="122">
          <cell r="D122" t="str">
            <v>Tempos</v>
          </cell>
          <cell r="E122">
            <v>394</v>
          </cell>
          <cell r="F122">
            <v>42</v>
          </cell>
        </row>
        <row r="123">
          <cell r="D123" t="str">
            <v>Terong Tawah</v>
          </cell>
          <cell r="E123">
            <v>813</v>
          </cell>
          <cell r="F123">
            <v>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LIKASI"/>
      <sheetName val="KONFIRMASI OPD_final 9 Aprl"/>
    </sheetNames>
    <sheetDataSet>
      <sheetData sheetId="0" refreshError="1"/>
      <sheetData sheetId="1">
        <row r="4">
          <cell r="B4" t="str">
            <v>BANYU URIP</v>
          </cell>
          <cell r="D4">
            <v>2134814400</v>
          </cell>
        </row>
        <row r="5">
          <cell r="B5" t="str">
            <v>BELEKE</v>
          </cell>
          <cell r="D5">
            <v>1536872600</v>
          </cell>
        </row>
        <row r="6">
          <cell r="B6" t="str">
            <v>DASAN TAPEN</v>
          </cell>
          <cell r="D6">
            <v>2596063000</v>
          </cell>
        </row>
        <row r="7">
          <cell r="B7" t="str">
            <v>GAPUK</v>
          </cell>
          <cell r="D7">
            <v>5089218800</v>
          </cell>
        </row>
        <row r="8">
          <cell r="B8" t="str">
            <v>GIRI TEMBESI</v>
          </cell>
          <cell r="D8">
            <v>1133493200</v>
          </cell>
        </row>
        <row r="9">
          <cell r="B9" t="str">
            <v>KEBON AYU</v>
          </cell>
          <cell r="D9">
            <v>1026236700</v>
          </cell>
        </row>
        <row r="10">
          <cell r="B10" t="str">
            <v>MESANGGOK</v>
          </cell>
          <cell r="D10">
            <v>1006810850</v>
          </cell>
        </row>
        <row r="11">
          <cell r="B11" t="str">
            <v>SUKA MAKMUR</v>
          </cell>
          <cell r="D11">
            <v>1003466850</v>
          </cell>
        </row>
        <row r="12">
          <cell r="B12" t="str">
            <v>TAMAN AYU</v>
          </cell>
          <cell r="D12">
            <v>1113147600</v>
          </cell>
        </row>
        <row r="13">
          <cell r="B13" t="str">
            <v>TEMPOS</v>
          </cell>
          <cell r="D13">
            <v>3362861000</v>
          </cell>
        </row>
        <row r="14">
          <cell r="B14" t="str">
            <v>DASAN GERES</v>
          </cell>
          <cell r="D14">
            <v>130856931966</v>
          </cell>
        </row>
        <row r="15">
          <cell r="B15" t="str">
            <v>GERUNG SELATAN</v>
          </cell>
          <cell r="D15">
            <v>6567076900</v>
          </cell>
        </row>
        <row r="16">
          <cell r="B16" t="str">
            <v>GERUNG UTARA</v>
          </cell>
          <cell r="D16">
            <v>1712820400</v>
          </cell>
        </row>
        <row r="17">
          <cell r="B17" t="str">
            <v>BABUSSALAM</v>
          </cell>
          <cell r="D17">
            <v>1873163824</v>
          </cell>
        </row>
        <row r="18">
          <cell r="B18" t="str">
            <v>BANYUMULEK</v>
          </cell>
          <cell r="D18">
            <v>5757249000</v>
          </cell>
        </row>
        <row r="19">
          <cell r="B19" t="str">
            <v>DASAN BARU</v>
          </cell>
          <cell r="D19">
            <v>1982231800</v>
          </cell>
        </row>
        <row r="20">
          <cell r="B20" t="str">
            <v>GELOGOR</v>
          </cell>
          <cell r="D20">
            <v>2049933000</v>
          </cell>
        </row>
        <row r="21">
          <cell r="B21" t="str">
            <v>JAGARAGA INDAH</v>
          </cell>
          <cell r="D21">
            <v>1001222899</v>
          </cell>
        </row>
        <row r="22">
          <cell r="B22" t="str">
            <v>KEDIRI</v>
          </cell>
          <cell r="D22">
            <v>3859467000</v>
          </cell>
        </row>
        <row r="23">
          <cell r="B23" t="str">
            <v>KEDIRI SELATAN</v>
          </cell>
          <cell r="D23">
            <v>3240090000</v>
          </cell>
        </row>
        <row r="24">
          <cell r="B24" t="str">
            <v>LELEDE</v>
          </cell>
          <cell r="D24">
            <v>1692469800</v>
          </cell>
        </row>
        <row r="25">
          <cell r="B25" t="str">
            <v>MONTONG ARE</v>
          </cell>
          <cell r="D25">
            <v>1000672400</v>
          </cell>
        </row>
        <row r="26">
          <cell r="B26" t="str">
            <v>OMBE BARU</v>
          </cell>
          <cell r="D26">
            <v>1029056600</v>
          </cell>
        </row>
        <row r="27">
          <cell r="B27" t="str">
            <v>RUMAK</v>
          </cell>
          <cell r="D27">
            <v>1412420200</v>
          </cell>
        </row>
        <row r="28">
          <cell r="B28" t="str">
            <v>LEMBUAK</v>
          </cell>
          <cell r="D28">
            <v>1076508000</v>
          </cell>
        </row>
        <row r="29">
          <cell r="B29" t="str">
            <v>NYURLEMBANG</v>
          </cell>
          <cell r="D29">
            <v>1092041200</v>
          </cell>
        </row>
        <row r="30">
          <cell r="B30" t="str">
            <v>PERESAK</v>
          </cell>
          <cell r="D30">
            <v>2281577300</v>
          </cell>
        </row>
        <row r="31">
          <cell r="B31" t="str">
            <v>KERU</v>
          </cell>
          <cell r="D31">
            <v>1626299200</v>
          </cell>
        </row>
        <row r="32">
          <cell r="B32" t="str">
            <v>BATU KUTA</v>
          </cell>
          <cell r="D32">
            <v>1133182000</v>
          </cell>
        </row>
        <row r="33">
          <cell r="B33" t="str">
            <v>TANAK BEAK</v>
          </cell>
          <cell r="D33">
            <v>1368186100</v>
          </cell>
        </row>
        <row r="34">
          <cell r="B34" t="str">
            <v>SEDAU</v>
          </cell>
          <cell r="D34">
            <v>4956295800</v>
          </cell>
        </row>
        <row r="35">
          <cell r="B35" t="str">
            <v>SURANADI</v>
          </cell>
          <cell r="D35">
            <v>2609525400</v>
          </cell>
        </row>
        <row r="36">
          <cell r="B36" t="str">
            <v>SELAT</v>
          </cell>
          <cell r="D36">
            <v>1732715000</v>
          </cell>
        </row>
        <row r="37">
          <cell r="B37" t="str">
            <v>LEBAH SEMPAGE</v>
          </cell>
          <cell r="D37">
            <v>1278355200</v>
          </cell>
        </row>
        <row r="38">
          <cell r="B38" t="str">
            <v>SESAOT</v>
          </cell>
          <cell r="D38">
            <v>1610935600</v>
          </cell>
        </row>
        <row r="39">
          <cell r="B39" t="str">
            <v>DASAN TERENG</v>
          </cell>
          <cell r="D39">
            <v>1014967800</v>
          </cell>
        </row>
        <row r="40">
          <cell r="B40" t="str">
            <v>BADRAIN</v>
          </cell>
          <cell r="D40">
            <v>2615726460.6349201</v>
          </cell>
        </row>
        <row r="41">
          <cell r="B41" t="str">
            <v>SEMBUNG</v>
          </cell>
          <cell r="D41">
            <v>1363585200</v>
          </cell>
        </row>
        <row r="42">
          <cell r="B42" t="str">
            <v>KRAMA JAYA</v>
          </cell>
          <cell r="D42">
            <v>1083504600</v>
          </cell>
        </row>
        <row r="43">
          <cell r="B43" t="str">
            <v>GERIMAX INDAH</v>
          </cell>
          <cell r="D43">
            <v>1005892200</v>
          </cell>
        </row>
        <row r="44">
          <cell r="B44" t="str">
            <v>PAKUAN</v>
          </cell>
          <cell r="D44">
            <v>1176432224</v>
          </cell>
        </row>
        <row r="45">
          <cell r="B45" t="str">
            <v>GOLONG</v>
          </cell>
          <cell r="D45">
            <v>1704642200</v>
          </cell>
        </row>
        <row r="46">
          <cell r="B46" t="str">
            <v>MEKAR SARI</v>
          </cell>
          <cell r="D46">
            <v>2290815600</v>
          </cell>
        </row>
        <row r="47">
          <cell r="B47" t="str">
            <v>BUWUN SEJATI</v>
          </cell>
          <cell r="D47">
            <v>1606137600</v>
          </cell>
        </row>
        <row r="48">
          <cell r="B48" t="str">
            <v>NARMADA</v>
          </cell>
          <cell r="D48">
            <v>3394737600</v>
          </cell>
        </row>
        <row r="49">
          <cell r="B49" t="str">
            <v>SEKOTONG TENGAH</v>
          </cell>
          <cell r="D49">
            <v>9404227474</v>
          </cell>
        </row>
        <row r="50">
          <cell r="B50" t="str">
            <v>SEKOTONG BARAT</v>
          </cell>
          <cell r="D50">
            <v>1138925200</v>
          </cell>
        </row>
        <row r="51">
          <cell r="B51" t="str">
            <v>PELANGAN</v>
          </cell>
          <cell r="D51">
            <v>2249438200</v>
          </cell>
        </row>
        <row r="52">
          <cell r="B52" t="str">
            <v>BUWUN MAS</v>
          </cell>
          <cell r="D52">
            <v>5580829600</v>
          </cell>
        </row>
        <row r="53">
          <cell r="B53" t="str">
            <v>KEDARO</v>
          </cell>
          <cell r="D53">
            <v>1021603020</v>
          </cell>
        </row>
        <row r="54">
          <cell r="B54" t="str">
            <v>BATU PUTIH</v>
          </cell>
          <cell r="D54">
            <v>1074503500</v>
          </cell>
        </row>
        <row r="55">
          <cell r="B55" t="str">
            <v>GILI GEDE INDAH</v>
          </cell>
          <cell r="D55">
            <v>2034954500</v>
          </cell>
        </row>
        <row r="56">
          <cell r="B56" t="str">
            <v>CENDI MANIK</v>
          </cell>
          <cell r="D56">
            <v>1429908000</v>
          </cell>
        </row>
        <row r="57">
          <cell r="B57" t="str">
            <v>TAMAN BARU</v>
          </cell>
          <cell r="D57">
            <v>1085828036</v>
          </cell>
        </row>
        <row r="58">
          <cell r="B58" t="str">
            <v>BAGIK POLAK</v>
          </cell>
          <cell r="D58">
            <v>3148309747</v>
          </cell>
        </row>
        <row r="59">
          <cell r="B59" t="str">
            <v>BAGIK POLAK BARAT</v>
          </cell>
          <cell r="D59">
            <v>1000985200</v>
          </cell>
        </row>
        <row r="60">
          <cell r="B60" t="str">
            <v>BAJUR</v>
          </cell>
          <cell r="D60">
            <v>2288238400</v>
          </cell>
        </row>
        <row r="61">
          <cell r="B61" t="str">
            <v>BENGKEL</v>
          </cell>
          <cell r="D61">
            <v>3329136000</v>
          </cell>
        </row>
        <row r="62">
          <cell r="B62" t="str">
            <v>KARANG BONGKOT</v>
          </cell>
          <cell r="D62">
            <v>8260164800</v>
          </cell>
        </row>
        <row r="63">
          <cell r="B63" t="str">
            <v>KURANJI</v>
          </cell>
          <cell r="D63">
            <v>1240112200</v>
          </cell>
        </row>
        <row r="64">
          <cell r="B64" t="str">
            <v>KURANJI DALANG</v>
          </cell>
          <cell r="D64">
            <v>1046879650</v>
          </cell>
        </row>
        <row r="65">
          <cell r="B65" t="str">
            <v>LABUAPI</v>
          </cell>
          <cell r="D65">
            <v>2623303800</v>
          </cell>
        </row>
        <row r="66">
          <cell r="B66" t="str">
            <v>MEREMBU</v>
          </cell>
          <cell r="D66">
            <v>2731415700</v>
          </cell>
        </row>
        <row r="67">
          <cell r="B67" t="str">
            <v>PERAMPUAN</v>
          </cell>
          <cell r="D67">
            <v>1258321100</v>
          </cell>
        </row>
        <row r="68">
          <cell r="B68" t="str">
            <v>TELAGAWARU</v>
          </cell>
          <cell r="D68">
            <v>1761832100</v>
          </cell>
        </row>
        <row r="69">
          <cell r="B69" t="str">
            <v>TERONG TAWAH</v>
          </cell>
          <cell r="D69">
            <v>1334794000</v>
          </cell>
        </row>
        <row r="70">
          <cell r="B70" t="str">
            <v>BUKIT TINGGI</v>
          </cell>
          <cell r="D70">
            <v>1055373700</v>
          </cell>
        </row>
        <row r="71">
          <cell r="B71" t="str">
            <v>DOPANG</v>
          </cell>
          <cell r="D71">
            <v>2039941190</v>
          </cell>
        </row>
        <row r="72">
          <cell r="B72" t="str">
            <v>GELANGSAR</v>
          </cell>
          <cell r="D72">
            <v>1000383800</v>
          </cell>
        </row>
        <row r="73">
          <cell r="B73" t="str">
            <v>GUNTUR MACAN</v>
          </cell>
          <cell r="D73">
            <v>1406443000</v>
          </cell>
        </row>
        <row r="74">
          <cell r="B74" t="str">
            <v>GUNUNGSARI</v>
          </cell>
          <cell r="D74">
            <v>2410282570</v>
          </cell>
        </row>
        <row r="75">
          <cell r="B75" t="str">
            <v>JATISELA</v>
          </cell>
          <cell r="D75">
            <v>1404924900</v>
          </cell>
        </row>
        <row r="76">
          <cell r="B76" t="str">
            <v>JERINGO</v>
          </cell>
          <cell r="D76">
            <v>1015215100</v>
          </cell>
        </row>
        <row r="77">
          <cell r="B77" t="str">
            <v>KEKAIT</v>
          </cell>
          <cell r="D77">
            <v>2328892000</v>
          </cell>
        </row>
        <row r="78">
          <cell r="B78" t="str">
            <v>KEKERI</v>
          </cell>
          <cell r="D78">
            <v>1211648425</v>
          </cell>
        </row>
        <row r="79">
          <cell r="B79" t="str">
            <v>MAMBALAN</v>
          </cell>
          <cell r="D79">
            <v>1080953740</v>
          </cell>
        </row>
        <row r="80">
          <cell r="B80" t="str">
            <v>MEKARSARI</v>
          </cell>
          <cell r="D80">
            <v>1478774700</v>
          </cell>
        </row>
        <row r="81">
          <cell r="B81" t="str">
            <v>MIDANG</v>
          </cell>
          <cell r="D81">
            <v>1979208200</v>
          </cell>
        </row>
        <row r="82">
          <cell r="B82" t="str">
            <v>PENIMBUNG</v>
          </cell>
          <cell r="D82">
            <v>1028406200</v>
          </cell>
        </row>
        <row r="83">
          <cell r="B83" t="str">
            <v>RANJOK</v>
          </cell>
          <cell r="D83">
            <v>1049248400</v>
          </cell>
        </row>
        <row r="84">
          <cell r="B84" t="str">
            <v>SESELA</v>
          </cell>
          <cell r="D84">
            <v>11508210600</v>
          </cell>
        </row>
        <row r="85">
          <cell r="B85" t="str">
            <v>TAMANSARI</v>
          </cell>
          <cell r="D85">
            <v>2215433300</v>
          </cell>
        </row>
        <row r="86">
          <cell r="B86" t="str">
            <v>LINGSAR</v>
          </cell>
          <cell r="D86">
            <v>4931784600</v>
          </cell>
        </row>
        <row r="87">
          <cell r="B87" t="str">
            <v>BATU KUMBUNG</v>
          </cell>
          <cell r="D87">
            <v>1763731200</v>
          </cell>
        </row>
        <row r="88">
          <cell r="B88" t="str">
            <v>SIGERONGAN</v>
          </cell>
          <cell r="D88">
            <v>2766229600</v>
          </cell>
        </row>
        <row r="89">
          <cell r="B89" t="str">
            <v>DUMAN</v>
          </cell>
          <cell r="D89">
            <v>6772726900</v>
          </cell>
        </row>
        <row r="90">
          <cell r="B90" t="str">
            <v>KARANG BAYAN</v>
          </cell>
          <cell r="D90">
            <v>1128306700</v>
          </cell>
        </row>
        <row r="91">
          <cell r="B91" t="str">
            <v>LANGKO</v>
          </cell>
          <cell r="D91">
            <v>2401308400</v>
          </cell>
        </row>
        <row r="92">
          <cell r="B92" t="str">
            <v>DASAN GERIA</v>
          </cell>
          <cell r="D92">
            <v>2333611500</v>
          </cell>
        </row>
        <row r="93">
          <cell r="B93" t="str">
            <v>PETELUAN INDAH</v>
          </cell>
          <cell r="D93">
            <v>1141970400</v>
          </cell>
        </row>
        <row r="94">
          <cell r="B94" t="str">
            <v>GEGERUNG</v>
          </cell>
          <cell r="D94">
            <v>1005829424</v>
          </cell>
        </row>
        <row r="95">
          <cell r="B95" t="str">
            <v>BATU MEKAR</v>
          </cell>
          <cell r="D95">
            <v>1740821200</v>
          </cell>
        </row>
        <row r="96">
          <cell r="B96" t="str">
            <v>GIRI MADIA</v>
          </cell>
          <cell r="D96">
            <v>1019802800</v>
          </cell>
        </row>
        <row r="97">
          <cell r="B97" t="str">
            <v>BUG-BUG</v>
          </cell>
          <cell r="D97">
            <v>1019938200</v>
          </cell>
        </row>
        <row r="98">
          <cell r="B98" t="str">
            <v>GEGELANG</v>
          </cell>
          <cell r="D98">
            <v>1036926928</v>
          </cell>
        </row>
        <row r="99">
          <cell r="B99" t="str">
            <v>SARIBAYA</v>
          </cell>
          <cell r="D99">
            <v>1059053600</v>
          </cell>
        </row>
        <row r="100">
          <cell r="B100" t="str">
            <v>GONTORAN</v>
          </cell>
          <cell r="D100">
            <v>1083551100</v>
          </cell>
        </row>
        <row r="101">
          <cell r="B101" t="str">
            <v>LEMBAR</v>
          </cell>
          <cell r="D101">
            <v>2193195036</v>
          </cell>
        </row>
        <row r="102">
          <cell r="B102" t="str">
            <v>JEMBATAN KEMBAR</v>
          </cell>
          <cell r="D102">
            <v>3229477900</v>
          </cell>
        </row>
        <row r="103">
          <cell r="B103" t="str">
            <v>MAREJE</v>
          </cell>
          <cell r="D103">
            <v>1911223200</v>
          </cell>
        </row>
        <row r="104">
          <cell r="B104" t="str">
            <v>SEKOTONG TIMUR</v>
          </cell>
          <cell r="D104">
            <v>8405725363</v>
          </cell>
        </row>
        <row r="105">
          <cell r="B105" t="str">
            <v>LABUAN TERENG</v>
          </cell>
          <cell r="D105">
            <v>2243894050</v>
          </cell>
        </row>
        <row r="106">
          <cell r="B106" t="str">
            <v>JEMBATAN GANTUNG</v>
          </cell>
          <cell r="D106">
            <v>1054868400</v>
          </cell>
        </row>
        <row r="107">
          <cell r="B107" t="str">
            <v>LEMBAR SELATAN</v>
          </cell>
          <cell r="D107">
            <v>8274921780</v>
          </cell>
        </row>
        <row r="108">
          <cell r="B108" t="str">
            <v>MAREJE TIMUR</v>
          </cell>
          <cell r="D108">
            <v>1114501600</v>
          </cell>
        </row>
        <row r="109">
          <cell r="B109" t="str">
            <v>JEMBATAN KEMBAR TIMUR</v>
          </cell>
          <cell r="D109">
            <v>2401193950</v>
          </cell>
        </row>
        <row r="110">
          <cell r="B110" t="str">
            <v>EYAT MAYANG</v>
          </cell>
          <cell r="D110">
            <v>1564424400</v>
          </cell>
        </row>
        <row r="111">
          <cell r="B111" t="str">
            <v>BATULAYAR</v>
          </cell>
          <cell r="D111">
            <v>1666323013</v>
          </cell>
        </row>
        <row r="112">
          <cell r="B112" t="str">
            <v>MENINTING</v>
          </cell>
          <cell r="D112">
            <v>1409313200</v>
          </cell>
        </row>
        <row r="113">
          <cell r="B113" t="str">
            <v>SANDIK</v>
          </cell>
          <cell r="D113">
            <v>4887662300</v>
          </cell>
        </row>
        <row r="114">
          <cell r="B114" t="str">
            <v>LEMBAH SARI</v>
          </cell>
          <cell r="D114">
            <v>1147221200</v>
          </cell>
        </row>
        <row r="115">
          <cell r="B115" t="str">
            <v>SENTELUK</v>
          </cell>
          <cell r="D115">
            <v>3222438900</v>
          </cell>
        </row>
        <row r="116">
          <cell r="B116" t="str">
            <v>SENGGIGI</v>
          </cell>
          <cell r="D116">
            <v>4166738188</v>
          </cell>
        </row>
        <row r="117">
          <cell r="B117" t="str">
            <v>BENGKAUNG</v>
          </cell>
          <cell r="D117">
            <v>1098268800</v>
          </cell>
        </row>
        <row r="118">
          <cell r="B118" t="str">
            <v>PUSUK LESTARI</v>
          </cell>
          <cell r="D118">
            <v>1032402048</v>
          </cell>
        </row>
        <row r="119">
          <cell r="B119" t="str">
            <v>BATULAYAR BARAT</v>
          </cell>
          <cell r="D119">
            <v>1905804800</v>
          </cell>
        </row>
        <row r="120">
          <cell r="B120" t="str">
            <v>GIRI SASAK</v>
          </cell>
          <cell r="D120">
            <v>1244192000</v>
          </cell>
        </row>
        <row r="121">
          <cell r="B121" t="str">
            <v>JAGARAGA</v>
          </cell>
          <cell r="D121">
            <v>2010281050</v>
          </cell>
        </row>
        <row r="122">
          <cell r="B122" t="str">
            <v>KURIPAN</v>
          </cell>
          <cell r="D122">
            <v>4245425100</v>
          </cell>
        </row>
        <row r="123">
          <cell r="B123" t="str">
            <v>KURIPAN SELATAN</v>
          </cell>
          <cell r="D123">
            <v>1167245024</v>
          </cell>
        </row>
        <row r="124">
          <cell r="B124" t="str">
            <v>KURIPAN TIMUR</v>
          </cell>
          <cell r="D124">
            <v>1333701800</v>
          </cell>
        </row>
        <row r="125">
          <cell r="B125" t="str">
            <v>KURIPAN UTARA</v>
          </cell>
          <cell r="D125">
            <v>10349192000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678" displayName="Table13678" ref="A1:X1358" totalsRowShown="0">
  <autoFilter ref="A1:X1358" xr:uid="{00000000-000C-0000-FFFF-FFFF00000000}">
    <filterColumn colId="11">
      <filters>
        <filter val="BATULAYAR"/>
      </filters>
    </filterColumn>
    <filterColumn colId="23">
      <filters>
        <filter val="Sosial, Kelembagaan dan Lingkungan (Kapasitas Pemdes, Karang taruna, Perlindungan Sosial Komunitas)"/>
      </filters>
    </filterColumn>
  </autoFilter>
  <tableColumns count="24">
    <tableColumn id="1" xr3:uid="{00000000-0010-0000-0000-000001000000}" name="NO"/>
    <tableColumn id="2" xr3:uid="{00000000-0010-0000-0000-000002000000}" name="AKSI PRIORITAS"/>
    <tableColumn id="3" xr3:uid="{00000000-0010-0000-0000-000003000000}" name="PERANGKAT DAERAH" dataDxfId="20"/>
    <tableColumn id="4" xr3:uid="{00000000-0010-0000-0000-000004000000}" name="PROGRAM" dataDxfId="19"/>
    <tableColumn id="5" xr3:uid="{00000000-0010-0000-0000-000005000000}" name="KEGIATAN" dataDxfId="18"/>
    <tableColumn id="6" xr3:uid="{00000000-0010-0000-0000-000006000000}" name="SUB KEGIATAN" dataDxfId="17"/>
    <tableColumn id="7" xr3:uid="{00000000-0010-0000-0000-000007000000}" name="PEKERJAAN" dataDxfId="16"/>
    <tableColumn id="8" xr3:uid="{00000000-0010-0000-0000-000008000000}" name="PAGU ANGGARAN"/>
    <tableColumn id="9" xr3:uid="{00000000-0010-0000-0000-000009000000}" name="KODE DESA" dataDxfId="15"/>
    <tableColumn id="10" xr3:uid="{00000000-0010-0000-0000-00000A000000}" name="DESA /KELURAHAN" dataDxfId="14"/>
    <tableColumn id="11" xr3:uid="{00000000-0010-0000-0000-00000B000000}" name="KODE KECAMATAN" dataDxfId="13"/>
    <tableColumn id="12" xr3:uid="{00000000-0010-0000-0000-00000C000000}" name="KECAMATAN" dataDxfId="12"/>
    <tableColumn id="13" xr3:uid="{00000000-0010-0000-0000-00000D000000}" name="LUAS " dataDxfId="11"/>
    <tableColumn id="14" xr3:uid="{00000000-0010-0000-0000-00000E000000}" name="PENDUDUK" dataDxfId="10">
      <calculatedColumnFormula>VLOOKUP(J2,[1]Sheet1!$C:$D,2,FALSE)</calculatedColumnFormula>
    </tableColumn>
    <tableColumn id="15" xr3:uid="{00000000-0010-0000-0000-00000F000000}" name="JUMLAH ANGKA KEMISKINANAN" dataDxfId="9">
      <calculatedColumnFormula>VLOOKUP(J2,[2]Desa!$A:$D,4,FALSE)</calculatedColumnFormula>
    </tableColumn>
    <tableColumn id="16" xr3:uid="{00000000-0010-0000-0000-000010000000}" name="JUMLAH ANGKA STUNTING" dataDxfId="8">
      <calculatedColumnFormula>VLOOKUP(J2,[3]Sheet1!$D:$F,3,FALSE)</calculatedColumnFormula>
    </tableColumn>
    <tableColumn id="17" xr3:uid="{00000000-0010-0000-0000-000011000000}" name="POTENSI DESA" dataDxfId="7"/>
    <tableColumn id="18" xr3:uid="{00000000-0010-0000-0000-000012000000}" name="STRATA DESA" dataDxfId="6"/>
    <tableColumn id="19" xr3:uid="{00000000-0010-0000-0000-000013000000}" name="LATITUDE" dataDxfId="5"/>
    <tableColumn id="20" xr3:uid="{00000000-0010-0000-0000-000014000000}" name="LONGITUDE" dataDxfId="4"/>
    <tableColumn id="21" xr3:uid="{E40A1021-CCC7-462B-A446-EBA74D95B9B0}" name="PAGU SEMULA" dataDxfId="3"/>
    <tableColumn id="22" xr3:uid="{2EB48ABA-27F8-4ABB-873F-108C45EDEDB6}" name="PENURUNAN" dataDxfId="2">
      <calculatedColumnFormula>Table13678[[#This Row],[PAGU SEMULA]]-Table13678[[#This Row],[PAGU ANGGARAN]]</calculatedColumnFormula>
    </tableColumn>
    <tableColumn id="23" xr3:uid="{45A5794E-19B1-4B38-AC0F-249B3FF3E758}" name="Column1" dataDxfId="1">
      <calculatedColumnFormula>Table13678[[#This Row],[PAGU SEMULA]]-Table13678[[#This Row],[PAGU ANGGARAN]]</calculatedColumnFormula>
    </tableColumn>
    <tableColumn id="24" xr3:uid="{87CCA179-733E-44E9-8404-4C8157BCE9C3}" name="PILAR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1377"/>
  <sheetViews>
    <sheetView tabSelected="1" topLeftCell="C1" zoomScaleNormal="100" workbookViewId="0">
      <pane ySplit="1" topLeftCell="A2" activePane="bottomLeft" state="frozen"/>
      <selection activeCell="G1" sqref="G1"/>
      <selection pane="bottomLeft" activeCell="S1380" sqref="S1380"/>
    </sheetView>
  </sheetViews>
  <sheetFormatPr defaultColWidth="9" defaultRowHeight="14.5"/>
  <cols>
    <col min="1" max="1" width="0" hidden="1" customWidth="1"/>
    <col min="2" max="2" width="16.6328125" hidden="1" customWidth="1"/>
    <col min="3" max="3" width="28.08984375" customWidth="1"/>
    <col min="4" max="4" width="60.6328125" customWidth="1"/>
    <col min="5" max="5" width="21.90625" customWidth="1"/>
    <col min="6" max="6" width="62.08984375" customWidth="1"/>
    <col min="7" max="7" width="40" customWidth="1"/>
    <col min="8" max="8" width="22.90625" style="24" customWidth="1"/>
    <col min="9" max="9" width="18.90625" style="4" customWidth="1"/>
    <col min="10" max="10" width="20.36328125" customWidth="1"/>
    <col min="11" max="11" width="21.08984375" style="4" customWidth="1"/>
    <col min="12" max="12" width="18.1796875" customWidth="1"/>
    <col min="13" max="13" width="9.6328125" customWidth="1"/>
    <col min="14" max="14" width="15.6328125" customWidth="1"/>
    <col min="15" max="15" width="34.54296875" customWidth="1"/>
    <col min="16" max="16" width="31.1796875" customWidth="1"/>
    <col min="17" max="18" width="20.453125" customWidth="1"/>
    <col min="19" max="19" width="14.90625" style="5" customWidth="1"/>
    <col min="20" max="20" width="18.6328125" style="5" customWidth="1"/>
    <col min="21" max="21" width="20.08984375" customWidth="1"/>
    <col min="22" max="22" width="17.1796875" customWidth="1"/>
    <col min="23" max="23" width="15.81640625" customWidth="1"/>
    <col min="24" max="24" width="52.6328125" customWidth="1"/>
  </cols>
  <sheetData>
    <row r="1" spans="1:24" s="1" customFormat="1" ht="27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21" t="s">
        <v>7</v>
      </c>
      <c r="I1" s="9" t="s">
        <v>8</v>
      </c>
      <c r="J1" s="9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1" t="s">
        <v>18</v>
      </c>
      <c r="T1" s="11" t="s">
        <v>19</v>
      </c>
      <c r="U1" s="59" t="s">
        <v>957</v>
      </c>
      <c r="V1" s="1" t="s">
        <v>956</v>
      </c>
      <c r="W1" s="1" t="s">
        <v>955</v>
      </c>
      <c r="X1" s="126" t="s">
        <v>994</v>
      </c>
    </row>
    <row r="2" spans="1:24" hidden="1">
      <c r="C2" s="7" t="s">
        <v>20</v>
      </c>
      <c r="D2" s="7" t="s">
        <v>21</v>
      </c>
      <c r="E2" s="7" t="s">
        <v>22</v>
      </c>
      <c r="F2" s="7" t="s">
        <v>23</v>
      </c>
      <c r="G2" s="71" t="s">
        <v>24</v>
      </c>
      <c r="H2" s="15">
        <v>20160000</v>
      </c>
      <c r="I2" s="10" t="s">
        <v>25</v>
      </c>
      <c r="J2" s="7" t="s">
        <v>26</v>
      </c>
      <c r="K2" s="10" t="s">
        <v>27</v>
      </c>
      <c r="L2" s="7" t="s">
        <v>28</v>
      </c>
      <c r="M2" s="7"/>
      <c r="N2" s="7">
        <f>VLOOKUP(J2,[1]Sheet1!$C:$D,2,FALSE)</f>
        <v>9709</v>
      </c>
      <c r="O2" s="7">
        <f>VLOOKUP(J2,[2]Desa!$A:$D,4,FALSE)</f>
        <v>464</v>
      </c>
      <c r="P2" s="7">
        <f>VLOOKUP(J2,[3]Sheet1!$D:$F,3,FALSE)</f>
        <v>68</v>
      </c>
      <c r="Q2" s="7"/>
      <c r="R2" s="7"/>
      <c r="S2" s="12">
        <v>-8.6721336240000007</v>
      </c>
      <c r="T2" s="12">
        <v>116.1502852</v>
      </c>
      <c r="U2" s="7"/>
      <c r="V2" s="50">
        <f>Table13678[[#This Row],[PAGU SEMULA]]-Table13678[[#This Row],[PAGU ANGGARAN]]</f>
        <v>-20160000</v>
      </c>
      <c r="W2" s="50">
        <f>Table13678[[#This Row],[PAGU SEMULA]]-Table13678[[#This Row],[PAGU ANGGARAN]]</f>
        <v>-20160000</v>
      </c>
      <c r="X2" t="s">
        <v>984</v>
      </c>
    </row>
    <row r="3" spans="1:24" hidden="1"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8">
        <v>633360000</v>
      </c>
      <c r="I3" s="10" t="s">
        <v>25</v>
      </c>
      <c r="J3" s="7" t="s">
        <v>26</v>
      </c>
      <c r="K3" s="10" t="s">
        <v>27</v>
      </c>
      <c r="L3" s="7" t="s">
        <v>28</v>
      </c>
      <c r="M3" s="7"/>
      <c r="N3" s="7">
        <f>VLOOKUP(J3,[1]Sheet1!$C:$D,2,FALSE)</f>
        <v>9709</v>
      </c>
      <c r="O3" s="7">
        <f>VLOOKUP(J3,[2]Desa!$A:$D,4,FALSE)</f>
        <v>464</v>
      </c>
      <c r="P3" s="7">
        <f>VLOOKUP(J3,[3]Sheet1!$D:$F,3,FALSE)</f>
        <v>68</v>
      </c>
      <c r="Q3" s="7"/>
      <c r="R3" s="7"/>
      <c r="S3" s="12">
        <v>-8.6721336240000007</v>
      </c>
      <c r="T3" s="12">
        <v>116.1502852</v>
      </c>
      <c r="U3" s="7"/>
      <c r="V3" s="50">
        <f>Table13678[[#This Row],[PAGU SEMULA]]-Table13678[[#This Row],[PAGU ANGGARAN]]</f>
        <v>-633360000</v>
      </c>
      <c r="W3" s="50">
        <f>Table13678[[#This Row],[PAGU SEMULA]]-Table13678[[#This Row],[PAGU ANGGARAN]]</f>
        <v>-633360000</v>
      </c>
      <c r="X3" t="s">
        <v>984</v>
      </c>
    </row>
    <row r="4" spans="1:24" hidden="1">
      <c r="C4" s="7" t="s">
        <v>29</v>
      </c>
      <c r="D4" s="7" t="s">
        <v>30</v>
      </c>
      <c r="E4" s="7" t="s">
        <v>31</v>
      </c>
      <c r="F4" s="7" t="s">
        <v>32</v>
      </c>
      <c r="G4" s="7" t="s">
        <v>34</v>
      </c>
      <c r="H4" s="8">
        <v>50668800</v>
      </c>
      <c r="I4" s="10" t="s">
        <v>25</v>
      </c>
      <c r="J4" s="7" t="s">
        <v>26</v>
      </c>
      <c r="K4" s="10" t="s">
        <v>27</v>
      </c>
      <c r="L4" s="7" t="s">
        <v>28</v>
      </c>
      <c r="M4" s="7"/>
      <c r="N4" s="7">
        <f>VLOOKUP(J4,[1]Sheet1!$C:$D,2,FALSE)</f>
        <v>9709</v>
      </c>
      <c r="O4" s="7">
        <f>VLOOKUP(J4,[2]Desa!$A:$D,4,FALSE)</f>
        <v>464</v>
      </c>
      <c r="P4" s="7">
        <f>VLOOKUP(J4,[3]Sheet1!$D:$F,3,FALSE)</f>
        <v>68</v>
      </c>
      <c r="Q4" s="7"/>
      <c r="R4" s="7"/>
      <c r="S4" s="12">
        <v>-8.6721336240000007</v>
      </c>
      <c r="T4" s="12">
        <v>116.1502852</v>
      </c>
      <c r="U4" s="7"/>
      <c r="V4" s="50">
        <f>Table13678[[#This Row],[PAGU SEMULA]]-Table13678[[#This Row],[PAGU ANGGARAN]]</f>
        <v>-50668800</v>
      </c>
      <c r="W4" s="50">
        <f>Table13678[[#This Row],[PAGU SEMULA]]-Table13678[[#This Row],[PAGU ANGGARAN]]</f>
        <v>-50668800</v>
      </c>
      <c r="X4" t="s">
        <v>984</v>
      </c>
    </row>
    <row r="5" spans="1:24" hidden="1">
      <c r="C5" s="7" t="s">
        <v>35</v>
      </c>
      <c r="D5" s="7" t="s">
        <v>36</v>
      </c>
      <c r="E5" s="7" t="s">
        <v>37</v>
      </c>
      <c r="F5" s="7" t="s">
        <v>38</v>
      </c>
      <c r="G5" s="7" t="s">
        <v>39</v>
      </c>
      <c r="H5" s="15">
        <v>75000000</v>
      </c>
      <c r="I5" s="10" t="s">
        <v>25</v>
      </c>
      <c r="J5" s="7" t="s">
        <v>26</v>
      </c>
      <c r="K5" s="10" t="s">
        <v>27</v>
      </c>
      <c r="L5" s="7" t="s">
        <v>28</v>
      </c>
      <c r="M5" s="7"/>
      <c r="N5" s="7">
        <f>VLOOKUP(J5,[1]Sheet1!$C:$D,2,FALSE)</f>
        <v>9709</v>
      </c>
      <c r="O5" s="7">
        <f>VLOOKUP(J5,[2]Desa!$A:$D,4,FALSE)</f>
        <v>464</v>
      </c>
      <c r="P5" s="7">
        <f>VLOOKUP(J5,[3]Sheet1!$D:$F,3,FALSE)</f>
        <v>68</v>
      </c>
      <c r="Q5" s="7"/>
      <c r="R5" s="7"/>
      <c r="S5" s="12">
        <v>-8.6721336240000007</v>
      </c>
      <c r="T5" s="12">
        <v>116.1502852</v>
      </c>
      <c r="U5" s="7"/>
      <c r="V5" s="50">
        <f>Table13678[[#This Row],[PAGU SEMULA]]-Table13678[[#This Row],[PAGU ANGGARAN]]</f>
        <v>-75000000</v>
      </c>
      <c r="W5" s="50">
        <f>Table13678[[#This Row],[PAGU SEMULA]]-Table13678[[#This Row],[PAGU ANGGARAN]]</f>
        <v>-75000000</v>
      </c>
      <c r="X5" t="s">
        <v>984</v>
      </c>
    </row>
    <row r="6" spans="1:24" hidden="1">
      <c r="C6" s="7" t="s">
        <v>35</v>
      </c>
      <c r="D6" s="7" t="s">
        <v>36</v>
      </c>
      <c r="E6" s="7" t="s">
        <v>37</v>
      </c>
      <c r="F6" s="7" t="s">
        <v>40</v>
      </c>
      <c r="G6" s="7" t="s">
        <v>41</v>
      </c>
      <c r="H6" s="15">
        <v>135000000</v>
      </c>
      <c r="I6" s="10" t="s">
        <v>25</v>
      </c>
      <c r="J6" s="7" t="s">
        <v>26</v>
      </c>
      <c r="K6" s="10" t="s">
        <v>27</v>
      </c>
      <c r="L6" s="7" t="s">
        <v>28</v>
      </c>
      <c r="M6" s="7"/>
      <c r="N6" s="7">
        <f>VLOOKUP(J6,[1]Sheet1!$C:$D,2,FALSE)</f>
        <v>9709</v>
      </c>
      <c r="O6" s="7">
        <f>VLOOKUP(J6,[2]Desa!$A:$D,4,FALSE)</f>
        <v>464</v>
      </c>
      <c r="P6" s="7">
        <f>VLOOKUP(J6,[3]Sheet1!$D:$F,3,FALSE)</f>
        <v>68</v>
      </c>
      <c r="Q6" s="7"/>
      <c r="R6" s="7"/>
      <c r="S6" s="12">
        <v>-8.6721336240000007</v>
      </c>
      <c r="T6" s="12">
        <v>116.1502852</v>
      </c>
      <c r="U6" s="7"/>
      <c r="V6" s="50">
        <f>Table13678[[#This Row],[PAGU SEMULA]]-Table13678[[#This Row],[PAGU ANGGARAN]]</f>
        <v>-135000000</v>
      </c>
      <c r="W6" s="50">
        <f>Table13678[[#This Row],[PAGU SEMULA]]-Table13678[[#This Row],[PAGU ANGGARAN]]</f>
        <v>-135000000</v>
      </c>
      <c r="X6" t="s">
        <v>986</v>
      </c>
    </row>
    <row r="7" spans="1:24" hidden="1">
      <c r="C7" s="7" t="s">
        <v>35</v>
      </c>
      <c r="D7" s="7" t="s">
        <v>42</v>
      </c>
      <c r="E7" s="7" t="s">
        <v>43</v>
      </c>
      <c r="F7" s="7" t="s">
        <v>44</v>
      </c>
      <c r="G7" s="7" t="s">
        <v>45</v>
      </c>
      <c r="H7" s="15">
        <v>90000000</v>
      </c>
      <c r="I7" s="10" t="s">
        <v>25</v>
      </c>
      <c r="J7" s="7" t="s">
        <v>26</v>
      </c>
      <c r="K7" s="10" t="s">
        <v>27</v>
      </c>
      <c r="L7" s="7" t="s">
        <v>28</v>
      </c>
      <c r="M7" s="7"/>
      <c r="N7" s="7">
        <f>VLOOKUP(J7,[1]Sheet1!$C:$D,2,FALSE)</f>
        <v>9709</v>
      </c>
      <c r="O7" s="7">
        <f>VLOOKUP(J7,[2]Desa!$A:$D,4,FALSE)</f>
        <v>464</v>
      </c>
      <c r="P7" s="7">
        <f>VLOOKUP(J7,[3]Sheet1!$D:$F,3,FALSE)</f>
        <v>68</v>
      </c>
      <c r="Q7" s="7"/>
      <c r="R7" s="7"/>
      <c r="S7" s="12">
        <v>-8.6721336240000007</v>
      </c>
      <c r="T7" s="12">
        <v>116.1502852</v>
      </c>
      <c r="U7" s="7"/>
      <c r="V7" s="50">
        <f>Table13678[[#This Row],[PAGU SEMULA]]-Table13678[[#This Row],[PAGU ANGGARAN]]</f>
        <v>-90000000</v>
      </c>
      <c r="W7" s="50">
        <f>Table13678[[#This Row],[PAGU SEMULA]]-Table13678[[#This Row],[PAGU ANGGARAN]]</f>
        <v>-90000000</v>
      </c>
      <c r="X7" t="s">
        <v>986</v>
      </c>
    </row>
    <row r="8" spans="1:24" hidden="1">
      <c r="C8" s="7" t="s">
        <v>46</v>
      </c>
      <c r="D8" s="7" t="s">
        <v>47</v>
      </c>
      <c r="E8" s="7" t="s">
        <v>48</v>
      </c>
      <c r="F8" s="7" t="s">
        <v>49</v>
      </c>
      <c r="G8" s="71" t="s">
        <v>50</v>
      </c>
      <c r="H8" s="8">
        <v>27000000</v>
      </c>
      <c r="I8" s="10" t="s">
        <v>25</v>
      </c>
      <c r="J8" s="7" t="s">
        <v>26</v>
      </c>
      <c r="K8" s="10" t="s">
        <v>27</v>
      </c>
      <c r="L8" s="7" t="s">
        <v>28</v>
      </c>
      <c r="M8" s="7"/>
      <c r="N8" s="7">
        <f>VLOOKUP(J8,[1]Sheet1!$C:$D,2,FALSE)</f>
        <v>9709</v>
      </c>
      <c r="O8" s="7">
        <f>VLOOKUP(J8,[2]Desa!$A:$D,4,FALSE)</f>
        <v>464</v>
      </c>
      <c r="P8" s="7">
        <f>VLOOKUP(J8,[3]Sheet1!$D:$F,3,FALSE)</f>
        <v>68</v>
      </c>
      <c r="Q8" s="7"/>
      <c r="R8" s="7"/>
      <c r="S8" s="12">
        <v>-8.6721336240000007</v>
      </c>
      <c r="T8" s="12">
        <v>116.1502852</v>
      </c>
      <c r="U8" s="7"/>
      <c r="V8" s="50">
        <f>Table13678[[#This Row],[PAGU SEMULA]]-Table13678[[#This Row],[PAGU ANGGARAN]]</f>
        <v>-27000000</v>
      </c>
      <c r="W8" s="50">
        <f>Table13678[[#This Row],[PAGU SEMULA]]-Table13678[[#This Row],[PAGU ANGGARAN]]</f>
        <v>-27000000</v>
      </c>
      <c r="X8" t="s">
        <v>987</v>
      </c>
    </row>
    <row r="9" spans="1:24" hidden="1">
      <c r="C9" s="7" t="s">
        <v>51</v>
      </c>
      <c r="D9" s="7" t="s">
        <v>52</v>
      </c>
      <c r="E9" s="7" t="s">
        <v>53</v>
      </c>
      <c r="F9" s="7" t="s">
        <v>54</v>
      </c>
      <c r="G9" s="7" t="s">
        <v>55</v>
      </c>
      <c r="H9" s="8">
        <v>380090000</v>
      </c>
      <c r="I9" s="10" t="s">
        <v>25</v>
      </c>
      <c r="J9" s="7" t="s">
        <v>26</v>
      </c>
      <c r="K9" s="10" t="s">
        <v>27</v>
      </c>
      <c r="L9" s="7" t="s">
        <v>28</v>
      </c>
      <c r="M9" s="7"/>
      <c r="N9" s="7">
        <f>VLOOKUP(J9,[1]Sheet1!$C:$D,2,FALSE)</f>
        <v>9709</v>
      </c>
      <c r="O9" s="7">
        <f>VLOOKUP(J9,[2]Desa!$A:$D,4,FALSE)</f>
        <v>464</v>
      </c>
      <c r="P9" s="7">
        <f>VLOOKUP(J9,[3]Sheet1!$D:$F,3,FALSE)</f>
        <v>68</v>
      </c>
      <c r="Q9" s="7"/>
      <c r="R9" s="7"/>
      <c r="S9" s="12">
        <v>-8.6721336240000007</v>
      </c>
      <c r="T9" s="12">
        <v>116.1502852</v>
      </c>
      <c r="U9" s="7"/>
      <c r="V9" s="50">
        <f>Table13678[[#This Row],[PAGU SEMULA]]-Table13678[[#This Row],[PAGU ANGGARAN]]</f>
        <v>-380090000</v>
      </c>
      <c r="W9" s="50">
        <f>Table13678[[#This Row],[PAGU SEMULA]]-Table13678[[#This Row],[PAGU ANGGARAN]]</f>
        <v>-380090000</v>
      </c>
      <c r="X9" t="s">
        <v>986</v>
      </c>
    </row>
    <row r="10" spans="1:24" hidden="1">
      <c r="C10" s="7" t="s">
        <v>51</v>
      </c>
      <c r="D10" s="7" t="s">
        <v>52</v>
      </c>
      <c r="E10" s="7" t="s">
        <v>53</v>
      </c>
      <c r="F10" s="7" t="s">
        <v>54</v>
      </c>
      <c r="G10" s="7" t="s">
        <v>55</v>
      </c>
      <c r="H10" s="8">
        <v>189090000</v>
      </c>
      <c r="I10" s="10" t="s">
        <v>25</v>
      </c>
      <c r="J10" s="7" t="s">
        <v>26</v>
      </c>
      <c r="K10" s="10" t="s">
        <v>27</v>
      </c>
      <c r="L10" s="7" t="s">
        <v>28</v>
      </c>
      <c r="M10" s="7"/>
      <c r="N10" s="7">
        <f>VLOOKUP(J10,[1]Sheet1!$C:$D,2,FALSE)</f>
        <v>9709</v>
      </c>
      <c r="O10" s="7">
        <f>VLOOKUP(J10,[2]Desa!$A:$D,4,FALSE)</f>
        <v>464</v>
      </c>
      <c r="P10" s="7">
        <f>VLOOKUP(J10,[3]Sheet1!$D:$F,3,FALSE)</f>
        <v>68</v>
      </c>
      <c r="Q10" s="7"/>
      <c r="R10" s="7"/>
      <c r="S10" s="12">
        <v>-8.6721336240000007</v>
      </c>
      <c r="T10" s="12">
        <v>116.1502852</v>
      </c>
      <c r="U10" s="7"/>
      <c r="V10" s="50">
        <f>Table13678[[#This Row],[PAGU SEMULA]]-Table13678[[#This Row],[PAGU ANGGARAN]]</f>
        <v>-189090000</v>
      </c>
      <c r="W10" s="50">
        <f>Table13678[[#This Row],[PAGU SEMULA]]-Table13678[[#This Row],[PAGU ANGGARAN]]</f>
        <v>-189090000</v>
      </c>
      <c r="X10" t="s">
        <v>986</v>
      </c>
    </row>
    <row r="11" spans="1:24" hidden="1">
      <c r="C11" s="7" t="s">
        <v>51</v>
      </c>
      <c r="D11" s="7" t="s">
        <v>52</v>
      </c>
      <c r="E11" s="7" t="s">
        <v>53</v>
      </c>
      <c r="F11" s="7" t="s">
        <v>54</v>
      </c>
      <c r="G11" s="7" t="s">
        <v>55</v>
      </c>
      <c r="H11" s="8">
        <v>94545000</v>
      </c>
      <c r="I11" s="10" t="s">
        <v>25</v>
      </c>
      <c r="J11" s="7" t="s">
        <v>26</v>
      </c>
      <c r="K11" s="10" t="s">
        <v>27</v>
      </c>
      <c r="L11" s="7" t="s">
        <v>28</v>
      </c>
      <c r="M11" s="7"/>
      <c r="N11" s="7">
        <f>VLOOKUP(J11,[1]Sheet1!$C:$D,2,FALSE)</f>
        <v>9709</v>
      </c>
      <c r="O11" s="7">
        <f>VLOOKUP(J11,[2]Desa!$A:$D,4,FALSE)</f>
        <v>464</v>
      </c>
      <c r="P11" s="7">
        <f>VLOOKUP(J11,[3]Sheet1!$D:$F,3,FALSE)</f>
        <v>68</v>
      </c>
      <c r="Q11" s="7"/>
      <c r="R11" s="7"/>
      <c r="S11" s="12">
        <v>-8.6721336240000007</v>
      </c>
      <c r="T11" s="12">
        <v>116.1502852</v>
      </c>
      <c r="U11" s="7"/>
      <c r="V11" s="50">
        <f>Table13678[[#This Row],[PAGU SEMULA]]-Table13678[[#This Row],[PAGU ANGGARAN]]</f>
        <v>-94545000</v>
      </c>
      <c r="W11" s="50">
        <f>Table13678[[#This Row],[PAGU SEMULA]]-Table13678[[#This Row],[PAGU ANGGARAN]]</f>
        <v>-94545000</v>
      </c>
      <c r="X11" t="s">
        <v>986</v>
      </c>
    </row>
    <row r="12" spans="1:24" hidden="1">
      <c r="C12" s="7" t="s">
        <v>29</v>
      </c>
      <c r="D12" s="7" t="s">
        <v>30</v>
      </c>
      <c r="E12" s="7" t="s">
        <v>31</v>
      </c>
      <c r="F12" s="7" t="s">
        <v>32</v>
      </c>
      <c r="G12" s="7" t="s">
        <v>33</v>
      </c>
      <c r="H12" s="8">
        <v>270480000</v>
      </c>
      <c r="I12" s="10" t="s">
        <v>56</v>
      </c>
      <c r="J12" s="7" t="s">
        <v>57</v>
      </c>
      <c r="K12" s="10" t="s">
        <v>58</v>
      </c>
      <c r="L12" s="7" t="s">
        <v>59</v>
      </c>
      <c r="M12" s="7"/>
      <c r="N12" s="7">
        <f>VLOOKUP(J12,[1]Sheet1!$C:$D,2,FALSE)</f>
        <v>4859</v>
      </c>
      <c r="O12" s="7">
        <f>VLOOKUP(J12,[2]Desa!$A:$D,4,FALSE)</f>
        <v>185</v>
      </c>
      <c r="P12" s="7">
        <f>VLOOKUP(J12,[3]Sheet1!$D:$F,3,FALSE)</f>
        <v>48</v>
      </c>
      <c r="Q12" s="7"/>
      <c r="R12" s="7"/>
      <c r="S12" s="12">
        <v>-8.6147753598164805</v>
      </c>
      <c r="T12" s="12">
        <v>116.17300186435099</v>
      </c>
      <c r="U12" s="7"/>
      <c r="V12" s="50">
        <f>Table13678[[#This Row],[PAGU SEMULA]]-Table13678[[#This Row],[PAGU ANGGARAN]]</f>
        <v>-270480000</v>
      </c>
      <c r="W12" s="50">
        <f>Table13678[[#This Row],[PAGU SEMULA]]-Table13678[[#This Row],[PAGU ANGGARAN]]</f>
        <v>-270480000</v>
      </c>
      <c r="X12" t="s">
        <v>984</v>
      </c>
    </row>
    <row r="13" spans="1:24" hidden="1">
      <c r="C13" s="7" t="s">
        <v>29</v>
      </c>
      <c r="D13" s="7" t="s">
        <v>30</v>
      </c>
      <c r="E13" s="7" t="s">
        <v>31</v>
      </c>
      <c r="F13" s="7" t="s">
        <v>32</v>
      </c>
      <c r="G13" s="7" t="s">
        <v>34</v>
      </c>
      <c r="H13" s="8">
        <v>21638400</v>
      </c>
      <c r="I13" s="10" t="s">
        <v>56</v>
      </c>
      <c r="J13" s="7" t="s">
        <v>57</v>
      </c>
      <c r="K13" s="10" t="s">
        <v>58</v>
      </c>
      <c r="L13" s="7" t="s">
        <v>59</v>
      </c>
      <c r="M13" s="7"/>
      <c r="N13" s="7">
        <f>VLOOKUP(J13,[1]Sheet1!$C:$D,2,FALSE)</f>
        <v>4859</v>
      </c>
      <c r="O13" s="7">
        <f>VLOOKUP(J13,[2]Desa!$A:$D,4,FALSE)</f>
        <v>185</v>
      </c>
      <c r="P13" s="7">
        <f>VLOOKUP(J13,[3]Sheet1!$D:$F,3,FALSE)</f>
        <v>48</v>
      </c>
      <c r="Q13" s="7"/>
      <c r="R13" s="7"/>
      <c r="S13" s="12">
        <v>-8.6147753598164805</v>
      </c>
      <c r="T13" s="12">
        <v>116.17300186435099</v>
      </c>
      <c r="U13" s="7"/>
      <c r="V13" s="50">
        <f>Table13678[[#This Row],[PAGU SEMULA]]-Table13678[[#This Row],[PAGU ANGGARAN]]</f>
        <v>-21638400</v>
      </c>
      <c r="W13" s="50">
        <f>Table13678[[#This Row],[PAGU SEMULA]]-Table13678[[#This Row],[PAGU ANGGARAN]]</f>
        <v>-21638400</v>
      </c>
      <c r="X13" t="s">
        <v>984</v>
      </c>
    </row>
    <row r="14" spans="1:24" hidden="1">
      <c r="C14" s="7" t="s">
        <v>60</v>
      </c>
      <c r="D14" s="7" t="s">
        <v>61</v>
      </c>
      <c r="E14" s="7" t="s">
        <v>62</v>
      </c>
      <c r="F14" s="7" t="s">
        <v>63</v>
      </c>
      <c r="G14" s="71" t="s">
        <v>64</v>
      </c>
      <c r="H14" s="15">
        <v>0</v>
      </c>
      <c r="I14" s="10" t="s">
        <v>56</v>
      </c>
      <c r="J14" s="7" t="s">
        <v>57</v>
      </c>
      <c r="K14" s="10" t="s">
        <v>58</v>
      </c>
      <c r="L14" s="7" t="s">
        <v>59</v>
      </c>
      <c r="M14" s="7"/>
      <c r="N14" s="7">
        <f>VLOOKUP(J14,[1]Sheet1!$C:$D,2,FALSE)</f>
        <v>4859</v>
      </c>
      <c r="O14" s="7">
        <f>VLOOKUP(J14,[2]Desa!$A:$D,4,FALSE)</f>
        <v>185</v>
      </c>
      <c r="P14" s="7">
        <f>VLOOKUP(J14,[3]Sheet1!$D:$F,3,FALSE)</f>
        <v>48</v>
      </c>
      <c r="Q14" s="7"/>
      <c r="R14" s="7"/>
      <c r="S14" s="12">
        <v>-8.6147753598164805</v>
      </c>
      <c r="T14" s="12">
        <v>116.17300186435099</v>
      </c>
      <c r="U14" s="7"/>
      <c r="V14" s="50">
        <f>Table13678[[#This Row],[PAGU SEMULA]]-Table13678[[#This Row],[PAGU ANGGARAN]]</f>
        <v>0</v>
      </c>
      <c r="W14" s="50">
        <f>Table13678[[#This Row],[PAGU SEMULA]]-Table13678[[#This Row],[PAGU ANGGARAN]]</f>
        <v>0</v>
      </c>
      <c r="X14" t="s">
        <v>987</v>
      </c>
    </row>
    <row r="15" spans="1:24" hidden="1">
      <c r="C15" s="7" t="s">
        <v>35</v>
      </c>
      <c r="D15" s="7" t="s">
        <v>36</v>
      </c>
      <c r="E15" s="7" t="s">
        <v>37</v>
      </c>
      <c r="F15" s="7" t="s">
        <v>38</v>
      </c>
      <c r="G15" s="7" t="s">
        <v>39</v>
      </c>
      <c r="H15" s="15">
        <v>75000000</v>
      </c>
      <c r="I15" s="10" t="s">
        <v>56</v>
      </c>
      <c r="J15" s="7" t="s">
        <v>57</v>
      </c>
      <c r="K15" s="10" t="s">
        <v>58</v>
      </c>
      <c r="L15" s="7" t="s">
        <v>59</v>
      </c>
      <c r="M15" s="7"/>
      <c r="N15" s="7">
        <f>VLOOKUP(J15,[1]Sheet1!$C:$D,2,FALSE)</f>
        <v>4859</v>
      </c>
      <c r="O15" s="7">
        <f>VLOOKUP(J15,[2]Desa!$A:$D,4,FALSE)</f>
        <v>185</v>
      </c>
      <c r="P15" s="7">
        <f>VLOOKUP(J15,[3]Sheet1!$D:$F,3,FALSE)</f>
        <v>48</v>
      </c>
      <c r="Q15" s="7"/>
      <c r="R15" s="7"/>
      <c r="S15" s="12">
        <v>-8.6147753598164805</v>
      </c>
      <c r="T15" s="12">
        <v>116.17300186435099</v>
      </c>
      <c r="U15" s="7"/>
      <c r="V15" s="50">
        <f>Table13678[[#This Row],[PAGU SEMULA]]-Table13678[[#This Row],[PAGU ANGGARAN]]</f>
        <v>-75000000</v>
      </c>
      <c r="W15" s="50">
        <f>Table13678[[#This Row],[PAGU SEMULA]]-Table13678[[#This Row],[PAGU ANGGARAN]]</f>
        <v>-75000000</v>
      </c>
      <c r="X15" t="s">
        <v>984</v>
      </c>
    </row>
    <row r="16" spans="1:24" hidden="1">
      <c r="C16" s="7" t="s">
        <v>35</v>
      </c>
      <c r="D16" s="7" t="s">
        <v>65</v>
      </c>
      <c r="E16" s="7" t="s">
        <v>66</v>
      </c>
      <c r="F16" s="7" t="s">
        <v>67</v>
      </c>
      <c r="G16" s="7" t="s">
        <v>67</v>
      </c>
      <c r="H16" s="17">
        <v>1954060060.6349199</v>
      </c>
      <c r="I16" s="10" t="s">
        <v>56</v>
      </c>
      <c r="J16" s="7" t="s">
        <v>57</v>
      </c>
      <c r="K16" s="10" t="s">
        <v>58</v>
      </c>
      <c r="L16" s="7" t="s">
        <v>59</v>
      </c>
      <c r="M16" s="7"/>
      <c r="N16" s="7">
        <f>VLOOKUP(J16,[1]Sheet1!$C:$D,2,FALSE)</f>
        <v>4859</v>
      </c>
      <c r="O16" s="7">
        <f>VLOOKUP(J16,[2]Desa!$A:$D,4,FALSE)</f>
        <v>185</v>
      </c>
      <c r="P16" s="7">
        <f>VLOOKUP(J16,[3]Sheet1!$D:$F,3,FALSE)</f>
        <v>48</v>
      </c>
      <c r="Q16" s="7"/>
      <c r="R16" s="7"/>
      <c r="S16" s="12">
        <v>-8.6147753598164805</v>
      </c>
      <c r="T16" s="12">
        <v>116.17300186435099</v>
      </c>
      <c r="U16" s="7"/>
      <c r="V16" s="50">
        <f>Table13678[[#This Row],[PAGU SEMULA]]-Table13678[[#This Row],[PAGU ANGGARAN]]</f>
        <v>-1954060060.6349199</v>
      </c>
      <c r="W16" s="50">
        <f>Table13678[[#This Row],[PAGU SEMULA]]-Table13678[[#This Row],[PAGU ANGGARAN]]</f>
        <v>-1954060060.6349199</v>
      </c>
      <c r="X16" t="s">
        <v>986</v>
      </c>
    </row>
    <row r="17" spans="3:24" hidden="1">
      <c r="C17" s="7" t="s">
        <v>68</v>
      </c>
      <c r="D17" s="7" t="s">
        <v>69</v>
      </c>
      <c r="E17" s="7" t="s">
        <v>70</v>
      </c>
      <c r="F17" s="7" t="s">
        <v>71</v>
      </c>
      <c r="G17" s="7" t="s">
        <v>72</v>
      </c>
      <c r="H17" s="8">
        <v>29958000</v>
      </c>
      <c r="I17" s="10" t="s">
        <v>56</v>
      </c>
      <c r="J17" s="7" t="s">
        <v>57</v>
      </c>
      <c r="K17" s="10" t="s">
        <v>58</v>
      </c>
      <c r="L17" s="7" t="s">
        <v>59</v>
      </c>
      <c r="M17" s="7"/>
      <c r="N17" s="7">
        <f>VLOOKUP(J17,[1]Sheet1!$C:$D,2,FALSE)</f>
        <v>4859</v>
      </c>
      <c r="O17" s="7">
        <f>VLOOKUP(J17,[2]Desa!$A:$D,4,FALSE)</f>
        <v>185</v>
      </c>
      <c r="P17" s="7">
        <f>VLOOKUP(J17,[3]Sheet1!$D:$F,3,FALSE)</f>
        <v>48</v>
      </c>
      <c r="Q17" s="7"/>
      <c r="R17" s="7"/>
      <c r="S17" s="12">
        <v>-8.6147753598164805</v>
      </c>
      <c r="T17" s="12">
        <v>116.17300186435099</v>
      </c>
      <c r="U17" s="7"/>
      <c r="V17" s="50">
        <f>Table13678[[#This Row],[PAGU SEMULA]]-Table13678[[#This Row],[PAGU ANGGARAN]]</f>
        <v>-29958000</v>
      </c>
      <c r="W17" s="50">
        <f>Table13678[[#This Row],[PAGU SEMULA]]-Table13678[[#This Row],[PAGU ANGGARAN]]</f>
        <v>-29958000</v>
      </c>
      <c r="X17" t="s">
        <v>982</v>
      </c>
    </row>
    <row r="18" spans="3:24" hidden="1">
      <c r="C18" s="7" t="s">
        <v>51</v>
      </c>
      <c r="D18" s="7" t="s">
        <v>52</v>
      </c>
      <c r="E18" s="7" t="s">
        <v>53</v>
      </c>
      <c r="F18" s="7" t="s">
        <v>54</v>
      </c>
      <c r="G18" s="7" t="s">
        <v>73</v>
      </c>
      <c r="H18" s="8">
        <v>189090000</v>
      </c>
      <c r="I18" s="10" t="s">
        <v>56</v>
      </c>
      <c r="J18" s="7" t="s">
        <v>57</v>
      </c>
      <c r="K18" s="10" t="s">
        <v>58</v>
      </c>
      <c r="L18" s="7" t="s">
        <v>59</v>
      </c>
      <c r="M18" s="7"/>
      <c r="N18" s="7">
        <f>VLOOKUP(J18,[1]Sheet1!$C:$D,2,FALSE)</f>
        <v>4859</v>
      </c>
      <c r="O18" s="7">
        <f>VLOOKUP(J18,[2]Desa!$A:$D,4,FALSE)</f>
        <v>185</v>
      </c>
      <c r="P18" s="7">
        <f>VLOOKUP(J18,[3]Sheet1!$D:$F,3,FALSE)</f>
        <v>48</v>
      </c>
      <c r="Q18" s="7"/>
      <c r="R18" s="7"/>
      <c r="S18" s="12">
        <v>-8.6147753598164805</v>
      </c>
      <c r="T18" s="12">
        <v>116.17300186435099</v>
      </c>
      <c r="U18" s="7"/>
      <c r="V18" s="50">
        <f>Table13678[[#This Row],[PAGU SEMULA]]-Table13678[[#This Row],[PAGU ANGGARAN]]</f>
        <v>-189090000</v>
      </c>
      <c r="W18" s="50">
        <f>Table13678[[#This Row],[PAGU SEMULA]]-Table13678[[#This Row],[PAGU ANGGARAN]]</f>
        <v>-189090000</v>
      </c>
      <c r="X18" t="s">
        <v>986</v>
      </c>
    </row>
    <row r="19" spans="3:24" hidden="1">
      <c r="C19" s="7" t="s">
        <v>74</v>
      </c>
      <c r="D19" s="7" t="s">
        <v>75</v>
      </c>
      <c r="E19" s="7" t="s">
        <v>76</v>
      </c>
      <c r="F19" s="7" t="s">
        <v>77</v>
      </c>
      <c r="G19" s="7" t="s">
        <v>78</v>
      </c>
      <c r="H19" s="8">
        <v>28000000</v>
      </c>
      <c r="I19" s="10" t="s">
        <v>56</v>
      </c>
      <c r="J19" s="7" t="s">
        <v>57</v>
      </c>
      <c r="K19" s="10" t="s">
        <v>58</v>
      </c>
      <c r="L19" s="7" t="s">
        <v>59</v>
      </c>
      <c r="M19" s="7"/>
      <c r="N19" s="7">
        <f>VLOOKUP(J19,[1]Sheet1!$C:$D,2,FALSE)</f>
        <v>4859</v>
      </c>
      <c r="O19" s="7">
        <f>VLOOKUP(J19,[2]Desa!$A:$D,4,FALSE)</f>
        <v>185</v>
      </c>
      <c r="P19" s="7">
        <f>VLOOKUP(J19,[3]Sheet1!$D:$F,3,FALSE)</f>
        <v>48</v>
      </c>
      <c r="Q19" s="7"/>
      <c r="R19" s="7"/>
      <c r="S19" s="12">
        <v>-8.6147753598164805</v>
      </c>
      <c r="T19" s="12">
        <v>116.17300186435099</v>
      </c>
      <c r="U19" s="7"/>
      <c r="V19" s="50">
        <f>Table13678[[#This Row],[PAGU SEMULA]]-Table13678[[#This Row],[PAGU ANGGARAN]]</f>
        <v>-28000000</v>
      </c>
      <c r="W19" s="50">
        <f>Table13678[[#This Row],[PAGU SEMULA]]-Table13678[[#This Row],[PAGU ANGGARAN]]</f>
        <v>-28000000</v>
      </c>
      <c r="X19" t="s">
        <v>982</v>
      </c>
    </row>
    <row r="20" spans="3:24" hidden="1">
      <c r="C20" s="7" t="s">
        <v>74</v>
      </c>
      <c r="D20" s="7" t="s">
        <v>75</v>
      </c>
      <c r="E20" s="7" t="s">
        <v>76</v>
      </c>
      <c r="F20" s="7" t="s">
        <v>77</v>
      </c>
      <c r="G20" s="7" t="s">
        <v>79</v>
      </c>
      <c r="H20" s="8">
        <v>47500000</v>
      </c>
      <c r="I20" s="10" t="s">
        <v>56</v>
      </c>
      <c r="J20" s="7" t="s">
        <v>57</v>
      </c>
      <c r="K20" s="10" t="s">
        <v>58</v>
      </c>
      <c r="L20" s="7" t="s">
        <v>59</v>
      </c>
      <c r="M20" s="7"/>
      <c r="N20" s="7">
        <f>VLOOKUP(J20,[1]Sheet1!$C:$D,2,FALSE)</f>
        <v>4859</v>
      </c>
      <c r="O20" s="7">
        <f>VLOOKUP(J20,[2]Desa!$A:$D,4,FALSE)</f>
        <v>185</v>
      </c>
      <c r="P20" s="7">
        <f>VLOOKUP(J20,[3]Sheet1!$D:$F,3,FALSE)</f>
        <v>48</v>
      </c>
      <c r="Q20" s="7"/>
      <c r="R20" s="7"/>
      <c r="S20" s="12">
        <v>-8.6147753598164805</v>
      </c>
      <c r="T20" s="12">
        <v>116.17300186435099</v>
      </c>
      <c r="U20" s="7"/>
      <c r="V20" s="50">
        <f>Table13678[[#This Row],[PAGU SEMULA]]-Table13678[[#This Row],[PAGU ANGGARAN]]</f>
        <v>-47500000</v>
      </c>
      <c r="W20" s="50">
        <f>Table13678[[#This Row],[PAGU SEMULA]]-Table13678[[#This Row],[PAGU ANGGARAN]]</f>
        <v>-47500000</v>
      </c>
      <c r="X20" t="s">
        <v>982</v>
      </c>
    </row>
    <row r="21" spans="3:24" hidden="1">
      <c r="C21" s="7" t="s">
        <v>29</v>
      </c>
      <c r="D21" s="7" t="s">
        <v>30</v>
      </c>
      <c r="E21" s="7" t="s">
        <v>31</v>
      </c>
      <c r="F21" s="7" t="s">
        <v>32</v>
      </c>
      <c r="G21" s="7" t="s">
        <v>33</v>
      </c>
      <c r="H21" s="8">
        <v>297780000</v>
      </c>
      <c r="I21" s="10" t="s">
        <v>80</v>
      </c>
      <c r="J21" s="7" t="s">
        <v>81</v>
      </c>
      <c r="K21" s="10" t="s">
        <v>82</v>
      </c>
      <c r="L21" s="7" t="s">
        <v>83</v>
      </c>
      <c r="M21" s="7"/>
      <c r="N21" s="7">
        <f>VLOOKUP(J21,[1]Sheet1!$C:$D,2,FALSE)</f>
        <v>5385</v>
      </c>
      <c r="O21" s="7">
        <f>VLOOKUP(J21,[2]Desa!$A:$D,4,FALSE)</f>
        <v>110</v>
      </c>
      <c r="P21" s="7">
        <f>VLOOKUP(J21,[3]Sheet1!$D:$F,3,FALSE)</f>
        <v>14</v>
      </c>
      <c r="Q21" s="7"/>
      <c r="R21" s="7"/>
      <c r="S21" s="12">
        <v>-8.62633542723154</v>
      </c>
      <c r="T21" s="12">
        <v>116.13619821014601</v>
      </c>
      <c r="U21" s="7"/>
      <c r="V21" s="50">
        <f>Table13678[[#This Row],[PAGU SEMULA]]-Table13678[[#This Row],[PAGU ANGGARAN]]</f>
        <v>-297780000</v>
      </c>
      <c r="W21" s="50">
        <f>Table13678[[#This Row],[PAGU SEMULA]]-Table13678[[#This Row],[PAGU ANGGARAN]]</f>
        <v>-297780000</v>
      </c>
      <c r="X21" t="s">
        <v>984</v>
      </c>
    </row>
    <row r="22" spans="3:24" hidden="1">
      <c r="C22" s="7" t="s">
        <v>29</v>
      </c>
      <c r="D22" s="7" t="s">
        <v>30</v>
      </c>
      <c r="E22" s="7" t="s">
        <v>31</v>
      </c>
      <c r="F22" s="7" t="s">
        <v>32</v>
      </c>
      <c r="G22" s="7" t="s">
        <v>34</v>
      </c>
      <c r="H22" s="8">
        <v>23822400</v>
      </c>
      <c r="I22" s="10" t="s">
        <v>80</v>
      </c>
      <c r="J22" s="7" t="s">
        <v>81</v>
      </c>
      <c r="K22" s="10" t="s">
        <v>82</v>
      </c>
      <c r="L22" s="7" t="s">
        <v>83</v>
      </c>
      <c r="M22" s="7"/>
      <c r="N22" s="7">
        <f>VLOOKUP(J22,[1]Sheet1!$C:$D,2,FALSE)</f>
        <v>5385</v>
      </c>
      <c r="O22" s="7">
        <f>VLOOKUP(J22,[2]Desa!$A:$D,4,FALSE)</f>
        <v>110</v>
      </c>
      <c r="P22" s="7">
        <f>VLOOKUP(J22,[3]Sheet1!$D:$F,3,FALSE)</f>
        <v>14</v>
      </c>
      <c r="Q22" s="7"/>
      <c r="R22" s="7"/>
      <c r="S22" s="12">
        <v>-8.62633542723154</v>
      </c>
      <c r="T22" s="12">
        <v>116.13619821014601</v>
      </c>
      <c r="U22" s="7"/>
      <c r="V22" s="50">
        <f>Table13678[[#This Row],[PAGU SEMULA]]-Table13678[[#This Row],[PAGU ANGGARAN]]</f>
        <v>-23822400</v>
      </c>
      <c r="W22" s="50">
        <f>Table13678[[#This Row],[PAGU SEMULA]]-Table13678[[#This Row],[PAGU ANGGARAN]]</f>
        <v>-23822400</v>
      </c>
      <c r="X22" t="s">
        <v>984</v>
      </c>
    </row>
    <row r="23" spans="3:24" hidden="1">
      <c r="C23" s="7" t="s">
        <v>84</v>
      </c>
      <c r="D23" s="7" t="s">
        <v>85</v>
      </c>
      <c r="E23" s="7" t="s">
        <v>86</v>
      </c>
      <c r="F23" s="7" t="s">
        <v>87</v>
      </c>
      <c r="G23" s="7" t="s">
        <v>88</v>
      </c>
      <c r="H23" s="8">
        <v>72750000</v>
      </c>
      <c r="I23" s="10" t="s">
        <v>80</v>
      </c>
      <c r="J23" s="7" t="s">
        <v>81</v>
      </c>
      <c r="K23" s="10" t="s">
        <v>82</v>
      </c>
      <c r="L23" s="7" t="s">
        <v>83</v>
      </c>
      <c r="M23" s="7"/>
      <c r="N23" s="7">
        <f>VLOOKUP(J23,[1]Sheet1!$C:$D,2,FALSE)</f>
        <v>5385</v>
      </c>
      <c r="O23" s="7">
        <f>VLOOKUP(J23,[2]Desa!$A:$D,4,FALSE)</f>
        <v>110</v>
      </c>
      <c r="P23" s="7">
        <f>VLOOKUP(J23,[3]Sheet1!$D:$F,3,FALSE)</f>
        <v>14</v>
      </c>
      <c r="Q23" s="7"/>
      <c r="R23" s="7"/>
      <c r="S23" s="12">
        <v>-8.62633542723154</v>
      </c>
      <c r="T23" s="12">
        <v>116.13619821014601</v>
      </c>
      <c r="U23" s="7"/>
      <c r="V23" s="50">
        <f>Table13678[[#This Row],[PAGU SEMULA]]-Table13678[[#This Row],[PAGU ANGGARAN]]</f>
        <v>-72750000</v>
      </c>
      <c r="W23" s="50">
        <f>Table13678[[#This Row],[PAGU SEMULA]]-Table13678[[#This Row],[PAGU ANGGARAN]]</f>
        <v>-72750000</v>
      </c>
      <c r="X23" t="s">
        <v>982</v>
      </c>
    </row>
    <row r="24" spans="3:24" hidden="1">
      <c r="C24" s="7" t="s">
        <v>84</v>
      </c>
      <c r="D24" s="7" t="s">
        <v>89</v>
      </c>
      <c r="E24" s="7" t="s">
        <v>90</v>
      </c>
      <c r="F24" s="7" t="s">
        <v>91</v>
      </c>
      <c r="G24" s="7" t="s">
        <v>92</v>
      </c>
      <c r="H24" s="8">
        <v>63770000</v>
      </c>
      <c r="I24" s="10" t="s">
        <v>80</v>
      </c>
      <c r="J24" s="7" t="s">
        <v>81</v>
      </c>
      <c r="K24" s="10" t="s">
        <v>82</v>
      </c>
      <c r="L24" s="7" t="s">
        <v>83</v>
      </c>
      <c r="M24" s="7"/>
      <c r="N24" s="7">
        <f>VLOOKUP(J24,[1]Sheet1!$C:$D,2,FALSE)</f>
        <v>5385</v>
      </c>
      <c r="O24" s="7">
        <f>VLOOKUP(J24,[2]Desa!$A:$D,4,FALSE)</f>
        <v>110</v>
      </c>
      <c r="P24" s="7">
        <f>VLOOKUP(J24,[3]Sheet1!$D:$F,3,FALSE)</f>
        <v>14</v>
      </c>
      <c r="Q24" s="7"/>
      <c r="R24" s="7"/>
      <c r="S24" s="12">
        <v>-8.62633542723154</v>
      </c>
      <c r="T24" s="12">
        <v>116.13619821014601</v>
      </c>
      <c r="U24" s="7"/>
      <c r="V24" s="50">
        <f>Table13678[[#This Row],[PAGU SEMULA]]-Table13678[[#This Row],[PAGU ANGGARAN]]</f>
        <v>-63770000</v>
      </c>
      <c r="W24" s="50">
        <f>Table13678[[#This Row],[PAGU SEMULA]]-Table13678[[#This Row],[PAGU ANGGARAN]]</f>
        <v>-63770000</v>
      </c>
      <c r="X24" t="s">
        <v>982</v>
      </c>
    </row>
    <row r="25" spans="3:24" hidden="1">
      <c r="C25" s="7" t="s">
        <v>35</v>
      </c>
      <c r="D25" s="7" t="s">
        <v>36</v>
      </c>
      <c r="E25" s="7" t="s">
        <v>37</v>
      </c>
      <c r="F25" s="7" t="s">
        <v>38</v>
      </c>
      <c r="G25" s="7" t="s">
        <v>39</v>
      </c>
      <c r="H25" s="15">
        <v>75000000</v>
      </c>
      <c r="I25" s="10" t="s">
        <v>80</v>
      </c>
      <c r="J25" s="7" t="s">
        <v>81</v>
      </c>
      <c r="K25" s="10" t="s">
        <v>82</v>
      </c>
      <c r="L25" s="7" t="s">
        <v>83</v>
      </c>
      <c r="M25" s="7"/>
      <c r="N25" s="7">
        <f>VLOOKUP(J25,[1]Sheet1!$C:$D,2,FALSE)</f>
        <v>5385</v>
      </c>
      <c r="O25" s="7">
        <f>VLOOKUP(J25,[2]Desa!$A:$D,4,FALSE)</f>
        <v>110</v>
      </c>
      <c r="P25" s="7">
        <f>VLOOKUP(J25,[3]Sheet1!$D:$F,3,FALSE)</f>
        <v>14</v>
      </c>
      <c r="Q25" s="7"/>
      <c r="R25" s="7"/>
      <c r="S25" s="12">
        <v>-8.62633542723154</v>
      </c>
      <c r="T25" s="12">
        <v>116.13619821014601</v>
      </c>
      <c r="U25" s="7"/>
      <c r="V25" s="50">
        <f>Table13678[[#This Row],[PAGU SEMULA]]-Table13678[[#This Row],[PAGU ANGGARAN]]</f>
        <v>-75000000</v>
      </c>
      <c r="W25" s="50">
        <f>Table13678[[#This Row],[PAGU SEMULA]]-Table13678[[#This Row],[PAGU ANGGARAN]]</f>
        <v>-75000000</v>
      </c>
      <c r="X25" t="s">
        <v>984</v>
      </c>
    </row>
    <row r="26" spans="3:24" hidden="1">
      <c r="C26" s="7" t="s">
        <v>35</v>
      </c>
      <c r="D26" s="7" t="s">
        <v>65</v>
      </c>
      <c r="E26" s="7" t="s">
        <v>66</v>
      </c>
      <c r="F26" s="7" t="s">
        <v>93</v>
      </c>
      <c r="G26" s="7" t="s">
        <v>94</v>
      </c>
      <c r="H26" s="15">
        <v>1513101022</v>
      </c>
      <c r="I26" s="10" t="s">
        <v>80</v>
      </c>
      <c r="J26" s="7" t="s">
        <v>81</v>
      </c>
      <c r="K26" s="10" t="s">
        <v>82</v>
      </c>
      <c r="L26" s="7" t="s">
        <v>83</v>
      </c>
      <c r="M26" s="7"/>
      <c r="N26" s="7">
        <f>VLOOKUP(J26,[1]Sheet1!$C:$D,2,FALSE)</f>
        <v>5385</v>
      </c>
      <c r="O26" s="7">
        <f>VLOOKUP(J26,[2]Desa!$A:$D,4,FALSE)</f>
        <v>110</v>
      </c>
      <c r="P26" s="7">
        <f>VLOOKUP(J26,[3]Sheet1!$D:$F,3,FALSE)</f>
        <v>14</v>
      </c>
      <c r="Q26" s="7"/>
      <c r="R26" s="7"/>
      <c r="S26" s="12">
        <v>-8.62633542723154</v>
      </c>
      <c r="T26" s="12">
        <v>116.13619821014601</v>
      </c>
      <c r="U26" s="7"/>
      <c r="V26" s="50">
        <f>Table13678[[#This Row],[PAGU SEMULA]]-Table13678[[#This Row],[PAGU ANGGARAN]]</f>
        <v>-1513101022</v>
      </c>
      <c r="W26" s="50">
        <f>Table13678[[#This Row],[PAGU SEMULA]]-Table13678[[#This Row],[PAGU ANGGARAN]]</f>
        <v>-1513101022</v>
      </c>
      <c r="X26" t="s">
        <v>986</v>
      </c>
    </row>
    <row r="27" spans="3:24" hidden="1">
      <c r="C27" s="7" t="s">
        <v>35</v>
      </c>
      <c r="D27" s="7" t="s">
        <v>52</v>
      </c>
      <c r="E27" s="7" t="s">
        <v>95</v>
      </c>
      <c r="F27" s="7" t="s">
        <v>96</v>
      </c>
      <c r="G27" s="7" t="s">
        <v>97</v>
      </c>
      <c r="H27" s="17">
        <v>145125000</v>
      </c>
      <c r="I27" s="10" t="s">
        <v>80</v>
      </c>
      <c r="J27" s="7" t="s">
        <v>81</v>
      </c>
      <c r="K27" s="10" t="s">
        <v>82</v>
      </c>
      <c r="L27" s="7" t="s">
        <v>83</v>
      </c>
      <c r="M27" s="7"/>
      <c r="N27" s="7">
        <f>VLOOKUP(J27,[1]Sheet1!$C:$D,2,FALSE)</f>
        <v>5385</v>
      </c>
      <c r="O27" s="7">
        <f>VLOOKUP(J27,[2]Desa!$A:$D,4,FALSE)</f>
        <v>110</v>
      </c>
      <c r="P27" s="7">
        <f>VLOOKUP(J27,[3]Sheet1!$D:$F,3,FALSE)</f>
        <v>14</v>
      </c>
      <c r="Q27" s="7"/>
      <c r="R27" s="7"/>
      <c r="S27" s="12">
        <v>-8.62633542723154</v>
      </c>
      <c r="T27" s="12">
        <v>116.13619821014601</v>
      </c>
      <c r="U27" s="7"/>
      <c r="V27" s="50">
        <f>Table13678[[#This Row],[PAGU SEMULA]]-Table13678[[#This Row],[PAGU ANGGARAN]]</f>
        <v>-145125000</v>
      </c>
      <c r="W27" s="50">
        <f>Table13678[[#This Row],[PAGU SEMULA]]-Table13678[[#This Row],[PAGU ANGGARAN]]</f>
        <v>-145125000</v>
      </c>
      <c r="X27" t="s">
        <v>986</v>
      </c>
    </row>
    <row r="28" spans="3:24" hidden="1">
      <c r="C28" s="7" t="s">
        <v>35</v>
      </c>
      <c r="D28" s="7" t="s">
        <v>52</v>
      </c>
      <c r="E28" s="7" t="s">
        <v>95</v>
      </c>
      <c r="F28" s="7" t="s">
        <v>96</v>
      </c>
      <c r="G28" s="7" t="s">
        <v>98</v>
      </c>
      <c r="H28" s="17">
        <v>507937500</v>
      </c>
      <c r="I28" s="10" t="s">
        <v>80</v>
      </c>
      <c r="J28" s="7" t="s">
        <v>81</v>
      </c>
      <c r="K28" s="10" t="s">
        <v>82</v>
      </c>
      <c r="L28" s="7" t="s">
        <v>83</v>
      </c>
      <c r="M28" s="7"/>
      <c r="N28" s="7">
        <f>VLOOKUP(J28,[1]Sheet1!$C:$D,2,FALSE)</f>
        <v>5385</v>
      </c>
      <c r="O28" s="7">
        <f>VLOOKUP(J28,[2]Desa!$A:$D,4,FALSE)</f>
        <v>110</v>
      </c>
      <c r="P28" s="7">
        <f>VLOOKUP(J28,[3]Sheet1!$D:$F,3,FALSE)</f>
        <v>14</v>
      </c>
      <c r="Q28" s="7"/>
      <c r="R28" s="7"/>
      <c r="S28" s="12">
        <v>-8.62633542723154</v>
      </c>
      <c r="T28" s="12">
        <v>116.13619821014601</v>
      </c>
      <c r="U28" s="7"/>
      <c r="V28" s="50">
        <f>Table13678[[#This Row],[PAGU SEMULA]]-Table13678[[#This Row],[PAGU ANGGARAN]]</f>
        <v>-507937500</v>
      </c>
      <c r="W28" s="50">
        <f>Table13678[[#This Row],[PAGU SEMULA]]-Table13678[[#This Row],[PAGU ANGGARAN]]</f>
        <v>-507937500</v>
      </c>
      <c r="X28" t="s">
        <v>986</v>
      </c>
    </row>
    <row r="29" spans="3:24" hidden="1">
      <c r="C29" s="7" t="s">
        <v>35</v>
      </c>
      <c r="D29" s="7" t="s">
        <v>52</v>
      </c>
      <c r="E29" s="7" t="s">
        <v>95</v>
      </c>
      <c r="F29" s="7" t="s">
        <v>96</v>
      </c>
      <c r="G29" s="7" t="s">
        <v>99</v>
      </c>
      <c r="H29" s="17">
        <v>48375000</v>
      </c>
      <c r="I29" s="10" t="s">
        <v>80</v>
      </c>
      <c r="J29" s="7" t="s">
        <v>81</v>
      </c>
      <c r="K29" s="10" t="s">
        <v>82</v>
      </c>
      <c r="L29" s="7" t="s">
        <v>83</v>
      </c>
      <c r="M29" s="7"/>
      <c r="N29" s="7">
        <f>VLOOKUP(J29,[1]Sheet1!$C:$D,2,FALSE)</f>
        <v>5385</v>
      </c>
      <c r="O29" s="7">
        <f>VLOOKUP(J29,[2]Desa!$A:$D,4,FALSE)</f>
        <v>110</v>
      </c>
      <c r="P29" s="7">
        <f>VLOOKUP(J29,[3]Sheet1!$D:$F,3,FALSE)</f>
        <v>14</v>
      </c>
      <c r="Q29" s="7"/>
      <c r="R29" s="7"/>
      <c r="S29" s="12">
        <v>-8.62633542723154</v>
      </c>
      <c r="T29" s="12">
        <v>116.13619821014601</v>
      </c>
      <c r="U29" s="7"/>
      <c r="V29" s="50">
        <f>Table13678[[#This Row],[PAGU SEMULA]]-Table13678[[#This Row],[PAGU ANGGARAN]]</f>
        <v>-48375000</v>
      </c>
      <c r="W29" s="50">
        <f>Table13678[[#This Row],[PAGU SEMULA]]-Table13678[[#This Row],[PAGU ANGGARAN]]</f>
        <v>-48375000</v>
      </c>
      <c r="X29" t="s">
        <v>986</v>
      </c>
    </row>
    <row r="30" spans="3:24" hidden="1">
      <c r="C30" s="7" t="s">
        <v>46</v>
      </c>
      <c r="D30" s="7" t="s">
        <v>100</v>
      </c>
      <c r="E30" s="7" t="s">
        <v>101</v>
      </c>
      <c r="F30" s="7" t="s">
        <v>102</v>
      </c>
      <c r="G30" s="71" t="s">
        <v>103</v>
      </c>
      <c r="H30" s="8">
        <v>21513825</v>
      </c>
      <c r="I30" s="10" t="s">
        <v>80</v>
      </c>
      <c r="J30" s="7" t="s">
        <v>81</v>
      </c>
      <c r="K30" s="10" t="s">
        <v>82</v>
      </c>
      <c r="L30" s="7" t="s">
        <v>83</v>
      </c>
      <c r="M30" s="7"/>
      <c r="N30" s="7">
        <f>VLOOKUP(J30,[1]Sheet1!$C:$D,2,FALSE)</f>
        <v>5385</v>
      </c>
      <c r="O30" s="7">
        <f>VLOOKUP(J30,[2]Desa!$A:$D,4,FALSE)</f>
        <v>110</v>
      </c>
      <c r="P30" s="7">
        <f>VLOOKUP(J30,[3]Sheet1!$D:$F,3,FALSE)</f>
        <v>14</v>
      </c>
      <c r="Q30" s="7"/>
      <c r="R30" s="7"/>
      <c r="S30" s="12">
        <v>-8.62633542723154</v>
      </c>
      <c r="T30" s="12">
        <v>116.13619821014601</v>
      </c>
      <c r="U30" s="7"/>
      <c r="V30" s="50">
        <f>Table13678[[#This Row],[PAGU SEMULA]]-Table13678[[#This Row],[PAGU ANGGARAN]]</f>
        <v>-21513825</v>
      </c>
      <c r="W30" s="50">
        <f>Table13678[[#This Row],[PAGU SEMULA]]-Table13678[[#This Row],[PAGU ANGGARAN]]</f>
        <v>-21513825</v>
      </c>
      <c r="X30" t="s">
        <v>987</v>
      </c>
    </row>
    <row r="31" spans="3:24" hidden="1">
      <c r="C31" s="7" t="s">
        <v>51</v>
      </c>
      <c r="D31" s="7" t="s">
        <v>52</v>
      </c>
      <c r="E31" s="7" t="s">
        <v>53</v>
      </c>
      <c r="F31" s="7" t="s">
        <v>54</v>
      </c>
      <c r="G31" s="7" t="s">
        <v>73</v>
      </c>
      <c r="H31" s="8">
        <v>284590000</v>
      </c>
      <c r="I31" s="10" t="s">
        <v>80</v>
      </c>
      <c r="J31" s="7" t="s">
        <v>81</v>
      </c>
      <c r="K31" s="10" t="s">
        <v>82</v>
      </c>
      <c r="L31" s="7" t="s">
        <v>83</v>
      </c>
      <c r="M31" s="7"/>
      <c r="N31" s="7">
        <f>VLOOKUP(J31,[1]Sheet1!$C:$D,2,FALSE)</f>
        <v>5385</v>
      </c>
      <c r="O31" s="7">
        <f>VLOOKUP(J31,[2]Desa!$A:$D,4,FALSE)</f>
        <v>110</v>
      </c>
      <c r="P31" s="7">
        <f>VLOOKUP(J31,[3]Sheet1!$D:$F,3,FALSE)</f>
        <v>14</v>
      </c>
      <c r="Q31" s="7"/>
      <c r="R31" s="7"/>
      <c r="S31" s="12">
        <v>-8.62633542723154</v>
      </c>
      <c r="T31" s="12">
        <v>116.13619821014601</v>
      </c>
      <c r="U31" s="7"/>
      <c r="V31" s="50">
        <f>Table13678[[#This Row],[PAGU SEMULA]]-Table13678[[#This Row],[PAGU ANGGARAN]]</f>
        <v>-284590000</v>
      </c>
      <c r="W31" s="50">
        <f>Table13678[[#This Row],[PAGU SEMULA]]-Table13678[[#This Row],[PAGU ANGGARAN]]</f>
        <v>-284590000</v>
      </c>
      <c r="X31" t="s">
        <v>986</v>
      </c>
    </row>
    <row r="32" spans="3:24" hidden="1">
      <c r="C32" s="7" t="s">
        <v>51</v>
      </c>
      <c r="D32" s="7" t="s">
        <v>52</v>
      </c>
      <c r="E32" s="7" t="s">
        <v>53</v>
      </c>
      <c r="F32" s="7" t="s">
        <v>54</v>
      </c>
      <c r="G32" s="7" t="s">
        <v>73</v>
      </c>
      <c r="H32" s="8">
        <v>94545000</v>
      </c>
      <c r="I32" s="10" t="s">
        <v>80</v>
      </c>
      <c r="J32" s="7" t="s">
        <v>81</v>
      </c>
      <c r="K32" s="10" t="s">
        <v>82</v>
      </c>
      <c r="L32" s="7" t="s">
        <v>83</v>
      </c>
      <c r="M32" s="7"/>
      <c r="N32" s="7">
        <f>VLOOKUP(J32,[1]Sheet1!$C:$D,2,FALSE)</f>
        <v>5385</v>
      </c>
      <c r="O32" s="7">
        <f>VLOOKUP(J32,[2]Desa!$A:$D,4,FALSE)</f>
        <v>110</v>
      </c>
      <c r="P32" s="7">
        <f>VLOOKUP(J32,[3]Sheet1!$D:$F,3,FALSE)</f>
        <v>14</v>
      </c>
      <c r="Q32" s="7"/>
      <c r="R32" s="7"/>
      <c r="S32" s="12">
        <v>-8.62633542723154</v>
      </c>
      <c r="T32" s="12">
        <v>116.13619821014601</v>
      </c>
      <c r="U32" s="7"/>
      <c r="V32" s="50">
        <f>Table13678[[#This Row],[PAGU SEMULA]]-Table13678[[#This Row],[PAGU ANGGARAN]]</f>
        <v>-94545000</v>
      </c>
      <c r="W32" s="50">
        <f>Table13678[[#This Row],[PAGU SEMULA]]-Table13678[[#This Row],[PAGU ANGGARAN]]</f>
        <v>-94545000</v>
      </c>
      <c r="X32" t="s">
        <v>986</v>
      </c>
    </row>
    <row r="33" spans="3:24" hidden="1">
      <c r="C33" s="7" t="s">
        <v>20</v>
      </c>
      <c r="D33" s="7" t="s">
        <v>104</v>
      </c>
      <c r="E33" s="7" t="s">
        <v>105</v>
      </c>
      <c r="F33" s="7" t="s">
        <v>106</v>
      </c>
      <c r="G33" s="71" t="s">
        <v>107</v>
      </c>
      <c r="H33" s="15">
        <v>265950000</v>
      </c>
      <c r="I33" s="10" t="s">
        <v>108</v>
      </c>
      <c r="J33" s="7" t="s">
        <v>109</v>
      </c>
      <c r="K33" s="10" t="s">
        <v>82</v>
      </c>
      <c r="L33" s="7" t="s">
        <v>83</v>
      </c>
      <c r="M33" s="7"/>
      <c r="N33" s="7">
        <f>VLOOKUP(J33,[1]Sheet1!$C:$D,2,FALSE)</f>
        <v>5081</v>
      </c>
      <c r="O33" s="7">
        <f>VLOOKUP(J33,[2]Desa!$A:$D,4,FALSE)</f>
        <v>78</v>
      </c>
      <c r="P33" s="7">
        <f>VLOOKUP(J33,[3]Sheet1!$D:$F,3,FALSE)</f>
        <v>15</v>
      </c>
      <c r="Q33" s="7"/>
      <c r="R33" s="7"/>
      <c r="S33" s="12">
        <v>-8.6332008736787795</v>
      </c>
      <c r="T33" s="12">
        <v>116.130748039696</v>
      </c>
      <c r="U33" s="7"/>
      <c r="V33" s="50">
        <f>Table13678[[#This Row],[PAGU SEMULA]]-Table13678[[#This Row],[PAGU ANGGARAN]]</f>
        <v>-265950000</v>
      </c>
      <c r="W33" s="50">
        <f>Table13678[[#This Row],[PAGU SEMULA]]-Table13678[[#This Row],[PAGU ANGGARAN]]</f>
        <v>-265950000</v>
      </c>
      <c r="X33" t="s">
        <v>984</v>
      </c>
    </row>
    <row r="34" spans="3:24" hidden="1">
      <c r="C34" s="7" t="s">
        <v>29</v>
      </c>
      <c r="D34" s="7" t="s">
        <v>30</v>
      </c>
      <c r="E34" s="7" t="s">
        <v>31</v>
      </c>
      <c r="F34" s="7" t="s">
        <v>32</v>
      </c>
      <c r="G34" s="7" t="s">
        <v>33</v>
      </c>
      <c r="H34" s="8">
        <v>307440000</v>
      </c>
      <c r="I34" s="10" t="s">
        <v>108</v>
      </c>
      <c r="J34" s="7" t="s">
        <v>109</v>
      </c>
      <c r="K34" s="10" t="s">
        <v>82</v>
      </c>
      <c r="L34" s="7" t="s">
        <v>83</v>
      </c>
      <c r="M34" s="7"/>
      <c r="N34" s="7">
        <f>VLOOKUP(J34,[1]Sheet1!$C:$D,2,FALSE)</f>
        <v>5081</v>
      </c>
      <c r="O34" s="7">
        <f>VLOOKUP(J34,[2]Desa!$A:$D,4,FALSE)</f>
        <v>78</v>
      </c>
      <c r="P34" s="7">
        <f>VLOOKUP(J34,[3]Sheet1!$D:$F,3,FALSE)</f>
        <v>15</v>
      </c>
      <c r="Q34" s="7"/>
      <c r="R34" s="7"/>
      <c r="S34" s="12">
        <v>-8.6332008736787795</v>
      </c>
      <c r="T34" s="12">
        <v>116.130748039696</v>
      </c>
      <c r="U34" s="7"/>
      <c r="V34" s="50">
        <f>Table13678[[#This Row],[PAGU SEMULA]]-Table13678[[#This Row],[PAGU ANGGARAN]]</f>
        <v>-307440000</v>
      </c>
      <c r="W34" s="50">
        <f>Table13678[[#This Row],[PAGU SEMULA]]-Table13678[[#This Row],[PAGU ANGGARAN]]</f>
        <v>-307440000</v>
      </c>
      <c r="X34" t="s">
        <v>984</v>
      </c>
    </row>
    <row r="35" spans="3:24" hidden="1">
      <c r="C35" s="7" t="s">
        <v>29</v>
      </c>
      <c r="D35" s="7" t="s">
        <v>30</v>
      </c>
      <c r="E35" s="7" t="s">
        <v>31</v>
      </c>
      <c r="F35" s="7" t="s">
        <v>32</v>
      </c>
      <c r="G35" s="7" t="s">
        <v>34</v>
      </c>
      <c r="H35" s="8">
        <v>24595200</v>
      </c>
      <c r="I35" s="10" t="s">
        <v>108</v>
      </c>
      <c r="J35" s="7" t="s">
        <v>109</v>
      </c>
      <c r="K35" s="10" t="s">
        <v>82</v>
      </c>
      <c r="L35" s="7" t="s">
        <v>83</v>
      </c>
      <c r="M35" s="7"/>
      <c r="N35" s="7">
        <f>VLOOKUP(J35,[1]Sheet1!$C:$D,2,FALSE)</f>
        <v>5081</v>
      </c>
      <c r="O35" s="7">
        <f>VLOOKUP(J35,[2]Desa!$A:$D,4,FALSE)</f>
        <v>78</v>
      </c>
      <c r="P35" s="7">
        <f>VLOOKUP(J35,[3]Sheet1!$D:$F,3,FALSE)</f>
        <v>15</v>
      </c>
      <c r="Q35" s="7"/>
      <c r="R35" s="7"/>
      <c r="S35" s="12">
        <v>-8.6332008736787795</v>
      </c>
      <c r="T35" s="12">
        <v>116.130748039696</v>
      </c>
      <c r="U35" s="7"/>
      <c r="V35" s="50">
        <f>Table13678[[#This Row],[PAGU SEMULA]]-Table13678[[#This Row],[PAGU ANGGARAN]]</f>
        <v>-24595200</v>
      </c>
      <c r="W35" s="50">
        <f>Table13678[[#This Row],[PAGU SEMULA]]-Table13678[[#This Row],[PAGU ANGGARAN]]</f>
        <v>-24595200</v>
      </c>
      <c r="X35" t="s">
        <v>984</v>
      </c>
    </row>
    <row r="36" spans="3:24" hidden="1">
      <c r="C36" s="7" t="s">
        <v>110</v>
      </c>
      <c r="D36" s="7" t="s">
        <v>111</v>
      </c>
      <c r="E36" s="7" t="s">
        <v>112</v>
      </c>
      <c r="F36" s="7" t="s">
        <v>113</v>
      </c>
      <c r="G36" s="71" t="s">
        <v>114</v>
      </c>
      <c r="H36" s="8">
        <v>148950000</v>
      </c>
      <c r="I36" s="10" t="s">
        <v>108</v>
      </c>
      <c r="J36" s="7" t="s">
        <v>109</v>
      </c>
      <c r="K36" s="10" t="s">
        <v>82</v>
      </c>
      <c r="L36" s="7" t="s">
        <v>83</v>
      </c>
      <c r="M36" s="7"/>
      <c r="N36" s="7">
        <f>VLOOKUP(J36,[1]Sheet1!$C:$D,2,FALSE)</f>
        <v>5081</v>
      </c>
      <c r="O36" s="7">
        <f>VLOOKUP(J36,[2]Desa!$A:$D,4,FALSE)</f>
        <v>78</v>
      </c>
      <c r="P36" s="7">
        <f>VLOOKUP(J36,[3]Sheet1!$D:$F,3,FALSE)</f>
        <v>15</v>
      </c>
      <c r="Q36" s="7"/>
      <c r="R36" s="7"/>
      <c r="S36" s="12">
        <v>-8.6332008736787795</v>
      </c>
      <c r="T36" s="12">
        <v>116.130748039696</v>
      </c>
      <c r="U36" s="7"/>
      <c r="V36" s="50">
        <f>Table13678[[#This Row],[PAGU SEMULA]]-Table13678[[#This Row],[PAGU ANGGARAN]]</f>
        <v>-148950000</v>
      </c>
      <c r="W36" s="50">
        <f>Table13678[[#This Row],[PAGU SEMULA]]-Table13678[[#This Row],[PAGU ANGGARAN]]</f>
        <v>-148950000</v>
      </c>
      <c r="X36" t="s">
        <v>982</v>
      </c>
    </row>
    <row r="37" spans="3:24" hidden="1">
      <c r="C37" s="7" t="s">
        <v>35</v>
      </c>
      <c r="D37" s="7" t="s">
        <v>36</v>
      </c>
      <c r="E37" s="7" t="s">
        <v>37</v>
      </c>
      <c r="F37" s="7" t="s">
        <v>38</v>
      </c>
      <c r="G37" s="7" t="s">
        <v>39</v>
      </c>
      <c r="H37" s="67">
        <f>75000000+(5.4%*75000000)</f>
        <v>79050000</v>
      </c>
      <c r="I37" s="10" t="s">
        <v>108</v>
      </c>
      <c r="J37" s="7" t="s">
        <v>109</v>
      </c>
      <c r="K37" s="10" t="s">
        <v>82</v>
      </c>
      <c r="L37" s="7" t="s">
        <v>83</v>
      </c>
      <c r="M37" s="7"/>
      <c r="N37" s="7">
        <f>VLOOKUP(J37,[1]Sheet1!$C:$D,2,FALSE)</f>
        <v>5081</v>
      </c>
      <c r="O37" s="7">
        <f>VLOOKUP(J37,[2]Desa!$A:$D,4,FALSE)</f>
        <v>78</v>
      </c>
      <c r="P37" s="7">
        <f>VLOOKUP(J37,[3]Sheet1!$D:$F,3,FALSE)</f>
        <v>15</v>
      </c>
      <c r="Q37" s="7"/>
      <c r="R37" s="7"/>
      <c r="S37" s="12">
        <v>-8.6332008736787795</v>
      </c>
      <c r="T37" s="12">
        <v>116.130748039696</v>
      </c>
      <c r="U37" s="7"/>
      <c r="V37" s="50">
        <f>Table13678[[#This Row],[PAGU SEMULA]]-Table13678[[#This Row],[PAGU ANGGARAN]]</f>
        <v>-79050000</v>
      </c>
      <c r="W37" s="50">
        <f>Table13678[[#This Row],[PAGU SEMULA]]-Table13678[[#This Row],[PAGU ANGGARAN]]</f>
        <v>-79050000</v>
      </c>
      <c r="X37" t="s">
        <v>984</v>
      </c>
    </row>
    <row r="38" spans="3:24" hidden="1">
      <c r="C38" s="7" t="s">
        <v>35</v>
      </c>
      <c r="D38" s="7" t="s">
        <v>52</v>
      </c>
      <c r="E38" s="7" t="s">
        <v>95</v>
      </c>
      <c r="F38" s="7" t="s">
        <v>96</v>
      </c>
      <c r="G38" s="7" t="s">
        <v>41</v>
      </c>
      <c r="H38" s="60">
        <v>150000000</v>
      </c>
      <c r="I38" s="10" t="s">
        <v>108</v>
      </c>
      <c r="J38" s="7" t="s">
        <v>109</v>
      </c>
      <c r="K38" s="10" t="s">
        <v>82</v>
      </c>
      <c r="L38" s="7" t="s">
        <v>83</v>
      </c>
      <c r="M38" s="7"/>
      <c r="N38" s="7">
        <f>VLOOKUP(J38,[1]Sheet1!$C:$D,2,FALSE)</f>
        <v>5081</v>
      </c>
      <c r="O38" s="7">
        <f>VLOOKUP(J38,[2]Desa!$A:$D,4,FALSE)</f>
        <v>78</v>
      </c>
      <c r="P38" s="7">
        <f>VLOOKUP(J38,[3]Sheet1!$D:$F,3,FALSE)</f>
        <v>15</v>
      </c>
      <c r="Q38" s="7"/>
      <c r="R38" s="7"/>
      <c r="S38" s="12">
        <v>-8.6332008736787795</v>
      </c>
      <c r="T38" s="12">
        <v>116.130748039696</v>
      </c>
      <c r="U38" s="63">
        <v>158000000</v>
      </c>
      <c r="V38" s="57">
        <f>Table13678[[#This Row],[PAGU SEMULA]]-Table13678[[#This Row],[PAGU ANGGARAN]]</f>
        <v>8000000</v>
      </c>
      <c r="W38" s="50">
        <f>Table13678[[#This Row],[PAGU SEMULA]]-Table13678[[#This Row],[PAGU ANGGARAN]]</f>
        <v>8000000</v>
      </c>
      <c r="X38" t="s">
        <v>986</v>
      </c>
    </row>
    <row r="39" spans="3:24" hidden="1">
      <c r="C39" s="73" t="s">
        <v>962</v>
      </c>
      <c r="D39" s="29"/>
      <c r="E39" s="29"/>
      <c r="F39" s="29"/>
      <c r="G39" s="7" t="s">
        <v>39</v>
      </c>
      <c r="H39" s="60">
        <v>25000000</v>
      </c>
      <c r="I39" s="10" t="s">
        <v>108</v>
      </c>
      <c r="J39" s="7" t="s">
        <v>109</v>
      </c>
      <c r="K39" s="10" t="s">
        <v>82</v>
      </c>
      <c r="L39" s="7" t="s">
        <v>83</v>
      </c>
      <c r="M39" s="29"/>
      <c r="N39" s="29">
        <f>VLOOKUP(J39,[1]Sheet1!$C:$D,2,FALSE)</f>
        <v>5081</v>
      </c>
      <c r="O39" s="29">
        <f>VLOOKUP(J39,[2]Desa!$A:$D,4,FALSE)</f>
        <v>78</v>
      </c>
      <c r="P39" s="29">
        <f>VLOOKUP(J39,[3]Sheet1!$D:$F,3,FALSE)</f>
        <v>15</v>
      </c>
      <c r="Q39" s="29"/>
      <c r="R39" s="35"/>
      <c r="S39" s="36"/>
      <c r="T39" s="32"/>
      <c r="U39" s="80">
        <v>0</v>
      </c>
      <c r="V39" s="54">
        <f>Table13678[[#This Row],[PAGU SEMULA]]-Table13678[[#This Row],[PAGU ANGGARAN]]</f>
        <v>-25000000</v>
      </c>
      <c r="W39" s="54">
        <f>Table13678[[#This Row],[PAGU SEMULA]]-Table13678[[#This Row],[PAGU ANGGARAN]]</f>
        <v>-25000000</v>
      </c>
      <c r="X39" s="70" t="s">
        <v>984</v>
      </c>
    </row>
    <row r="40" spans="3:24" hidden="1">
      <c r="C40" s="7" t="s">
        <v>35</v>
      </c>
      <c r="D40" s="7" t="s">
        <v>36</v>
      </c>
      <c r="E40" s="7" t="s">
        <v>37</v>
      </c>
      <c r="F40" s="7" t="s">
        <v>38</v>
      </c>
      <c r="G40" s="7" t="s">
        <v>39</v>
      </c>
      <c r="H40" s="15">
        <v>0</v>
      </c>
      <c r="I40" s="10" t="s">
        <v>108</v>
      </c>
      <c r="J40" s="7" t="s">
        <v>109</v>
      </c>
      <c r="K40" s="10" t="s">
        <v>82</v>
      </c>
      <c r="L40" s="7" t="s">
        <v>83</v>
      </c>
      <c r="M40" s="7"/>
      <c r="N40" s="7">
        <f>VLOOKUP(J40,[1]Sheet1!$C:$D,2,FALSE)</f>
        <v>5081</v>
      </c>
      <c r="O40" s="7">
        <f>VLOOKUP(J40,[2]Desa!$A:$D,4,FALSE)</f>
        <v>78</v>
      </c>
      <c r="P40" s="7">
        <f>VLOOKUP(J40,[3]Sheet1!$D:$F,3,FALSE)</f>
        <v>15</v>
      </c>
      <c r="Q40" s="7"/>
      <c r="R40" s="7"/>
      <c r="S40" s="12">
        <v>-8.6332008736787795</v>
      </c>
      <c r="T40" s="12">
        <v>116.130748039696</v>
      </c>
      <c r="U40" s="7"/>
      <c r="V40" s="50">
        <f>Table13678[[#This Row],[PAGU SEMULA]]-Table13678[[#This Row],[PAGU ANGGARAN]]</f>
        <v>0</v>
      </c>
      <c r="W40" s="50">
        <f>Table13678[[#This Row],[PAGU SEMULA]]-Table13678[[#This Row],[PAGU ANGGARAN]]</f>
        <v>0</v>
      </c>
      <c r="X40" t="s">
        <v>984</v>
      </c>
    </row>
    <row r="41" spans="3:24" hidden="1">
      <c r="C41" s="7" t="s">
        <v>29</v>
      </c>
      <c r="D41" s="7" t="s">
        <v>30</v>
      </c>
      <c r="E41" s="7" t="s">
        <v>31</v>
      </c>
      <c r="F41" s="7" t="s">
        <v>32</v>
      </c>
      <c r="G41" s="7" t="s">
        <v>33</v>
      </c>
      <c r="H41" s="8">
        <v>952980000</v>
      </c>
      <c r="I41" s="10" t="s">
        <v>115</v>
      </c>
      <c r="J41" s="7" t="s">
        <v>116</v>
      </c>
      <c r="K41" s="10" t="s">
        <v>82</v>
      </c>
      <c r="L41" s="7" t="s">
        <v>83</v>
      </c>
      <c r="M41" s="7"/>
      <c r="N41" s="7">
        <f>VLOOKUP(J41,[1]Sheet1!$C:$D,2,FALSE)</f>
        <v>10391</v>
      </c>
      <c r="O41" s="7">
        <f>VLOOKUP(J41,[2]Desa!$A:$D,4,FALSE)</f>
        <v>280</v>
      </c>
      <c r="P41" s="7">
        <f>VLOOKUP(J41,[3]Sheet1!$D:$F,3,FALSE)</f>
        <v>88</v>
      </c>
      <c r="Q41" s="7"/>
      <c r="R41" s="7"/>
      <c r="S41" s="12">
        <v>-8.6200132851496498</v>
      </c>
      <c r="T41" s="12">
        <v>116.10743432363699</v>
      </c>
      <c r="U41" s="7"/>
      <c r="V41" s="50">
        <f>Table13678[[#This Row],[PAGU SEMULA]]-Table13678[[#This Row],[PAGU ANGGARAN]]</f>
        <v>-952980000</v>
      </c>
      <c r="W41" s="50">
        <f>Table13678[[#This Row],[PAGU SEMULA]]-Table13678[[#This Row],[PAGU ANGGARAN]]</f>
        <v>-952980000</v>
      </c>
      <c r="X41" t="s">
        <v>984</v>
      </c>
    </row>
    <row r="42" spans="3:24" hidden="1">
      <c r="C42" s="7" t="s">
        <v>29</v>
      </c>
      <c r="D42" s="7" t="s">
        <v>30</v>
      </c>
      <c r="E42" s="7" t="s">
        <v>31</v>
      </c>
      <c r="F42" s="7" t="s">
        <v>32</v>
      </c>
      <c r="G42" s="7" t="s">
        <v>34</v>
      </c>
      <c r="H42" s="8">
        <v>76238400</v>
      </c>
      <c r="I42" s="10" t="s">
        <v>115</v>
      </c>
      <c r="J42" s="7" t="s">
        <v>116</v>
      </c>
      <c r="K42" s="10" t="s">
        <v>82</v>
      </c>
      <c r="L42" s="7" t="s">
        <v>83</v>
      </c>
      <c r="M42" s="7"/>
      <c r="N42" s="7">
        <f>VLOOKUP(J42,[1]Sheet1!$C:$D,2,FALSE)</f>
        <v>10391</v>
      </c>
      <c r="O42" s="7">
        <f>VLOOKUP(J42,[2]Desa!$A:$D,4,FALSE)</f>
        <v>280</v>
      </c>
      <c r="P42" s="7">
        <f>VLOOKUP(J42,[3]Sheet1!$D:$F,3,FALSE)</f>
        <v>88</v>
      </c>
      <c r="Q42" s="7"/>
      <c r="R42" s="7"/>
      <c r="S42" s="12">
        <v>-8.6200132851496498</v>
      </c>
      <c r="T42" s="12">
        <v>116.10743432363699</v>
      </c>
      <c r="U42" s="7"/>
      <c r="V42" s="50">
        <f>Table13678[[#This Row],[PAGU SEMULA]]-Table13678[[#This Row],[PAGU ANGGARAN]]</f>
        <v>-76238400</v>
      </c>
      <c r="W42" s="50">
        <f>Table13678[[#This Row],[PAGU SEMULA]]-Table13678[[#This Row],[PAGU ANGGARAN]]</f>
        <v>-76238400</v>
      </c>
      <c r="X42" t="s">
        <v>984</v>
      </c>
    </row>
    <row r="43" spans="3:24" hidden="1">
      <c r="C43" s="7" t="s">
        <v>35</v>
      </c>
      <c r="D43" s="7" t="s">
        <v>36</v>
      </c>
      <c r="E43" s="7" t="s">
        <v>37</v>
      </c>
      <c r="F43" s="7" t="s">
        <v>38</v>
      </c>
      <c r="G43" s="7" t="s">
        <v>39</v>
      </c>
      <c r="H43" s="17">
        <v>284875000</v>
      </c>
      <c r="I43" s="10" t="s">
        <v>115</v>
      </c>
      <c r="J43" s="7" t="s">
        <v>116</v>
      </c>
      <c r="K43" s="10" t="s">
        <v>82</v>
      </c>
      <c r="L43" s="7" t="s">
        <v>83</v>
      </c>
      <c r="M43" s="7"/>
      <c r="N43" s="7">
        <f>VLOOKUP(J43,[1]Sheet1!$C:$D,2,FALSE)</f>
        <v>10391</v>
      </c>
      <c r="O43" s="7">
        <f>VLOOKUP(J43,[2]Desa!$A:$D,4,FALSE)</f>
        <v>280</v>
      </c>
      <c r="P43" s="7">
        <f>VLOOKUP(J43,[3]Sheet1!$D:$F,3,FALSE)</f>
        <v>88</v>
      </c>
      <c r="Q43" s="7"/>
      <c r="R43" s="7"/>
      <c r="S43" s="12">
        <v>-8.6200132851496498</v>
      </c>
      <c r="T43" s="12">
        <v>116.10743432363699</v>
      </c>
      <c r="U43" s="7"/>
      <c r="V43" s="50">
        <f>Table13678[[#This Row],[PAGU SEMULA]]-Table13678[[#This Row],[PAGU ANGGARAN]]</f>
        <v>-284875000</v>
      </c>
      <c r="W43" s="50">
        <f>Table13678[[#This Row],[PAGU SEMULA]]-Table13678[[#This Row],[PAGU ANGGARAN]]</f>
        <v>-284875000</v>
      </c>
      <c r="X43" t="s">
        <v>984</v>
      </c>
    </row>
    <row r="44" spans="3:24" hidden="1">
      <c r="C44" s="7" t="s">
        <v>35</v>
      </c>
      <c r="D44" s="7" t="s">
        <v>52</v>
      </c>
      <c r="E44" s="7" t="s">
        <v>95</v>
      </c>
      <c r="F44" s="7" t="s">
        <v>96</v>
      </c>
      <c r="G44" s="7" t="s">
        <v>117</v>
      </c>
      <c r="H44" s="17">
        <v>387000000</v>
      </c>
      <c r="I44" s="10" t="s">
        <v>115</v>
      </c>
      <c r="J44" s="7" t="s">
        <v>116</v>
      </c>
      <c r="K44" s="10" t="s">
        <v>82</v>
      </c>
      <c r="L44" s="7" t="s">
        <v>83</v>
      </c>
      <c r="M44" s="7"/>
      <c r="N44" s="7">
        <f>VLOOKUP(J44,[1]Sheet1!$C:$D,2,FALSE)</f>
        <v>10391</v>
      </c>
      <c r="O44" s="7">
        <f>VLOOKUP(J44,[2]Desa!$A:$D,4,FALSE)</f>
        <v>280</v>
      </c>
      <c r="P44" s="7">
        <f>VLOOKUP(J44,[3]Sheet1!$D:$F,3,FALSE)</f>
        <v>88</v>
      </c>
      <c r="Q44" s="7"/>
      <c r="R44" s="7"/>
      <c r="S44" s="12">
        <v>-8.6200132851496498</v>
      </c>
      <c r="T44" s="12">
        <v>116.10743432363699</v>
      </c>
      <c r="U44" s="7"/>
      <c r="V44" s="50">
        <f>Table13678[[#This Row],[PAGU SEMULA]]-Table13678[[#This Row],[PAGU ANGGARAN]]</f>
        <v>-387000000</v>
      </c>
      <c r="W44" s="50">
        <f>Table13678[[#This Row],[PAGU SEMULA]]-Table13678[[#This Row],[PAGU ANGGARAN]]</f>
        <v>-387000000</v>
      </c>
      <c r="X44" t="s">
        <v>986</v>
      </c>
    </row>
    <row r="45" spans="3:24" hidden="1">
      <c r="C45" s="7" t="s">
        <v>35</v>
      </c>
      <c r="D45" s="7" t="s">
        <v>52</v>
      </c>
      <c r="E45" s="7" t="s">
        <v>95</v>
      </c>
      <c r="F45" s="7" t="s">
        <v>96</v>
      </c>
      <c r="G45" s="7" t="s">
        <v>41</v>
      </c>
      <c r="H45" s="17">
        <v>193500000</v>
      </c>
      <c r="I45" s="10" t="s">
        <v>115</v>
      </c>
      <c r="J45" s="7" t="s">
        <v>116</v>
      </c>
      <c r="K45" s="10" t="s">
        <v>82</v>
      </c>
      <c r="L45" s="7" t="s">
        <v>83</v>
      </c>
      <c r="M45" s="7"/>
      <c r="N45" s="7">
        <f>VLOOKUP(J45,[1]Sheet1!$C:$D,2,FALSE)</f>
        <v>10391</v>
      </c>
      <c r="O45" s="7">
        <f>VLOOKUP(J45,[2]Desa!$A:$D,4,FALSE)</f>
        <v>280</v>
      </c>
      <c r="P45" s="7">
        <f>VLOOKUP(J45,[3]Sheet1!$D:$F,3,FALSE)</f>
        <v>88</v>
      </c>
      <c r="Q45" s="7"/>
      <c r="R45" s="7"/>
      <c r="S45" s="12">
        <v>-8.6200132851496498</v>
      </c>
      <c r="T45" s="12">
        <v>116.10743432363699</v>
      </c>
      <c r="U45" s="7"/>
      <c r="V45" s="50">
        <f>Table13678[[#This Row],[PAGU SEMULA]]-Table13678[[#This Row],[PAGU ANGGARAN]]</f>
        <v>-193500000</v>
      </c>
      <c r="W45" s="50">
        <f>Table13678[[#This Row],[PAGU SEMULA]]-Table13678[[#This Row],[PAGU ANGGARAN]]</f>
        <v>-193500000</v>
      </c>
      <c r="X45" t="s">
        <v>986</v>
      </c>
    </row>
    <row r="46" spans="3:24" hidden="1">
      <c r="C46" s="7" t="s">
        <v>68</v>
      </c>
      <c r="D46" s="7" t="s">
        <v>118</v>
      </c>
      <c r="E46" s="7" t="s">
        <v>119</v>
      </c>
      <c r="F46" s="7" t="s">
        <v>120</v>
      </c>
      <c r="G46" s="7" t="s">
        <v>121</v>
      </c>
      <c r="H46" s="8">
        <v>100000000</v>
      </c>
      <c r="I46" s="10" t="s">
        <v>115</v>
      </c>
      <c r="J46" s="7" t="s">
        <v>116</v>
      </c>
      <c r="K46" s="10" t="s">
        <v>82</v>
      </c>
      <c r="L46" s="7" t="s">
        <v>83</v>
      </c>
      <c r="M46" s="7"/>
      <c r="N46" s="7">
        <f>VLOOKUP(J46,[1]Sheet1!$C:$D,2,FALSE)</f>
        <v>10391</v>
      </c>
      <c r="O46" s="7">
        <f>VLOOKUP(J46,[2]Desa!$A:$D,4,FALSE)</f>
        <v>280</v>
      </c>
      <c r="P46" s="7">
        <f>VLOOKUP(J46,[3]Sheet1!$D:$F,3,FALSE)</f>
        <v>88</v>
      </c>
      <c r="Q46" s="7"/>
      <c r="R46" s="7"/>
      <c r="S46" s="12">
        <v>-8.6200132851496498</v>
      </c>
      <c r="T46" s="12">
        <v>116.10743432363699</v>
      </c>
      <c r="U46" s="7"/>
      <c r="V46" s="50">
        <f>Table13678[[#This Row],[PAGU SEMULA]]-Table13678[[#This Row],[PAGU ANGGARAN]]</f>
        <v>-100000000</v>
      </c>
      <c r="W46" s="50">
        <f>Table13678[[#This Row],[PAGU SEMULA]]-Table13678[[#This Row],[PAGU ANGGARAN]]</f>
        <v>-100000000</v>
      </c>
      <c r="X46" t="s">
        <v>982</v>
      </c>
    </row>
    <row r="47" spans="3:24" hidden="1">
      <c r="C47" s="7" t="s">
        <v>68</v>
      </c>
      <c r="D47" s="7" t="s">
        <v>69</v>
      </c>
      <c r="E47" s="7" t="s">
        <v>70</v>
      </c>
      <c r="F47" s="7" t="s">
        <v>71</v>
      </c>
      <c r="G47" s="7" t="s">
        <v>72</v>
      </c>
      <c r="H47" s="8">
        <v>199100000</v>
      </c>
      <c r="I47" s="10" t="s">
        <v>115</v>
      </c>
      <c r="J47" s="7" t="s">
        <v>116</v>
      </c>
      <c r="K47" s="10" t="s">
        <v>82</v>
      </c>
      <c r="L47" s="7" t="s">
        <v>83</v>
      </c>
      <c r="M47" s="7"/>
      <c r="N47" s="7">
        <f>VLOOKUP(J47,[1]Sheet1!$C:$D,2,FALSE)</f>
        <v>10391</v>
      </c>
      <c r="O47" s="7">
        <f>VLOOKUP(J47,[2]Desa!$A:$D,4,FALSE)</f>
        <v>280</v>
      </c>
      <c r="P47" s="7">
        <f>VLOOKUP(J47,[3]Sheet1!$D:$F,3,FALSE)</f>
        <v>88</v>
      </c>
      <c r="Q47" s="7"/>
      <c r="R47" s="7"/>
      <c r="S47" s="12">
        <v>-8.6200132851496498</v>
      </c>
      <c r="T47" s="12">
        <v>116.10743432363699</v>
      </c>
      <c r="U47" s="7"/>
      <c r="V47" s="50">
        <f>Table13678[[#This Row],[PAGU SEMULA]]-Table13678[[#This Row],[PAGU ANGGARAN]]</f>
        <v>-199100000</v>
      </c>
      <c r="W47" s="50">
        <f>Table13678[[#This Row],[PAGU SEMULA]]-Table13678[[#This Row],[PAGU ANGGARAN]]</f>
        <v>-199100000</v>
      </c>
      <c r="X47" t="s">
        <v>982</v>
      </c>
    </row>
    <row r="48" spans="3:24" hidden="1">
      <c r="C48" s="7" t="s">
        <v>46</v>
      </c>
      <c r="D48" s="7" t="s">
        <v>122</v>
      </c>
      <c r="E48" s="7" t="s">
        <v>123</v>
      </c>
      <c r="F48" s="7" t="s">
        <v>124</v>
      </c>
      <c r="G48" s="71" t="s">
        <v>125</v>
      </c>
      <c r="H48" s="8">
        <v>0</v>
      </c>
      <c r="I48" s="10" t="s">
        <v>115</v>
      </c>
      <c r="J48" s="7" t="s">
        <v>116</v>
      </c>
      <c r="K48" s="10" t="s">
        <v>82</v>
      </c>
      <c r="L48" s="7" t="s">
        <v>83</v>
      </c>
      <c r="M48" s="7"/>
      <c r="N48" s="7">
        <f>VLOOKUP(J48,[1]Sheet1!$C:$D,2,FALSE)</f>
        <v>10391</v>
      </c>
      <c r="O48" s="7">
        <f>VLOOKUP(J48,[2]Desa!$A:$D,4,FALSE)</f>
        <v>280</v>
      </c>
      <c r="P48" s="7">
        <f>VLOOKUP(J48,[3]Sheet1!$D:$F,3,FALSE)</f>
        <v>88</v>
      </c>
      <c r="Q48" s="7"/>
      <c r="R48" s="7"/>
      <c r="S48" s="12">
        <v>-8.6200132851496498</v>
      </c>
      <c r="T48" s="12">
        <v>116.10743432363699</v>
      </c>
      <c r="U48" s="7"/>
      <c r="V48" s="50">
        <f>Table13678[[#This Row],[PAGU SEMULA]]-Table13678[[#This Row],[PAGU ANGGARAN]]</f>
        <v>0</v>
      </c>
      <c r="W48" s="50">
        <f>Table13678[[#This Row],[PAGU SEMULA]]-Table13678[[#This Row],[PAGU ANGGARAN]]</f>
        <v>0</v>
      </c>
      <c r="X48" t="s">
        <v>987</v>
      </c>
    </row>
    <row r="49" spans="3:24" hidden="1">
      <c r="C49" s="7" t="s">
        <v>51</v>
      </c>
      <c r="D49" s="7" t="s">
        <v>52</v>
      </c>
      <c r="E49" s="7" t="s">
        <v>53</v>
      </c>
      <c r="F49" s="7" t="s">
        <v>54</v>
      </c>
      <c r="G49" s="7" t="s">
        <v>73</v>
      </c>
      <c r="H49" s="8">
        <v>94545000</v>
      </c>
      <c r="I49" s="10" t="s">
        <v>115</v>
      </c>
      <c r="J49" s="7" t="s">
        <v>116</v>
      </c>
      <c r="K49" s="10" t="s">
        <v>82</v>
      </c>
      <c r="L49" s="7" t="s">
        <v>83</v>
      </c>
      <c r="M49" s="7"/>
      <c r="N49" s="7">
        <f>VLOOKUP(J49,[1]Sheet1!$C:$D,2,FALSE)</f>
        <v>10391</v>
      </c>
      <c r="O49" s="7">
        <f>VLOOKUP(J49,[2]Desa!$A:$D,4,FALSE)</f>
        <v>280</v>
      </c>
      <c r="P49" s="7">
        <f>VLOOKUP(J49,[3]Sheet1!$D:$F,3,FALSE)</f>
        <v>88</v>
      </c>
      <c r="Q49" s="7"/>
      <c r="R49" s="7"/>
      <c r="S49" s="12">
        <v>-8.6200132851496498</v>
      </c>
      <c r="T49" s="12">
        <v>116.10743432363699</v>
      </c>
      <c r="U49" s="7"/>
      <c r="V49" s="50">
        <f>Table13678[[#This Row],[PAGU SEMULA]]-Table13678[[#This Row],[PAGU ANGGARAN]]</f>
        <v>-94545000</v>
      </c>
      <c r="W49" s="50">
        <f>Table13678[[#This Row],[PAGU SEMULA]]-Table13678[[#This Row],[PAGU ANGGARAN]]</f>
        <v>-94545000</v>
      </c>
      <c r="X49" t="s">
        <v>986</v>
      </c>
    </row>
    <row r="50" spans="3:24" hidden="1">
      <c r="C50" s="7" t="s">
        <v>20</v>
      </c>
      <c r="D50" s="7" t="s">
        <v>104</v>
      </c>
      <c r="E50" s="7" t="s">
        <v>105</v>
      </c>
      <c r="F50" s="7" t="s">
        <v>126</v>
      </c>
      <c r="G50" s="71" t="s">
        <v>127</v>
      </c>
      <c r="H50" s="15">
        <v>105310000</v>
      </c>
      <c r="I50" s="10" t="s">
        <v>128</v>
      </c>
      <c r="J50" s="7" t="s">
        <v>129</v>
      </c>
      <c r="K50" s="10" t="s">
        <v>27</v>
      </c>
      <c r="L50" s="7" t="s">
        <v>28</v>
      </c>
      <c r="M50" s="7"/>
      <c r="N50" s="7">
        <f>VLOOKUP(J50,[1]Sheet1!$C:$D,2,FALSE)</f>
        <v>8519</v>
      </c>
      <c r="O50" s="7">
        <f>VLOOKUP(J50,[2]Desa!$A:$D,4,FALSE)</f>
        <v>291</v>
      </c>
      <c r="P50" s="7">
        <f>VLOOKUP(J50,[3]Sheet1!$D:$F,3,FALSE)</f>
        <v>27</v>
      </c>
      <c r="Q50" s="7"/>
      <c r="R50" s="7"/>
      <c r="S50" s="12">
        <v>-8.7094605636492908</v>
      </c>
      <c r="T50" s="12">
        <v>116.14329554792801</v>
      </c>
      <c r="U50" s="7"/>
      <c r="V50" s="50">
        <f>Table13678[[#This Row],[PAGU SEMULA]]-Table13678[[#This Row],[PAGU ANGGARAN]]</f>
        <v>-105310000</v>
      </c>
      <c r="W50" s="50">
        <f>Table13678[[#This Row],[PAGU SEMULA]]-Table13678[[#This Row],[PAGU ANGGARAN]]</f>
        <v>-105310000</v>
      </c>
      <c r="X50" t="s">
        <v>984</v>
      </c>
    </row>
    <row r="51" spans="3:24" hidden="1">
      <c r="C51" s="7" t="s">
        <v>29</v>
      </c>
      <c r="D51" s="7" t="s">
        <v>30</v>
      </c>
      <c r="E51" s="7" t="s">
        <v>31</v>
      </c>
      <c r="F51" s="7" t="s">
        <v>32</v>
      </c>
      <c r="G51" s="7" t="s">
        <v>33</v>
      </c>
      <c r="H51" s="8">
        <v>547680000</v>
      </c>
      <c r="I51" s="10" t="s">
        <v>128</v>
      </c>
      <c r="J51" s="7" t="s">
        <v>129</v>
      </c>
      <c r="K51" s="10" t="s">
        <v>27</v>
      </c>
      <c r="L51" s="7" t="s">
        <v>28</v>
      </c>
      <c r="M51" s="7"/>
      <c r="N51" s="7">
        <f>VLOOKUP(J51,[1]Sheet1!$C:$D,2,FALSE)</f>
        <v>8519</v>
      </c>
      <c r="O51" s="7">
        <f>VLOOKUP(J51,[2]Desa!$A:$D,4,FALSE)</f>
        <v>291</v>
      </c>
      <c r="P51" s="7">
        <f>VLOOKUP(J51,[3]Sheet1!$D:$F,3,FALSE)</f>
        <v>27</v>
      </c>
      <c r="Q51" s="7"/>
      <c r="R51" s="7"/>
      <c r="S51" s="12">
        <v>-8.7094605636492908</v>
      </c>
      <c r="T51" s="12">
        <v>116.14329554792801</v>
      </c>
      <c r="U51" s="7"/>
      <c r="V51" s="50">
        <f>Table13678[[#This Row],[PAGU SEMULA]]-Table13678[[#This Row],[PAGU ANGGARAN]]</f>
        <v>-547680000</v>
      </c>
      <c r="W51" s="50">
        <f>Table13678[[#This Row],[PAGU SEMULA]]-Table13678[[#This Row],[PAGU ANGGARAN]]</f>
        <v>-547680000</v>
      </c>
      <c r="X51" t="s">
        <v>984</v>
      </c>
    </row>
    <row r="52" spans="3:24" hidden="1">
      <c r="C52" s="7" t="s">
        <v>29</v>
      </c>
      <c r="D52" s="7" t="s">
        <v>30</v>
      </c>
      <c r="E52" s="7" t="s">
        <v>31</v>
      </c>
      <c r="F52" s="7" t="s">
        <v>32</v>
      </c>
      <c r="G52" s="7" t="s">
        <v>34</v>
      </c>
      <c r="H52" s="8">
        <v>43814400</v>
      </c>
      <c r="I52" s="10" t="s">
        <v>128</v>
      </c>
      <c r="J52" s="7" t="s">
        <v>129</v>
      </c>
      <c r="K52" s="10" t="s">
        <v>27</v>
      </c>
      <c r="L52" s="7" t="s">
        <v>28</v>
      </c>
      <c r="M52" s="7"/>
      <c r="N52" s="7">
        <f>VLOOKUP(J52,[1]Sheet1!$C:$D,2,FALSE)</f>
        <v>8519</v>
      </c>
      <c r="O52" s="7">
        <f>VLOOKUP(J52,[2]Desa!$A:$D,4,FALSE)</f>
        <v>291</v>
      </c>
      <c r="P52" s="7">
        <f>VLOOKUP(J52,[3]Sheet1!$D:$F,3,FALSE)</f>
        <v>27</v>
      </c>
      <c r="Q52" s="7"/>
      <c r="R52" s="7"/>
      <c r="S52" s="12">
        <v>-8.7094605636492908</v>
      </c>
      <c r="T52" s="12">
        <v>116.14329554792801</v>
      </c>
      <c r="U52" s="7"/>
      <c r="V52" s="50">
        <f>Table13678[[#This Row],[PAGU SEMULA]]-Table13678[[#This Row],[PAGU ANGGARAN]]</f>
        <v>-43814400</v>
      </c>
      <c r="W52" s="50">
        <f>Table13678[[#This Row],[PAGU SEMULA]]-Table13678[[#This Row],[PAGU ANGGARAN]]</f>
        <v>-43814400</v>
      </c>
      <c r="X52" t="s">
        <v>984</v>
      </c>
    </row>
    <row r="53" spans="3:24" hidden="1">
      <c r="C53" s="7" t="s">
        <v>130</v>
      </c>
      <c r="D53" s="7" t="s">
        <v>131</v>
      </c>
      <c r="E53" s="7" t="s">
        <v>132</v>
      </c>
      <c r="F53" s="7" t="s">
        <v>132</v>
      </c>
      <c r="G53" s="7" t="s">
        <v>133</v>
      </c>
      <c r="H53" s="8">
        <v>225400000</v>
      </c>
      <c r="I53" s="10" t="s">
        <v>128</v>
      </c>
      <c r="J53" s="7" t="s">
        <v>129</v>
      </c>
      <c r="K53" s="10" t="s">
        <v>27</v>
      </c>
      <c r="L53" s="7" t="s">
        <v>28</v>
      </c>
      <c r="M53" s="7"/>
      <c r="N53" s="7">
        <f>VLOOKUP(J53,[1]Sheet1!$C:$D,2,FALSE)</f>
        <v>8519</v>
      </c>
      <c r="O53" s="7">
        <f>VLOOKUP(J53,[2]Desa!$A:$D,4,FALSE)</f>
        <v>291</v>
      </c>
      <c r="P53" s="7">
        <f>VLOOKUP(J53,[3]Sheet1!$D:$F,3,FALSE)</f>
        <v>27</v>
      </c>
      <c r="Q53" s="7"/>
      <c r="R53" s="7"/>
      <c r="S53" s="12">
        <v>-8.7094605636492908</v>
      </c>
      <c r="T53" s="12">
        <v>116.14329554792801</v>
      </c>
      <c r="U53" s="7"/>
      <c r="V53" s="50">
        <f>Table13678[[#This Row],[PAGU SEMULA]]-Table13678[[#This Row],[PAGU ANGGARAN]]</f>
        <v>-225400000</v>
      </c>
      <c r="W53" s="50">
        <f>Table13678[[#This Row],[PAGU SEMULA]]-Table13678[[#This Row],[PAGU ANGGARAN]]</f>
        <v>-225400000</v>
      </c>
      <c r="X53" t="s">
        <v>986</v>
      </c>
    </row>
    <row r="54" spans="3:24" hidden="1">
      <c r="C54" s="7" t="s">
        <v>35</v>
      </c>
      <c r="D54" s="7" t="s">
        <v>36</v>
      </c>
      <c r="E54" s="7" t="s">
        <v>37</v>
      </c>
      <c r="F54" s="7" t="s">
        <v>38</v>
      </c>
      <c r="G54" s="7" t="s">
        <v>39</v>
      </c>
      <c r="H54" s="15">
        <v>75000000</v>
      </c>
      <c r="I54" s="10" t="s">
        <v>128</v>
      </c>
      <c r="J54" s="7" t="s">
        <v>129</v>
      </c>
      <c r="K54" s="10" t="s">
        <v>27</v>
      </c>
      <c r="L54" s="7" t="s">
        <v>28</v>
      </c>
      <c r="M54" s="7"/>
      <c r="N54" s="7">
        <f>VLOOKUP(J54,[1]Sheet1!$C:$D,2,FALSE)</f>
        <v>8519</v>
      </c>
      <c r="O54" s="7">
        <f>VLOOKUP(J54,[2]Desa!$A:$D,4,FALSE)</f>
        <v>291</v>
      </c>
      <c r="P54" s="7">
        <f>VLOOKUP(J54,[3]Sheet1!$D:$F,3,FALSE)</f>
        <v>27</v>
      </c>
      <c r="Q54" s="7"/>
      <c r="R54" s="7"/>
      <c r="S54" s="12">
        <v>-8.7094605636492908</v>
      </c>
      <c r="T54" s="12">
        <v>116.14329554792801</v>
      </c>
      <c r="U54" s="7"/>
      <c r="V54" s="50">
        <f>Table13678[[#This Row],[PAGU SEMULA]]-Table13678[[#This Row],[PAGU ANGGARAN]]</f>
        <v>-75000000</v>
      </c>
      <c r="W54" s="50">
        <f>Table13678[[#This Row],[PAGU SEMULA]]-Table13678[[#This Row],[PAGU ANGGARAN]]</f>
        <v>-75000000</v>
      </c>
      <c r="X54" t="s">
        <v>984</v>
      </c>
    </row>
    <row r="55" spans="3:24" hidden="1">
      <c r="C55" s="7" t="s">
        <v>35</v>
      </c>
      <c r="D55" s="7" t="s">
        <v>52</v>
      </c>
      <c r="E55" s="7" t="s">
        <v>95</v>
      </c>
      <c r="F55" s="7" t="s">
        <v>96</v>
      </c>
      <c r="G55" s="7" t="s">
        <v>41</v>
      </c>
      <c r="H55" s="17">
        <v>96750000</v>
      </c>
      <c r="I55" s="10" t="s">
        <v>128</v>
      </c>
      <c r="J55" s="7" t="s">
        <v>129</v>
      </c>
      <c r="K55" s="10" t="s">
        <v>27</v>
      </c>
      <c r="L55" s="7" t="s">
        <v>28</v>
      </c>
      <c r="M55" s="7"/>
      <c r="N55" s="7">
        <f>VLOOKUP(J55,[1]Sheet1!$C:$D,2,FALSE)</f>
        <v>8519</v>
      </c>
      <c r="O55" s="7">
        <f>VLOOKUP(J55,[2]Desa!$A:$D,4,FALSE)</f>
        <v>291</v>
      </c>
      <c r="P55" s="7">
        <f>VLOOKUP(J55,[3]Sheet1!$D:$F,3,FALSE)</f>
        <v>27</v>
      </c>
      <c r="Q55" s="7"/>
      <c r="R55" s="7"/>
      <c r="S55" s="12">
        <v>-8.7094605636492908</v>
      </c>
      <c r="T55" s="12">
        <v>116.14329554792801</v>
      </c>
      <c r="U55" s="7"/>
      <c r="V55" s="50">
        <f>Table13678[[#This Row],[PAGU SEMULA]]-Table13678[[#This Row],[PAGU ANGGARAN]]</f>
        <v>-96750000</v>
      </c>
      <c r="W55" s="50">
        <f>Table13678[[#This Row],[PAGU SEMULA]]-Table13678[[#This Row],[PAGU ANGGARAN]]</f>
        <v>-96750000</v>
      </c>
      <c r="X55" t="s">
        <v>986</v>
      </c>
    </row>
    <row r="56" spans="3:24" hidden="1">
      <c r="C56" s="7" t="s">
        <v>51</v>
      </c>
      <c r="D56" s="7" t="s">
        <v>52</v>
      </c>
      <c r="E56" s="7" t="s">
        <v>53</v>
      </c>
      <c r="F56" s="7" t="s">
        <v>54</v>
      </c>
      <c r="G56" s="7" t="s">
        <v>55</v>
      </c>
      <c r="H56" s="8">
        <v>142295000</v>
      </c>
      <c r="I56" s="10" t="s">
        <v>128</v>
      </c>
      <c r="J56" s="7" t="s">
        <v>129</v>
      </c>
      <c r="K56" s="10" t="s">
        <v>27</v>
      </c>
      <c r="L56" s="7" t="s">
        <v>28</v>
      </c>
      <c r="M56" s="7"/>
      <c r="N56" s="7">
        <f>VLOOKUP(J56,[1]Sheet1!$C:$D,2,FALSE)</f>
        <v>8519</v>
      </c>
      <c r="O56" s="7">
        <f>VLOOKUP(J56,[2]Desa!$A:$D,4,FALSE)</f>
        <v>291</v>
      </c>
      <c r="P56" s="7">
        <f>VLOOKUP(J56,[3]Sheet1!$D:$F,3,FALSE)</f>
        <v>27</v>
      </c>
      <c r="Q56" s="7"/>
      <c r="R56" s="7"/>
      <c r="S56" s="12">
        <v>-8.7094605636492908</v>
      </c>
      <c r="T56" s="12">
        <v>116.14329554792801</v>
      </c>
      <c r="U56" s="7"/>
      <c r="V56" s="50">
        <f>Table13678[[#This Row],[PAGU SEMULA]]-Table13678[[#This Row],[PAGU ANGGARAN]]</f>
        <v>-142295000</v>
      </c>
      <c r="W56" s="50">
        <f>Table13678[[#This Row],[PAGU SEMULA]]-Table13678[[#This Row],[PAGU ANGGARAN]]</f>
        <v>-142295000</v>
      </c>
      <c r="X56" t="s">
        <v>986</v>
      </c>
    </row>
    <row r="57" spans="3:24" hidden="1">
      <c r="C57" s="7" t="s">
        <v>51</v>
      </c>
      <c r="D57" s="7" t="s">
        <v>52</v>
      </c>
      <c r="E57" s="7" t="s">
        <v>53</v>
      </c>
      <c r="F57" s="7" t="s">
        <v>54</v>
      </c>
      <c r="G57" s="7" t="s">
        <v>55</v>
      </c>
      <c r="H57" s="8">
        <v>142295000</v>
      </c>
      <c r="I57" s="10" t="s">
        <v>128</v>
      </c>
      <c r="J57" s="7" t="s">
        <v>129</v>
      </c>
      <c r="K57" s="10" t="s">
        <v>27</v>
      </c>
      <c r="L57" s="7" t="s">
        <v>28</v>
      </c>
      <c r="M57" s="7"/>
      <c r="N57" s="7">
        <f>VLOOKUP(J57,[1]Sheet1!$C:$D,2,FALSE)</f>
        <v>8519</v>
      </c>
      <c r="O57" s="7">
        <f>VLOOKUP(J57,[2]Desa!$A:$D,4,FALSE)</f>
        <v>291</v>
      </c>
      <c r="P57" s="7">
        <f>VLOOKUP(J57,[3]Sheet1!$D:$F,3,FALSE)</f>
        <v>27</v>
      </c>
      <c r="Q57" s="7"/>
      <c r="R57" s="7"/>
      <c r="S57" s="12">
        <v>-8.7094605636492908</v>
      </c>
      <c r="T57" s="12">
        <v>116.14329554792801</v>
      </c>
      <c r="U57" s="7"/>
      <c r="V57" s="50">
        <f>Table13678[[#This Row],[PAGU SEMULA]]-Table13678[[#This Row],[PAGU ANGGARAN]]</f>
        <v>-142295000</v>
      </c>
      <c r="W57" s="50">
        <f>Table13678[[#This Row],[PAGU SEMULA]]-Table13678[[#This Row],[PAGU ANGGARAN]]</f>
        <v>-142295000</v>
      </c>
      <c r="X57" t="s">
        <v>986</v>
      </c>
    </row>
    <row r="58" spans="3:24" hidden="1">
      <c r="C58" s="7" t="s">
        <v>51</v>
      </c>
      <c r="D58" s="7" t="s">
        <v>52</v>
      </c>
      <c r="E58" s="7" t="s">
        <v>53</v>
      </c>
      <c r="F58" s="7" t="s">
        <v>54</v>
      </c>
      <c r="G58" s="7" t="s">
        <v>55</v>
      </c>
      <c r="H58" s="8">
        <v>189090000</v>
      </c>
      <c r="I58" s="10" t="s">
        <v>128</v>
      </c>
      <c r="J58" s="7" t="s">
        <v>129</v>
      </c>
      <c r="K58" s="10" t="s">
        <v>27</v>
      </c>
      <c r="L58" s="7" t="s">
        <v>28</v>
      </c>
      <c r="M58" s="7"/>
      <c r="N58" s="7">
        <f>VLOOKUP(J58,[1]Sheet1!$C:$D,2,FALSE)</f>
        <v>8519</v>
      </c>
      <c r="O58" s="7">
        <f>VLOOKUP(J58,[2]Desa!$A:$D,4,FALSE)</f>
        <v>291</v>
      </c>
      <c r="P58" s="7">
        <f>VLOOKUP(J58,[3]Sheet1!$D:$F,3,FALSE)</f>
        <v>27</v>
      </c>
      <c r="Q58" s="7"/>
      <c r="R58" s="7"/>
      <c r="S58" s="12">
        <v>-8.7094605636492908</v>
      </c>
      <c r="T58" s="12">
        <v>116.14329554792801</v>
      </c>
      <c r="U58" s="7"/>
      <c r="V58" s="50">
        <f>Table13678[[#This Row],[PAGU SEMULA]]-Table13678[[#This Row],[PAGU ANGGARAN]]</f>
        <v>-189090000</v>
      </c>
      <c r="W58" s="50">
        <f>Table13678[[#This Row],[PAGU SEMULA]]-Table13678[[#This Row],[PAGU ANGGARAN]]</f>
        <v>-189090000</v>
      </c>
      <c r="X58" t="s">
        <v>986</v>
      </c>
    </row>
    <row r="59" spans="3:24" hidden="1">
      <c r="C59" s="7" t="s">
        <v>51</v>
      </c>
      <c r="D59" s="7" t="s">
        <v>52</v>
      </c>
      <c r="E59" s="7" t="s">
        <v>53</v>
      </c>
      <c r="F59" s="7" t="s">
        <v>54</v>
      </c>
      <c r="G59" s="7" t="s">
        <v>55</v>
      </c>
      <c r="H59" s="8">
        <v>189090000</v>
      </c>
      <c r="I59" s="10" t="s">
        <v>128</v>
      </c>
      <c r="J59" s="7" t="s">
        <v>129</v>
      </c>
      <c r="K59" s="10" t="s">
        <v>27</v>
      </c>
      <c r="L59" s="7" t="s">
        <v>28</v>
      </c>
      <c r="M59" s="7"/>
      <c r="N59" s="7">
        <f>VLOOKUP(J59,[1]Sheet1!$C:$D,2,FALSE)</f>
        <v>8519</v>
      </c>
      <c r="O59" s="7">
        <f>VLOOKUP(J59,[2]Desa!$A:$D,4,FALSE)</f>
        <v>291</v>
      </c>
      <c r="P59" s="7">
        <f>VLOOKUP(J59,[3]Sheet1!$D:$F,3,FALSE)</f>
        <v>27</v>
      </c>
      <c r="Q59" s="7"/>
      <c r="R59" s="7"/>
      <c r="S59" s="12">
        <v>-8.7094605636492908</v>
      </c>
      <c r="T59" s="12">
        <v>116.14329554792801</v>
      </c>
      <c r="U59" s="7"/>
      <c r="V59" s="50">
        <f>Table13678[[#This Row],[PAGU SEMULA]]-Table13678[[#This Row],[PAGU ANGGARAN]]</f>
        <v>-189090000</v>
      </c>
      <c r="W59" s="50">
        <f>Table13678[[#This Row],[PAGU SEMULA]]-Table13678[[#This Row],[PAGU ANGGARAN]]</f>
        <v>-189090000</v>
      </c>
      <c r="X59" t="s">
        <v>986</v>
      </c>
    </row>
    <row r="60" spans="3:24" hidden="1">
      <c r="C60" s="7" t="s">
        <v>51</v>
      </c>
      <c r="D60" s="7" t="s">
        <v>52</v>
      </c>
      <c r="E60" s="7" t="s">
        <v>53</v>
      </c>
      <c r="F60" s="7" t="s">
        <v>54</v>
      </c>
      <c r="G60" s="7" t="s">
        <v>55</v>
      </c>
      <c r="H60" s="8">
        <v>189090000</v>
      </c>
      <c r="I60" s="10" t="s">
        <v>128</v>
      </c>
      <c r="J60" s="7" t="s">
        <v>129</v>
      </c>
      <c r="K60" s="10" t="s">
        <v>27</v>
      </c>
      <c r="L60" s="7" t="s">
        <v>28</v>
      </c>
      <c r="M60" s="7"/>
      <c r="N60" s="7">
        <f>VLOOKUP(J60,[1]Sheet1!$C:$D,2,FALSE)</f>
        <v>8519</v>
      </c>
      <c r="O60" s="7">
        <f>VLOOKUP(J60,[2]Desa!$A:$D,4,FALSE)</f>
        <v>291</v>
      </c>
      <c r="P60" s="7">
        <f>VLOOKUP(J60,[3]Sheet1!$D:$F,3,FALSE)</f>
        <v>27</v>
      </c>
      <c r="Q60" s="7"/>
      <c r="R60" s="7"/>
      <c r="S60" s="12">
        <v>-8.7094605636492908</v>
      </c>
      <c r="T60" s="12">
        <v>116.14329554792801</v>
      </c>
      <c r="U60" s="7"/>
      <c r="V60" s="50">
        <f>Table13678[[#This Row],[PAGU SEMULA]]-Table13678[[#This Row],[PAGU ANGGARAN]]</f>
        <v>-189090000</v>
      </c>
      <c r="W60" s="50">
        <f>Table13678[[#This Row],[PAGU SEMULA]]-Table13678[[#This Row],[PAGU ANGGARAN]]</f>
        <v>-189090000</v>
      </c>
      <c r="X60" t="s">
        <v>986</v>
      </c>
    </row>
    <row r="61" spans="3:24" hidden="1">
      <c r="C61" s="7" t="s">
        <v>51</v>
      </c>
      <c r="D61" s="7" t="s">
        <v>134</v>
      </c>
      <c r="E61" s="7" t="s">
        <v>135</v>
      </c>
      <c r="F61" s="7" t="s">
        <v>136</v>
      </c>
      <c r="G61" s="7" t="s">
        <v>137</v>
      </c>
      <c r="H61" s="8">
        <v>189000000</v>
      </c>
      <c r="I61" s="10" t="s">
        <v>128</v>
      </c>
      <c r="J61" s="7" t="s">
        <v>129</v>
      </c>
      <c r="K61" s="10" t="s">
        <v>27</v>
      </c>
      <c r="L61" s="7" t="s">
        <v>28</v>
      </c>
      <c r="M61" s="7"/>
      <c r="N61" s="7">
        <f>VLOOKUP(J61,[1]Sheet1!$C:$D,2,FALSE)</f>
        <v>8519</v>
      </c>
      <c r="O61" s="7">
        <f>VLOOKUP(J61,[2]Desa!$A:$D,4,FALSE)</f>
        <v>291</v>
      </c>
      <c r="P61" s="7">
        <f>VLOOKUP(J61,[3]Sheet1!$D:$F,3,FALSE)</f>
        <v>27</v>
      </c>
      <c r="Q61" s="7"/>
      <c r="R61" s="7"/>
      <c r="S61" s="12">
        <v>-8.7094605636492908</v>
      </c>
      <c r="T61" s="12">
        <v>116.14329554792801</v>
      </c>
      <c r="U61" s="7"/>
      <c r="V61" s="50">
        <f>Table13678[[#This Row],[PAGU SEMULA]]-Table13678[[#This Row],[PAGU ANGGARAN]]</f>
        <v>-189000000</v>
      </c>
      <c r="W61" s="50">
        <f>Table13678[[#This Row],[PAGU SEMULA]]-Table13678[[#This Row],[PAGU ANGGARAN]]</f>
        <v>-189000000</v>
      </c>
      <c r="X61" t="s">
        <v>986</v>
      </c>
    </row>
    <row r="62" spans="3:24" hidden="1">
      <c r="C62" s="7" t="s">
        <v>20</v>
      </c>
      <c r="D62" s="7" t="s">
        <v>104</v>
      </c>
      <c r="E62" s="7" t="s">
        <v>105</v>
      </c>
      <c r="F62" s="7" t="s">
        <v>138</v>
      </c>
      <c r="G62" s="71" t="s">
        <v>139</v>
      </c>
      <c r="H62" s="15">
        <v>67087000</v>
      </c>
      <c r="I62" s="10" t="s">
        <v>140</v>
      </c>
      <c r="J62" s="7" t="s">
        <v>141</v>
      </c>
      <c r="K62" s="10" t="s">
        <v>142</v>
      </c>
      <c r="L62" s="7" t="s">
        <v>143</v>
      </c>
      <c r="M62" s="7"/>
      <c r="N62" s="7">
        <f>VLOOKUP(J62,[1]Sheet1!$C:$D,2,FALSE)</f>
        <v>9330</v>
      </c>
      <c r="O62" s="7">
        <f>VLOOKUP(J62,[2]Desa!$A:$D,4,FALSE)</f>
        <v>178</v>
      </c>
      <c r="P62" s="7">
        <f>VLOOKUP(J62,[3]Sheet1!$D:$F,3,FALSE)</f>
        <v>64</v>
      </c>
      <c r="Q62" s="7"/>
      <c r="R62" s="7"/>
      <c r="S62" s="12">
        <v>-8.6475614540586907</v>
      </c>
      <c r="T62" s="12">
        <v>116.113237321894</v>
      </c>
      <c r="U62" s="7"/>
      <c r="V62" s="50">
        <f>Table13678[[#This Row],[PAGU SEMULA]]-Table13678[[#This Row],[PAGU ANGGARAN]]</f>
        <v>-67087000</v>
      </c>
      <c r="W62" s="50">
        <f>Table13678[[#This Row],[PAGU SEMULA]]-Table13678[[#This Row],[PAGU ANGGARAN]]</f>
        <v>-67087000</v>
      </c>
      <c r="X62" t="s">
        <v>984</v>
      </c>
    </row>
    <row r="63" spans="3:24" hidden="1">
      <c r="C63" s="7" t="s">
        <v>20</v>
      </c>
      <c r="D63" s="7" t="s">
        <v>104</v>
      </c>
      <c r="E63" s="7" t="s">
        <v>105</v>
      </c>
      <c r="F63" s="7" t="s">
        <v>138</v>
      </c>
      <c r="G63" s="71" t="s">
        <v>144</v>
      </c>
      <c r="H63" s="15">
        <v>71680000</v>
      </c>
      <c r="I63" s="10" t="s">
        <v>140</v>
      </c>
      <c r="J63" s="7" t="s">
        <v>141</v>
      </c>
      <c r="K63" s="10" t="s">
        <v>142</v>
      </c>
      <c r="L63" s="7" t="s">
        <v>143</v>
      </c>
      <c r="M63" s="7"/>
      <c r="N63" s="7">
        <f>VLOOKUP(J63,[1]Sheet1!$C:$D,2,FALSE)</f>
        <v>9330</v>
      </c>
      <c r="O63" s="7">
        <f>VLOOKUP(J63,[2]Desa!$A:$D,4,FALSE)</f>
        <v>178</v>
      </c>
      <c r="P63" s="7">
        <f>VLOOKUP(J63,[3]Sheet1!$D:$F,3,FALSE)</f>
        <v>64</v>
      </c>
      <c r="Q63" s="7"/>
      <c r="R63" s="7"/>
      <c r="S63" s="12">
        <v>-8.6475614540586907</v>
      </c>
      <c r="T63" s="12">
        <v>116.113237321894</v>
      </c>
      <c r="U63" s="7"/>
      <c r="V63" s="50">
        <f>Table13678[[#This Row],[PAGU SEMULA]]-Table13678[[#This Row],[PAGU ANGGARAN]]</f>
        <v>-71680000</v>
      </c>
      <c r="W63" s="50">
        <f>Table13678[[#This Row],[PAGU SEMULA]]-Table13678[[#This Row],[PAGU ANGGARAN]]</f>
        <v>-71680000</v>
      </c>
      <c r="X63" t="s">
        <v>984</v>
      </c>
    </row>
    <row r="64" spans="3:24" hidden="1">
      <c r="C64" s="7" t="s">
        <v>20</v>
      </c>
      <c r="D64" s="7" t="s">
        <v>104</v>
      </c>
      <c r="E64" s="7" t="s">
        <v>145</v>
      </c>
      <c r="F64" s="7" t="s">
        <v>146</v>
      </c>
      <c r="G64" s="71" t="s">
        <v>147</v>
      </c>
      <c r="H64" s="15">
        <v>59000000</v>
      </c>
      <c r="I64" s="10" t="s">
        <v>140</v>
      </c>
      <c r="J64" s="7" t="s">
        <v>141</v>
      </c>
      <c r="K64" s="10" t="s">
        <v>142</v>
      </c>
      <c r="L64" s="7" t="s">
        <v>143</v>
      </c>
      <c r="M64" s="7"/>
      <c r="N64" s="7">
        <f>VLOOKUP(J64,[1]Sheet1!$C:$D,2,FALSE)</f>
        <v>9330</v>
      </c>
      <c r="O64" s="7">
        <f>VLOOKUP(J64,[2]Desa!$A:$D,4,FALSE)</f>
        <v>178</v>
      </c>
      <c r="P64" s="7">
        <f>VLOOKUP(J64,[3]Sheet1!$D:$F,3,FALSE)</f>
        <v>64</v>
      </c>
      <c r="Q64" s="7"/>
      <c r="R64" s="7"/>
      <c r="S64" s="12">
        <v>-8.6475614540586907</v>
      </c>
      <c r="T64" s="12">
        <v>116.113237321894</v>
      </c>
      <c r="U64" s="7"/>
      <c r="V64" s="50">
        <f>Table13678[[#This Row],[PAGU SEMULA]]-Table13678[[#This Row],[PAGU ANGGARAN]]</f>
        <v>-59000000</v>
      </c>
      <c r="W64" s="50">
        <f>Table13678[[#This Row],[PAGU SEMULA]]-Table13678[[#This Row],[PAGU ANGGARAN]]</f>
        <v>-59000000</v>
      </c>
      <c r="X64" t="s">
        <v>984</v>
      </c>
    </row>
    <row r="65" spans="3:24" hidden="1">
      <c r="C65" s="7" t="s">
        <v>29</v>
      </c>
      <c r="D65" s="7" t="s">
        <v>30</v>
      </c>
      <c r="E65" s="7" t="s">
        <v>148</v>
      </c>
      <c r="F65" s="7" t="s">
        <v>149</v>
      </c>
      <c r="G65" s="7" t="s">
        <v>150</v>
      </c>
      <c r="H65" s="8">
        <v>933200000</v>
      </c>
      <c r="I65" s="10" t="s">
        <v>140</v>
      </c>
      <c r="J65" s="7" t="s">
        <v>141</v>
      </c>
      <c r="K65" s="10" t="s">
        <v>142</v>
      </c>
      <c r="L65" s="7" t="s">
        <v>143</v>
      </c>
      <c r="M65" s="7"/>
      <c r="N65" s="7">
        <f>VLOOKUP(J65,[1]Sheet1!$C:$D,2,FALSE)</f>
        <v>9330</v>
      </c>
      <c r="O65" s="7">
        <f>VLOOKUP(J65,[2]Desa!$A:$D,4,FALSE)</f>
        <v>178</v>
      </c>
      <c r="P65" s="7">
        <f>VLOOKUP(J65,[3]Sheet1!$D:$F,3,FALSE)</f>
        <v>64</v>
      </c>
      <c r="Q65" s="7"/>
      <c r="R65" s="7"/>
      <c r="S65" s="12">
        <v>-8.6475614540586907</v>
      </c>
      <c r="T65" s="12">
        <v>116.113237321894</v>
      </c>
      <c r="U65" s="7"/>
      <c r="V65" s="50">
        <f>Table13678[[#This Row],[PAGU SEMULA]]-Table13678[[#This Row],[PAGU ANGGARAN]]</f>
        <v>-933200000</v>
      </c>
      <c r="W65" s="50">
        <f>Table13678[[#This Row],[PAGU SEMULA]]-Table13678[[#This Row],[PAGU ANGGARAN]]</f>
        <v>-933200000</v>
      </c>
      <c r="X65" t="s">
        <v>984</v>
      </c>
    </row>
    <row r="66" spans="3:24" hidden="1">
      <c r="C66" s="7" t="s">
        <v>29</v>
      </c>
      <c r="D66" s="7" t="s">
        <v>30</v>
      </c>
      <c r="E66" s="7" t="s">
        <v>31</v>
      </c>
      <c r="F66" s="7" t="s">
        <v>32</v>
      </c>
      <c r="G66" s="7" t="s">
        <v>33</v>
      </c>
      <c r="H66" s="8">
        <v>924000000</v>
      </c>
      <c r="I66" s="10" t="s">
        <v>140</v>
      </c>
      <c r="J66" s="7" t="s">
        <v>141</v>
      </c>
      <c r="K66" s="10" t="s">
        <v>142</v>
      </c>
      <c r="L66" s="7" t="s">
        <v>143</v>
      </c>
      <c r="M66" s="7"/>
      <c r="N66" s="7">
        <f>VLOOKUP(J66,[1]Sheet1!$C:$D,2,FALSE)</f>
        <v>9330</v>
      </c>
      <c r="O66" s="7">
        <f>VLOOKUP(J66,[2]Desa!$A:$D,4,FALSE)</f>
        <v>178</v>
      </c>
      <c r="P66" s="7">
        <f>VLOOKUP(J66,[3]Sheet1!$D:$F,3,FALSE)</f>
        <v>64</v>
      </c>
      <c r="Q66" s="7"/>
      <c r="R66" s="7"/>
      <c r="S66" s="12">
        <v>-8.6475614540586907</v>
      </c>
      <c r="T66" s="12">
        <v>116.113237321894</v>
      </c>
      <c r="U66" s="7"/>
      <c r="V66" s="50">
        <f>Table13678[[#This Row],[PAGU SEMULA]]-Table13678[[#This Row],[PAGU ANGGARAN]]</f>
        <v>-924000000</v>
      </c>
      <c r="W66" s="50">
        <f>Table13678[[#This Row],[PAGU SEMULA]]-Table13678[[#This Row],[PAGU ANGGARAN]]</f>
        <v>-924000000</v>
      </c>
      <c r="X66" t="s">
        <v>984</v>
      </c>
    </row>
    <row r="67" spans="3:24" hidden="1">
      <c r="C67" s="7" t="s">
        <v>29</v>
      </c>
      <c r="D67" s="7" t="s">
        <v>30</v>
      </c>
      <c r="E67" s="7" t="s">
        <v>31</v>
      </c>
      <c r="F67" s="7" t="s">
        <v>32</v>
      </c>
      <c r="G67" s="7" t="s">
        <v>34</v>
      </c>
      <c r="H67" s="8">
        <v>73920000</v>
      </c>
      <c r="I67" s="10" t="s">
        <v>140</v>
      </c>
      <c r="J67" s="7" t="s">
        <v>141</v>
      </c>
      <c r="K67" s="10" t="s">
        <v>142</v>
      </c>
      <c r="L67" s="7" t="s">
        <v>143</v>
      </c>
      <c r="M67" s="7"/>
      <c r="N67" s="7">
        <f>VLOOKUP(J67,[1]Sheet1!$C:$D,2,FALSE)</f>
        <v>9330</v>
      </c>
      <c r="O67" s="7">
        <f>VLOOKUP(J67,[2]Desa!$A:$D,4,FALSE)</f>
        <v>178</v>
      </c>
      <c r="P67" s="7">
        <f>VLOOKUP(J67,[3]Sheet1!$D:$F,3,FALSE)</f>
        <v>64</v>
      </c>
      <c r="Q67" s="7"/>
      <c r="R67" s="7"/>
      <c r="S67" s="12">
        <v>-8.6475614540586907</v>
      </c>
      <c r="T67" s="12">
        <v>116.113237321894</v>
      </c>
      <c r="U67" s="7"/>
      <c r="V67" s="50">
        <f>Table13678[[#This Row],[PAGU SEMULA]]-Table13678[[#This Row],[PAGU ANGGARAN]]</f>
        <v>-73920000</v>
      </c>
      <c r="W67" s="50">
        <f>Table13678[[#This Row],[PAGU SEMULA]]-Table13678[[#This Row],[PAGU ANGGARAN]]</f>
        <v>-73920000</v>
      </c>
      <c r="X67" t="s">
        <v>984</v>
      </c>
    </row>
    <row r="68" spans="3:24" hidden="1">
      <c r="C68" s="7" t="s">
        <v>151</v>
      </c>
      <c r="D68" s="7" t="s">
        <v>152</v>
      </c>
      <c r="E68" s="7" t="s">
        <v>153</v>
      </c>
      <c r="F68" s="7" t="s">
        <v>154</v>
      </c>
      <c r="G68" s="7" t="s">
        <v>155</v>
      </c>
      <c r="H68" s="8">
        <v>50000000</v>
      </c>
      <c r="I68" s="10" t="s">
        <v>140</v>
      </c>
      <c r="J68" s="7" t="s">
        <v>141</v>
      </c>
      <c r="K68" s="10" t="s">
        <v>142</v>
      </c>
      <c r="L68" s="7" t="s">
        <v>143</v>
      </c>
      <c r="M68" s="7"/>
      <c r="N68" s="7">
        <f>VLOOKUP(J68,[1]Sheet1!$C:$D,2,FALSE)</f>
        <v>9330</v>
      </c>
      <c r="O68" s="7">
        <f>VLOOKUP(J68,[2]Desa!$A:$D,4,FALSE)</f>
        <v>178</v>
      </c>
      <c r="P68" s="7">
        <f>VLOOKUP(J68,[3]Sheet1!$D:$F,3,FALSE)</f>
        <v>64</v>
      </c>
      <c r="Q68" s="7"/>
      <c r="R68" s="7"/>
      <c r="S68" s="12">
        <v>-8.6475614540586907</v>
      </c>
      <c r="T68" s="12">
        <v>116.113237321894</v>
      </c>
      <c r="U68" s="7"/>
      <c r="V68" s="50">
        <f>Table13678[[#This Row],[PAGU SEMULA]]-Table13678[[#This Row],[PAGU ANGGARAN]]</f>
        <v>-50000000</v>
      </c>
      <c r="W68" s="50">
        <f>Table13678[[#This Row],[PAGU SEMULA]]-Table13678[[#This Row],[PAGU ANGGARAN]]</f>
        <v>-50000000</v>
      </c>
      <c r="X68" t="s">
        <v>987</v>
      </c>
    </row>
    <row r="69" spans="3:24" hidden="1">
      <c r="C69" s="7" t="s">
        <v>35</v>
      </c>
      <c r="D69" s="7" t="s">
        <v>36</v>
      </c>
      <c r="E69" s="7" t="s">
        <v>37</v>
      </c>
      <c r="F69" s="7" t="s">
        <v>38</v>
      </c>
      <c r="G69" s="7" t="s">
        <v>39</v>
      </c>
      <c r="H69" s="15">
        <v>75000000</v>
      </c>
      <c r="I69" s="10" t="s">
        <v>140</v>
      </c>
      <c r="J69" s="7" t="s">
        <v>141</v>
      </c>
      <c r="K69" s="10" t="s">
        <v>142</v>
      </c>
      <c r="L69" s="7" t="s">
        <v>143</v>
      </c>
      <c r="M69" s="7"/>
      <c r="N69" s="7">
        <f>VLOOKUP(J69,[1]Sheet1!$C:$D,2,FALSE)</f>
        <v>9330</v>
      </c>
      <c r="O69" s="7">
        <f>VLOOKUP(J69,[2]Desa!$A:$D,4,FALSE)</f>
        <v>178</v>
      </c>
      <c r="P69" s="7">
        <f>VLOOKUP(J69,[3]Sheet1!$D:$F,3,FALSE)</f>
        <v>64</v>
      </c>
      <c r="Q69" s="7"/>
      <c r="R69" s="7"/>
      <c r="S69" s="12">
        <v>-8.6475614540586907</v>
      </c>
      <c r="T69" s="12">
        <v>116.113237321894</v>
      </c>
      <c r="U69" s="7"/>
      <c r="V69" s="50">
        <f>Table13678[[#This Row],[PAGU SEMULA]]-Table13678[[#This Row],[PAGU ANGGARAN]]</f>
        <v>-75000000</v>
      </c>
      <c r="W69" s="50">
        <f>Table13678[[#This Row],[PAGU SEMULA]]-Table13678[[#This Row],[PAGU ANGGARAN]]</f>
        <v>-75000000</v>
      </c>
      <c r="X69" t="s">
        <v>984</v>
      </c>
    </row>
    <row r="70" spans="3:24" hidden="1">
      <c r="C70" s="7" t="s">
        <v>35</v>
      </c>
      <c r="D70" s="7" t="s">
        <v>156</v>
      </c>
      <c r="E70" s="7" t="s">
        <v>157</v>
      </c>
      <c r="F70" s="7" t="s">
        <v>158</v>
      </c>
      <c r="G70" s="7" t="s">
        <v>159</v>
      </c>
      <c r="H70" s="17">
        <v>99975000</v>
      </c>
      <c r="I70" s="10" t="s">
        <v>140</v>
      </c>
      <c r="J70" s="7" t="s">
        <v>141</v>
      </c>
      <c r="K70" s="10" t="s">
        <v>142</v>
      </c>
      <c r="L70" s="7" t="s">
        <v>143</v>
      </c>
      <c r="M70" s="7"/>
      <c r="N70" s="7">
        <f>VLOOKUP(J70,[1]Sheet1!$C:$D,2,FALSE)</f>
        <v>9330</v>
      </c>
      <c r="O70" s="7">
        <f>VLOOKUP(J70,[2]Desa!$A:$D,4,FALSE)</f>
        <v>178</v>
      </c>
      <c r="P70" s="7">
        <f>VLOOKUP(J70,[3]Sheet1!$D:$F,3,FALSE)</f>
        <v>64</v>
      </c>
      <c r="Q70" s="7"/>
      <c r="R70" s="7"/>
      <c r="S70" s="12">
        <v>-8.6475614540586907</v>
      </c>
      <c r="T70" s="12">
        <v>116.113237321894</v>
      </c>
      <c r="U70" s="7"/>
      <c r="V70" s="50">
        <f>Table13678[[#This Row],[PAGU SEMULA]]-Table13678[[#This Row],[PAGU ANGGARAN]]</f>
        <v>-99975000</v>
      </c>
      <c r="W70" s="50">
        <f>Table13678[[#This Row],[PAGU SEMULA]]-Table13678[[#This Row],[PAGU ANGGARAN]]</f>
        <v>-99975000</v>
      </c>
      <c r="X70" t="s">
        <v>986</v>
      </c>
    </row>
    <row r="71" spans="3:24" hidden="1">
      <c r="C71" s="7" t="s">
        <v>35</v>
      </c>
      <c r="D71" s="7" t="s">
        <v>65</v>
      </c>
      <c r="E71" s="7" t="s">
        <v>66</v>
      </c>
      <c r="F71" s="7" t="s">
        <v>160</v>
      </c>
      <c r="G71" s="7" t="s">
        <v>161</v>
      </c>
      <c r="H71" s="15">
        <v>2600000000</v>
      </c>
      <c r="I71" s="10" t="s">
        <v>140</v>
      </c>
      <c r="J71" s="7" t="s">
        <v>141</v>
      </c>
      <c r="K71" s="10" t="s">
        <v>142</v>
      </c>
      <c r="L71" s="7" t="s">
        <v>143</v>
      </c>
      <c r="M71" s="7"/>
      <c r="N71" s="7">
        <f>VLOOKUP(J71,[1]Sheet1!$C:$D,2,FALSE)</f>
        <v>9330</v>
      </c>
      <c r="O71" s="7">
        <f>VLOOKUP(J71,[2]Desa!$A:$D,4,FALSE)</f>
        <v>178</v>
      </c>
      <c r="P71" s="7">
        <f>VLOOKUP(J71,[3]Sheet1!$D:$F,3,FALSE)</f>
        <v>64</v>
      </c>
      <c r="Q71" s="7"/>
      <c r="R71" s="7"/>
      <c r="S71" s="12">
        <v>-8.6475614540586907</v>
      </c>
      <c r="T71" s="12">
        <v>116.113237321894</v>
      </c>
      <c r="U71" s="7"/>
      <c r="V71" s="50">
        <f>Table13678[[#This Row],[PAGU SEMULA]]-Table13678[[#This Row],[PAGU ANGGARAN]]</f>
        <v>-2600000000</v>
      </c>
      <c r="W71" s="50">
        <f>Table13678[[#This Row],[PAGU SEMULA]]-Table13678[[#This Row],[PAGU ANGGARAN]]</f>
        <v>-2600000000</v>
      </c>
      <c r="X71" t="s">
        <v>986</v>
      </c>
    </row>
    <row r="72" spans="3:24" hidden="1">
      <c r="C72" s="7" t="s">
        <v>35</v>
      </c>
      <c r="D72" s="7" t="s">
        <v>52</v>
      </c>
      <c r="E72" s="7" t="s">
        <v>95</v>
      </c>
      <c r="F72" s="7" t="s">
        <v>96</v>
      </c>
      <c r="G72" s="7" t="s">
        <v>98</v>
      </c>
      <c r="H72" s="17">
        <v>290250000</v>
      </c>
      <c r="I72" s="10" t="s">
        <v>140</v>
      </c>
      <c r="J72" s="7" t="s">
        <v>141</v>
      </c>
      <c r="K72" s="10" t="s">
        <v>142</v>
      </c>
      <c r="L72" s="7" t="s">
        <v>143</v>
      </c>
      <c r="M72" s="7"/>
      <c r="N72" s="7">
        <f>VLOOKUP(J72,[1]Sheet1!$C:$D,2,FALSE)</f>
        <v>9330</v>
      </c>
      <c r="O72" s="7">
        <f>VLOOKUP(J72,[2]Desa!$A:$D,4,FALSE)</f>
        <v>178</v>
      </c>
      <c r="P72" s="7">
        <f>VLOOKUP(J72,[3]Sheet1!$D:$F,3,FALSE)</f>
        <v>64</v>
      </c>
      <c r="Q72" s="7"/>
      <c r="R72" s="7"/>
      <c r="S72" s="12">
        <v>-8.6475614540586907</v>
      </c>
      <c r="T72" s="12">
        <v>116.113237321894</v>
      </c>
      <c r="U72" s="7"/>
      <c r="V72" s="50">
        <f>Table13678[[#This Row],[PAGU SEMULA]]-Table13678[[#This Row],[PAGU ANGGARAN]]</f>
        <v>-290250000</v>
      </c>
      <c r="W72" s="50">
        <f>Table13678[[#This Row],[PAGU SEMULA]]-Table13678[[#This Row],[PAGU ANGGARAN]]</f>
        <v>-290250000</v>
      </c>
      <c r="X72" t="s">
        <v>986</v>
      </c>
    </row>
    <row r="73" spans="3:24" hidden="1">
      <c r="C73" s="7" t="s">
        <v>68</v>
      </c>
      <c r="D73" s="7" t="s">
        <v>118</v>
      </c>
      <c r="E73" s="7" t="s">
        <v>119</v>
      </c>
      <c r="F73" s="7" t="s">
        <v>120</v>
      </c>
      <c r="G73" s="7" t="s">
        <v>162</v>
      </c>
      <c r="H73" s="8">
        <v>50000000</v>
      </c>
      <c r="I73" s="10" t="s">
        <v>140</v>
      </c>
      <c r="J73" s="7" t="s">
        <v>141</v>
      </c>
      <c r="K73" s="10" t="s">
        <v>142</v>
      </c>
      <c r="L73" s="7" t="s">
        <v>143</v>
      </c>
      <c r="M73" s="7"/>
      <c r="N73" s="7">
        <f>VLOOKUP(J73,[1]Sheet1!$C:$D,2,FALSE)</f>
        <v>9330</v>
      </c>
      <c r="O73" s="7">
        <f>VLOOKUP(J73,[2]Desa!$A:$D,4,FALSE)</f>
        <v>178</v>
      </c>
      <c r="P73" s="7">
        <f>VLOOKUP(J73,[3]Sheet1!$D:$F,3,FALSE)</f>
        <v>64</v>
      </c>
      <c r="Q73" s="7"/>
      <c r="R73" s="7"/>
      <c r="S73" s="12">
        <v>-8.6475614540586907</v>
      </c>
      <c r="T73" s="12">
        <v>116.113237321894</v>
      </c>
      <c r="U73" s="7"/>
      <c r="V73" s="50">
        <f>Table13678[[#This Row],[PAGU SEMULA]]-Table13678[[#This Row],[PAGU ANGGARAN]]</f>
        <v>-50000000</v>
      </c>
      <c r="W73" s="50">
        <f>Table13678[[#This Row],[PAGU SEMULA]]-Table13678[[#This Row],[PAGU ANGGARAN]]</f>
        <v>-50000000</v>
      </c>
      <c r="X73" t="s">
        <v>982</v>
      </c>
    </row>
    <row r="74" spans="3:24" hidden="1">
      <c r="C74" s="7" t="s">
        <v>46</v>
      </c>
      <c r="D74" s="7" t="s">
        <v>47</v>
      </c>
      <c r="E74" s="7" t="s">
        <v>48</v>
      </c>
      <c r="F74" s="7" t="s">
        <v>49</v>
      </c>
      <c r="G74" s="7" t="s">
        <v>163</v>
      </c>
      <c r="H74" s="8">
        <v>27372000</v>
      </c>
      <c r="I74" s="10" t="s">
        <v>140</v>
      </c>
      <c r="J74" s="7" t="s">
        <v>141</v>
      </c>
      <c r="K74" s="10" t="s">
        <v>142</v>
      </c>
      <c r="L74" s="7" t="s">
        <v>143</v>
      </c>
      <c r="M74" s="7"/>
      <c r="N74" s="7">
        <f>VLOOKUP(J74,[1]Sheet1!$C:$D,2,FALSE)</f>
        <v>9330</v>
      </c>
      <c r="O74" s="7">
        <f>VLOOKUP(J74,[2]Desa!$A:$D,4,FALSE)</f>
        <v>178</v>
      </c>
      <c r="P74" s="7">
        <f>VLOOKUP(J74,[3]Sheet1!$D:$F,3,FALSE)</f>
        <v>64</v>
      </c>
      <c r="Q74" s="7"/>
      <c r="R74" s="7"/>
      <c r="S74" s="12">
        <v>-8.6475614540586907</v>
      </c>
      <c r="T74" s="12">
        <v>116.113237321894</v>
      </c>
      <c r="U74" s="7"/>
      <c r="V74" s="50">
        <f>Table13678[[#This Row],[PAGU SEMULA]]-Table13678[[#This Row],[PAGU ANGGARAN]]</f>
        <v>-27372000</v>
      </c>
      <c r="W74" s="50">
        <f>Table13678[[#This Row],[PAGU SEMULA]]-Table13678[[#This Row],[PAGU ANGGARAN]]</f>
        <v>-27372000</v>
      </c>
      <c r="X74" t="s">
        <v>987</v>
      </c>
    </row>
    <row r="75" spans="3:24" hidden="1">
      <c r="C75" s="7" t="s">
        <v>51</v>
      </c>
      <c r="D75" s="7" t="s">
        <v>52</v>
      </c>
      <c r="E75" s="7" t="s">
        <v>53</v>
      </c>
      <c r="F75" s="7" t="s">
        <v>54</v>
      </c>
      <c r="G75" s="7" t="s">
        <v>73</v>
      </c>
      <c r="H75" s="8">
        <v>142295000</v>
      </c>
      <c r="I75" s="10" t="s">
        <v>140</v>
      </c>
      <c r="J75" s="7" t="s">
        <v>141</v>
      </c>
      <c r="K75" s="10" t="s">
        <v>142</v>
      </c>
      <c r="L75" s="7" t="s">
        <v>143</v>
      </c>
      <c r="M75" s="7"/>
      <c r="N75" s="7">
        <f>VLOOKUP(J75,[1]Sheet1!$C:$D,2,FALSE)</f>
        <v>9330</v>
      </c>
      <c r="O75" s="7">
        <f>VLOOKUP(J75,[2]Desa!$A:$D,4,FALSE)</f>
        <v>178</v>
      </c>
      <c r="P75" s="7">
        <f>VLOOKUP(J75,[3]Sheet1!$D:$F,3,FALSE)</f>
        <v>64</v>
      </c>
      <c r="Q75" s="7"/>
      <c r="R75" s="7"/>
      <c r="S75" s="12">
        <v>-8.6475614540586907</v>
      </c>
      <c r="T75" s="12">
        <v>116.113237321894</v>
      </c>
      <c r="U75" s="7"/>
      <c r="V75" s="50">
        <f>Table13678[[#This Row],[PAGU SEMULA]]-Table13678[[#This Row],[PAGU ANGGARAN]]</f>
        <v>-142295000</v>
      </c>
      <c r="W75" s="50">
        <f>Table13678[[#This Row],[PAGU SEMULA]]-Table13678[[#This Row],[PAGU ANGGARAN]]</f>
        <v>-142295000</v>
      </c>
      <c r="X75" t="s">
        <v>986</v>
      </c>
    </row>
    <row r="76" spans="3:24" hidden="1">
      <c r="C76" s="7" t="s">
        <v>51</v>
      </c>
      <c r="D76" s="7" t="s">
        <v>52</v>
      </c>
      <c r="E76" s="7" t="s">
        <v>53</v>
      </c>
      <c r="F76" s="7" t="s">
        <v>54</v>
      </c>
      <c r="G76" s="7" t="s">
        <v>73</v>
      </c>
      <c r="H76" s="8">
        <v>142295000</v>
      </c>
      <c r="I76" s="10" t="s">
        <v>140</v>
      </c>
      <c r="J76" s="7" t="s">
        <v>141</v>
      </c>
      <c r="K76" s="10" t="s">
        <v>142</v>
      </c>
      <c r="L76" s="7" t="s">
        <v>143</v>
      </c>
      <c r="M76" s="7"/>
      <c r="N76" s="7">
        <f>VLOOKUP(J76,[1]Sheet1!$C:$D,2,FALSE)</f>
        <v>9330</v>
      </c>
      <c r="O76" s="7">
        <f>VLOOKUP(J76,[2]Desa!$A:$D,4,FALSE)</f>
        <v>178</v>
      </c>
      <c r="P76" s="7">
        <f>VLOOKUP(J76,[3]Sheet1!$D:$F,3,FALSE)</f>
        <v>64</v>
      </c>
      <c r="Q76" s="7"/>
      <c r="R76" s="7"/>
      <c r="S76" s="12">
        <v>-8.6475614540586907</v>
      </c>
      <c r="T76" s="12">
        <v>116.113237321894</v>
      </c>
      <c r="U76" s="7"/>
      <c r="V76" s="50">
        <f>Table13678[[#This Row],[PAGU SEMULA]]-Table13678[[#This Row],[PAGU ANGGARAN]]</f>
        <v>-142295000</v>
      </c>
      <c r="W76" s="50">
        <f>Table13678[[#This Row],[PAGU SEMULA]]-Table13678[[#This Row],[PAGU ANGGARAN]]</f>
        <v>-142295000</v>
      </c>
      <c r="X76" t="s">
        <v>986</v>
      </c>
    </row>
    <row r="77" spans="3:24" hidden="1">
      <c r="C77" s="7" t="s">
        <v>51</v>
      </c>
      <c r="D77" s="7" t="s">
        <v>52</v>
      </c>
      <c r="E77" s="7" t="s">
        <v>53</v>
      </c>
      <c r="F77" s="7" t="s">
        <v>54</v>
      </c>
      <c r="G77" s="7" t="s">
        <v>73</v>
      </c>
      <c r="H77" s="8">
        <v>81175000</v>
      </c>
      <c r="I77" s="10" t="s">
        <v>140</v>
      </c>
      <c r="J77" s="7" t="s">
        <v>141</v>
      </c>
      <c r="K77" s="10" t="s">
        <v>142</v>
      </c>
      <c r="L77" s="7" t="s">
        <v>143</v>
      </c>
      <c r="M77" s="7"/>
      <c r="N77" s="7">
        <f>VLOOKUP(J77,[1]Sheet1!$C:$D,2,FALSE)</f>
        <v>9330</v>
      </c>
      <c r="O77" s="7">
        <f>VLOOKUP(J77,[2]Desa!$A:$D,4,FALSE)</f>
        <v>178</v>
      </c>
      <c r="P77" s="7">
        <f>VLOOKUP(J77,[3]Sheet1!$D:$F,3,FALSE)</f>
        <v>64</v>
      </c>
      <c r="Q77" s="7"/>
      <c r="R77" s="7"/>
      <c r="S77" s="12">
        <v>-8.6475614540586907</v>
      </c>
      <c r="T77" s="12">
        <v>116.113237321894</v>
      </c>
      <c r="U77" s="7"/>
      <c r="V77" s="50">
        <f>Table13678[[#This Row],[PAGU SEMULA]]-Table13678[[#This Row],[PAGU ANGGARAN]]</f>
        <v>-81175000</v>
      </c>
      <c r="W77" s="50">
        <f>Table13678[[#This Row],[PAGU SEMULA]]-Table13678[[#This Row],[PAGU ANGGARAN]]</f>
        <v>-81175000</v>
      </c>
      <c r="X77" t="s">
        <v>986</v>
      </c>
    </row>
    <row r="78" spans="3:24" hidden="1">
      <c r="C78" s="7" t="s">
        <v>20</v>
      </c>
      <c r="D78" s="7" t="s">
        <v>104</v>
      </c>
      <c r="E78" s="7" t="s">
        <v>105</v>
      </c>
      <c r="F78" s="7" t="s">
        <v>138</v>
      </c>
      <c r="G78" s="71" t="s">
        <v>164</v>
      </c>
      <c r="H78" s="15">
        <v>65587000</v>
      </c>
      <c r="I78" s="10" t="s">
        <v>165</v>
      </c>
      <c r="J78" s="7" t="s">
        <v>166</v>
      </c>
      <c r="K78" s="10" t="s">
        <v>167</v>
      </c>
      <c r="L78" s="7" t="s">
        <v>168</v>
      </c>
      <c r="M78" s="7"/>
      <c r="N78" s="7">
        <f>VLOOKUP(J78,[1]Sheet1!$C:$D,2,FALSE)</f>
        <v>8237</v>
      </c>
      <c r="O78" s="7">
        <f>VLOOKUP(J78,[2]Desa!$A:$D,4,FALSE)</f>
        <v>214</v>
      </c>
      <c r="P78" s="7">
        <f>VLOOKUP(J78,[3]Sheet1!$D:$F,3,FALSE)</f>
        <v>44</v>
      </c>
      <c r="Q78" s="7"/>
      <c r="R78" s="7"/>
      <c r="S78" s="12">
        <v>-8.5717295021836293</v>
      </c>
      <c r="T78" s="12">
        <v>116.19851616435</v>
      </c>
      <c r="U78" s="7"/>
      <c r="V78" s="50">
        <f>Table13678[[#This Row],[PAGU SEMULA]]-Table13678[[#This Row],[PAGU ANGGARAN]]</f>
        <v>-65587000</v>
      </c>
      <c r="W78" s="50">
        <f>Table13678[[#This Row],[PAGU SEMULA]]-Table13678[[#This Row],[PAGU ANGGARAN]]</f>
        <v>-65587000</v>
      </c>
      <c r="X78" t="s">
        <v>984</v>
      </c>
    </row>
    <row r="79" spans="3:24" hidden="1">
      <c r="C79" s="7" t="s">
        <v>20</v>
      </c>
      <c r="D79" s="7" t="s">
        <v>104</v>
      </c>
      <c r="E79" s="7" t="s">
        <v>105</v>
      </c>
      <c r="F79" s="7" t="s">
        <v>169</v>
      </c>
      <c r="G79" s="71" t="s">
        <v>170</v>
      </c>
      <c r="H79" s="15">
        <v>429495000</v>
      </c>
      <c r="I79" s="10" t="s">
        <v>165</v>
      </c>
      <c r="J79" s="7" t="s">
        <v>166</v>
      </c>
      <c r="K79" s="10" t="s">
        <v>167</v>
      </c>
      <c r="L79" s="7" t="s">
        <v>168</v>
      </c>
      <c r="M79" s="7"/>
      <c r="N79" s="7">
        <f>VLOOKUP(J79,[1]Sheet1!$C:$D,2,FALSE)</f>
        <v>8237</v>
      </c>
      <c r="O79" s="7">
        <f>VLOOKUP(J79,[2]Desa!$A:$D,4,FALSE)</f>
        <v>214</v>
      </c>
      <c r="P79" s="7">
        <f>VLOOKUP(J79,[3]Sheet1!$D:$F,3,FALSE)</f>
        <v>44</v>
      </c>
      <c r="Q79" s="7"/>
      <c r="R79" s="7"/>
      <c r="S79" s="12">
        <v>-8.5717295021836293</v>
      </c>
      <c r="T79" s="12">
        <v>116.19851616435</v>
      </c>
      <c r="U79" s="7"/>
      <c r="V79" s="50">
        <f>Table13678[[#This Row],[PAGU SEMULA]]-Table13678[[#This Row],[PAGU ANGGARAN]]</f>
        <v>-429495000</v>
      </c>
      <c r="W79" s="50">
        <f>Table13678[[#This Row],[PAGU SEMULA]]-Table13678[[#This Row],[PAGU ANGGARAN]]</f>
        <v>-429495000</v>
      </c>
      <c r="X79" t="s">
        <v>984</v>
      </c>
    </row>
    <row r="80" spans="3:24" hidden="1">
      <c r="C80" s="7" t="s">
        <v>20</v>
      </c>
      <c r="D80" s="7" t="s">
        <v>104</v>
      </c>
      <c r="E80" s="7" t="s">
        <v>145</v>
      </c>
      <c r="F80" s="7" t="s">
        <v>171</v>
      </c>
      <c r="G80" s="71" t="s">
        <v>172</v>
      </c>
      <c r="H80" s="15">
        <v>77000000</v>
      </c>
      <c r="I80" s="10" t="s">
        <v>165</v>
      </c>
      <c r="J80" s="7" t="s">
        <v>166</v>
      </c>
      <c r="K80" s="10" t="s">
        <v>167</v>
      </c>
      <c r="L80" s="7" t="s">
        <v>168</v>
      </c>
      <c r="M80" s="7"/>
      <c r="N80" s="7">
        <f>VLOOKUP(J80,[1]Sheet1!$C:$D,2,FALSE)</f>
        <v>8237</v>
      </c>
      <c r="O80" s="7">
        <f>VLOOKUP(J80,[2]Desa!$A:$D,4,FALSE)</f>
        <v>214</v>
      </c>
      <c r="P80" s="7">
        <f>VLOOKUP(J80,[3]Sheet1!$D:$F,3,FALSE)</f>
        <v>44</v>
      </c>
      <c r="Q80" s="7"/>
      <c r="R80" s="7"/>
      <c r="S80" s="12">
        <v>-8.5717295021836293</v>
      </c>
      <c r="T80" s="12">
        <v>116.19851616435</v>
      </c>
      <c r="U80" s="7"/>
      <c r="V80" s="50">
        <f>Table13678[[#This Row],[PAGU SEMULA]]-Table13678[[#This Row],[PAGU ANGGARAN]]</f>
        <v>-77000000</v>
      </c>
      <c r="W80" s="50">
        <f>Table13678[[#This Row],[PAGU SEMULA]]-Table13678[[#This Row],[PAGU ANGGARAN]]</f>
        <v>-77000000</v>
      </c>
      <c r="X80" t="s">
        <v>984</v>
      </c>
    </row>
    <row r="81" spans="3:24" hidden="1">
      <c r="C81" s="7" t="s">
        <v>29</v>
      </c>
      <c r="D81" s="7" t="s">
        <v>30</v>
      </c>
      <c r="E81" s="7" t="s">
        <v>31</v>
      </c>
      <c r="F81" s="7" t="s">
        <v>32</v>
      </c>
      <c r="G81" s="7" t="s">
        <v>33</v>
      </c>
      <c r="H81" s="8">
        <v>481740000</v>
      </c>
      <c r="I81" s="10" t="s">
        <v>165</v>
      </c>
      <c r="J81" s="7" t="s">
        <v>166</v>
      </c>
      <c r="K81" s="10" t="s">
        <v>167</v>
      </c>
      <c r="L81" s="7" t="s">
        <v>168</v>
      </c>
      <c r="M81" s="7"/>
      <c r="N81" s="7">
        <f>VLOOKUP(J81,[1]Sheet1!$C:$D,2,FALSE)</f>
        <v>8237</v>
      </c>
      <c r="O81" s="7">
        <f>VLOOKUP(J81,[2]Desa!$A:$D,4,FALSE)</f>
        <v>214</v>
      </c>
      <c r="P81" s="7">
        <f>VLOOKUP(J81,[3]Sheet1!$D:$F,3,FALSE)</f>
        <v>44</v>
      </c>
      <c r="Q81" s="7"/>
      <c r="R81" s="7"/>
      <c r="S81" s="12">
        <v>-8.5717295021836293</v>
      </c>
      <c r="T81" s="12">
        <v>116.19851616435</v>
      </c>
      <c r="U81" s="7"/>
      <c r="V81" s="50">
        <f>Table13678[[#This Row],[PAGU SEMULA]]-Table13678[[#This Row],[PAGU ANGGARAN]]</f>
        <v>-481740000</v>
      </c>
      <c r="W81" s="50">
        <f>Table13678[[#This Row],[PAGU SEMULA]]-Table13678[[#This Row],[PAGU ANGGARAN]]</f>
        <v>-481740000</v>
      </c>
      <c r="X81" t="s">
        <v>984</v>
      </c>
    </row>
    <row r="82" spans="3:24" hidden="1">
      <c r="C82" s="7" t="s">
        <v>29</v>
      </c>
      <c r="D82" s="7" t="s">
        <v>30</v>
      </c>
      <c r="E82" s="7" t="s">
        <v>31</v>
      </c>
      <c r="F82" s="7" t="s">
        <v>32</v>
      </c>
      <c r="G82" s="7" t="s">
        <v>34</v>
      </c>
      <c r="H82" s="8">
        <v>38539200</v>
      </c>
      <c r="I82" s="10" t="s">
        <v>165</v>
      </c>
      <c r="J82" s="7" t="s">
        <v>166</v>
      </c>
      <c r="K82" s="10" t="s">
        <v>167</v>
      </c>
      <c r="L82" s="7" t="s">
        <v>168</v>
      </c>
      <c r="M82" s="7"/>
      <c r="N82" s="7">
        <f>VLOOKUP(J82,[1]Sheet1!$C:$D,2,FALSE)</f>
        <v>8237</v>
      </c>
      <c r="O82" s="7">
        <f>VLOOKUP(J82,[2]Desa!$A:$D,4,FALSE)</f>
        <v>214</v>
      </c>
      <c r="P82" s="7">
        <f>VLOOKUP(J82,[3]Sheet1!$D:$F,3,FALSE)</f>
        <v>44</v>
      </c>
      <c r="Q82" s="7"/>
      <c r="R82" s="7"/>
      <c r="S82" s="12">
        <v>-8.5717295021836293</v>
      </c>
      <c r="T82" s="12">
        <v>116.19851616435</v>
      </c>
      <c r="U82" s="7"/>
      <c r="V82" s="50">
        <f>Table13678[[#This Row],[PAGU SEMULA]]-Table13678[[#This Row],[PAGU ANGGARAN]]</f>
        <v>-38539200</v>
      </c>
      <c r="W82" s="50">
        <f>Table13678[[#This Row],[PAGU SEMULA]]-Table13678[[#This Row],[PAGU ANGGARAN]]</f>
        <v>-38539200</v>
      </c>
      <c r="X82" t="s">
        <v>984</v>
      </c>
    </row>
    <row r="83" spans="3:24" hidden="1">
      <c r="C83" s="7" t="s">
        <v>35</v>
      </c>
      <c r="D83" s="7" t="s">
        <v>36</v>
      </c>
      <c r="E83" s="7" t="s">
        <v>37</v>
      </c>
      <c r="F83" s="7" t="s">
        <v>38</v>
      </c>
      <c r="G83" s="7" t="s">
        <v>39</v>
      </c>
      <c r="H83" s="15">
        <v>75000000</v>
      </c>
      <c r="I83" s="10" t="s">
        <v>165</v>
      </c>
      <c r="J83" s="7" t="s">
        <v>166</v>
      </c>
      <c r="K83" s="10" t="s">
        <v>167</v>
      </c>
      <c r="L83" s="7" t="s">
        <v>168</v>
      </c>
      <c r="M83" s="7"/>
      <c r="N83" s="7">
        <f>VLOOKUP(J83,[1]Sheet1!$C:$D,2,FALSE)</f>
        <v>8237</v>
      </c>
      <c r="O83" s="7">
        <f>VLOOKUP(J83,[2]Desa!$A:$D,4,FALSE)</f>
        <v>214</v>
      </c>
      <c r="P83" s="7">
        <f>VLOOKUP(J83,[3]Sheet1!$D:$F,3,FALSE)</f>
        <v>44</v>
      </c>
      <c r="Q83" s="7"/>
      <c r="R83" s="7"/>
      <c r="S83" s="12">
        <v>-8.5717295021836293</v>
      </c>
      <c r="T83" s="12">
        <v>116.19851616435</v>
      </c>
      <c r="U83" s="7"/>
      <c r="V83" s="50">
        <f>Table13678[[#This Row],[PAGU SEMULA]]-Table13678[[#This Row],[PAGU ANGGARAN]]</f>
        <v>-75000000</v>
      </c>
      <c r="W83" s="50">
        <f>Table13678[[#This Row],[PAGU SEMULA]]-Table13678[[#This Row],[PAGU ANGGARAN]]</f>
        <v>-75000000</v>
      </c>
      <c r="X83" t="s">
        <v>984</v>
      </c>
    </row>
    <row r="84" spans="3:24" hidden="1">
      <c r="C84" s="7" t="s">
        <v>46</v>
      </c>
      <c r="D84" s="7" t="s">
        <v>47</v>
      </c>
      <c r="E84" s="7" t="s">
        <v>48</v>
      </c>
      <c r="F84" s="7" t="s">
        <v>49</v>
      </c>
      <c r="G84" s="7" t="s">
        <v>173</v>
      </c>
      <c r="H84" s="8">
        <v>29100000</v>
      </c>
      <c r="I84" s="10" t="s">
        <v>165</v>
      </c>
      <c r="J84" s="7" t="s">
        <v>166</v>
      </c>
      <c r="K84" s="10" t="s">
        <v>167</v>
      </c>
      <c r="L84" s="7" t="s">
        <v>168</v>
      </c>
      <c r="M84" s="7"/>
      <c r="N84" s="7">
        <f>VLOOKUP(J84,[1]Sheet1!$C:$D,2,FALSE)</f>
        <v>8237</v>
      </c>
      <c r="O84" s="7">
        <f>VLOOKUP(J84,[2]Desa!$A:$D,4,FALSE)</f>
        <v>214</v>
      </c>
      <c r="P84" s="7">
        <f>VLOOKUP(J84,[3]Sheet1!$D:$F,3,FALSE)</f>
        <v>44</v>
      </c>
      <c r="Q84" s="7"/>
      <c r="R84" s="7"/>
      <c r="S84" s="12">
        <v>-8.5717295021836293</v>
      </c>
      <c r="T84" s="12">
        <v>116.19851616435</v>
      </c>
      <c r="U84" s="7"/>
      <c r="V84" s="50">
        <f>Table13678[[#This Row],[PAGU SEMULA]]-Table13678[[#This Row],[PAGU ANGGARAN]]</f>
        <v>-29100000</v>
      </c>
      <c r="W84" s="50">
        <f>Table13678[[#This Row],[PAGU SEMULA]]-Table13678[[#This Row],[PAGU ANGGARAN]]</f>
        <v>-29100000</v>
      </c>
      <c r="X84" t="s">
        <v>987</v>
      </c>
    </row>
    <row r="85" spans="3:24" hidden="1">
      <c r="C85" s="7" t="s">
        <v>51</v>
      </c>
      <c r="D85" s="7" t="s">
        <v>52</v>
      </c>
      <c r="E85" s="7" t="s">
        <v>53</v>
      </c>
      <c r="F85" s="7" t="s">
        <v>54</v>
      </c>
      <c r="G85" s="7" t="s">
        <v>174</v>
      </c>
      <c r="H85" s="8">
        <v>189090000</v>
      </c>
      <c r="I85" s="10" t="s">
        <v>165</v>
      </c>
      <c r="J85" s="7" t="s">
        <v>166</v>
      </c>
      <c r="K85" s="10" t="s">
        <v>167</v>
      </c>
      <c r="L85" s="7" t="s">
        <v>168</v>
      </c>
      <c r="M85" s="7"/>
      <c r="N85" s="7">
        <f>VLOOKUP(J85,[1]Sheet1!$C:$D,2,FALSE)</f>
        <v>8237</v>
      </c>
      <c r="O85" s="7">
        <f>VLOOKUP(J85,[2]Desa!$A:$D,4,FALSE)</f>
        <v>214</v>
      </c>
      <c r="P85" s="7">
        <f>VLOOKUP(J85,[3]Sheet1!$D:$F,3,FALSE)</f>
        <v>44</v>
      </c>
      <c r="Q85" s="7"/>
      <c r="R85" s="7"/>
      <c r="S85" s="12">
        <v>-8.5717295021836293</v>
      </c>
      <c r="T85" s="12">
        <v>116.19851616435</v>
      </c>
      <c r="U85" s="7"/>
      <c r="V85" s="50">
        <f>Table13678[[#This Row],[PAGU SEMULA]]-Table13678[[#This Row],[PAGU ANGGARAN]]</f>
        <v>-189090000</v>
      </c>
      <c r="W85" s="50">
        <f>Table13678[[#This Row],[PAGU SEMULA]]-Table13678[[#This Row],[PAGU ANGGARAN]]</f>
        <v>-189090000</v>
      </c>
      <c r="X85" t="s">
        <v>986</v>
      </c>
    </row>
    <row r="86" spans="3:24" hidden="1">
      <c r="C86" s="7" t="s">
        <v>51</v>
      </c>
      <c r="D86" s="7" t="s">
        <v>52</v>
      </c>
      <c r="E86" s="7" t="s">
        <v>53</v>
      </c>
      <c r="F86" s="7" t="s">
        <v>54</v>
      </c>
      <c r="G86" s="7" t="s">
        <v>174</v>
      </c>
      <c r="H86" s="8">
        <v>189090000</v>
      </c>
      <c r="I86" s="10" t="s">
        <v>165</v>
      </c>
      <c r="J86" s="7" t="s">
        <v>166</v>
      </c>
      <c r="K86" s="10" t="s">
        <v>167</v>
      </c>
      <c r="L86" s="7" t="s">
        <v>168</v>
      </c>
      <c r="M86" s="7"/>
      <c r="N86" s="7">
        <f>VLOOKUP(J86,[1]Sheet1!$C:$D,2,FALSE)</f>
        <v>8237</v>
      </c>
      <c r="O86" s="7">
        <f>VLOOKUP(J86,[2]Desa!$A:$D,4,FALSE)</f>
        <v>214</v>
      </c>
      <c r="P86" s="7">
        <f>VLOOKUP(J86,[3]Sheet1!$D:$F,3,FALSE)</f>
        <v>44</v>
      </c>
      <c r="Q86" s="7"/>
      <c r="R86" s="7"/>
      <c r="S86" s="12">
        <v>-8.5717295021836293</v>
      </c>
      <c r="T86" s="12">
        <v>116.19851616435</v>
      </c>
      <c r="U86" s="7"/>
      <c r="V86" s="50">
        <f>Table13678[[#This Row],[PAGU SEMULA]]-Table13678[[#This Row],[PAGU ANGGARAN]]</f>
        <v>-189090000</v>
      </c>
      <c r="W86" s="50">
        <f>Table13678[[#This Row],[PAGU SEMULA]]-Table13678[[#This Row],[PAGU ANGGARAN]]</f>
        <v>-189090000</v>
      </c>
      <c r="X86" t="s">
        <v>986</v>
      </c>
    </row>
    <row r="87" spans="3:24" hidden="1">
      <c r="C87" s="7" t="s">
        <v>51</v>
      </c>
      <c r="D87" s="7" t="s">
        <v>52</v>
      </c>
      <c r="E87" s="7" t="s">
        <v>53</v>
      </c>
      <c r="F87" s="7" t="s">
        <v>54</v>
      </c>
      <c r="G87" s="7" t="s">
        <v>174</v>
      </c>
      <c r="H87" s="8">
        <v>189090000</v>
      </c>
      <c r="I87" s="10" t="s">
        <v>165</v>
      </c>
      <c r="J87" s="7" t="s">
        <v>166</v>
      </c>
      <c r="K87" s="10" t="s">
        <v>167</v>
      </c>
      <c r="L87" s="7" t="s">
        <v>168</v>
      </c>
      <c r="M87" s="7"/>
      <c r="N87" s="7">
        <f>VLOOKUP(J87,[1]Sheet1!$C:$D,2,FALSE)</f>
        <v>8237</v>
      </c>
      <c r="O87" s="7">
        <f>VLOOKUP(J87,[2]Desa!$A:$D,4,FALSE)</f>
        <v>214</v>
      </c>
      <c r="P87" s="7">
        <f>VLOOKUP(J87,[3]Sheet1!$D:$F,3,FALSE)</f>
        <v>44</v>
      </c>
      <c r="Q87" s="7"/>
      <c r="R87" s="7"/>
      <c r="S87" s="12">
        <v>-8.5717295021836293</v>
      </c>
      <c r="T87" s="12">
        <v>116.19851616435</v>
      </c>
      <c r="U87" s="7"/>
      <c r="V87" s="50">
        <f>Table13678[[#This Row],[PAGU SEMULA]]-Table13678[[#This Row],[PAGU ANGGARAN]]</f>
        <v>-189090000</v>
      </c>
      <c r="W87" s="50">
        <f>Table13678[[#This Row],[PAGU SEMULA]]-Table13678[[#This Row],[PAGU ANGGARAN]]</f>
        <v>-189090000</v>
      </c>
      <c r="X87" t="s">
        <v>986</v>
      </c>
    </row>
    <row r="88" spans="3:24" hidden="1">
      <c r="C88" s="7" t="s">
        <v>20</v>
      </c>
      <c r="D88" s="7" t="s">
        <v>104</v>
      </c>
      <c r="E88" s="7" t="s">
        <v>105</v>
      </c>
      <c r="F88" s="7" t="s">
        <v>169</v>
      </c>
      <c r="G88" s="71" t="s">
        <v>175</v>
      </c>
      <c r="H88" s="15">
        <v>361115000</v>
      </c>
      <c r="I88" s="10" t="s">
        <v>176</v>
      </c>
      <c r="J88" s="7" t="s">
        <v>177</v>
      </c>
      <c r="K88" s="10" t="s">
        <v>58</v>
      </c>
      <c r="L88" s="7" t="s">
        <v>59</v>
      </c>
      <c r="M88" s="7"/>
      <c r="N88" s="7">
        <f>VLOOKUP(J88,[1]Sheet1!$C:$D,2,FALSE)</f>
        <v>3822</v>
      </c>
      <c r="O88" s="7">
        <f>VLOOKUP(J88,[2]Desa!$A:$D,4,FALSE)</f>
        <v>106</v>
      </c>
      <c r="P88" s="7">
        <f>VLOOKUP(J88,[3]Sheet1!$D:$F,3,FALSE)</f>
        <v>37</v>
      </c>
      <c r="Q88" s="7"/>
      <c r="R88" s="7"/>
      <c r="S88" s="12">
        <v>-8.60204951268957</v>
      </c>
      <c r="T88" s="12">
        <v>116.200215593194</v>
      </c>
      <c r="U88" s="7"/>
      <c r="V88" s="50">
        <f>Table13678[[#This Row],[PAGU SEMULA]]-Table13678[[#This Row],[PAGU ANGGARAN]]</f>
        <v>-361115000</v>
      </c>
      <c r="W88" s="50">
        <f>Table13678[[#This Row],[PAGU SEMULA]]-Table13678[[#This Row],[PAGU ANGGARAN]]</f>
        <v>-361115000</v>
      </c>
      <c r="X88" t="s">
        <v>984</v>
      </c>
    </row>
    <row r="89" spans="3:24" hidden="1">
      <c r="C89" s="7" t="s">
        <v>29</v>
      </c>
      <c r="D89" s="7" t="s">
        <v>30</v>
      </c>
      <c r="E89" s="7" t="s">
        <v>31</v>
      </c>
      <c r="F89" s="7" t="s">
        <v>32</v>
      </c>
      <c r="G89" s="7" t="s">
        <v>33</v>
      </c>
      <c r="H89" s="8">
        <v>197400000</v>
      </c>
      <c r="I89" s="10" t="s">
        <v>176</v>
      </c>
      <c r="J89" s="7" t="s">
        <v>177</v>
      </c>
      <c r="K89" s="10" t="s">
        <v>58</v>
      </c>
      <c r="L89" s="7" t="s">
        <v>59</v>
      </c>
      <c r="M89" s="7"/>
      <c r="N89" s="7">
        <f>VLOOKUP(J89,[1]Sheet1!$C:$D,2,FALSE)</f>
        <v>3822</v>
      </c>
      <c r="O89" s="7">
        <f>VLOOKUP(J89,[2]Desa!$A:$D,4,FALSE)</f>
        <v>106</v>
      </c>
      <c r="P89" s="7">
        <f>VLOOKUP(J89,[3]Sheet1!$D:$F,3,FALSE)</f>
        <v>37</v>
      </c>
      <c r="Q89" s="7"/>
      <c r="R89" s="7"/>
      <c r="S89" s="12">
        <v>-8.60204951268957</v>
      </c>
      <c r="T89" s="12">
        <v>116.200215593194</v>
      </c>
      <c r="U89" s="7"/>
      <c r="V89" s="50">
        <f>Table13678[[#This Row],[PAGU SEMULA]]-Table13678[[#This Row],[PAGU ANGGARAN]]</f>
        <v>-197400000</v>
      </c>
      <c r="W89" s="50">
        <f>Table13678[[#This Row],[PAGU SEMULA]]-Table13678[[#This Row],[PAGU ANGGARAN]]</f>
        <v>-197400000</v>
      </c>
      <c r="X89" t="s">
        <v>984</v>
      </c>
    </row>
    <row r="90" spans="3:24" hidden="1">
      <c r="C90" s="7" t="s">
        <v>29</v>
      </c>
      <c r="D90" s="7" t="s">
        <v>30</v>
      </c>
      <c r="E90" s="7" t="s">
        <v>31</v>
      </c>
      <c r="F90" s="7" t="s">
        <v>32</v>
      </c>
      <c r="G90" s="7" t="s">
        <v>34</v>
      </c>
      <c r="H90" s="8">
        <v>15792000</v>
      </c>
      <c r="I90" s="10" t="s">
        <v>176</v>
      </c>
      <c r="J90" s="7" t="s">
        <v>177</v>
      </c>
      <c r="K90" s="10" t="s">
        <v>58</v>
      </c>
      <c r="L90" s="7" t="s">
        <v>59</v>
      </c>
      <c r="M90" s="7"/>
      <c r="N90" s="7">
        <f>VLOOKUP(J90,[1]Sheet1!$C:$D,2,FALSE)</f>
        <v>3822</v>
      </c>
      <c r="O90" s="7">
        <f>VLOOKUP(J90,[2]Desa!$A:$D,4,FALSE)</f>
        <v>106</v>
      </c>
      <c r="P90" s="7">
        <f>VLOOKUP(J90,[3]Sheet1!$D:$F,3,FALSE)</f>
        <v>37</v>
      </c>
      <c r="Q90" s="7"/>
      <c r="R90" s="7"/>
      <c r="S90" s="12">
        <v>-8.60204951268957</v>
      </c>
      <c r="T90" s="12">
        <v>116.200215593194</v>
      </c>
      <c r="U90" s="7"/>
      <c r="V90" s="50">
        <f>Table13678[[#This Row],[PAGU SEMULA]]-Table13678[[#This Row],[PAGU ANGGARAN]]</f>
        <v>-15792000</v>
      </c>
      <c r="W90" s="50">
        <f>Table13678[[#This Row],[PAGU SEMULA]]-Table13678[[#This Row],[PAGU ANGGARAN]]</f>
        <v>-15792000</v>
      </c>
      <c r="X90" t="s">
        <v>984</v>
      </c>
    </row>
    <row r="91" spans="3:24" hidden="1">
      <c r="C91" s="7" t="s">
        <v>151</v>
      </c>
      <c r="D91" s="7" t="s">
        <v>152</v>
      </c>
      <c r="E91" s="7" t="s">
        <v>153</v>
      </c>
      <c r="F91" s="7" t="s">
        <v>154</v>
      </c>
      <c r="G91" s="7" t="s">
        <v>155</v>
      </c>
      <c r="H91" s="8">
        <v>100000000</v>
      </c>
      <c r="I91" s="10" t="s">
        <v>176</v>
      </c>
      <c r="J91" s="7" t="s">
        <v>177</v>
      </c>
      <c r="K91" s="10" t="s">
        <v>58</v>
      </c>
      <c r="L91" s="7" t="s">
        <v>59</v>
      </c>
      <c r="M91" s="7"/>
      <c r="N91" s="7">
        <f>VLOOKUP(J91,[1]Sheet1!$C:$D,2,FALSE)</f>
        <v>3822</v>
      </c>
      <c r="O91" s="7">
        <f>VLOOKUP(J91,[2]Desa!$A:$D,4,FALSE)</f>
        <v>106</v>
      </c>
      <c r="P91" s="7">
        <f>VLOOKUP(J91,[3]Sheet1!$D:$F,3,FALSE)</f>
        <v>37</v>
      </c>
      <c r="Q91" s="7"/>
      <c r="R91" s="7"/>
      <c r="S91" s="12">
        <v>-8.60204951268957</v>
      </c>
      <c r="T91" s="12">
        <v>116.200215593194</v>
      </c>
      <c r="U91" s="7"/>
      <c r="V91" s="50">
        <f>Table13678[[#This Row],[PAGU SEMULA]]-Table13678[[#This Row],[PAGU ANGGARAN]]</f>
        <v>-100000000</v>
      </c>
      <c r="W91" s="50">
        <f>Table13678[[#This Row],[PAGU SEMULA]]-Table13678[[#This Row],[PAGU ANGGARAN]]</f>
        <v>-100000000</v>
      </c>
      <c r="X91" t="s">
        <v>987</v>
      </c>
    </row>
    <row r="92" spans="3:24" hidden="1">
      <c r="C92" s="7" t="s">
        <v>110</v>
      </c>
      <c r="D92" s="7" t="s">
        <v>178</v>
      </c>
      <c r="E92" s="7" t="s">
        <v>179</v>
      </c>
      <c r="F92" s="7" t="s">
        <v>180</v>
      </c>
      <c r="G92" s="71" t="s">
        <v>181</v>
      </c>
      <c r="H92" s="8">
        <v>0</v>
      </c>
      <c r="I92" s="10" t="s">
        <v>176</v>
      </c>
      <c r="J92" s="7" t="s">
        <v>177</v>
      </c>
      <c r="K92" s="10" t="s">
        <v>58</v>
      </c>
      <c r="L92" s="7" t="s">
        <v>59</v>
      </c>
      <c r="M92" s="7"/>
      <c r="N92" s="7">
        <f>VLOOKUP(J92,[1]Sheet1!$C:$D,2,FALSE)</f>
        <v>3822</v>
      </c>
      <c r="O92" s="7">
        <f>VLOOKUP(J92,[2]Desa!$A:$D,4,FALSE)</f>
        <v>106</v>
      </c>
      <c r="P92" s="7">
        <f>VLOOKUP(J92,[3]Sheet1!$D:$F,3,FALSE)</f>
        <v>37</v>
      </c>
      <c r="Q92" s="7"/>
      <c r="R92" s="7"/>
      <c r="S92" s="12">
        <v>-8.60204951268957</v>
      </c>
      <c r="T92" s="12">
        <v>116.200215593194</v>
      </c>
      <c r="U92" s="7"/>
      <c r="V92" s="50">
        <f>Table13678[[#This Row],[PAGU SEMULA]]-Table13678[[#This Row],[PAGU ANGGARAN]]</f>
        <v>0</v>
      </c>
      <c r="W92" s="50">
        <f>Table13678[[#This Row],[PAGU SEMULA]]-Table13678[[#This Row],[PAGU ANGGARAN]]</f>
        <v>0</v>
      </c>
      <c r="X92" t="s">
        <v>982</v>
      </c>
    </row>
    <row r="93" spans="3:24" hidden="1">
      <c r="C93" s="7" t="s">
        <v>35</v>
      </c>
      <c r="D93" s="7" t="s">
        <v>36</v>
      </c>
      <c r="E93" s="7" t="s">
        <v>37</v>
      </c>
      <c r="F93" s="7" t="s">
        <v>38</v>
      </c>
      <c r="G93" s="7" t="s">
        <v>39</v>
      </c>
      <c r="H93" s="15">
        <v>75000000</v>
      </c>
      <c r="I93" s="10" t="s">
        <v>176</v>
      </c>
      <c r="J93" s="7" t="s">
        <v>177</v>
      </c>
      <c r="K93" s="10" t="s">
        <v>58</v>
      </c>
      <c r="L93" s="7" t="s">
        <v>59</v>
      </c>
      <c r="M93" s="7"/>
      <c r="N93" s="7">
        <f>VLOOKUP(J93,[1]Sheet1!$C:$D,2,FALSE)</f>
        <v>3822</v>
      </c>
      <c r="O93" s="7">
        <f>VLOOKUP(J93,[2]Desa!$A:$D,4,FALSE)</f>
        <v>106</v>
      </c>
      <c r="P93" s="7">
        <f>VLOOKUP(J93,[3]Sheet1!$D:$F,3,FALSE)</f>
        <v>37</v>
      </c>
      <c r="Q93" s="7"/>
      <c r="R93" s="7"/>
      <c r="S93" s="12">
        <v>-8.60204951268957</v>
      </c>
      <c r="T93" s="12">
        <v>116.200215593194</v>
      </c>
      <c r="U93" s="7"/>
      <c r="V93" s="50">
        <f>Table13678[[#This Row],[PAGU SEMULA]]-Table13678[[#This Row],[PAGU ANGGARAN]]</f>
        <v>-75000000</v>
      </c>
      <c r="W93" s="50">
        <f>Table13678[[#This Row],[PAGU SEMULA]]-Table13678[[#This Row],[PAGU ANGGARAN]]</f>
        <v>-75000000</v>
      </c>
      <c r="X93" t="s">
        <v>984</v>
      </c>
    </row>
    <row r="94" spans="3:24" hidden="1">
      <c r="C94" s="7" t="s">
        <v>35</v>
      </c>
      <c r="D94" s="7" t="s">
        <v>52</v>
      </c>
      <c r="E94" s="7" t="s">
        <v>95</v>
      </c>
      <c r="F94" s="7" t="s">
        <v>96</v>
      </c>
      <c r="G94" s="7" t="s">
        <v>182</v>
      </c>
      <c r="H94" s="17">
        <v>241875000</v>
      </c>
      <c r="I94" s="10" t="s">
        <v>176</v>
      </c>
      <c r="J94" s="7" t="s">
        <v>177</v>
      </c>
      <c r="K94" s="10" t="s">
        <v>58</v>
      </c>
      <c r="L94" s="7" t="s">
        <v>59</v>
      </c>
      <c r="M94" s="7"/>
      <c r="N94" s="7">
        <f>VLOOKUP(J94,[1]Sheet1!$C:$D,2,FALSE)</f>
        <v>3822</v>
      </c>
      <c r="O94" s="7">
        <f>VLOOKUP(J94,[2]Desa!$A:$D,4,FALSE)</f>
        <v>106</v>
      </c>
      <c r="P94" s="7">
        <f>VLOOKUP(J94,[3]Sheet1!$D:$F,3,FALSE)</f>
        <v>37</v>
      </c>
      <c r="Q94" s="7"/>
      <c r="R94" s="7"/>
      <c r="S94" s="12">
        <v>-8.60204951268957</v>
      </c>
      <c r="T94" s="12">
        <v>116.200215593194</v>
      </c>
      <c r="U94" s="7"/>
      <c r="V94" s="50">
        <f>Table13678[[#This Row],[PAGU SEMULA]]-Table13678[[#This Row],[PAGU ANGGARAN]]</f>
        <v>-241875000</v>
      </c>
      <c r="W94" s="50">
        <f>Table13678[[#This Row],[PAGU SEMULA]]-Table13678[[#This Row],[PAGU ANGGARAN]]</f>
        <v>-241875000</v>
      </c>
      <c r="X94" t="s">
        <v>986</v>
      </c>
    </row>
    <row r="95" spans="3:24" hidden="1">
      <c r="C95" s="7" t="s">
        <v>51</v>
      </c>
      <c r="D95" s="7" t="s">
        <v>134</v>
      </c>
      <c r="E95" s="7" t="s">
        <v>135</v>
      </c>
      <c r="F95" s="7" t="s">
        <v>136</v>
      </c>
      <c r="G95" s="7" t="s">
        <v>137</v>
      </c>
      <c r="H95" s="8">
        <v>142000000</v>
      </c>
      <c r="I95" s="10" t="s">
        <v>176</v>
      </c>
      <c r="J95" s="7" t="s">
        <v>177</v>
      </c>
      <c r="K95" s="10" t="s">
        <v>58</v>
      </c>
      <c r="L95" s="7" t="s">
        <v>59</v>
      </c>
      <c r="M95" s="7"/>
      <c r="N95" s="7">
        <f>VLOOKUP(J95,[1]Sheet1!$C:$D,2,FALSE)</f>
        <v>3822</v>
      </c>
      <c r="O95" s="7">
        <f>VLOOKUP(J95,[2]Desa!$A:$D,4,FALSE)</f>
        <v>106</v>
      </c>
      <c r="P95" s="7">
        <f>VLOOKUP(J95,[3]Sheet1!$D:$F,3,FALSE)</f>
        <v>37</v>
      </c>
      <c r="Q95" s="7"/>
      <c r="R95" s="7"/>
      <c r="S95" s="12">
        <v>-8.60204951268957</v>
      </c>
      <c r="T95" s="12">
        <v>116.200215593194</v>
      </c>
      <c r="U95" s="7"/>
      <c r="V95" s="50">
        <f>Table13678[[#This Row],[PAGU SEMULA]]-Table13678[[#This Row],[PAGU ANGGARAN]]</f>
        <v>-142000000</v>
      </c>
      <c r="W95" s="50">
        <f>Table13678[[#This Row],[PAGU SEMULA]]-Table13678[[#This Row],[PAGU ANGGARAN]]</f>
        <v>-142000000</v>
      </c>
      <c r="X95" t="s">
        <v>986</v>
      </c>
    </row>
    <row r="96" spans="3:24" hidden="1">
      <c r="C96" s="7" t="s">
        <v>29</v>
      </c>
      <c r="D96" s="7" t="s">
        <v>30</v>
      </c>
      <c r="E96" s="7" t="s">
        <v>31</v>
      </c>
      <c r="F96" s="7" t="s">
        <v>32</v>
      </c>
      <c r="G96" s="7" t="s">
        <v>33</v>
      </c>
      <c r="H96" s="8">
        <v>752640000</v>
      </c>
      <c r="I96" s="10" t="s">
        <v>183</v>
      </c>
      <c r="J96" s="7" t="s">
        <v>184</v>
      </c>
      <c r="K96" s="10" t="s">
        <v>167</v>
      </c>
      <c r="L96" s="7" t="s">
        <v>168</v>
      </c>
      <c r="M96" s="7"/>
      <c r="N96" s="7">
        <f>VLOOKUP(J96,[1]Sheet1!$C:$D,2,FALSE)</f>
        <v>10990</v>
      </c>
      <c r="O96" s="7">
        <f>VLOOKUP(J96,[2]Desa!$A:$D,4,FALSE)</f>
        <v>383</v>
      </c>
      <c r="P96" s="7">
        <f>VLOOKUP(J96,[3]Sheet1!$D:$F,3,FALSE)</f>
        <v>78</v>
      </c>
      <c r="Q96" s="7"/>
      <c r="R96" s="7"/>
      <c r="S96" s="12">
        <v>-8.5539881723406008</v>
      </c>
      <c r="T96" s="12">
        <v>116.20698717970799</v>
      </c>
      <c r="U96" s="7"/>
      <c r="V96" s="50">
        <f>Table13678[[#This Row],[PAGU SEMULA]]-Table13678[[#This Row],[PAGU ANGGARAN]]</f>
        <v>-752640000</v>
      </c>
      <c r="W96" s="50">
        <f>Table13678[[#This Row],[PAGU SEMULA]]-Table13678[[#This Row],[PAGU ANGGARAN]]</f>
        <v>-752640000</v>
      </c>
      <c r="X96" t="s">
        <v>984</v>
      </c>
    </row>
    <row r="97" spans="3:24" hidden="1">
      <c r="C97" s="7" t="s">
        <v>29</v>
      </c>
      <c r="D97" s="7" t="s">
        <v>30</v>
      </c>
      <c r="E97" s="7" t="s">
        <v>31</v>
      </c>
      <c r="F97" s="7" t="s">
        <v>32</v>
      </c>
      <c r="G97" s="7" t="s">
        <v>34</v>
      </c>
      <c r="H97" s="8">
        <v>60211200</v>
      </c>
      <c r="I97" s="10" t="s">
        <v>183</v>
      </c>
      <c r="J97" s="7" t="s">
        <v>184</v>
      </c>
      <c r="K97" s="10" t="s">
        <v>167</v>
      </c>
      <c r="L97" s="7" t="s">
        <v>168</v>
      </c>
      <c r="M97" s="7"/>
      <c r="N97" s="7">
        <f>VLOOKUP(J97,[1]Sheet1!$C:$D,2,FALSE)</f>
        <v>10990</v>
      </c>
      <c r="O97" s="7">
        <f>VLOOKUP(J97,[2]Desa!$A:$D,4,FALSE)</f>
        <v>383</v>
      </c>
      <c r="P97" s="7">
        <f>VLOOKUP(J97,[3]Sheet1!$D:$F,3,FALSE)</f>
        <v>78</v>
      </c>
      <c r="Q97" s="7"/>
      <c r="R97" s="7"/>
      <c r="S97" s="12">
        <v>-8.5539881723406008</v>
      </c>
      <c r="T97" s="12">
        <v>116.20698717970799</v>
      </c>
      <c r="U97" s="7"/>
      <c r="V97" s="50">
        <f>Table13678[[#This Row],[PAGU SEMULA]]-Table13678[[#This Row],[PAGU ANGGARAN]]</f>
        <v>-60211200</v>
      </c>
      <c r="W97" s="50">
        <f>Table13678[[#This Row],[PAGU SEMULA]]-Table13678[[#This Row],[PAGU ANGGARAN]]</f>
        <v>-60211200</v>
      </c>
      <c r="X97" t="s">
        <v>984</v>
      </c>
    </row>
    <row r="98" spans="3:24" hidden="1">
      <c r="C98" s="7" t="s">
        <v>60</v>
      </c>
      <c r="D98" s="7" t="s">
        <v>185</v>
      </c>
      <c r="E98" s="7" t="s">
        <v>186</v>
      </c>
      <c r="F98" s="7" t="s">
        <v>187</v>
      </c>
      <c r="G98" s="71" t="s">
        <v>188</v>
      </c>
      <c r="H98" s="15">
        <v>96700000</v>
      </c>
      <c r="I98" s="10" t="s">
        <v>183</v>
      </c>
      <c r="J98" s="7" t="s">
        <v>184</v>
      </c>
      <c r="K98" s="10" t="s">
        <v>167</v>
      </c>
      <c r="L98" s="7" t="s">
        <v>168</v>
      </c>
      <c r="M98" s="7"/>
      <c r="N98" s="7">
        <f>VLOOKUP(J98,[1]Sheet1!$C:$D,2,FALSE)</f>
        <v>10990</v>
      </c>
      <c r="O98" s="7">
        <f>VLOOKUP(J98,[2]Desa!$A:$D,4,FALSE)</f>
        <v>383</v>
      </c>
      <c r="P98" s="7">
        <f>VLOOKUP(J98,[3]Sheet1!$D:$F,3,FALSE)</f>
        <v>78</v>
      </c>
      <c r="Q98" s="7"/>
      <c r="R98" s="7"/>
      <c r="S98" s="12">
        <v>-8.5539881723406008</v>
      </c>
      <c r="T98" s="12">
        <v>116.20698717970799</v>
      </c>
      <c r="U98" s="7"/>
      <c r="V98" s="50">
        <f>Table13678[[#This Row],[PAGU SEMULA]]-Table13678[[#This Row],[PAGU ANGGARAN]]</f>
        <v>-96700000</v>
      </c>
      <c r="W98" s="50">
        <f>Table13678[[#This Row],[PAGU SEMULA]]-Table13678[[#This Row],[PAGU ANGGARAN]]</f>
        <v>-96700000</v>
      </c>
      <c r="X98" t="s">
        <v>987</v>
      </c>
    </row>
    <row r="99" spans="3:24" hidden="1">
      <c r="C99" s="7" t="s">
        <v>84</v>
      </c>
      <c r="D99" s="7" t="s">
        <v>85</v>
      </c>
      <c r="E99" s="7" t="s">
        <v>189</v>
      </c>
      <c r="F99" s="7" t="s">
        <v>190</v>
      </c>
      <c r="G99" s="7" t="s">
        <v>191</v>
      </c>
      <c r="H99" s="8">
        <v>41500000</v>
      </c>
      <c r="I99" s="10" t="s">
        <v>183</v>
      </c>
      <c r="J99" s="7" t="s">
        <v>184</v>
      </c>
      <c r="K99" s="10" t="s">
        <v>167</v>
      </c>
      <c r="L99" s="7" t="s">
        <v>168</v>
      </c>
      <c r="M99" s="7"/>
      <c r="N99" s="7">
        <f>VLOOKUP(J99,[1]Sheet1!$C:$D,2,FALSE)</f>
        <v>10990</v>
      </c>
      <c r="O99" s="7">
        <f>VLOOKUP(J99,[2]Desa!$A:$D,4,FALSE)</f>
        <v>383</v>
      </c>
      <c r="P99" s="7">
        <f>VLOOKUP(J99,[3]Sheet1!$D:$F,3,FALSE)</f>
        <v>78</v>
      </c>
      <c r="Q99" s="7"/>
      <c r="R99" s="7"/>
      <c r="S99" s="12">
        <v>-8.5539881723406008</v>
      </c>
      <c r="T99" s="12">
        <v>116.20698717970799</v>
      </c>
      <c r="U99" s="7"/>
      <c r="V99" s="50">
        <f>Table13678[[#This Row],[PAGU SEMULA]]-Table13678[[#This Row],[PAGU ANGGARAN]]</f>
        <v>-41500000</v>
      </c>
      <c r="W99" s="50">
        <f>Table13678[[#This Row],[PAGU SEMULA]]-Table13678[[#This Row],[PAGU ANGGARAN]]</f>
        <v>-41500000</v>
      </c>
      <c r="X99" t="s">
        <v>982</v>
      </c>
    </row>
    <row r="100" spans="3:24" hidden="1">
      <c r="C100" s="7" t="s">
        <v>35</v>
      </c>
      <c r="D100" s="7" t="s">
        <v>36</v>
      </c>
      <c r="E100" s="7" t="s">
        <v>37</v>
      </c>
      <c r="F100" s="7" t="s">
        <v>38</v>
      </c>
      <c r="G100" s="7" t="s">
        <v>39</v>
      </c>
      <c r="H100" s="15">
        <v>75000000</v>
      </c>
      <c r="I100" s="10" t="s">
        <v>183</v>
      </c>
      <c r="J100" s="7" t="s">
        <v>184</v>
      </c>
      <c r="K100" s="10" t="s">
        <v>167</v>
      </c>
      <c r="L100" s="7" t="s">
        <v>168</v>
      </c>
      <c r="M100" s="7"/>
      <c r="N100" s="7">
        <f>VLOOKUP(J100,[1]Sheet1!$C:$D,2,FALSE)</f>
        <v>10990</v>
      </c>
      <c r="O100" s="7">
        <f>VLOOKUP(J100,[2]Desa!$A:$D,4,FALSE)</f>
        <v>383</v>
      </c>
      <c r="P100" s="7">
        <f>VLOOKUP(J100,[3]Sheet1!$D:$F,3,FALSE)</f>
        <v>78</v>
      </c>
      <c r="Q100" s="7"/>
      <c r="R100" s="7"/>
      <c r="S100" s="12">
        <v>-8.5539881723406008</v>
      </c>
      <c r="T100" s="12">
        <v>116.20698717970799</v>
      </c>
      <c r="U100" s="7"/>
      <c r="V100" s="50">
        <f>Table13678[[#This Row],[PAGU SEMULA]]-Table13678[[#This Row],[PAGU ANGGARAN]]</f>
        <v>-75000000</v>
      </c>
      <c r="W100" s="50">
        <f>Table13678[[#This Row],[PAGU SEMULA]]-Table13678[[#This Row],[PAGU ANGGARAN]]</f>
        <v>-75000000</v>
      </c>
      <c r="X100" t="s">
        <v>984</v>
      </c>
    </row>
    <row r="101" spans="3:24" hidden="1">
      <c r="C101" s="7" t="s">
        <v>46</v>
      </c>
      <c r="D101" s="7" t="s">
        <v>122</v>
      </c>
      <c r="E101" s="7" t="s">
        <v>123</v>
      </c>
      <c r="F101" s="7" t="s">
        <v>124</v>
      </c>
      <c r="G101" s="7" t="s">
        <v>192</v>
      </c>
      <c r="H101" s="8">
        <v>50000000</v>
      </c>
      <c r="I101" s="10" t="s">
        <v>183</v>
      </c>
      <c r="J101" s="7" t="s">
        <v>184</v>
      </c>
      <c r="K101" s="10" t="s">
        <v>167</v>
      </c>
      <c r="L101" s="7" t="s">
        <v>168</v>
      </c>
      <c r="M101" s="7"/>
      <c r="N101" s="7">
        <f>VLOOKUP(J101,[1]Sheet1!$C:$D,2,FALSE)</f>
        <v>10990</v>
      </c>
      <c r="O101" s="7">
        <f>VLOOKUP(J101,[2]Desa!$A:$D,4,FALSE)</f>
        <v>383</v>
      </c>
      <c r="P101" s="7">
        <f>VLOOKUP(J101,[3]Sheet1!$D:$F,3,FALSE)</f>
        <v>78</v>
      </c>
      <c r="Q101" s="7"/>
      <c r="R101" s="7"/>
      <c r="S101" s="12">
        <v>-8.5539881723406008</v>
      </c>
      <c r="T101" s="12">
        <v>116.20698717970799</v>
      </c>
      <c r="U101" s="7"/>
      <c r="V101" s="50">
        <f>Table13678[[#This Row],[PAGU SEMULA]]-Table13678[[#This Row],[PAGU ANGGARAN]]</f>
        <v>-50000000</v>
      </c>
      <c r="W101" s="50">
        <f>Table13678[[#This Row],[PAGU SEMULA]]-Table13678[[#This Row],[PAGU ANGGARAN]]</f>
        <v>-50000000</v>
      </c>
      <c r="X101" t="s">
        <v>987</v>
      </c>
    </row>
    <row r="102" spans="3:24" hidden="1">
      <c r="C102" s="7" t="s">
        <v>51</v>
      </c>
      <c r="D102" s="7" t="s">
        <v>52</v>
      </c>
      <c r="E102" s="7" t="s">
        <v>53</v>
      </c>
      <c r="F102" s="7" t="s">
        <v>54</v>
      </c>
      <c r="G102" s="7" t="s">
        <v>174</v>
      </c>
      <c r="H102" s="8">
        <v>189090000</v>
      </c>
      <c r="I102" s="10" t="s">
        <v>183</v>
      </c>
      <c r="J102" s="7" t="s">
        <v>184</v>
      </c>
      <c r="K102" s="10" t="s">
        <v>167</v>
      </c>
      <c r="L102" s="7" t="s">
        <v>168</v>
      </c>
      <c r="M102" s="7"/>
      <c r="N102" s="7">
        <f>VLOOKUP(J102,[1]Sheet1!$C:$D,2,FALSE)</f>
        <v>10990</v>
      </c>
      <c r="O102" s="7">
        <f>VLOOKUP(J102,[2]Desa!$A:$D,4,FALSE)</f>
        <v>383</v>
      </c>
      <c r="P102" s="7">
        <f>VLOOKUP(J102,[3]Sheet1!$D:$F,3,FALSE)</f>
        <v>78</v>
      </c>
      <c r="Q102" s="7"/>
      <c r="R102" s="7"/>
      <c r="S102" s="12">
        <v>-8.5539881723406008</v>
      </c>
      <c r="T102" s="12">
        <v>116.20698717970799</v>
      </c>
      <c r="U102" s="7"/>
      <c r="V102" s="50">
        <f>Table13678[[#This Row],[PAGU SEMULA]]-Table13678[[#This Row],[PAGU ANGGARAN]]</f>
        <v>-189090000</v>
      </c>
      <c r="W102" s="50">
        <f>Table13678[[#This Row],[PAGU SEMULA]]-Table13678[[#This Row],[PAGU ANGGARAN]]</f>
        <v>-189090000</v>
      </c>
      <c r="X102" t="s">
        <v>986</v>
      </c>
    </row>
    <row r="103" spans="3:24" hidden="1">
      <c r="C103" s="7" t="s">
        <v>51</v>
      </c>
      <c r="D103" s="7" t="s">
        <v>52</v>
      </c>
      <c r="E103" s="7" t="s">
        <v>53</v>
      </c>
      <c r="F103" s="7" t="s">
        <v>54</v>
      </c>
      <c r="G103" s="7" t="s">
        <v>174</v>
      </c>
      <c r="H103" s="8">
        <v>189090000</v>
      </c>
      <c r="I103" s="10" t="s">
        <v>183</v>
      </c>
      <c r="J103" s="7" t="s">
        <v>184</v>
      </c>
      <c r="K103" s="10" t="s">
        <v>167</v>
      </c>
      <c r="L103" s="7" t="s">
        <v>168</v>
      </c>
      <c r="M103" s="7"/>
      <c r="N103" s="7">
        <f>VLOOKUP(J103,[1]Sheet1!$C:$D,2,FALSE)</f>
        <v>10990</v>
      </c>
      <c r="O103" s="7">
        <f>VLOOKUP(J103,[2]Desa!$A:$D,4,FALSE)</f>
        <v>383</v>
      </c>
      <c r="P103" s="7">
        <f>VLOOKUP(J103,[3]Sheet1!$D:$F,3,FALSE)</f>
        <v>78</v>
      </c>
      <c r="Q103" s="7"/>
      <c r="R103" s="7"/>
      <c r="S103" s="12">
        <v>-8.5539881723406008</v>
      </c>
      <c r="T103" s="12">
        <v>116.20698717970799</v>
      </c>
      <c r="U103" s="7"/>
      <c r="V103" s="50">
        <f>Table13678[[#This Row],[PAGU SEMULA]]-Table13678[[#This Row],[PAGU ANGGARAN]]</f>
        <v>-189090000</v>
      </c>
      <c r="W103" s="50">
        <f>Table13678[[#This Row],[PAGU SEMULA]]-Table13678[[#This Row],[PAGU ANGGARAN]]</f>
        <v>-189090000</v>
      </c>
      <c r="X103" t="s">
        <v>986</v>
      </c>
    </row>
    <row r="104" spans="3:24" hidden="1">
      <c r="C104" s="7" t="s">
        <v>51</v>
      </c>
      <c r="D104" s="7" t="s">
        <v>52</v>
      </c>
      <c r="E104" s="7" t="s">
        <v>53</v>
      </c>
      <c r="F104" s="7" t="s">
        <v>54</v>
      </c>
      <c r="G104" s="7" t="s">
        <v>174</v>
      </c>
      <c r="H104" s="8">
        <v>189090000</v>
      </c>
      <c r="I104" s="10" t="s">
        <v>183</v>
      </c>
      <c r="J104" s="7" t="s">
        <v>184</v>
      </c>
      <c r="K104" s="10" t="s">
        <v>167</v>
      </c>
      <c r="L104" s="7" t="s">
        <v>168</v>
      </c>
      <c r="M104" s="7"/>
      <c r="N104" s="7">
        <f>VLOOKUP(J104,[1]Sheet1!$C:$D,2,FALSE)</f>
        <v>10990</v>
      </c>
      <c r="O104" s="7">
        <f>VLOOKUP(J104,[2]Desa!$A:$D,4,FALSE)</f>
        <v>383</v>
      </c>
      <c r="P104" s="7">
        <f>VLOOKUP(J104,[3]Sheet1!$D:$F,3,FALSE)</f>
        <v>78</v>
      </c>
      <c r="Q104" s="7"/>
      <c r="R104" s="7"/>
      <c r="S104" s="12">
        <v>-8.5539881723406008</v>
      </c>
      <c r="T104" s="12">
        <v>116.20698717970799</v>
      </c>
      <c r="U104" s="7"/>
      <c r="V104" s="50">
        <f>Table13678[[#This Row],[PAGU SEMULA]]-Table13678[[#This Row],[PAGU ANGGARAN]]</f>
        <v>-189090000</v>
      </c>
      <c r="W104" s="50">
        <f>Table13678[[#This Row],[PAGU SEMULA]]-Table13678[[#This Row],[PAGU ANGGARAN]]</f>
        <v>-189090000</v>
      </c>
      <c r="X104" t="s">
        <v>986</v>
      </c>
    </row>
    <row r="105" spans="3:24" hidden="1">
      <c r="C105" s="7" t="s">
        <v>74</v>
      </c>
      <c r="D105" s="7" t="s">
        <v>75</v>
      </c>
      <c r="E105" s="7" t="s">
        <v>76</v>
      </c>
      <c r="F105" s="7" t="s">
        <v>77</v>
      </c>
      <c r="G105" s="7" t="s">
        <v>193</v>
      </c>
      <c r="H105" s="8">
        <v>50000000</v>
      </c>
      <c r="I105" s="10" t="s">
        <v>183</v>
      </c>
      <c r="J105" s="7" t="s">
        <v>184</v>
      </c>
      <c r="K105" s="10" t="s">
        <v>167</v>
      </c>
      <c r="L105" s="7" t="s">
        <v>168</v>
      </c>
      <c r="M105" s="7"/>
      <c r="N105" s="7">
        <f>VLOOKUP(J105,[1]Sheet1!$C:$D,2,FALSE)</f>
        <v>10990</v>
      </c>
      <c r="O105" s="7">
        <f>VLOOKUP(J105,[2]Desa!$A:$D,4,FALSE)</f>
        <v>383</v>
      </c>
      <c r="P105" s="7">
        <f>VLOOKUP(J105,[3]Sheet1!$D:$F,3,FALSE)</f>
        <v>78</v>
      </c>
      <c r="Q105" s="7"/>
      <c r="R105" s="7"/>
      <c r="S105" s="12">
        <v>-8.5539881723406008</v>
      </c>
      <c r="T105" s="12">
        <v>116.20698717970799</v>
      </c>
      <c r="U105" s="7"/>
      <c r="V105" s="50">
        <f>Table13678[[#This Row],[PAGU SEMULA]]-Table13678[[#This Row],[PAGU ANGGARAN]]</f>
        <v>-50000000</v>
      </c>
      <c r="W105" s="50">
        <f>Table13678[[#This Row],[PAGU SEMULA]]-Table13678[[#This Row],[PAGU ANGGARAN]]</f>
        <v>-50000000</v>
      </c>
      <c r="X105" t="s">
        <v>982</v>
      </c>
    </row>
    <row r="106" spans="3:24" hidden="1">
      <c r="C106" s="7" t="s">
        <v>74</v>
      </c>
      <c r="D106" s="7" t="s">
        <v>75</v>
      </c>
      <c r="E106" s="7" t="s">
        <v>76</v>
      </c>
      <c r="F106" s="7" t="s">
        <v>77</v>
      </c>
      <c r="G106" s="7" t="s">
        <v>79</v>
      </c>
      <c r="H106" s="8">
        <v>47500000</v>
      </c>
      <c r="I106" s="10" t="s">
        <v>183</v>
      </c>
      <c r="J106" s="7" t="s">
        <v>184</v>
      </c>
      <c r="K106" s="10" t="s">
        <v>167</v>
      </c>
      <c r="L106" s="7" t="s">
        <v>168</v>
      </c>
      <c r="M106" s="7"/>
      <c r="N106" s="7">
        <f>VLOOKUP(J106,[1]Sheet1!$C:$D,2,FALSE)</f>
        <v>10990</v>
      </c>
      <c r="O106" s="7">
        <f>VLOOKUP(J106,[2]Desa!$A:$D,4,FALSE)</f>
        <v>383</v>
      </c>
      <c r="P106" s="7">
        <f>VLOOKUP(J106,[3]Sheet1!$D:$F,3,FALSE)</f>
        <v>78</v>
      </c>
      <c r="Q106" s="7"/>
      <c r="R106" s="7"/>
      <c r="S106" s="12">
        <v>-8.5539881723406008</v>
      </c>
      <c r="T106" s="12">
        <v>116.20698717970799</v>
      </c>
      <c r="U106" s="7"/>
      <c r="V106" s="50">
        <f>Table13678[[#This Row],[PAGU SEMULA]]-Table13678[[#This Row],[PAGU ANGGARAN]]</f>
        <v>-47500000</v>
      </c>
      <c r="W106" s="50">
        <f>Table13678[[#This Row],[PAGU SEMULA]]-Table13678[[#This Row],[PAGU ANGGARAN]]</f>
        <v>-47500000</v>
      </c>
      <c r="X106" t="s">
        <v>982</v>
      </c>
    </row>
    <row r="107" spans="3:24" hidden="1">
      <c r="C107" s="7" t="s">
        <v>29</v>
      </c>
      <c r="D107" s="7" t="s">
        <v>30</v>
      </c>
      <c r="E107" s="7" t="s">
        <v>31</v>
      </c>
      <c r="F107" s="7" t="s">
        <v>32</v>
      </c>
      <c r="G107" s="7" t="s">
        <v>33</v>
      </c>
      <c r="H107" s="8">
        <v>333900000</v>
      </c>
      <c r="I107" s="10" t="s">
        <v>194</v>
      </c>
      <c r="J107" s="7" t="s">
        <v>195</v>
      </c>
      <c r="K107" s="10" t="s">
        <v>196</v>
      </c>
      <c r="L107" s="7" t="s">
        <v>197</v>
      </c>
      <c r="M107" s="7"/>
      <c r="N107" s="7">
        <f>VLOOKUP(J107,[1]Sheet1!$C:$D,2,FALSE)</f>
        <v>8280</v>
      </c>
      <c r="O107" s="7">
        <f>VLOOKUP(J107,[2]Desa!$A:$D,4,FALSE)</f>
        <v>756</v>
      </c>
      <c r="P107" s="7">
        <f>VLOOKUP(J107,[3]Sheet1!$D:$F,3,FALSE)</f>
        <v>78</v>
      </c>
      <c r="Q107" s="7"/>
      <c r="R107" s="7"/>
      <c r="S107" s="12">
        <v>-8.7681872310760394</v>
      </c>
      <c r="T107" s="12">
        <v>115.88322126435099</v>
      </c>
      <c r="U107" s="7"/>
      <c r="V107" s="50">
        <f>Table13678[[#This Row],[PAGU SEMULA]]-Table13678[[#This Row],[PAGU ANGGARAN]]</f>
        <v>-333900000</v>
      </c>
      <c r="W107" s="50">
        <f>Table13678[[#This Row],[PAGU SEMULA]]-Table13678[[#This Row],[PAGU ANGGARAN]]</f>
        <v>-333900000</v>
      </c>
      <c r="X107" t="s">
        <v>984</v>
      </c>
    </row>
    <row r="108" spans="3:24" hidden="1">
      <c r="C108" s="7" t="s">
        <v>29</v>
      </c>
      <c r="D108" s="7" t="s">
        <v>30</v>
      </c>
      <c r="E108" s="7" t="s">
        <v>31</v>
      </c>
      <c r="F108" s="7" t="s">
        <v>32</v>
      </c>
      <c r="G108" s="7" t="s">
        <v>34</v>
      </c>
      <c r="H108" s="8">
        <v>26712000</v>
      </c>
      <c r="I108" s="10" t="s">
        <v>194</v>
      </c>
      <c r="J108" s="7" t="s">
        <v>195</v>
      </c>
      <c r="K108" s="10" t="s">
        <v>196</v>
      </c>
      <c r="L108" s="7" t="s">
        <v>197</v>
      </c>
      <c r="M108" s="7"/>
      <c r="N108" s="7">
        <f>VLOOKUP(J108,[1]Sheet1!$C:$D,2,FALSE)</f>
        <v>8280</v>
      </c>
      <c r="O108" s="7">
        <f>VLOOKUP(J108,[2]Desa!$A:$D,4,FALSE)</f>
        <v>756</v>
      </c>
      <c r="P108" s="7">
        <f>VLOOKUP(J108,[3]Sheet1!$D:$F,3,FALSE)</f>
        <v>78</v>
      </c>
      <c r="Q108" s="7"/>
      <c r="R108" s="7"/>
      <c r="S108" s="12">
        <v>-8.7681872310760394</v>
      </c>
      <c r="T108" s="12">
        <v>115.88322126435099</v>
      </c>
      <c r="U108" s="7"/>
      <c r="V108" s="50">
        <f>Table13678[[#This Row],[PAGU SEMULA]]-Table13678[[#This Row],[PAGU ANGGARAN]]</f>
        <v>-26712000</v>
      </c>
      <c r="W108" s="50">
        <f>Table13678[[#This Row],[PAGU SEMULA]]-Table13678[[#This Row],[PAGU ANGGARAN]]</f>
        <v>-26712000</v>
      </c>
      <c r="X108" t="s">
        <v>984</v>
      </c>
    </row>
    <row r="109" spans="3:24" hidden="1">
      <c r="C109" s="7" t="s">
        <v>198</v>
      </c>
      <c r="D109" s="7" t="s">
        <v>199</v>
      </c>
      <c r="E109" s="7" t="s">
        <v>200</v>
      </c>
      <c r="F109" s="7" t="s">
        <v>201</v>
      </c>
      <c r="G109" s="7" t="s">
        <v>202</v>
      </c>
      <c r="H109" s="8">
        <v>143331500</v>
      </c>
      <c r="I109" s="10" t="s">
        <v>194</v>
      </c>
      <c r="J109" s="7" t="s">
        <v>195</v>
      </c>
      <c r="K109" s="10" t="s">
        <v>196</v>
      </c>
      <c r="L109" s="7" t="s">
        <v>197</v>
      </c>
      <c r="M109" s="7"/>
      <c r="N109" s="7">
        <f>VLOOKUP(J109,[1]Sheet1!$C:$D,2,FALSE)</f>
        <v>8280</v>
      </c>
      <c r="O109" s="7">
        <f>VLOOKUP(J109,[2]Desa!$A:$D,4,FALSE)</f>
        <v>756</v>
      </c>
      <c r="P109" s="7">
        <f>VLOOKUP(J109,[3]Sheet1!$D:$F,3,FALSE)</f>
        <v>78</v>
      </c>
      <c r="Q109" s="7"/>
      <c r="R109" s="7"/>
      <c r="S109" s="12">
        <v>-8.7681872310760394</v>
      </c>
      <c r="T109" s="12">
        <v>115.88322126435099</v>
      </c>
      <c r="U109" s="7"/>
      <c r="V109" s="50">
        <f>Table13678[[#This Row],[PAGU SEMULA]]-Table13678[[#This Row],[PAGU ANGGARAN]]</f>
        <v>-143331500</v>
      </c>
      <c r="W109" s="50">
        <f>Table13678[[#This Row],[PAGU SEMULA]]-Table13678[[#This Row],[PAGU ANGGARAN]]</f>
        <v>-143331500</v>
      </c>
      <c r="X109" t="s">
        <v>982</v>
      </c>
    </row>
    <row r="110" spans="3:24" hidden="1">
      <c r="C110" s="7" t="s">
        <v>35</v>
      </c>
      <c r="D110" s="7" t="s">
        <v>36</v>
      </c>
      <c r="E110" s="7" t="s">
        <v>37</v>
      </c>
      <c r="F110" s="7" t="s">
        <v>38</v>
      </c>
      <c r="G110" s="7" t="s">
        <v>39</v>
      </c>
      <c r="H110" s="17">
        <v>75000000</v>
      </c>
      <c r="I110" s="10" t="s">
        <v>194</v>
      </c>
      <c r="J110" s="7" t="s">
        <v>195</v>
      </c>
      <c r="K110" s="10" t="s">
        <v>196</v>
      </c>
      <c r="L110" s="7" t="s">
        <v>197</v>
      </c>
      <c r="M110" s="7"/>
      <c r="N110" s="7">
        <f>VLOOKUP(J110,[1]Sheet1!$C:$D,2,FALSE)</f>
        <v>8280</v>
      </c>
      <c r="O110" s="7">
        <f>VLOOKUP(J110,[2]Desa!$A:$D,4,FALSE)</f>
        <v>756</v>
      </c>
      <c r="P110" s="7">
        <f>VLOOKUP(J110,[3]Sheet1!$D:$F,3,FALSE)</f>
        <v>78</v>
      </c>
      <c r="Q110" s="7"/>
      <c r="R110" s="7"/>
      <c r="S110" s="12">
        <v>-8.7681872310760394</v>
      </c>
      <c r="T110" s="12">
        <v>115.88322126435099</v>
      </c>
      <c r="U110" s="7"/>
      <c r="V110" s="50">
        <f>Table13678[[#This Row],[PAGU SEMULA]]-Table13678[[#This Row],[PAGU ANGGARAN]]</f>
        <v>-75000000</v>
      </c>
      <c r="W110" s="50">
        <f>Table13678[[#This Row],[PAGU SEMULA]]-Table13678[[#This Row],[PAGU ANGGARAN]]</f>
        <v>-75000000</v>
      </c>
      <c r="X110" t="s">
        <v>984</v>
      </c>
    </row>
    <row r="111" spans="3:24" hidden="1">
      <c r="C111" s="7" t="s">
        <v>46</v>
      </c>
      <c r="D111" s="7" t="s">
        <v>47</v>
      </c>
      <c r="E111" s="7" t="s">
        <v>48</v>
      </c>
      <c r="F111" s="7" t="s">
        <v>203</v>
      </c>
      <c r="G111" s="71" t="s">
        <v>204</v>
      </c>
      <c r="H111" s="8">
        <v>23160000</v>
      </c>
      <c r="I111" s="10" t="s">
        <v>194</v>
      </c>
      <c r="J111" s="7" t="s">
        <v>195</v>
      </c>
      <c r="K111" s="10" t="s">
        <v>196</v>
      </c>
      <c r="L111" s="7" t="s">
        <v>197</v>
      </c>
      <c r="M111" s="7"/>
      <c r="N111" s="7">
        <f>VLOOKUP(J111,[1]Sheet1!$C:$D,2,FALSE)</f>
        <v>8280</v>
      </c>
      <c r="O111" s="7">
        <f>VLOOKUP(J111,[2]Desa!$A:$D,4,FALSE)</f>
        <v>756</v>
      </c>
      <c r="P111" s="7">
        <f>VLOOKUP(J111,[3]Sheet1!$D:$F,3,FALSE)</f>
        <v>78</v>
      </c>
      <c r="Q111" s="7"/>
      <c r="R111" s="7"/>
      <c r="S111" s="12">
        <v>-8.7681872310760394</v>
      </c>
      <c r="T111" s="12">
        <v>115.88322126435099</v>
      </c>
      <c r="U111" s="7"/>
      <c r="V111" s="50">
        <f>Table13678[[#This Row],[PAGU SEMULA]]-Table13678[[#This Row],[PAGU ANGGARAN]]</f>
        <v>-23160000</v>
      </c>
      <c r="W111" s="50">
        <f>Table13678[[#This Row],[PAGU SEMULA]]-Table13678[[#This Row],[PAGU ANGGARAN]]</f>
        <v>-23160000</v>
      </c>
      <c r="X111" t="s">
        <v>987</v>
      </c>
    </row>
    <row r="112" spans="3:24" hidden="1">
      <c r="C112" s="7" t="s">
        <v>51</v>
      </c>
      <c r="D112" s="7" t="s">
        <v>52</v>
      </c>
      <c r="E112" s="7" t="s">
        <v>53</v>
      </c>
      <c r="F112" s="7" t="s">
        <v>54</v>
      </c>
      <c r="G112" s="7" t="s">
        <v>73</v>
      </c>
      <c r="H112" s="8">
        <v>189090000</v>
      </c>
      <c r="I112" s="10" t="s">
        <v>194</v>
      </c>
      <c r="J112" s="7" t="s">
        <v>195</v>
      </c>
      <c r="K112" s="10" t="s">
        <v>196</v>
      </c>
      <c r="L112" s="7" t="s">
        <v>197</v>
      </c>
      <c r="M112" s="7"/>
      <c r="N112" s="7">
        <f>VLOOKUP(J112,[1]Sheet1!$C:$D,2,FALSE)</f>
        <v>8280</v>
      </c>
      <c r="O112" s="7">
        <f>VLOOKUP(J112,[2]Desa!$A:$D,4,FALSE)</f>
        <v>756</v>
      </c>
      <c r="P112" s="7">
        <f>VLOOKUP(J112,[3]Sheet1!$D:$F,3,FALSE)</f>
        <v>78</v>
      </c>
      <c r="Q112" s="7"/>
      <c r="R112" s="7"/>
      <c r="S112" s="12">
        <v>-8.7681872310760394</v>
      </c>
      <c r="T112" s="12">
        <v>115.88322126435099</v>
      </c>
      <c r="U112" s="7"/>
      <c r="V112" s="50">
        <f>Table13678[[#This Row],[PAGU SEMULA]]-Table13678[[#This Row],[PAGU ANGGARAN]]</f>
        <v>-189090000</v>
      </c>
      <c r="W112" s="50">
        <f>Table13678[[#This Row],[PAGU SEMULA]]-Table13678[[#This Row],[PAGU ANGGARAN]]</f>
        <v>-189090000</v>
      </c>
      <c r="X112" t="s">
        <v>986</v>
      </c>
    </row>
    <row r="113" spans="3:24" hidden="1">
      <c r="C113" s="7" t="s">
        <v>51</v>
      </c>
      <c r="D113" s="7" t="s">
        <v>52</v>
      </c>
      <c r="E113" s="7" t="s">
        <v>53</v>
      </c>
      <c r="F113" s="7" t="s">
        <v>54</v>
      </c>
      <c r="G113" s="7" t="s">
        <v>73</v>
      </c>
      <c r="H113" s="8">
        <v>189090000</v>
      </c>
      <c r="I113" s="10" t="s">
        <v>194</v>
      </c>
      <c r="J113" s="7" t="s">
        <v>195</v>
      </c>
      <c r="K113" s="10" t="s">
        <v>196</v>
      </c>
      <c r="L113" s="7" t="s">
        <v>197</v>
      </c>
      <c r="M113" s="7"/>
      <c r="N113" s="7">
        <f>VLOOKUP(J113,[1]Sheet1!$C:$D,2,FALSE)</f>
        <v>8280</v>
      </c>
      <c r="O113" s="7">
        <f>VLOOKUP(J113,[2]Desa!$A:$D,4,FALSE)</f>
        <v>756</v>
      </c>
      <c r="P113" s="7">
        <f>VLOOKUP(J113,[3]Sheet1!$D:$F,3,FALSE)</f>
        <v>78</v>
      </c>
      <c r="Q113" s="7"/>
      <c r="R113" s="7"/>
      <c r="S113" s="12">
        <v>-8.7681872310760394</v>
      </c>
      <c r="T113" s="12">
        <v>115.88322126435099</v>
      </c>
      <c r="U113" s="7"/>
      <c r="V113" s="50">
        <f>Table13678[[#This Row],[PAGU SEMULA]]-Table13678[[#This Row],[PAGU ANGGARAN]]</f>
        <v>-189090000</v>
      </c>
      <c r="W113" s="50">
        <f>Table13678[[#This Row],[PAGU SEMULA]]-Table13678[[#This Row],[PAGU ANGGARAN]]</f>
        <v>-189090000</v>
      </c>
      <c r="X113" t="s">
        <v>986</v>
      </c>
    </row>
    <row r="114" spans="3:24" hidden="1">
      <c r="C114" s="7" t="s">
        <v>29</v>
      </c>
      <c r="D114" s="7" t="s">
        <v>30</v>
      </c>
      <c r="E114" s="7" t="s">
        <v>31</v>
      </c>
      <c r="F114" s="7" t="s">
        <v>32</v>
      </c>
      <c r="G114" s="7" t="s">
        <v>33</v>
      </c>
      <c r="H114" s="8">
        <v>494340000</v>
      </c>
      <c r="I114" s="10" t="s">
        <v>205</v>
      </c>
      <c r="J114" s="7" t="s">
        <v>206</v>
      </c>
      <c r="K114" s="10" t="s">
        <v>207</v>
      </c>
      <c r="L114" s="7" t="s">
        <v>206</v>
      </c>
      <c r="M114" s="7"/>
      <c r="N114" s="7">
        <f>VLOOKUP(J114,[1]Sheet1!$C:$D,2,FALSE)</f>
        <v>7573</v>
      </c>
      <c r="O114" s="7">
        <f>VLOOKUP(J114,[2]Desa!$A:$D,4,FALSE)</f>
        <v>246</v>
      </c>
      <c r="P114" s="7">
        <f>VLOOKUP(J114,[3]Sheet1!$D:$F,3,FALSE)</f>
        <v>32</v>
      </c>
      <c r="Q114" s="7"/>
      <c r="R114" s="7"/>
      <c r="S114" s="12">
        <v>-8.53309485053156</v>
      </c>
      <c r="T114" s="12">
        <v>116.071277652135</v>
      </c>
      <c r="U114" s="7"/>
      <c r="V114" s="50">
        <f>Table13678[[#This Row],[PAGU SEMULA]]-Table13678[[#This Row],[PAGU ANGGARAN]]</f>
        <v>-494340000</v>
      </c>
      <c r="W114" s="50">
        <f>Table13678[[#This Row],[PAGU SEMULA]]-Table13678[[#This Row],[PAGU ANGGARAN]]</f>
        <v>-494340000</v>
      </c>
      <c r="X114" t="s">
        <v>984</v>
      </c>
    </row>
    <row r="115" spans="3:24" hidden="1">
      <c r="C115" s="7" t="s">
        <v>29</v>
      </c>
      <c r="D115" s="7" t="s">
        <v>30</v>
      </c>
      <c r="E115" s="7" t="s">
        <v>31</v>
      </c>
      <c r="F115" s="7" t="s">
        <v>32</v>
      </c>
      <c r="G115" s="7" t="s">
        <v>34</v>
      </c>
      <c r="H115" s="8">
        <v>39547200</v>
      </c>
      <c r="I115" s="10" t="s">
        <v>205</v>
      </c>
      <c r="J115" s="7" t="s">
        <v>206</v>
      </c>
      <c r="K115" s="10" t="s">
        <v>207</v>
      </c>
      <c r="L115" s="7" t="s">
        <v>206</v>
      </c>
      <c r="M115" s="7"/>
      <c r="N115" s="7">
        <f>VLOOKUP(J115,[1]Sheet1!$C:$D,2,FALSE)</f>
        <v>7573</v>
      </c>
      <c r="O115" s="7">
        <f>VLOOKUP(J115,[2]Desa!$A:$D,4,FALSE)</f>
        <v>246</v>
      </c>
      <c r="P115" s="7">
        <f>VLOOKUP(J115,[3]Sheet1!$D:$F,3,FALSE)</f>
        <v>32</v>
      </c>
      <c r="Q115" s="7"/>
      <c r="R115" s="7"/>
      <c r="S115" s="12">
        <v>-8.53309485053156</v>
      </c>
      <c r="T115" s="12">
        <v>116.071277652135</v>
      </c>
      <c r="U115" s="7"/>
      <c r="V115" s="50">
        <f>Table13678[[#This Row],[PAGU SEMULA]]-Table13678[[#This Row],[PAGU ANGGARAN]]</f>
        <v>-39547200</v>
      </c>
      <c r="W115" s="50">
        <f>Table13678[[#This Row],[PAGU SEMULA]]-Table13678[[#This Row],[PAGU ANGGARAN]]</f>
        <v>-39547200</v>
      </c>
      <c r="X115" t="s">
        <v>984</v>
      </c>
    </row>
    <row r="116" spans="3:24" hidden="1">
      <c r="C116" s="7" t="s">
        <v>110</v>
      </c>
      <c r="D116" s="7" t="s">
        <v>208</v>
      </c>
      <c r="E116" s="7" t="s">
        <v>209</v>
      </c>
      <c r="F116" s="7" t="s">
        <v>210</v>
      </c>
      <c r="G116" s="71" t="s">
        <v>211</v>
      </c>
      <c r="H116" s="8">
        <v>53500000</v>
      </c>
      <c r="I116" s="10" t="s">
        <v>205</v>
      </c>
      <c r="J116" s="7" t="s">
        <v>206</v>
      </c>
      <c r="K116" s="10" t="s">
        <v>207</v>
      </c>
      <c r="L116" s="7" t="s">
        <v>206</v>
      </c>
      <c r="M116" s="7"/>
      <c r="N116" s="7">
        <f>VLOOKUP(J116,[1]Sheet1!$C:$D,2,FALSE)</f>
        <v>7573</v>
      </c>
      <c r="O116" s="7">
        <f>VLOOKUP(J116,[2]Desa!$A:$D,4,FALSE)</f>
        <v>246</v>
      </c>
      <c r="P116" s="7">
        <f>VLOOKUP(J116,[3]Sheet1!$D:$F,3,FALSE)</f>
        <v>32</v>
      </c>
      <c r="Q116" s="7"/>
      <c r="R116" s="7"/>
      <c r="S116" s="12">
        <v>-8.53309485053156</v>
      </c>
      <c r="T116" s="12">
        <v>116.071277652135</v>
      </c>
      <c r="U116" s="7"/>
      <c r="V116" s="50">
        <f>Table13678[[#This Row],[PAGU SEMULA]]-Table13678[[#This Row],[PAGU ANGGARAN]]</f>
        <v>-53500000</v>
      </c>
      <c r="W116" s="50">
        <f>Table13678[[#This Row],[PAGU SEMULA]]-Table13678[[#This Row],[PAGU ANGGARAN]]</f>
        <v>-53500000</v>
      </c>
      <c r="X116" t="s">
        <v>982</v>
      </c>
    </row>
    <row r="117" spans="3:24" hidden="1">
      <c r="C117" s="7" t="s">
        <v>35</v>
      </c>
      <c r="D117" s="7" t="s">
        <v>36</v>
      </c>
      <c r="E117" s="7" t="s">
        <v>37</v>
      </c>
      <c r="F117" s="7" t="s">
        <v>38</v>
      </c>
      <c r="G117" s="7" t="s">
        <v>39</v>
      </c>
      <c r="H117" s="15">
        <v>75000000</v>
      </c>
      <c r="I117" s="10" t="s">
        <v>205</v>
      </c>
      <c r="J117" s="7" t="s">
        <v>206</v>
      </c>
      <c r="K117" s="10" t="s">
        <v>207</v>
      </c>
      <c r="L117" s="7" t="s">
        <v>206</v>
      </c>
      <c r="M117" s="7"/>
      <c r="N117" s="7">
        <f>VLOOKUP(J117,[1]Sheet1!$C:$D,2,FALSE)</f>
        <v>7573</v>
      </c>
      <c r="O117" s="7">
        <f>VLOOKUP(J117,[2]Desa!$A:$D,4,FALSE)</f>
        <v>246</v>
      </c>
      <c r="P117" s="7">
        <f>VLOOKUP(J117,[3]Sheet1!$D:$F,3,FALSE)</f>
        <v>32</v>
      </c>
      <c r="Q117" s="7"/>
      <c r="R117" s="7"/>
      <c r="S117" s="12">
        <v>-8.53309485053156</v>
      </c>
      <c r="T117" s="12">
        <v>116.071277652135</v>
      </c>
      <c r="U117" s="7"/>
      <c r="V117" s="50">
        <f>Table13678[[#This Row],[PAGU SEMULA]]-Table13678[[#This Row],[PAGU ANGGARAN]]</f>
        <v>-75000000</v>
      </c>
      <c r="W117" s="50">
        <f>Table13678[[#This Row],[PAGU SEMULA]]-Table13678[[#This Row],[PAGU ANGGARAN]]</f>
        <v>-75000000</v>
      </c>
      <c r="X117" t="s">
        <v>984</v>
      </c>
    </row>
    <row r="118" spans="3:24" hidden="1">
      <c r="C118" s="7" t="s">
        <v>35</v>
      </c>
      <c r="D118" s="7" t="s">
        <v>212</v>
      </c>
      <c r="E118" s="7" t="s">
        <v>213</v>
      </c>
      <c r="F118" s="7" t="s">
        <v>214</v>
      </c>
      <c r="G118" s="7" t="s">
        <v>215</v>
      </c>
      <c r="H118" s="17">
        <v>384676313</v>
      </c>
      <c r="I118" s="10" t="s">
        <v>205</v>
      </c>
      <c r="J118" s="7" t="s">
        <v>206</v>
      </c>
      <c r="K118" s="10" t="s">
        <v>207</v>
      </c>
      <c r="L118" s="7" t="s">
        <v>206</v>
      </c>
      <c r="M118" s="7"/>
      <c r="N118" s="7">
        <f>VLOOKUP(J118,[1]Sheet1!$C:$D,2,FALSE)</f>
        <v>7573</v>
      </c>
      <c r="O118" s="7">
        <f>VLOOKUP(J118,[2]Desa!$A:$D,4,FALSE)</f>
        <v>246</v>
      </c>
      <c r="P118" s="7">
        <f>VLOOKUP(J118,[3]Sheet1!$D:$F,3,FALSE)</f>
        <v>32</v>
      </c>
      <c r="Q118" s="7"/>
      <c r="R118" s="7"/>
      <c r="S118" s="12">
        <v>-8.53309485053156</v>
      </c>
      <c r="T118" s="12">
        <v>116.071277652135</v>
      </c>
      <c r="U118" s="7"/>
      <c r="V118" s="50">
        <f>Table13678[[#This Row],[PAGU SEMULA]]-Table13678[[#This Row],[PAGU ANGGARAN]]</f>
        <v>-384676313</v>
      </c>
      <c r="W118" s="50">
        <f>Table13678[[#This Row],[PAGU SEMULA]]-Table13678[[#This Row],[PAGU ANGGARAN]]</f>
        <v>-384676313</v>
      </c>
      <c r="X118" t="s">
        <v>986</v>
      </c>
    </row>
    <row r="119" spans="3:24">
      <c r="C119" s="7" t="s">
        <v>46</v>
      </c>
      <c r="D119" s="7" t="s">
        <v>122</v>
      </c>
      <c r="E119" s="7" t="s">
        <v>123</v>
      </c>
      <c r="F119" s="7" t="s">
        <v>124</v>
      </c>
      <c r="G119" s="71" t="s">
        <v>125</v>
      </c>
      <c r="H119" s="8">
        <v>51989500</v>
      </c>
      <c r="I119" s="10" t="s">
        <v>205</v>
      </c>
      <c r="J119" s="7" t="s">
        <v>206</v>
      </c>
      <c r="K119" s="10" t="s">
        <v>207</v>
      </c>
      <c r="L119" s="7" t="s">
        <v>206</v>
      </c>
      <c r="M119" s="7"/>
      <c r="N119" s="7">
        <f>VLOOKUP(J119,[1]Sheet1!$C:$D,2,FALSE)</f>
        <v>7573</v>
      </c>
      <c r="O119" s="7">
        <f>VLOOKUP(J119,[2]Desa!$A:$D,4,FALSE)</f>
        <v>246</v>
      </c>
      <c r="P119" s="7">
        <f>VLOOKUP(J119,[3]Sheet1!$D:$F,3,FALSE)</f>
        <v>32</v>
      </c>
      <c r="Q119" s="7"/>
      <c r="R119" s="7"/>
      <c r="S119" s="12">
        <v>-8.53309485053156</v>
      </c>
      <c r="T119" s="12">
        <v>116.071277652135</v>
      </c>
      <c r="U119" s="7"/>
      <c r="V119" s="50">
        <f>Table13678[[#This Row],[PAGU SEMULA]]-Table13678[[#This Row],[PAGU ANGGARAN]]</f>
        <v>-51989500</v>
      </c>
      <c r="W119" s="50">
        <f>Table13678[[#This Row],[PAGU SEMULA]]-Table13678[[#This Row],[PAGU ANGGARAN]]</f>
        <v>-51989500</v>
      </c>
      <c r="X119" t="s">
        <v>987</v>
      </c>
    </row>
    <row r="120" spans="3:24" hidden="1">
      <c r="C120" s="7" t="s">
        <v>51</v>
      </c>
      <c r="D120" s="7" t="s">
        <v>52</v>
      </c>
      <c r="E120" s="7" t="s">
        <v>53</v>
      </c>
      <c r="F120" s="7" t="s">
        <v>54</v>
      </c>
      <c r="G120" s="7" t="s">
        <v>73</v>
      </c>
      <c r="H120" s="8">
        <v>189090000</v>
      </c>
      <c r="I120" s="10" t="s">
        <v>205</v>
      </c>
      <c r="J120" s="7" t="s">
        <v>206</v>
      </c>
      <c r="K120" s="10" t="s">
        <v>207</v>
      </c>
      <c r="L120" s="7" t="s">
        <v>206</v>
      </c>
      <c r="M120" s="7"/>
      <c r="N120" s="7">
        <f>VLOOKUP(J120,[1]Sheet1!$C:$D,2,FALSE)</f>
        <v>7573</v>
      </c>
      <c r="O120" s="7">
        <f>VLOOKUP(J120,[2]Desa!$A:$D,4,FALSE)</f>
        <v>246</v>
      </c>
      <c r="P120" s="7">
        <f>VLOOKUP(J120,[3]Sheet1!$D:$F,3,FALSE)</f>
        <v>32</v>
      </c>
      <c r="Q120" s="7"/>
      <c r="R120" s="7"/>
      <c r="S120" s="12">
        <v>-8.53309485053156</v>
      </c>
      <c r="T120" s="12">
        <v>116.071277652135</v>
      </c>
      <c r="U120" s="7"/>
      <c r="V120" s="50">
        <f>Table13678[[#This Row],[PAGU SEMULA]]-Table13678[[#This Row],[PAGU ANGGARAN]]</f>
        <v>-189090000</v>
      </c>
      <c r="W120" s="50">
        <f>Table13678[[#This Row],[PAGU SEMULA]]-Table13678[[#This Row],[PAGU ANGGARAN]]</f>
        <v>-189090000</v>
      </c>
      <c r="X120" t="s">
        <v>986</v>
      </c>
    </row>
    <row r="121" spans="3:24" hidden="1">
      <c r="C121" s="7" t="s">
        <v>51</v>
      </c>
      <c r="D121" s="7" t="s">
        <v>52</v>
      </c>
      <c r="E121" s="7" t="s">
        <v>53</v>
      </c>
      <c r="F121" s="7" t="s">
        <v>54</v>
      </c>
      <c r="G121" s="7" t="s">
        <v>73</v>
      </c>
      <c r="H121" s="8">
        <v>189090000</v>
      </c>
      <c r="I121" s="10" t="s">
        <v>205</v>
      </c>
      <c r="J121" s="7" t="s">
        <v>206</v>
      </c>
      <c r="K121" s="10" t="s">
        <v>207</v>
      </c>
      <c r="L121" s="7" t="s">
        <v>206</v>
      </c>
      <c r="M121" s="7"/>
      <c r="N121" s="7">
        <f>VLOOKUP(J121,[1]Sheet1!$C:$D,2,FALSE)</f>
        <v>7573</v>
      </c>
      <c r="O121" s="7">
        <f>VLOOKUP(J121,[2]Desa!$A:$D,4,FALSE)</f>
        <v>246</v>
      </c>
      <c r="P121" s="7">
        <f>VLOOKUP(J121,[3]Sheet1!$D:$F,3,FALSE)</f>
        <v>32</v>
      </c>
      <c r="Q121" s="7"/>
      <c r="R121" s="7"/>
      <c r="S121" s="12">
        <v>-8.53309485053156</v>
      </c>
      <c r="T121" s="12">
        <v>116.071277652135</v>
      </c>
      <c r="U121" s="7"/>
      <c r="V121" s="50">
        <f>Table13678[[#This Row],[PAGU SEMULA]]-Table13678[[#This Row],[PAGU ANGGARAN]]</f>
        <v>-189090000</v>
      </c>
      <c r="W121" s="50">
        <f>Table13678[[#This Row],[PAGU SEMULA]]-Table13678[[#This Row],[PAGU ANGGARAN]]</f>
        <v>-189090000</v>
      </c>
      <c r="X121" t="s">
        <v>986</v>
      </c>
    </row>
    <row r="122" spans="3:24" hidden="1">
      <c r="C122" s="7" t="s">
        <v>51</v>
      </c>
      <c r="D122" s="7" t="s">
        <v>52</v>
      </c>
      <c r="E122" s="7" t="s">
        <v>53</v>
      </c>
      <c r="F122" s="7" t="s">
        <v>54</v>
      </c>
      <c r="G122" s="7" t="s">
        <v>73</v>
      </c>
      <c r="H122" s="8">
        <v>189090000</v>
      </c>
      <c r="I122" s="10" t="s">
        <v>205</v>
      </c>
      <c r="J122" s="7" t="s">
        <v>206</v>
      </c>
      <c r="K122" s="10" t="s">
        <v>207</v>
      </c>
      <c r="L122" s="7" t="s">
        <v>206</v>
      </c>
      <c r="M122" s="7"/>
      <c r="N122" s="7">
        <f>VLOOKUP(J122,[1]Sheet1!$C:$D,2,FALSE)</f>
        <v>7573</v>
      </c>
      <c r="O122" s="7">
        <f>VLOOKUP(J122,[2]Desa!$A:$D,4,FALSE)</f>
        <v>246</v>
      </c>
      <c r="P122" s="7">
        <f>VLOOKUP(J122,[3]Sheet1!$D:$F,3,FALSE)</f>
        <v>32</v>
      </c>
      <c r="Q122" s="7"/>
      <c r="R122" s="7"/>
      <c r="S122" s="12">
        <v>-8.53309485053156</v>
      </c>
      <c r="T122" s="12">
        <v>116.071277652135</v>
      </c>
      <c r="U122" s="7"/>
      <c r="V122" s="50">
        <f>Table13678[[#This Row],[PAGU SEMULA]]-Table13678[[#This Row],[PAGU ANGGARAN]]</f>
        <v>-189090000</v>
      </c>
      <c r="W122" s="50">
        <f>Table13678[[#This Row],[PAGU SEMULA]]-Table13678[[#This Row],[PAGU ANGGARAN]]</f>
        <v>-189090000</v>
      </c>
      <c r="X122" t="s">
        <v>986</v>
      </c>
    </row>
    <row r="123" spans="3:24" hidden="1">
      <c r="C123" s="7" t="s">
        <v>20</v>
      </c>
      <c r="D123" s="7" t="s">
        <v>104</v>
      </c>
      <c r="E123" s="7" t="s">
        <v>105</v>
      </c>
      <c r="F123" s="7" t="s">
        <v>126</v>
      </c>
      <c r="G123" s="71" t="s">
        <v>216</v>
      </c>
      <c r="H123" s="15">
        <v>155610000</v>
      </c>
      <c r="I123" s="10" t="s">
        <v>217</v>
      </c>
      <c r="J123" s="7" t="s">
        <v>218</v>
      </c>
      <c r="K123" s="10" t="s">
        <v>207</v>
      </c>
      <c r="L123" s="7" t="s">
        <v>206</v>
      </c>
      <c r="M123" s="7"/>
      <c r="N123" s="7">
        <f>VLOOKUP(J123,[1]Sheet1!$C:$D,2,FALSE)</f>
        <v>5991</v>
      </c>
      <c r="O123" s="7">
        <f>VLOOKUP(J123,[2]Desa!$A:$D,4,FALSE)</f>
        <v>170</v>
      </c>
      <c r="P123" s="7">
        <f>VLOOKUP(J123,[3]Sheet1!$D:$F,3,FALSE)</f>
        <v>43</v>
      </c>
      <c r="Q123" s="7"/>
      <c r="R123" s="7"/>
      <c r="S123" s="12">
        <v>-8.5086694121524609</v>
      </c>
      <c r="T123" s="12">
        <v>116.062231380971</v>
      </c>
      <c r="U123" s="7"/>
      <c r="V123" s="50">
        <f>Table13678[[#This Row],[PAGU SEMULA]]-Table13678[[#This Row],[PAGU ANGGARAN]]</f>
        <v>-155610000</v>
      </c>
      <c r="W123" s="50">
        <f>Table13678[[#This Row],[PAGU SEMULA]]-Table13678[[#This Row],[PAGU ANGGARAN]]</f>
        <v>-155610000</v>
      </c>
      <c r="X123" t="s">
        <v>984</v>
      </c>
    </row>
    <row r="124" spans="3:24" hidden="1">
      <c r="C124" s="7" t="s">
        <v>20</v>
      </c>
      <c r="D124" s="7" t="s">
        <v>104</v>
      </c>
      <c r="E124" s="7" t="s">
        <v>105</v>
      </c>
      <c r="F124" s="7" t="s">
        <v>169</v>
      </c>
      <c r="G124" s="71" t="s">
        <v>219</v>
      </c>
      <c r="H124" s="19">
        <v>319407000</v>
      </c>
      <c r="I124" s="10" t="s">
        <v>217</v>
      </c>
      <c r="J124" s="7" t="s">
        <v>218</v>
      </c>
      <c r="K124" s="10" t="s">
        <v>207</v>
      </c>
      <c r="L124" s="7" t="s">
        <v>206</v>
      </c>
      <c r="M124" s="7"/>
      <c r="N124" s="7">
        <f>VLOOKUP(J124,[1]Sheet1!$C:$D,2,FALSE)</f>
        <v>5991</v>
      </c>
      <c r="O124" s="7">
        <f>VLOOKUP(J124,[2]Desa!$A:$D,4,FALSE)</f>
        <v>170</v>
      </c>
      <c r="P124" s="7">
        <f>VLOOKUP(J124,[3]Sheet1!$D:$F,3,FALSE)</f>
        <v>43</v>
      </c>
      <c r="Q124" s="7"/>
      <c r="R124" s="7"/>
      <c r="S124" s="12">
        <v>-8.5086694121524609</v>
      </c>
      <c r="T124" s="12">
        <v>116.062231380971</v>
      </c>
      <c r="U124" s="7"/>
      <c r="V124" s="50">
        <f>Table13678[[#This Row],[PAGU SEMULA]]-Table13678[[#This Row],[PAGU ANGGARAN]]</f>
        <v>-319407000</v>
      </c>
      <c r="W124" s="50">
        <f>Table13678[[#This Row],[PAGU SEMULA]]-Table13678[[#This Row],[PAGU ANGGARAN]]</f>
        <v>-319407000</v>
      </c>
      <c r="X124" t="s">
        <v>984</v>
      </c>
    </row>
    <row r="125" spans="3:24" hidden="1">
      <c r="C125" s="7" t="s">
        <v>29</v>
      </c>
      <c r="D125" s="7" t="s">
        <v>30</v>
      </c>
      <c r="E125" s="7" t="s">
        <v>31</v>
      </c>
      <c r="F125" s="7" t="s">
        <v>32</v>
      </c>
      <c r="G125" s="7" t="s">
        <v>33</v>
      </c>
      <c r="H125" s="8">
        <v>503160000</v>
      </c>
      <c r="I125" s="10" t="s">
        <v>217</v>
      </c>
      <c r="J125" s="7" t="s">
        <v>218</v>
      </c>
      <c r="K125" s="10" t="s">
        <v>207</v>
      </c>
      <c r="L125" s="7" t="s">
        <v>206</v>
      </c>
      <c r="M125" s="7"/>
      <c r="N125" s="7">
        <f>VLOOKUP(J125,[1]Sheet1!$C:$D,2,FALSE)</f>
        <v>5991</v>
      </c>
      <c r="O125" s="7">
        <f>VLOOKUP(J125,[2]Desa!$A:$D,4,FALSE)</f>
        <v>170</v>
      </c>
      <c r="P125" s="7">
        <f>VLOOKUP(J125,[3]Sheet1!$D:$F,3,FALSE)</f>
        <v>43</v>
      </c>
      <c r="Q125" s="7"/>
      <c r="R125" s="7"/>
      <c r="S125" s="12">
        <v>-8.5086694121524609</v>
      </c>
      <c r="T125" s="12">
        <v>116.062231380971</v>
      </c>
      <c r="U125" s="7"/>
      <c r="V125" s="50">
        <f>Table13678[[#This Row],[PAGU SEMULA]]-Table13678[[#This Row],[PAGU ANGGARAN]]</f>
        <v>-503160000</v>
      </c>
      <c r="W125" s="50">
        <f>Table13678[[#This Row],[PAGU SEMULA]]-Table13678[[#This Row],[PAGU ANGGARAN]]</f>
        <v>-503160000</v>
      </c>
      <c r="X125" t="s">
        <v>984</v>
      </c>
    </row>
    <row r="126" spans="3:24" hidden="1">
      <c r="C126" s="7" t="s">
        <v>29</v>
      </c>
      <c r="D126" s="7" t="s">
        <v>30</v>
      </c>
      <c r="E126" s="7" t="s">
        <v>31</v>
      </c>
      <c r="F126" s="7" t="s">
        <v>32</v>
      </c>
      <c r="G126" s="7" t="s">
        <v>34</v>
      </c>
      <c r="H126" s="8">
        <v>40252800</v>
      </c>
      <c r="I126" s="10" t="s">
        <v>217</v>
      </c>
      <c r="J126" s="7" t="s">
        <v>218</v>
      </c>
      <c r="K126" s="10" t="s">
        <v>207</v>
      </c>
      <c r="L126" s="7" t="s">
        <v>206</v>
      </c>
      <c r="M126" s="7"/>
      <c r="N126" s="7">
        <f>VLOOKUP(J126,[1]Sheet1!$C:$D,2,FALSE)</f>
        <v>5991</v>
      </c>
      <c r="O126" s="7">
        <f>VLOOKUP(J126,[2]Desa!$A:$D,4,FALSE)</f>
        <v>170</v>
      </c>
      <c r="P126" s="7">
        <f>VLOOKUP(J126,[3]Sheet1!$D:$F,3,FALSE)</f>
        <v>43</v>
      </c>
      <c r="Q126" s="7"/>
      <c r="R126" s="7"/>
      <c r="S126" s="12">
        <v>-8.5086694121524609</v>
      </c>
      <c r="T126" s="12">
        <v>116.062231380971</v>
      </c>
      <c r="U126" s="7"/>
      <c r="V126" s="50">
        <f>Table13678[[#This Row],[PAGU SEMULA]]-Table13678[[#This Row],[PAGU ANGGARAN]]</f>
        <v>-40252800</v>
      </c>
      <c r="W126" s="50">
        <f>Table13678[[#This Row],[PAGU SEMULA]]-Table13678[[#This Row],[PAGU ANGGARAN]]</f>
        <v>-40252800</v>
      </c>
      <c r="X126" t="s">
        <v>984</v>
      </c>
    </row>
    <row r="127" spans="3:24" hidden="1">
      <c r="C127" s="7" t="s">
        <v>110</v>
      </c>
      <c r="D127" s="7" t="s">
        <v>208</v>
      </c>
      <c r="E127" s="7" t="s">
        <v>209</v>
      </c>
      <c r="F127" s="7" t="s">
        <v>210</v>
      </c>
      <c r="G127" s="71" t="s">
        <v>211</v>
      </c>
      <c r="H127" s="8">
        <v>53500000</v>
      </c>
      <c r="I127" s="10" t="s">
        <v>217</v>
      </c>
      <c r="J127" s="7" t="s">
        <v>218</v>
      </c>
      <c r="K127" s="10" t="s">
        <v>207</v>
      </c>
      <c r="L127" s="7" t="s">
        <v>206</v>
      </c>
      <c r="M127" s="7"/>
      <c r="N127" s="7">
        <f>VLOOKUP(J127,[1]Sheet1!$C:$D,2,FALSE)</f>
        <v>5991</v>
      </c>
      <c r="O127" s="7">
        <f>VLOOKUP(J127,[2]Desa!$A:$D,4,FALSE)</f>
        <v>170</v>
      </c>
      <c r="P127" s="7">
        <f>VLOOKUP(J127,[3]Sheet1!$D:$F,3,FALSE)</f>
        <v>43</v>
      </c>
      <c r="Q127" s="7"/>
      <c r="R127" s="7"/>
      <c r="S127" s="12">
        <v>-8.5086694121524609</v>
      </c>
      <c r="T127" s="12">
        <v>116.062231380971</v>
      </c>
      <c r="U127" s="7"/>
      <c r="V127" s="50">
        <f>Table13678[[#This Row],[PAGU SEMULA]]-Table13678[[#This Row],[PAGU ANGGARAN]]</f>
        <v>-53500000</v>
      </c>
      <c r="W127" s="50">
        <f>Table13678[[#This Row],[PAGU SEMULA]]-Table13678[[#This Row],[PAGU ANGGARAN]]</f>
        <v>-53500000</v>
      </c>
      <c r="X127" t="s">
        <v>982</v>
      </c>
    </row>
    <row r="128" spans="3:24" hidden="1">
      <c r="C128" s="7" t="s">
        <v>110</v>
      </c>
      <c r="D128" s="7" t="s">
        <v>208</v>
      </c>
      <c r="E128" s="7" t="s">
        <v>209</v>
      </c>
      <c r="F128" s="7" t="s">
        <v>210</v>
      </c>
      <c r="G128" s="71" t="s">
        <v>220</v>
      </c>
      <c r="H128" s="8">
        <v>100000000</v>
      </c>
      <c r="I128" s="10" t="s">
        <v>217</v>
      </c>
      <c r="J128" s="7" t="s">
        <v>218</v>
      </c>
      <c r="K128" s="10" t="s">
        <v>207</v>
      </c>
      <c r="L128" s="7" t="s">
        <v>206</v>
      </c>
      <c r="M128" s="7"/>
      <c r="N128" s="7">
        <f>VLOOKUP(J128,[1]Sheet1!$C:$D,2,FALSE)</f>
        <v>5991</v>
      </c>
      <c r="O128" s="7">
        <f>VLOOKUP(J128,[2]Desa!$A:$D,4,FALSE)</f>
        <v>170</v>
      </c>
      <c r="P128" s="7">
        <f>VLOOKUP(J128,[3]Sheet1!$D:$F,3,FALSE)</f>
        <v>43</v>
      </c>
      <c r="Q128" s="7"/>
      <c r="R128" s="7"/>
      <c r="S128" s="12">
        <v>-8.5086694121524609</v>
      </c>
      <c r="T128" s="12">
        <v>116.062231380971</v>
      </c>
      <c r="U128" s="7"/>
      <c r="V128" s="50">
        <f>Table13678[[#This Row],[PAGU SEMULA]]-Table13678[[#This Row],[PAGU ANGGARAN]]</f>
        <v>-100000000</v>
      </c>
      <c r="W128" s="50">
        <f>Table13678[[#This Row],[PAGU SEMULA]]-Table13678[[#This Row],[PAGU ANGGARAN]]</f>
        <v>-100000000</v>
      </c>
      <c r="X128" t="s">
        <v>982</v>
      </c>
    </row>
    <row r="129" spans="2:24" hidden="1">
      <c r="C129" s="7" t="s">
        <v>35</v>
      </c>
      <c r="D129" s="7" t="s">
        <v>36</v>
      </c>
      <c r="E129" s="7" t="s">
        <v>37</v>
      </c>
      <c r="F129" s="7" t="s">
        <v>38</v>
      </c>
      <c r="G129" s="7" t="s">
        <v>39</v>
      </c>
      <c r="H129" s="15">
        <v>105000000</v>
      </c>
      <c r="I129" s="10" t="s">
        <v>217</v>
      </c>
      <c r="J129" s="7" t="s">
        <v>218</v>
      </c>
      <c r="K129" s="10" t="s">
        <v>207</v>
      </c>
      <c r="L129" s="7" t="s">
        <v>206</v>
      </c>
      <c r="M129" s="7"/>
      <c r="N129" s="7">
        <f>VLOOKUP(J129,[1]Sheet1!$C:$D,2,FALSE)</f>
        <v>5991</v>
      </c>
      <c r="O129" s="7">
        <f>VLOOKUP(J129,[2]Desa!$A:$D,4,FALSE)</f>
        <v>170</v>
      </c>
      <c r="P129" s="7">
        <f>VLOOKUP(J129,[3]Sheet1!$D:$F,3,FALSE)</f>
        <v>43</v>
      </c>
      <c r="Q129" s="7"/>
      <c r="R129" s="7"/>
      <c r="S129" s="12">
        <v>-8.5086694121524609</v>
      </c>
      <c r="T129" s="12">
        <v>116.062231380971</v>
      </c>
      <c r="U129" s="7"/>
      <c r="V129" s="50">
        <f>Table13678[[#This Row],[PAGU SEMULA]]-Table13678[[#This Row],[PAGU ANGGARAN]]</f>
        <v>-105000000</v>
      </c>
      <c r="W129" s="50">
        <f>Table13678[[#This Row],[PAGU SEMULA]]-Table13678[[#This Row],[PAGU ANGGARAN]]</f>
        <v>-105000000</v>
      </c>
      <c r="X129" t="s">
        <v>984</v>
      </c>
    </row>
    <row r="130" spans="2:24" hidden="1">
      <c r="C130" s="7" t="s">
        <v>35</v>
      </c>
      <c r="D130" s="7" t="s">
        <v>52</v>
      </c>
      <c r="E130" s="7" t="s">
        <v>95</v>
      </c>
      <c r="F130" s="7" t="s">
        <v>96</v>
      </c>
      <c r="G130" s="7" t="s">
        <v>98</v>
      </c>
      <c r="H130" s="17">
        <v>483750000</v>
      </c>
      <c r="I130" s="10" t="s">
        <v>217</v>
      </c>
      <c r="J130" s="7" t="s">
        <v>218</v>
      </c>
      <c r="K130" s="10" t="s">
        <v>207</v>
      </c>
      <c r="L130" s="7" t="s">
        <v>206</v>
      </c>
      <c r="M130" s="7"/>
      <c r="N130" s="7">
        <f>VLOOKUP(J130,[1]Sheet1!$C:$D,2,FALSE)</f>
        <v>5991</v>
      </c>
      <c r="O130" s="7">
        <f>VLOOKUP(J130,[2]Desa!$A:$D,4,FALSE)</f>
        <v>170</v>
      </c>
      <c r="P130" s="7">
        <f>VLOOKUP(J130,[3]Sheet1!$D:$F,3,FALSE)</f>
        <v>43</v>
      </c>
      <c r="Q130" s="7"/>
      <c r="R130" s="7"/>
      <c r="S130" s="12">
        <v>-8.5086694121524609</v>
      </c>
      <c r="T130" s="12">
        <v>116.062231380971</v>
      </c>
      <c r="U130" s="7"/>
      <c r="V130" s="50">
        <f>Table13678[[#This Row],[PAGU SEMULA]]-Table13678[[#This Row],[PAGU ANGGARAN]]</f>
        <v>-483750000</v>
      </c>
      <c r="W130" s="50">
        <f>Table13678[[#This Row],[PAGU SEMULA]]-Table13678[[#This Row],[PAGU ANGGARAN]]</f>
        <v>-483750000</v>
      </c>
      <c r="X130" t="s">
        <v>986</v>
      </c>
    </row>
    <row r="131" spans="2:24" hidden="1">
      <c r="C131" s="7" t="s">
        <v>35</v>
      </c>
      <c r="D131" s="7" t="s">
        <v>52</v>
      </c>
      <c r="E131" s="7" t="s">
        <v>95</v>
      </c>
      <c r="F131" s="7" t="s">
        <v>96</v>
      </c>
      <c r="G131" s="7" t="s">
        <v>221</v>
      </c>
      <c r="H131" s="17">
        <v>145125000</v>
      </c>
      <c r="I131" s="10" t="s">
        <v>217</v>
      </c>
      <c r="J131" s="7" t="s">
        <v>218</v>
      </c>
      <c r="K131" s="10" t="s">
        <v>207</v>
      </c>
      <c r="L131" s="7" t="s">
        <v>206</v>
      </c>
      <c r="M131" s="7"/>
      <c r="N131" s="7">
        <f>VLOOKUP(J131,[1]Sheet1!$C:$D,2,FALSE)</f>
        <v>5991</v>
      </c>
      <c r="O131" s="7">
        <f>VLOOKUP(J131,[2]Desa!$A:$D,4,FALSE)</f>
        <v>170</v>
      </c>
      <c r="P131" s="7">
        <f>VLOOKUP(J131,[3]Sheet1!$D:$F,3,FALSE)</f>
        <v>43</v>
      </c>
      <c r="Q131" s="7"/>
      <c r="R131" s="7"/>
      <c r="S131" s="12">
        <v>-8.5086694121524609</v>
      </c>
      <c r="T131" s="12">
        <v>116.062231380971</v>
      </c>
      <c r="U131" s="7"/>
      <c r="V131" s="50">
        <f>Table13678[[#This Row],[PAGU SEMULA]]-Table13678[[#This Row],[PAGU ANGGARAN]]</f>
        <v>-145125000</v>
      </c>
      <c r="W131" s="50">
        <f>Table13678[[#This Row],[PAGU SEMULA]]-Table13678[[#This Row],[PAGU ANGGARAN]]</f>
        <v>-145125000</v>
      </c>
      <c r="X131" t="s">
        <v>986</v>
      </c>
    </row>
    <row r="132" spans="2:24" hidden="1">
      <c r="C132" s="7" t="s">
        <v>29</v>
      </c>
      <c r="D132" s="7" t="s">
        <v>30</v>
      </c>
      <c r="E132" s="7" t="s">
        <v>31</v>
      </c>
      <c r="F132" s="7" t="s">
        <v>32</v>
      </c>
      <c r="G132" s="7" t="s">
        <v>33</v>
      </c>
      <c r="H132" s="8">
        <v>300720000</v>
      </c>
      <c r="I132" s="10" t="s">
        <v>222</v>
      </c>
      <c r="J132" s="7" t="s">
        <v>223</v>
      </c>
      <c r="K132" s="10" t="s">
        <v>27</v>
      </c>
      <c r="L132" s="7" t="s">
        <v>28</v>
      </c>
      <c r="M132" s="7"/>
      <c r="N132" s="7">
        <f>VLOOKUP(J132,[1]Sheet1!$C:$D,2,FALSE)</f>
        <v>8249</v>
      </c>
      <c r="O132" s="7">
        <f>VLOOKUP(J132,[2]Desa!$A:$D,4,FALSE)</f>
        <v>243</v>
      </c>
      <c r="P132" s="7">
        <f>VLOOKUP(J132,[3]Sheet1!$D:$F,3,FALSE)</f>
        <v>57</v>
      </c>
      <c r="Q132" s="7"/>
      <c r="R132" s="7"/>
      <c r="S132" s="12">
        <v>-8.6578458992914999</v>
      </c>
      <c r="T132" s="12">
        <v>116.13093179490799</v>
      </c>
      <c r="U132" s="7"/>
      <c r="V132" s="50">
        <f>Table13678[[#This Row],[PAGU SEMULA]]-Table13678[[#This Row],[PAGU ANGGARAN]]</f>
        <v>-300720000</v>
      </c>
      <c r="W132" s="50">
        <f>Table13678[[#This Row],[PAGU SEMULA]]-Table13678[[#This Row],[PAGU ANGGARAN]]</f>
        <v>-300720000</v>
      </c>
      <c r="X132" t="s">
        <v>984</v>
      </c>
    </row>
    <row r="133" spans="2:24" hidden="1">
      <c r="C133" s="7" t="s">
        <v>29</v>
      </c>
      <c r="D133" s="7" t="s">
        <v>30</v>
      </c>
      <c r="E133" s="7" t="s">
        <v>31</v>
      </c>
      <c r="F133" s="7" t="s">
        <v>32</v>
      </c>
      <c r="G133" s="7" t="s">
        <v>34</v>
      </c>
      <c r="H133" s="8">
        <v>24057600</v>
      </c>
      <c r="I133" s="10" t="s">
        <v>222</v>
      </c>
      <c r="J133" s="7" t="s">
        <v>223</v>
      </c>
      <c r="K133" s="10" t="s">
        <v>27</v>
      </c>
      <c r="L133" s="7" t="s">
        <v>28</v>
      </c>
      <c r="M133" s="7"/>
      <c r="N133" s="7">
        <f>VLOOKUP(J133,[1]Sheet1!$C:$D,2,FALSE)</f>
        <v>8249</v>
      </c>
      <c r="O133" s="7">
        <f>VLOOKUP(J133,[2]Desa!$A:$D,4,FALSE)</f>
        <v>243</v>
      </c>
      <c r="P133" s="7">
        <f>VLOOKUP(J133,[3]Sheet1!$D:$F,3,FALSE)</f>
        <v>57</v>
      </c>
      <c r="Q133" s="7"/>
      <c r="R133" s="7"/>
      <c r="S133" s="12">
        <v>-8.6578458992914999</v>
      </c>
      <c r="T133" s="12">
        <v>116.13093179490799</v>
      </c>
      <c r="U133" s="7"/>
      <c r="V133" s="50">
        <f>Table13678[[#This Row],[PAGU SEMULA]]-Table13678[[#This Row],[PAGU ANGGARAN]]</f>
        <v>-24057600</v>
      </c>
      <c r="W133" s="50">
        <f>Table13678[[#This Row],[PAGU SEMULA]]-Table13678[[#This Row],[PAGU ANGGARAN]]</f>
        <v>-24057600</v>
      </c>
      <c r="X133" t="s">
        <v>984</v>
      </c>
    </row>
    <row r="134" spans="2:24" hidden="1">
      <c r="C134" s="7" t="s">
        <v>224</v>
      </c>
      <c r="D134" s="7" t="s">
        <v>225</v>
      </c>
      <c r="E134" s="7" t="s">
        <v>226</v>
      </c>
      <c r="F134" s="7" t="s">
        <v>227</v>
      </c>
      <c r="G134" s="7" t="s">
        <v>228</v>
      </c>
      <c r="H134" s="8">
        <v>150000000</v>
      </c>
      <c r="I134" s="10" t="s">
        <v>222</v>
      </c>
      <c r="J134" s="7" t="s">
        <v>223</v>
      </c>
      <c r="K134" s="10" t="s">
        <v>27</v>
      </c>
      <c r="L134" s="7" t="s">
        <v>28</v>
      </c>
      <c r="M134" s="7"/>
      <c r="N134" s="7">
        <f>VLOOKUP(J134,[1]Sheet1!$C:$D,2,FALSE)</f>
        <v>8249</v>
      </c>
      <c r="O134" s="7">
        <f>VLOOKUP(J134,[2]Desa!$A:$D,4,FALSE)</f>
        <v>243</v>
      </c>
      <c r="P134" s="7">
        <f>VLOOKUP(J134,[3]Sheet1!$D:$F,3,FALSE)</f>
        <v>57</v>
      </c>
      <c r="Q134" s="7"/>
      <c r="R134" s="7"/>
      <c r="S134" s="12">
        <v>-8.6578458992914999</v>
      </c>
      <c r="T134" s="12">
        <v>116.13093179490799</v>
      </c>
      <c r="U134" s="7"/>
      <c r="V134" s="50">
        <f>Table13678[[#This Row],[PAGU SEMULA]]-Table13678[[#This Row],[PAGU ANGGARAN]]</f>
        <v>-150000000</v>
      </c>
      <c r="W134" s="50">
        <f>Table13678[[#This Row],[PAGU SEMULA]]-Table13678[[#This Row],[PAGU ANGGARAN]]</f>
        <v>-150000000</v>
      </c>
      <c r="X134" t="s">
        <v>984</v>
      </c>
    </row>
    <row r="135" spans="2:24" hidden="1">
      <c r="C135" s="7" t="s">
        <v>84</v>
      </c>
      <c r="D135" s="7" t="s">
        <v>85</v>
      </c>
      <c r="E135" s="7" t="s">
        <v>86</v>
      </c>
      <c r="F135" s="7" t="s">
        <v>87</v>
      </c>
      <c r="G135" s="7" t="s">
        <v>229</v>
      </c>
      <c r="H135" s="8">
        <v>68250000</v>
      </c>
      <c r="I135" s="10" t="s">
        <v>230</v>
      </c>
      <c r="J135" s="7" t="s">
        <v>223</v>
      </c>
      <c r="K135" s="10" t="s">
        <v>27</v>
      </c>
      <c r="L135" s="7" t="s">
        <v>28</v>
      </c>
      <c r="M135" s="7"/>
      <c r="N135" s="7">
        <f>VLOOKUP(J135,[1]Sheet1!$C:$D,2,FALSE)</f>
        <v>8249</v>
      </c>
      <c r="O135" s="7">
        <f>VLOOKUP(J135,[2]Desa!$A:$D,4,FALSE)</f>
        <v>243</v>
      </c>
      <c r="P135" s="7">
        <f>VLOOKUP(J135,[3]Sheet1!$D:$F,3,FALSE)</f>
        <v>57</v>
      </c>
      <c r="Q135" s="7"/>
      <c r="R135" s="7"/>
      <c r="S135" s="12">
        <v>-8.6161550364462798</v>
      </c>
      <c r="T135" s="12">
        <v>116.148939008293</v>
      </c>
      <c r="U135" s="7"/>
      <c r="V135" s="50">
        <f>Table13678[[#This Row],[PAGU SEMULA]]-Table13678[[#This Row],[PAGU ANGGARAN]]</f>
        <v>-68250000</v>
      </c>
      <c r="W135" s="50">
        <f>Table13678[[#This Row],[PAGU SEMULA]]-Table13678[[#This Row],[PAGU ANGGARAN]]</f>
        <v>-68250000</v>
      </c>
      <c r="X135" t="s">
        <v>982</v>
      </c>
    </row>
    <row r="136" spans="2:24" hidden="1">
      <c r="C136" s="7" t="s">
        <v>84</v>
      </c>
      <c r="D136" s="7" t="s">
        <v>89</v>
      </c>
      <c r="E136" s="7" t="s">
        <v>90</v>
      </c>
      <c r="F136" s="7" t="s">
        <v>91</v>
      </c>
      <c r="G136" s="7" t="s">
        <v>231</v>
      </c>
      <c r="H136" s="8">
        <v>68250000</v>
      </c>
      <c r="I136" s="10" t="s">
        <v>230</v>
      </c>
      <c r="J136" s="7" t="s">
        <v>223</v>
      </c>
      <c r="K136" s="10" t="s">
        <v>27</v>
      </c>
      <c r="L136" s="7" t="s">
        <v>28</v>
      </c>
      <c r="M136" s="7"/>
      <c r="N136" s="7">
        <f>VLOOKUP(J136,[1]Sheet1!$C:$D,2,FALSE)</f>
        <v>8249</v>
      </c>
      <c r="O136" s="7">
        <f>VLOOKUP(J136,[2]Desa!$A:$D,4,FALSE)</f>
        <v>243</v>
      </c>
      <c r="P136" s="7">
        <f>VLOOKUP(J136,[3]Sheet1!$D:$F,3,FALSE)</f>
        <v>57</v>
      </c>
      <c r="Q136" s="7"/>
      <c r="R136" s="7"/>
      <c r="S136" s="12">
        <v>-8.6161550364462798</v>
      </c>
      <c r="T136" s="12">
        <v>116.148939008293</v>
      </c>
      <c r="U136" s="7"/>
      <c r="V136" s="50">
        <f>Table13678[[#This Row],[PAGU SEMULA]]-Table13678[[#This Row],[PAGU ANGGARAN]]</f>
        <v>-68250000</v>
      </c>
      <c r="W136" s="50">
        <f>Table13678[[#This Row],[PAGU SEMULA]]-Table13678[[#This Row],[PAGU ANGGARAN]]</f>
        <v>-68250000</v>
      </c>
      <c r="X136" t="s">
        <v>982</v>
      </c>
    </row>
    <row r="137" spans="2:24" hidden="1">
      <c r="C137" s="7" t="s">
        <v>151</v>
      </c>
      <c r="D137" s="7" t="s">
        <v>152</v>
      </c>
      <c r="E137" s="7" t="s">
        <v>153</v>
      </c>
      <c r="F137" s="7" t="s">
        <v>154</v>
      </c>
      <c r="G137" s="7" t="s">
        <v>155</v>
      </c>
      <c r="H137" s="8">
        <v>400000000</v>
      </c>
      <c r="I137" s="10" t="s">
        <v>222</v>
      </c>
      <c r="J137" s="7" t="s">
        <v>223</v>
      </c>
      <c r="K137" s="10" t="s">
        <v>27</v>
      </c>
      <c r="L137" s="7" t="s">
        <v>28</v>
      </c>
      <c r="M137" s="7"/>
      <c r="N137" s="7">
        <f>VLOOKUP(J137,[1]Sheet1!$C:$D,2,FALSE)</f>
        <v>8249</v>
      </c>
      <c r="O137" s="7">
        <f>VLOOKUP(J137,[2]Desa!$A:$D,4,FALSE)</f>
        <v>243</v>
      </c>
      <c r="P137" s="7">
        <f>VLOOKUP(J137,[3]Sheet1!$D:$F,3,FALSE)</f>
        <v>57</v>
      </c>
      <c r="Q137" s="7"/>
      <c r="R137" s="7"/>
      <c r="S137" s="12">
        <v>-8.6578458992914999</v>
      </c>
      <c r="T137" s="12">
        <v>116.13093179490799</v>
      </c>
      <c r="U137" s="7"/>
      <c r="V137" s="50">
        <f>Table13678[[#This Row],[PAGU SEMULA]]-Table13678[[#This Row],[PAGU ANGGARAN]]</f>
        <v>-400000000</v>
      </c>
      <c r="W137" s="50">
        <f>Table13678[[#This Row],[PAGU SEMULA]]-Table13678[[#This Row],[PAGU ANGGARAN]]</f>
        <v>-400000000</v>
      </c>
      <c r="X137" t="s">
        <v>987</v>
      </c>
    </row>
    <row r="138" spans="2:24" hidden="1">
      <c r="C138" s="7" t="s">
        <v>35</v>
      </c>
      <c r="D138" s="7" t="s">
        <v>36</v>
      </c>
      <c r="E138" s="7" t="s">
        <v>37</v>
      </c>
      <c r="F138" s="7" t="s">
        <v>38</v>
      </c>
      <c r="G138" s="7" t="s">
        <v>39</v>
      </c>
      <c r="H138" s="15">
        <v>75000000</v>
      </c>
      <c r="I138" s="10" t="s">
        <v>222</v>
      </c>
      <c r="J138" s="7" t="s">
        <v>223</v>
      </c>
      <c r="K138" s="10" t="s">
        <v>27</v>
      </c>
      <c r="L138" s="7" t="s">
        <v>28</v>
      </c>
      <c r="M138" s="7"/>
      <c r="N138" s="7">
        <f>VLOOKUP(J138,[1]Sheet1!$C:$D,2,FALSE)</f>
        <v>8249</v>
      </c>
      <c r="O138" s="7">
        <f>VLOOKUP(J138,[2]Desa!$A:$D,4,FALSE)</f>
        <v>243</v>
      </c>
      <c r="P138" s="7">
        <f>VLOOKUP(J138,[3]Sheet1!$D:$F,3,FALSE)</f>
        <v>57</v>
      </c>
      <c r="Q138" s="7"/>
      <c r="R138" s="7"/>
      <c r="S138" s="12">
        <v>-8.6578458992914999</v>
      </c>
      <c r="T138" s="12">
        <v>116.13093179490799</v>
      </c>
      <c r="U138" s="7"/>
      <c r="V138" s="50">
        <f>Table13678[[#This Row],[PAGU SEMULA]]-Table13678[[#This Row],[PAGU ANGGARAN]]</f>
        <v>-75000000</v>
      </c>
      <c r="W138" s="50">
        <f>Table13678[[#This Row],[PAGU SEMULA]]-Table13678[[#This Row],[PAGU ANGGARAN]]</f>
        <v>-75000000</v>
      </c>
      <c r="X138" t="s">
        <v>984</v>
      </c>
    </row>
    <row r="139" spans="2:24" hidden="1">
      <c r="C139" s="7" t="s">
        <v>35</v>
      </c>
      <c r="D139" s="7" t="s">
        <v>52</v>
      </c>
      <c r="E139" s="7" t="s">
        <v>95</v>
      </c>
      <c r="F139" s="7" t="s">
        <v>96</v>
      </c>
      <c r="G139" s="7" t="s">
        <v>41</v>
      </c>
      <c r="H139" s="15">
        <v>158000000</v>
      </c>
      <c r="I139" s="10" t="s">
        <v>222</v>
      </c>
      <c r="J139" s="7" t="s">
        <v>223</v>
      </c>
      <c r="K139" s="10" t="s">
        <v>27</v>
      </c>
      <c r="L139" s="7" t="s">
        <v>28</v>
      </c>
      <c r="M139" s="7"/>
      <c r="N139" s="7">
        <f>VLOOKUP(J139,[1]Sheet1!$C:$D,2,FALSE)</f>
        <v>8249</v>
      </c>
      <c r="O139" s="7">
        <f>VLOOKUP(J139,[2]Desa!$A:$D,4,FALSE)</f>
        <v>243</v>
      </c>
      <c r="P139" s="7">
        <f>VLOOKUP(J139,[3]Sheet1!$D:$F,3,FALSE)</f>
        <v>57</v>
      </c>
      <c r="Q139" s="7"/>
      <c r="R139" s="7"/>
      <c r="S139" s="12">
        <v>-8.6578458992914999</v>
      </c>
      <c r="T139" s="12">
        <v>116.13093179490799</v>
      </c>
      <c r="U139" s="7"/>
      <c r="V139" s="50">
        <f>Table13678[[#This Row],[PAGU SEMULA]]-Table13678[[#This Row],[PAGU ANGGARAN]]</f>
        <v>-158000000</v>
      </c>
      <c r="W139" s="50">
        <f>Table13678[[#This Row],[PAGU SEMULA]]-Table13678[[#This Row],[PAGU ANGGARAN]]</f>
        <v>-158000000</v>
      </c>
      <c r="X139" t="s">
        <v>986</v>
      </c>
    </row>
    <row r="140" spans="2:24" hidden="1">
      <c r="B140" t="s">
        <v>232</v>
      </c>
      <c r="C140" s="7" t="s">
        <v>68</v>
      </c>
      <c r="D140" s="7" t="s">
        <v>118</v>
      </c>
      <c r="E140" s="7" t="s">
        <v>119</v>
      </c>
      <c r="F140" s="7" t="s">
        <v>233</v>
      </c>
      <c r="G140" s="7" t="s">
        <v>234</v>
      </c>
      <c r="H140" s="8">
        <v>25405000</v>
      </c>
      <c r="I140" s="13" t="s">
        <v>222</v>
      </c>
      <c r="J140" s="7" t="s">
        <v>223</v>
      </c>
      <c r="K140" s="10" t="s">
        <v>235</v>
      </c>
      <c r="L140" s="7" t="s">
        <v>236</v>
      </c>
      <c r="M140" s="7"/>
      <c r="N140" s="7">
        <f>VLOOKUP(J140,[1]Sheet1!$C:$D,2,FALSE)</f>
        <v>8249</v>
      </c>
      <c r="O140" s="7">
        <f>VLOOKUP(J140,[2]Desa!$A:$D,4,FALSE)</f>
        <v>243</v>
      </c>
      <c r="P140" s="7">
        <f>VLOOKUP(J140,[3]Sheet1!$D:$F,3,FALSE)</f>
        <v>57</v>
      </c>
      <c r="Q140" s="7"/>
      <c r="R140" s="7"/>
      <c r="S140" s="12">
        <v>-8.6578458992914999</v>
      </c>
      <c r="T140" s="12">
        <v>116.13093179490799</v>
      </c>
      <c r="U140" s="7"/>
      <c r="V140" s="50">
        <f>Table13678[[#This Row],[PAGU SEMULA]]-Table13678[[#This Row],[PAGU ANGGARAN]]</f>
        <v>-25405000</v>
      </c>
      <c r="W140" s="50">
        <f>Table13678[[#This Row],[PAGU SEMULA]]-Table13678[[#This Row],[PAGU ANGGARAN]]</f>
        <v>-25405000</v>
      </c>
      <c r="X140" t="s">
        <v>982</v>
      </c>
    </row>
    <row r="141" spans="2:24" hidden="1">
      <c r="C141" s="7" t="s">
        <v>46</v>
      </c>
      <c r="D141" s="7" t="s">
        <v>122</v>
      </c>
      <c r="E141" s="7" t="s">
        <v>123</v>
      </c>
      <c r="F141" s="7" t="s">
        <v>124</v>
      </c>
      <c r="G141" s="7" t="s">
        <v>237</v>
      </c>
      <c r="H141" s="8">
        <v>0</v>
      </c>
      <c r="I141" s="10" t="s">
        <v>222</v>
      </c>
      <c r="J141" s="7" t="s">
        <v>223</v>
      </c>
      <c r="K141" s="10" t="s">
        <v>27</v>
      </c>
      <c r="L141" s="7" t="s">
        <v>28</v>
      </c>
      <c r="M141" s="7"/>
      <c r="N141" s="7">
        <f>VLOOKUP(J141,[1]Sheet1!$C:$D,2,FALSE)</f>
        <v>8249</v>
      </c>
      <c r="O141" s="7">
        <f>VLOOKUP(J141,[2]Desa!$A:$D,4,FALSE)</f>
        <v>243</v>
      </c>
      <c r="P141" s="7">
        <f>VLOOKUP(J141,[3]Sheet1!$D:$F,3,FALSE)</f>
        <v>57</v>
      </c>
      <c r="Q141" s="7"/>
      <c r="R141" s="7"/>
      <c r="S141" s="12">
        <v>-8.6578458992914999</v>
      </c>
      <c r="T141" s="12">
        <v>116.13093179490799</v>
      </c>
      <c r="U141" s="7"/>
      <c r="V141" s="50">
        <f>Table13678[[#This Row],[PAGU SEMULA]]-Table13678[[#This Row],[PAGU ANGGARAN]]</f>
        <v>0</v>
      </c>
      <c r="W141" s="50">
        <f>Table13678[[#This Row],[PAGU SEMULA]]-Table13678[[#This Row],[PAGU ANGGARAN]]</f>
        <v>0</v>
      </c>
      <c r="X141" t="s">
        <v>987</v>
      </c>
    </row>
    <row r="142" spans="2:24" hidden="1">
      <c r="C142" s="7" t="s">
        <v>51</v>
      </c>
      <c r="D142" s="7" t="s">
        <v>52</v>
      </c>
      <c r="E142" s="7" t="s">
        <v>53</v>
      </c>
      <c r="F142" s="7" t="s">
        <v>54</v>
      </c>
      <c r="G142" s="7" t="s">
        <v>55</v>
      </c>
      <c r="H142" s="8">
        <v>189090000</v>
      </c>
      <c r="I142" s="10" t="s">
        <v>222</v>
      </c>
      <c r="J142" s="7" t="s">
        <v>223</v>
      </c>
      <c r="K142" s="10" t="s">
        <v>27</v>
      </c>
      <c r="L142" s="7" t="s">
        <v>28</v>
      </c>
      <c r="M142" s="7"/>
      <c r="N142" s="7">
        <f>VLOOKUP(J142,[1]Sheet1!$C:$D,2,FALSE)</f>
        <v>8249</v>
      </c>
      <c r="O142" s="7">
        <f>VLOOKUP(J142,[2]Desa!$A:$D,4,FALSE)</f>
        <v>243</v>
      </c>
      <c r="P142" s="7">
        <f>VLOOKUP(J142,[3]Sheet1!$D:$F,3,FALSE)</f>
        <v>57</v>
      </c>
      <c r="Q142" s="7"/>
      <c r="R142" s="7"/>
      <c r="S142" s="12">
        <v>-8.6578458992914999</v>
      </c>
      <c r="T142" s="12">
        <v>116.13093179490799</v>
      </c>
      <c r="U142" s="7"/>
      <c r="V142" s="50">
        <f>Table13678[[#This Row],[PAGU SEMULA]]-Table13678[[#This Row],[PAGU ANGGARAN]]</f>
        <v>-189090000</v>
      </c>
      <c r="W142" s="50">
        <f>Table13678[[#This Row],[PAGU SEMULA]]-Table13678[[#This Row],[PAGU ANGGARAN]]</f>
        <v>-189090000</v>
      </c>
      <c r="X142" t="s">
        <v>986</v>
      </c>
    </row>
    <row r="143" spans="2:24" hidden="1">
      <c r="C143" s="7" t="s">
        <v>29</v>
      </c>
      <c r="D143" s="7" t="s">
        <v>30</v>
      </c>
      <c r="E143" s="7" t="s">
        <v>31</v>
      </c>
      <c r="F143" s="7" t="s">
        <v>32</v>
      </c>
      <c r="G143" s="7" t="s">
        <v>33</v>
      </c>
      <c r="H143" s="8">
        <v>475860000</v>
      </c>
      <c r="I143" s="10" t="s">
        <v>238</v>
      </c>
      <c r="J143" s="7" t="s">
        <v>239</v>
      </c>
      <c r="K143" s="10" t="s">
        <v>207</v>
      </c>
      <c r="L143" s="7" t="s">
        <v>206</v>
      </c>
      <c r="M143" s="7"/>
      <c r="N143" s="7">
        <f>VLOOKUP(J143,[1]Sheet1!$C:$D,2,FALSE)</f>
        <v>4448</v>
      </c>
      <c r="O143" s="7">
        <f>VLOOKUP(J143,[2]Desa!$A:$D,4,FALSE)</f>
        <v>176</v>
      </c>
      <c r="P143" s="7">
        <f>VLOOKUP(J143,[3]Sheet1!$D:$F,3,FALSE)</f>
        <v>29</v>
      </c>
      <c r="Q143" s="7"/>
      <c r="R143" s="7"/>
      <c r="S143" s="12">
        <v>-8.5289747183903195</v>
      </c>
      <c r="T143" s="12">
        <v>116.092746923299</v>
      </c>
      <c r="U143" s="7"/>
      <c r="V143" s="50">
        <f>Table13678[[#This Row],[PAGU SEMULA]]-Table13678[[#This Row],[PAGU ANGGARAN]]</f>
        <v>-475860000</v>
      </c>
      <c r="W143" s="50">
        <f>Table13678[[#This Row],[PAGU SEMULA]]-Table13678[[#This Row],[PAGU ANGGARAN]]</f>
        <v>-475860000</v>
      </c>
      <c r="X143" t="s">
        <v>984</v>
      </c>
    </row>
    <row r="144" spans="2:24" hidden="1">
      <c r="C144" s="7" t="s">
        <v>29</v>
      </c>
      <c r="D144" s="7" t="s">
        <v>30</v>
      </c>
      <c r="E144" s="7" t="s">
        <v>31</v>
      </c>
      <c r="F144" s="7" t="s">
        <v>32</v>
      </c>
      <c r="G144" s="7" t="s">
        <v>34</v>
      </c>
      <c r="H144" s="8">
        <v>38068800</v>
      </c>
      <c r="I144" s="10" t="s">
        <v>238</v>
      </c>
      <c r="J144" s="7" t="s">
        <v>239</v>
      </c>
      <c r="K144" s="10" t="s">
        <v>207</v>
      </c>
      <c r="L144" s="7" t="s">
        <v>206</v>
      </c>
      <c r="M144" s="7"/>
      <c r="N144" s="7">
        <f>VLOOKUP(J144,[1]Sheet1!$C:$D,2,FALSE)</f>
        <v>4448</v>
      </c>
      <c r="O144" s="7">
        <f>VLOOKUP(J144,[2]Desa!$A:$D,4,FALSE)</f>
        <v>176</v>
      </c>
      <c r="P144" s="7">
        <f>VLOOKUP(J144,[3]Sheet1!$D:$F,3,FALSE)</f>
        <v>29</v>
      </c>
      <c r="Q144" s="7"/>
      <c r="R144" s="7"/>
      <c r="S144" s="12">
        <v>-8.5289747183903195</v>
      </c>
      <c r="T144" s="12">
        <v>116.092746923299</v>
      </c>
      <c r="U144" s="7"/>
      <c r="V144" s="50">
        <f>Table13678[[#This Row],[PAGU SEMULA]]-Table13678[[#This Row],[PAGU ANGGARAN]]</f>
        <v>-38068800</v>
      </c>
      <c r="W144" s="50">
        <f>Table13678[[#This Row],[PAGU SEMULA]]-Table13678[[#This Row],[PAGU ANGGARAN]]</f>
        <v>-38068800</v>
      </c>
      <c r="X144" t="s">
        <v>984</v>
      </c>
    </row>
    <row r="145" spans="3:24" hidden="1">
      <c r="C145" s="7" t="s">
        <v>35</v>
      </c>
      <c r="D145" s="7" t="s">
        <v>36</v>
      </c>
      <c r="E145" s="7" t="s">
        <v>37</v>
      </c>
      <c r="F145" s="7" t="s">
        <v>38</v>
      </c>
      <c r="G145" s="7" t="s">
        <v>39</v>
      </c>
      <c r="H145" s="15">
        <v>105000000</v>
      </c>
      <c r="I145" s="10" t="s">
        <v>238</v>
      </c>
      <c r="J145" s="7" t="s">
        <v>239</v>
      </c>
      <c r="K145" s="10" t="s">
        <v>207</v>
      </c>
      <c r="L145" s="7" t="s">
        <v>206</v>
      </c>
      <c r="M145" s="7"/>
      <c r="N145" s="7">
        <f>VLOOKUP(J145,[1]Sheet1!$C:$D,2,FALSE)</f>
        <v>4448</v>
      </c>
      <c r="O145" s="7">
        <f>VLOOKUP(J145,[2]Desa!$A:$D,4,FALSE)</f>
        <v>176</v>
      </c>
      <c r="P145" s="7">
        <f>VLOOKUP(J145,[3]Sheet1!$D:$F,3,FALSE)</f>
        <v>29</v>
      </c>
      <c r="Q145" s="7"/>
      <c r="R145" s="7"/>
      <c r="S145" s="12">
        <v>-8.5289747183903195</v>
      </c>
      <c r="T145" s="12">
        <v>116.092746923299</v>
      </c>
      <c r="U145" s="7"/>
      <c r="V145" s="50">
        <f>Table13678[[#This Row],[PAGU SEMULA]]-Table13678[[#This Row],[PAGU ANGGARAN]]</f>
        <v>-105000000</v>
      </c>
      <c r="W145" s="50">
        <f>Table13678[[#This Row],[PAGU SEMULA]]-Table13678[[#This Row],[PAGU ANGGARAN]]</f>
        <v>-105000000</v>
      </c>
      <c r="X145" t="s">
        <v>984</v>
      </c>
    </row>
    <row r="146" spans="3:24" hidden="1">
      <c r="C146" s="7" t="s">
        <v>35</v>
      </c>
      <c r="D146" s="7" t="s">
        <v>52</v>
      </c>
      <c r="E146" s="7" t="s">
        <v>95</v>
      </c>
      <c r="F146" s="7" t="s">
        <v>96</v>
      </c>
      <c r="G146" s="7" t="s">
        <v>98</v>
      </c>
      <c r="H146" s="17">
        <v>193500000</v>
      </c>
      <c r="I146" s="10" t="s">
        <v>238</v>
      </c>
      <c r="J146" s="7" t="s">
        <v>239</v>
      </c>
      <c r="K146" s="10" t="s">
        <v>207</v>
      </c>
      <c r="L146" s="7" t="s">
        <v>206</v>
      </c>
      <c r="M146" s="7"/>
      <c r="N146" s="7">
        <f>VLOOKUP(J146,[1]Sheet1!$C:$D,2,FALSE)</f>
        <v>4448</v>
      </c>
      <c r="O146" s="7">
        <f>VLOOKUP(J146,[2]Desa!$A:$D,4,FALSE)</f>
        <v>176</v>
      </c>
      <c r="P146" s="7">
        <f>VLOOKUP(J146,[3]Sheet1!$D:$F,3,FALSE)</f>
        <v>29</v>
      </c>
      <c r="Q146" s="7"/>
      <c r="R146" s="7"/>
      <c r="S146" s="12">
        <v>-8.5289747183903195</v>
      </c>
      <c r="T146" s="12">
        <v>116.092746923299</v>
      </c>
      <c r="U146" s="7"/>
      <c r="V146" s="50">
        <f>Table13678[[#This Row],[PAGU SEMULA]]-Table13678[[#This Row],[PAGU ANGGARAN]]</f>
        <v>-193500000</v>
      </c>
      <c r="W146" s="50">
        <f>Table13678[[#This Row],[PAGU SEMULA]]-Table13678[[#This Row],[PAGU ANGGARAN]]</f>
        <v>-193500000</v>
      </c>
      <c r="X146" t="s">
        <v>986</v>
      </c>
    </row>
    <row r="147" spans="3:24" hidden="1">
      <c r="C147" s="7" t="s">
        <v>35</v>
      </c>
      <c r="D147" s="7" t="s">
        <v>52</v>
      </c>
      <c r="E147" s="7" t="s">
        <v>95</v>
      </c>
      <c r="F147" s="7" t="s">
        <v>96</v>
      </c>
      <c r="G147" s="7" t="s">
        <v>221</v>
      </c>
      <c r="H147" s="17">
        <v>96750000</v>
      </c>
      <c r="I147" s="10" t="s">
        <v>238</v>
      </c>
      <c r="J147" s="7" t="s">
        <v>239</v>
      </c>
      <c r="K147" s="10" t="s">
        <v>207</v>
      </c>
      <c r="L147" s="7" t="s">
        <v>206</v>
      </c>
      <c r="M147" s="7"/>
      <c r="N147" s="7">
        <f>VLOOKUP(J147,[1]Sheet1!$C:$D,2,FALSE)</f>
        <v>4448</v>
      </c>
      <c r="O147" s="7">
        <f>VLOOKUP(J147,[2]Desa!$A:$D,4,FALSE)</f>
        <v>176</v>
      </c>
      <c r="P147" s="7">
        <f>VLOOKUP(J147,[3]Sheet1!$D:$F,3,FALSE)</f>
        <v>29</v>
      </c>
      <c r="Q147" s="7"/>
      <c r="R147" s="7"/>
      <c r="S147" s="12">
        <v>-8.5289747183903195</v>
      </c>
      <c r="T147" s="12">
        <v>116.092746923299</v>
      </c>
      <c r="U147" s="7"/>
      <c r="V147" s="50">
        <f>Table13678[[#This Row],[PAGU SEMULA]]-Table13678[[#This Row],[PAGU ANGGARAN]]</f>
        <v>-96750000</v>
      </c>
      <c r="W147" s="50">
        <f>Table13678[[#This Row],[PAGU SEMULA]]-Table13678[[#This Row],[PAGU ANGGARAN]]</f>
        <v>-96750000</v>
      </c>
      <c r="X147" t="s">
        <v>986</v>
      </c>
    </row>
    <row r="148" spans="3:24" hidden="1">
      <c r="C148" s="7" t="s">
        <v>51</v>
      </c>
      <c r="D148" s="7" t="s">
        <v>52</v>
      </c>
      <c r="E148" s="7" t="s">
        <v>53</v>
      </c>
      <c r="F148" s="7" t="s">
        <v>54</v>
      </c>
      <c r="G148" s="7" t="s">
        <v>73</v>
      </c>
      <c r="H148" s="8">
        <v>189090000</v>
      </c>
      <c r="I148" s="10" t="s">
        <v>238</v>
      </c>
      <c r="J148" s="7" t="s">
        <v>239</v>
      </c>
      <c r="K148" s="10" t="s">
        <v>207</v>
      </c>
      <c r="L148" s="7" t="s">
        <v>206</v>
      </c>
      <c r="M148" s="7"/>
      <c r="N148" s="7">
        <f>VLOOKUP(J148,[1]Sheet1!$C:$D,2,FALSE)</f>
        <v>4448</v>
      </c>
      <c r="O148" s="7">
        <f>VLOOKUP(J148,[2]Desa!$A:$D,4,FALSE)</f>
        <v>176</v>
      </c>
      <c r="P148" s="7">
        <f>VLOOKUP(J148,[3]Sheet1!$D:$F,3,FALSE)</f>
        <v>29</v>
      </c>
      <c r="Q148" s="7"/>
      <c r="R148" s="7"/>
      <c r="S148" s="12">
        <v>-8.5289747183903195</v>
      </c>
      <c r="T148" s="12">
        <v>116.092746923299</v>
      </c>
      <c r="U148" s="7"/>
      <c r="V148" s="50">
        <f>Table13678[[#This Row],[PAGU SEMULA]]-Table13678[[#This Row],[PAGU ANGGARAN]]</f>
        <v>-189090000</v>
      </c>
      <c r="W148" s="50">
        <f>Table13678[[#This Row],[PAGU SEMULA]]-Table13678[[#This Row],[PAGU ANGGARAN]]</f>
        <v>-189090000</v>
      </c>
      <c r="X148" t="s">
        <v>986</v>
      </c>
    </row>
    <row r="149" spans="3:24" hidden="1">
      <c r="C149" s="7" t="s">
        <v>20</v>
      </c>
      <c r="D149" s="7" t="s">
        <v>104</v>
      </c>
      <c r="E149" s="7" t="s">
        <v>105</v>
      </c>
      <c r="F149" s="7" t="s">
        <v>240</v>
      </c>
      <c r="G149" s="71" t="s">
        <v>241</v>
      </c>
      <c r="H149" s="15">
        <v>77000000</v>
      </c>
      <c r="I149" s="10" t="s">
        <v>230</v>
      </c>
      <c r="J149" s="7" t="s">
        <v>242</v>
      </c>
      <c r="K149" s="10" t="s">
        <v>82</v>
      </c>
      <c r="L149" s="7" t="s">
        <v>83</v>
      </c>
      <c r="M149" s="7"/>
      <c r="N149" s="7">
        <f>VLOOKUP(J149,[1]Sheet1!$C:$D,2,FALSE)</f>
        <v>9579</v>
      </c>
      <c r="O149" s="7">
        <f>VLOOKUP(J149,[2]Desa!$A:$D,4,FALSE)</f>
        <v>203</v>
      </c>
      <c r="P149" s="7">
        <f>VLOOKUP(J149,[3]Sheet1!$D:$F,3,FALSE)</f>
        <v>43</v>
      </c>
      <c r="Q149" s="7"/>
      <c r="R149" s="7"/>
      <c r="S149" s="12">
        <v>-8.6161550364462798</v>
      </c>
      <c r="T149" s="12">
        <v>116.148939008293</v>
      </c>
      <c r="U149" s="7"/>
      <c r="V149" s="50">
        <f>Table13678[[#This Row],[PAGU SEMULA]]-Table13678[[#This Row],[PAGU ANGGARAN]]</f>
        <v>-77000000</v>
      </c>
      <c r="W149" s="50">
        <f>Table13678[[#This Row],[PAGU SEMULA]]-Table13678[[#This Row],[PAGU ANGGARAN]]</f>
        <v>-77000000</v>
      </c>
      <c r="X149" t="s">
        <v>984</v>
      </c>
    </row>
    <row r="150" spans="3:24" hidden="1">
      <c r="C150" s="7" t="s">
        <v>20</v>
      </c>
      <c r="D150" s="7" t="s">
        <v>104</v>
      </c>
      <c r="E150" s="7" t="s">
        <v>145</v>
      </c>
      <c r="F150" s="7" t="s">
        <v>243</v>
      </c>
      <c r="G150" s="71" t="s">
        <v>244</v>
      </c>
      <c r="H150" s="15">
        <v>69850000</v>
      </c>
      <c r="I150" s="10" t="s">
        <v>230</v>
      </c>
      <c r="J150" s="7" t="s">
        <v>242</v>
      </c>
      <c r="K150" s="10" t="s">
        <v>82</v>
      </c>
      <c r="L150" s="7" t="s">
        <v>83</v>
      </c>
      <c r="M150" s="7"/>
      <c r="N150" s="7">
        <f>VLOOKUP(J150,[1]Sheet1!$C:$D,2,FALSE)</f>
        <v>9579</v>
      </c>
      <c r="O150" s="7">
        <f>VLOOKUP(J150,[2]Desa!$A:$D,4,FALSE)</f>
        <v>203</v>
      </c>
      <c r="P150" s="7">
        <f>VLOOKUP(J150,[3]Sheet1!$D:$F,3,FALSE)</f>
        <v>43</v>
      </c>
      <c r="Q150" s="7"/>
      <c r="R150" s="7"/>
      <c r="S150" s="12">
        <v>-8.6161550364462798</v>
      </c>
      <c r="T150" s="12">
        <v>116.148939008293</v>
      </c>
      <c r="U150" s="7"/>
      <c r="V150" s="50">
        <f>Table13678[[#This Row],[PAGU SEMULA]]-Table13678[[#This Row],[PAGU ANGGARAN]]</f>
        <v>-69850000</v>
      </c>
      <c r="W150" s="50">
        <f>Table13678[[#This Row],[PAGU SEMULA]]-Table13678[[#This Row],[PAGU ANGGARAN]]</f>
        <v>-69850000</v>
      </c>
      <c r="X150" t="s">
        <v>984</v>
      </c>
    </row>
    <row r="151" spans="3:24" hidden="1">
      <c r="C151" s="7" t="s">
        <v>29</v>
      </c>
      <c r="D151" s="7" t="s">
        <v>30</v>
      </c>
      <c r="E151" s="7" t="s">
        <v>31</v>
      </c>
      <c r="F151" s="7" t="s">
        <v>32</v>
      </c>
      <c r="G151" s="7" t="s">
        <v>33</v>
      </c>
      <c r="H151" s="8">
        <v>642600000</v>
      </c>
      <c r="I151" s="10" t="s">
        <v>230</v>
      </c>
      <c r="J151" s="7" t="s">
        <v>242</v>
      </c>
      <c r="K151" s="10" t="s">
        <v>82</v>
      </c>
      <c r="L151" s="7" t="s">
        <v>83</v>
      </c>
      <c r="M151" s="7"/>
      <c r="N151" s="7">
        <f>VLOOKUP(J151,[1]Sheet1!$C:$D,2,FALSE)</f>
        <v>9579</v>
      </c>
      <c r="O151" s="7">
        <f>VLOOKUP(J151,[2]Desa!$A:$D,4,FALSE)</f>
        <v>203</v>
      </c>
      <c r="P151" s="7">
        <f>VLOOKUP(J151,[3]Sheet1!$D:$F,3,FALSE)</f>
        <v>43</v>
      </c>
      <c r="Q151" s="7"/>
      <c r="R151" s="7"/>
      <c r="S151" s="12">
        <v>-8.6161550364462798</v>
      </c>
      <c r="T151" s="12">
        <v>116.148939008293</v>
      </c>
      <c r="U151" s="7"/>
      <c r="V151" s="50">
        <f>Table13678[[#This Row],[PAGU SEMULA]]-Table13678[[#This Row],[PAGU ANGGARAN]]</f>
        <v>-642600000</v>
      </c>
      <c r="W151" s="50">
        <f>Table13678[[#This Row],[PAGU SEMULA]]-Table13678[[#This Row],[PAGU ANGGARAN]]</f>
        <v>-642600000</v>
      </c>
      <c r="X151" t="s">
        <v>984</v>
      </c>
    </row>
    <row r="152" spans="3:24" hidden="1">
      <c r="C152" s="7" t="s">
        <v>29</v>
      </c>
      <c r="D152" s="7" t="s">
        <v>30</v>
      </c>
      <c r="E152" s="7" t="s">
        <v>31</v>
      </c>
      <c r="F152" s="7" t="s">
        <v>32</v>
      </c>
      <c r="G152" s="7" t="s">
        <v>34</v>
      </c>
      <c r="H152" s="8">
        <v>51408000</v>
      </c>
      <c r="I152" s="10" t="s">
        <v>230</v>
      </c>
      <c r="J152" s="7" t="s">
        <v>242</v>
      </c>
      <c r="K152" s="10" t="s">
        <v>82</v>
      </c>
      <c r="L152" s="7" t="s">
        <v>83</v>
      </c>
      <c r="M152" s="7"/>
      <c r="N152" s="7">
        <f>VLOOKUP(J152,[1]Sheet1!$C:$D,2,FALSE)</f>
        <v>9579</v>
      </c>
      <c r="O152" s="7">
        <f>VLOOKUP(J152,[2]Desa!$A:$D,4,FALSE)</f>
        <v>203</v>
      </c>
      <c r="P152" s="7">
        <f>VLOOKUP(J152,[3]Sheet1!$D:$F,3,FALSE)</f>
        <v>43</v>
      </c>
      <c r="Q152" s="7"/>
      <c r="R152" s="7"/>
      <c r="S152" s="12">
        <v>-8.6161550364462798</v>
      </c>
      <c r="T152" s="12">
        <v>116.148939008293</v>
      </c>
      <c r="U152" s="7"/>
      <c r="V152" s="50">
        <f>Table13678[[#This Row],[PAGU SEMULA]]-Table13678[[#This Row],[PAGU ANGGARAN]]</f>
        <v>-51408000</v>
      </c>
      <c r="W152" s="50">
        <f>Table13678[[#This Row],[PAGU SEMULA]]-Table13678[[#This Row],[PAGU ANGGARAN]]</f>
        <v>-51408000</v>
      </c>
      <c r="X152" t="s">
        <v>984</v>
      </c>
    </row>
    <row r="153" spans="3:24" hidden="1">
      <c r="C153" s="7" t="s">
        <v>245</v>
      </c>
      <c r="D153" s="7" t="s">
        <v>246</v>
      </c>
      <c r="E153" s="7" t="s">
        <v>247</v>
      </c>
      <c r="F153" s="7" t="s">
        <v>248</v>
      </c>
      <c r="G153" s="7" t="s">
        <v>249</v>
      </c>
      <c r="H153" s="8">
        <v>146258000</v>
      </c>
      <c r="I153" s="10" t="s">
        <v>230</v>
      </c>
      <c r="J153" s="7" t="s">
        <v>242</v>
      </c>
      <c r="K153" s="10" t="s">
        <v>82</v>
      </c>
      <c r="L153" s="7" t="s">
        <v>83</v>
      </c>
      <c r="M153" s="7"/>
      <c r="N153" s="7">
        <f>VLOOKUP(J153,[1]Sheet1!$C:$D,2,FALSE)</f>
        <v>9579</v>
      </c>
      <c r="O153" s="7">
        <f>VLOOKUP(J153,[2]Desa!$A:$D,4,FALSE)</f>
        <v>203</v>
      </c>
      <c r="P153" s="7">
        <f>VLOOKUP(J153,[3]Sheet1!$D:$F,3,FALSE)</f>
        <v>43</v>
      </c>
      <c r="Q153" s="7"/>
      <c r="R153" s="7"/>
      <c r="S153" s="12">
        <v>-8.6161550364462798</v>
      </c>
      <c r="T153" s="12">
        <v>116.148939008293</v>
      </c>
      <c r="U153" s="7"/>
      <c r="V153" s="50">
        <f>Table13678[[#This Row],[PAGU SEMULA]]-Table13678[[#This Row],[PAGU ANGGARAN]]</f>
        <v>-146258000</v>
      </c>
      <c r="W153" s="50">
        <f>Table13678[[#This Row],[PAGU SEMULA]]-Table13678[[#This Row],[PAGU ANGGARAN]]</f>
        <v>-146258000</v>
      </c>
      <c r="X153" t="s">
        <v>987</v>
      </c>
    </row>
    <row r="154" spans="3:24" hidden="1">
      <c r="C154" s="7" t="s">
        <v>60</v>
      </c>
      <c r="D154" s="7" t="s">
        <v>185</v>
      </c>
      <c r="E154" s="7" t="s">
        <v>186</v>
      </c>
      <c r="F154" s="7" t="s">
        <v>187</v>
      </c>
      <c r="G154" s="71" t="s">
        <v>250</v>
      </c>
      <c r="H154" s="15">
        <v>95000000</v>
      </c>
      <c r="I154" s="10" t="s">
        <v>230</v>
      </c>
      <c r="J154" s="7" t="s">
        <v>242</v>
      </c>
      <c r="K154" s="10" t="s">
        <v>82</v>
      </c>
      <c r="L154" s="7" t="s">
        <v>83</v>
      </c>
      <c r="M154" s="7"/>
      <c r="N154" s="7">
        <f>VLOOKUP(J154,[1]Sheet1!$C:$D,2,FALSE)</f>
        <v>9579</v>
      </c>
      <c r="O154" s="7">
        <f>VLOOKUP(J154,[2]Desa!$A:$D,4,FALSE)</f>
        <v>203</v>
      </c>
      <c r="P154" s="7">
        <f>VLOOKUP(J154,[3]Sheet1!$D:$F,3,FALSE)</f>
        <v>43</v>
      </c>
      <c r="Q154" s="7"/>
      <c r="R154" s="7"/>
      <c r="S154" s="12">
        <v>-8.6161550364462798</v>
      </c>
      <c r="T154" s="12">
        <v>116.148939008293</v>
      </c>
      <c r="U154" s="7"/>
      <c r="V154" s="50">
        <f>Table13678[[#This Row],[PAGU SEMULA]]-Table13678[[#This Row],[PAGU ANGGARAN]]</f>
        <v>-95000000</v>
      </c>
      <c r="W154" s="50">
        <f>Table13678[[#This Row],[PAGU SEMULA]]-Table13678[[#This Row],[PAGU ANGGARAN]]</f>
        <v>-95000000</v>
      </c>
      <c r="X154" t="s">
        <v>987</v>
      </c>
    </row>
    <row r="155" spans="3:24" hidden="1">
      <c r="C155" s="7" t="s">
        <v>60</v>
      </c>
      <c r="D155" s="7" t="s">
        <v>61</v>
      </c>
      <c r="E155" s="7" t="s">
        <v>62</v>
      </c>
      <c r="F155" s="7" t="s">
        <v>63</v>
      </c>
      <c r="G155" s="71" t="s">
        <v>251</v>
      </c>
      <c r="H155" s="15">
        <v>84000000</v>
      </c>
      <c r="I155" s="10" t="s">
        <v>230</v>
      </c>
      <c r="J155" s="7" t="s">
        <v>242</v>
      </c>
      <c r="K155" s="10" t="s">
        <v>82</v>
      </c>
      <c r="L155" s="7" t="s">
        <v>83</v>
      </c>
      <c r="M155" s="7"/>
      <c r="N155" s="7">
        <f>VLOOKUP(J155,[1]Sheet1!$C:$D,2,FALSE)</f>
        <v>9579</v>
      </c>
      <c r="O155" s="7">
        <f>VLOOKUP(J155,[2]Desa!$A:$D,4,FALSE)</f>
        <v>203</v>
      </c>
      <c r="P155" s="7">
        <f>VLOOKUP(J155,[3]Sheet1!$D:$F,3,FALSE)</f>
        <v>43</v>
      </c>
      <c r="Q155" s="7"/>
      <c r="R155" s="7"/>
      <c r="S155" s="12">
        <v>-8.6161550364462798</v>
      </c>
      <c r="T155" s="12">
        <v>116.148939008293</v>
      </c>
      <c r="U155" s="7"/>
      <c r="V155" s="50">
        <f>Table13678[[#This Row],[PAGU SEMULA]]-Table13678[[#This Row],[PAGU ANGGARAN]]</f>
        <v>-84000000</v>
      </c>
      <c r="W155" s="50">
        <f>Table13678[[#This Row],[PAGU SEMULA]]-Table13678[[#This Row],[PAGU ANGGARAN]]</f>
        <v>-84000000</v>
      </c>
      <c r="X155" t="s">
        <v>987</v>
      </c>
    </row>
    <row r="156" spans="3:24" hidden="1">
      <c r="C156" s="7" t="s">
        <v>35</v>
      </c>
      <c r="D156" s="7" t="s">
        <v>36</v>
      </c>
      <c r="E156" s="7" t="s">
        <v>37</v>
      </c>
      <c r="F156" s="7" t="s">
        <v>38</v>
      </c>
      <c r="G156" s="7" t="s">
        <v>39</v>
      </c>
      <c r="H156" s="15">
        <v>345000000</v>
      </c>
      <c r="I156" s="10" t="s">
        <v>230</v>
      </c>
      <c r="J156" s="7" t="s">
        <v>242</v>
      </c>
      <c r="K156" s="10" t="s">
        <v>82</v>
      </c>
      <c r="L156" s="7" t="s">
        <v>83</v>
      </c>
      <c r="M156" s="7"/>
      <c r="N156" s="7">
        <f>VLOOKUP(J156,[1]Sheet1!$C:$D,2,FALSE)</f>
        <v>9579</v>
      </c>
      <c r="O156" s="7">
        <f>VLOOKUP(J156,[2]Desa!$A:$D,4,FALSE)</f>
        <v>203</v>
      </c>
      <c r="P156" s="7">
        <f>VLOOKUP(J156,[3]Sheet1!$D:$F,3,FALSE)</f>
        <v>43</v>
      </c>
      <c r="Q156" s="7"/>
      <c r="R156" s="7"/>
      <c r="S156" s="12">
        <v>-8.6161550364462798</v>
      </c>
      <c r="T156" s="12">
        <v>116.148939008293</v>
      </c>
      <c r="U156" s="7"/>
      <c r="V156" s="50">
        <f>Table13678[[#This Row],[PAGU SEMULA]]-Table13678[[#This Row],[PAGU ANGGARAN]]</f>
        <v>-345000000</v>
      </c>
      <c r="W156" s="50">
        <f>Table13678[[#This Row],[PAGU SEMULA]]-Table13678[[#This Row],[PAGU ANGGARAN]]</f>
        <v>-345000000</v>
      </c>
      <c r="X156" t="s">
        <v>984</v>
      </c>
    </row>
    <row r="157" spans="3:24" hidden="1">
      <c r="C157" s="7" t="s">
        <v>35</v>
      </c>
      <c r="D157" s="7" t="s">
        <v>156</v>
      </c>
      <c r="E157" s="7" t="s">
        <v>252</v>
      </c>
      <c r="F157" s="7" t="s">
        <v>253</v>
      </c>
      <c r="G157" s="7" t="s">
        <v>254</v>
      </c>
      <c r="H157" s="17">
        <v>419250000</v>
      </c>
      <c r="I157" s="10" t="s">
        <v>230</v>
      </c>
      <c r="J157" s="7" t="s">
        <v>242</v>
      </c>
      <c r="K157" s="10" t="s">
        <v>82</v>
      </c>
      <c r="L157" s="7" t="s">
        <v>83</v>
      </c>
      <c r="M157" s="7"/>
      <c r="N157" s="7">
        <f>VLOOKUP(J157,[1]Sheet1!$C:$D,2,FALSE)</f>
        <v>9579</v>
      </c>
      <c r="O157" s="7">
        <f>VLOOKUP(J157,[2]Desa!$A:$D,4,FALSE)</f>
        <v>203</v>
      </c>
      <c r="P157" s="7">
        <f>VLOOKUP(J157,[3]Sheet1!$D:$F,3,FALSE)</f>
        <v>43</v>
      </c>
      <c r="Q157" s="7"/>
      <c r="R157" s="7"/>
      <c r="S157" s="12">
        <v>-8.6161550364462798</v>
      </c>
      <c r="T157" s="12">
        <v>116.148939008293</v>
      </c>
      <c r="U157" s="7"/>
      <c r="V157" s="50">
        <f>Table13678[[#This Row],[PAGU SEMULA]]-Table13678[[#This Row],[PAGU ANGGARAN]]</f>
        <v>-419250000</v>
      </c>
      <c r="W157" s="50">
        <f>Table13678[[#This Row],[PAGU SEMULA]]-Table13678[[#This Row],[PAGU ANGGARAN]]</f>
        <v>-419250000</v>
      </c>
      <c r="X157" t="s">
        <v>986</v>
      </c>
    </row>
    <row r="158" spans="3:24" hidden="1">
      <c r="C158" s="7" t="s">
        <v>35</v>
      </c>
      <c r="D158" s="7" t="s">
        <v>255</v>
      </c>
      <c r="E158" s="7" t="s">
        <v>256</v>
      </c>
      <c r="F158" s="7" t="s">
        <v>257</v>
      </c>
      <c r="G158" s="7" t="s">
        <v>258</v>
      </c>
      <c r="H158" s="15">
        <v>185000000</v>
      </c>
      <c r="I158" s="10" t="s">
        <v>230</v>
      </c>
      <c r="J158" s="7" t="s">
        <v>242</v>
      </c>
      <c r="K158" s="10" t="s">
        <v>82</v>
      </c>
      <c r="L158" s="7" t="s">
        <v>83</v>
      </c>
      <c r="M158" s="7"/>
      <c r="N158" s="7">
        <f>VLOOKUP(J158,[1]Sheet1!$C:$D,2,FALSE)</f>
        <v>9579</v>
      </c>
      <c r="O158" s="7">
        <f>VLOOKUP(J158,[2]Desa!$A:$D,4,FALSE)</f>
        <v>203</v>
      </c>
      <c r="P158" s="7">
        <f>VLOOKUP(J158,[3]Sheet1!$D:$F,3,FALSE)</f>
        <v>43</v>
      </c>
      <c r="Q158" s="7"/>
      <c r="R158" s="7"/>
      <c r="S158" s="12">
        <v>-8.6161550364462798</v>
      </c>
      <c r="T158" s="12">
        <v>116.148939008293</v>
      </c>
      <c r="U158" s="7"/>
      <c r="V158" s="50">
        <f>Table13678[[#This Row],[PAGU SEMULA]]-Table13678[[#This Row],[PAGU ANGGARAN]]</f>
        <v>-185000000</v>
      </c>
      <c r="W158" s="50">
        <f>Table13678[[#This Row],[PAGU SEMULA]]-Table13678[[#This Row],[PAGU ANGGARAN]]</f>
        <v>-185000000</v>
      </c>
      <c r="X158" t="s">
        <v>986</v>
      </c>
    </row>
    <row r="159" spans="3:24" hidden="1">
      <c r="C159" s="7" t="s">
        <v>35</v>
      </c>
      <c r="D159" s="7" t="s">
        <v>52</v>
      </c>
      <c r="E159" s="7" t="s">
        <v>95</v>
      </c>
      <c r="F159" s="7" t="s">
        <v>96</v>
      </c>
      <c r="G159" s="7" t="s">
        <v>41</v>
      </c>
      <c r="H159" s="15">
        <v>180500000</v>
      </c>
      <c r="I159" s="10" t="s">
        <v>230</v>
      </c>
      <c r="J159" s="7" t="s">
        <v>242</v>
      </c>
      <c r="K159" s="10" t="s">
        <v>82</v>
      </c>
      <c r="L159" s="7" t="s">
        <v>83</v>
      </c>
      <c r="M159" s="7"/>
      <c r="N159" s="7">
        <f>VLOOKUP(J159,[1]Sheet1!$C:$D,2,FALSE)</f>
        <v>9579</v>
      </c>
      <c r="O159" s="7">
        <f>VLOOKUP(J159,[2]Desa!$A:$D,4,FALSE)</f>
        <v>203</v>
      </c>
      <c r="P159" s="7">
        <f>VLOOKUP(J159,[3]Sheet1!$D:$F,3,FALSE)</f>
        <v>43</v>
      </c>
      <c r="Q159" s="7"/>
      <c r="R159" s="7"/>
      <c r="S159" s="12">
        <v>-8.6161550364462798</v>
      </c>
      <c r="T159" s="12">
        <v>116.148939008293</v>
      </c>
      <c r="U159" s="7"/>
      <c r="V159" s="50">
        <f>Table13678[[#This Row],[PAGU SEMULA]]-Table13678[[#This Row],[PAGU ANGGARAN]]</f>
        <v>-180500000</v>
      </c>
      <c r="W159" s="50">
        <f>Table13678[[#This Row],[PAGU SEMULA]]-Table13678[[#This Row],[PAGU ANGGARAN]]</f>
        <v>-180500000</v>
      </c>
      <c r="X159" t="s">
        <v>986</v>
      </c>
    </row>
    <row r="160" spans="3:24" hidden="1">
      <c r="C160" s="7" t="s">
        <v>259</v>
      </c>
      <c r="D160" s="7" t="s">
        <v>260</v>
      </c>
      <c r="E160" s="7" t="s">
        <v>261</v>
      </c>
      <c r="F160" s="7" t="s">
        <v>262</v>
      </c>
      <c r="G160" s="7" t="s">
        <v>263</v>
      </c>
      <c r="H160" s="8">
        <v>200000000</v>
      </c>
      <c r="I160" s="10" t="s">
        <v>230</v>
      </c>
      <c r="J160" s="7" t="s">
        <v>242</v>
      </c>
      <c r="K160" s="10" t="s">
        <v>82</v>
      </c>
      <c r="L160" s="7" t="s">
        <v>83</v>
      </c>
      <c r="M160" s="7"/>
      <c r="N160" s="7">
        <f>VLOOKUP(J160,[1]Sheet1!$C:$D,2,FALSE)</f>
        <v>9579</v>
      </c>
      <c r="O160" s="7">
        <f>VLOOKUP(J160,[2]Desa!$A:$D,4,FALSE)</f>
        <v>203</v>
      </c>
      <c r="P160" s="7">
        <f>VLOOKUP(J160,[3]Sheet1!$D:$F,3,FALSE)</f>
        <v>43</v>
      </c>
      <c r="Q160" s="7"/>
      <c r="R160" s="7"/>
      <c r="S160" s="12">
        <v>-8.6161550364462798</v>
      </c>
      <c r="T160" s="12">
        <v>116.148939008293</v>
      </c>
      <c r="U160" s="7"/>
      <c r="V160" s="50">
        <f>Table13678[[#This Row],[PAGU SEMULA]]-Table13678[[#This Row],[PAGU ANGGARAN]]</f>
        <v>-200000000</v>
      </c>
      <c r="W160" s="50">
        <f>Table13678[[#This Row],[PAGU SEMULA]]-Table13678[[#This Row],[PAGU ANGGARAN]]</f>
        <v>-200000000</v>
      </c>
      <c r="X160" t="s">
        <v>984</v>
      </c>
    </row>
    <row r="161" spans="3:24" hidden="1">
      <c r="C161" s="7" t="s">
        <v>264</v>
      </c>
      <c r="D161" s="7" t="s">
        <v>61</v>
      </c>
      <c r="E161" s="7" t="s">
        <v>265</v>
      </c>
      <c r="F161" s="7" t="s">
        <v>266</v>
      </c>
      <c r="G161" s="7" t="s">
        <v>267</v>
      </c>
      <c r="H161" s="8">
        <v>50000000</v>
      </c>
      <c r="I161" s="10" t="s">
        <v>230</v>
      </c>
      <c r="J161" s="7" t="s">
        <v>242</v>
      </c>
      <c r="K161" s="10" t="s">
        <v>82</v>
      </c>
      <c r="L161" s="7" t="s">
        <v>83</v>
      </c>
      <c r="M161" s="7"/>
      <c r="N161" s="7">
        <f>VLOOKUP(J161,[1]Sheet1!$C:$D,2,FALSE)</f>
        <v>9579</v>
      </c>
      <c r="O161" s="7">
        <f>VLOOKUP(J161,[2]Desa!$A:$D,4,FALSE)</f>
        <v>203</v>
      </c>
      <c r="P161" s="7">
        <f>VLOOKUP(J161,[3]Sheet1!$D:$F,3,FALSE)</f>
        <v>43</v>
      </c>
      <c r="Q161" s="7"/>
      <c r="R161" s="7"/>
      <c r="S161" s="12">
        <v>-8.6161550364462798</v>
      </c>
      <c r="T161" s="12">
        <v>116.148939008293</v>
      </c>
      <c r="U161" s="7"/>
      <c r="V161" s="50">
        <f>Table13678[[#This Row],[PAGU SEMULA]]-Table13678[[#This Row],[PAGU ANGGARAN]]</f>
        <v>-50000000</v>
      </c>
      <c r="W161" s="50">
        <f>Table13678[[#This Row],[PAGU SEMULA]]-Table13678[[#This Row],[PAGU ANGGARAN]]</f>
        <v>-50000000</v>
      </c>
      <c r="X161" t="s">
        <v>987</v>
      </c>
    </row>
    <row r="162" spans="3:24" hidden="1">
      <c r="C162" s="7" t="s">
        <v>51</v>
      </c>
      <c r="D162" s="7" t="s">
        <v>52</v>
      </c>
      <c r="E162" s="7" t="s">
        <v>53</v>
      </c>
      <c r="F162" s="7" t="s">
        <v>54</v>
      </c>
      <c r="G162" s="7" t="s">
        <v>73</v>
      </c>
      <c r="H162" s="8">
        <v>189090000</v>
      </c>
      <c r="I162" s="10" t="s">
        <v>230</v>
      </c>
      <c r="J162" s="7" t="s">
        <v>242</v>
      </c>
      <c r="K162" s="10" t="s">
        <v>82</v>
      </c>
      <c r="L162" s="7" t="s">
        <v>83</v>
      </c>
      <c r="M162" s="7"/>
      <c r="N162" s="7">
        <f>VLOOKUP(J162,[1]Sheet1!$C:$D,2,FALSE)</f>
        <v>9579</v>
      </c>
      <c r="O162" s="7">
        <f>VLOOKUP(J162,[2]Desa!$A:$D,4,FALSE)</f>
        <v>203</v>
      </c>
      <c r="P162" s="7">
        <f>VLOOKUP(J162,[3]Sheet1!$D:$F,3,FALSE)</f>
        <v>43</v>
      </c>
      <c r="Q162" s="7"/>
      <c r="R162" s="7"/>
      <c r="S162" s="12">
        <v>-8.6161550364462798</v>
      </c>
      <c r="T162" s="12">
        <v>116.148939008293</v>
      </c>
      <c r="U162" s="7"/>
      <c r="V162" s="50">
        <f>Table13678[[#This Row],[PAGU SEMULA]]-Table13678[[#This Row],[PAGU ANGGARAN]]</f>
        <v>-189090000</v>
      </c>
      <c r="W162" s="50">
        <f>Table13678[[#This Row],[PAGU SEMULA]]-Table13678[[#This Row],[PAGU ANGGARAN]]</f>
        <v>-189090000</v>
      </c>
      <c r="X162" t="s">
        <v>986</v>
      </c>
    </row>
    <row r="163" spans="3:24" hidden="1">
      <c r="C163" s="7" t="s">
        <v>51</v>
      </c>
      <c r="D163" s="7" t="s">
        <v>52</v>
      </c>
      <c r="E163" s="7" t="s">
        <v>53</v>
      </c>
      <c r="F163" s="7" t="s">
        <v>54</v>
      </c>
      <c r="G163" s="7" t="s">
        <v>73</v>
      </c>
      <c r="H163" s="8">
        <v>380090000</v>
      </c>
      <c r="I163" s="10" t="s">
        <v>230</v>
      </c>
      <c r="J163" s="7" t="s">
        <v>242</v>
      </c>
      <c r="K163" s="10" t="s">
        <v>82</v>
      </c>
      <c r="L163" s="7" t="s">
        <v>83</v>
      </c>
      <c r="M163" s="7"/>
      <c r="N163" s="7">
        <f>VLOOKUP(J163,[1]Sheet1!$C:$D,2,FALSE)</f>
        <v>9579</v>
      </c>
      <c r="O163" s="7">
        <f>VLOOKUP(J163,[2]Desa!$A:$D,4,FALSE)</f>
        <v>203</v>
      </c>
      <c r="P163" s="7">
        <f>VLOOKUP(J163,[3]Sheet1!$D:$F,3,FALSE)</f>
        <v>43</v>
      </c>
      <c r="Q163" s="7"/>
      <c r="R163" s="7"/>
      <c r="S163" s="12">
        <v>-8.6161550364462798</v>
      </c>
      <c r="T163" s="12">
        <v>116.148939008293</v>
      </c>
      <c r="U163" s="7"/>
      <c r="V163" s="50">
        <f>Table13678[[#This Row],[PAGU SEMULA]]-Table13678[[#This Row],[PAGU ANGGARAN]]</f>
        <v>-380090000</v>
      </c>
      <c r="W163" s="50">
        <f>Table13678[[#This Row],[PAGU SEMULA]]-Table13678[[#This Row],[PAGU ANGGARAN]]</f>
        <v>-380090000</v>
      </c>
      <c r="X163" t="s">
        <v>986</v>
      </c>
    </row>
    <row r="164" spans="3:24" hidden="1">
      <c r="C164" s="7" t="s">
        <v>51</v>
      </c>
      <c r="D164" s="7" t="s">
        <v>52</v>
      </c>
      <c r="E164" s="7" t="s">
        <v>53</v>
      </c>
      <c r="F164" s="7" t="s">
        <v>54</v>
      </c>
      <c r="G164" s="7" t="s">
        <v>73</v>
      </c>
      <c r="H164" s="8">
        <v>189090000</v>
      </c>
      <c r="I164" s="10" t="s">
        <v>230</v>
      </c>
      <c r="J164" s="7" t="s">
        <v>242</v>
      </c>
      <c r="K164" s="10" t="s">
        <v>82</v>
      </c>
      <c r="L164" s="7" t="s">
        <v>83</v>
      </c>
      <c r="M164" s="7"/>
      <c r="N164" s="7">
        <f>VLOOKUP(J164,[1]Sheet1!$C:$D,2,FALSE)</f>
        <v>9579</v>
      </c>
      <c r="O164" s="7">
        <f>VLOOKUP(J164,[2]Desa!$A:$D,4,FALSE)</f>
        <v>203</v>
      </c>
      <c r="P164" s="7">
        <f>VLOOKUP(J164,[3]Sheet1!$D:$F,3,FALSE)</f>
        <v>43</v>
      </c>
      <c r="Q164" s="7"/>
      <c r="R164" s="7"/>
      <c r="S164" s="12">
        <v>-8.6161550364462798</v>
      </c>
      <c r="T164" s="12">
        <v>116.148939008293</v>
      </c>
      <c r="U164" s="7"/>
      <c r="V164" s="50">
        <f>Table13678[[#This Row],[PAGU SEMULA]]-Table13678[[#This Row],[PAGU ANGGARAN]]</f>
        <v>-189090000</v>
      </c>
      <c r="W164" s="50">
        <f>Table13678[[#This Row],[PAGU SEMULA]]-Table13678[[#This Row],[PAGU ANGGARAN]]</f>
        <v>-189090000</v>
      </c>
      <c r="X164" t="s">
        <v>986</v>
      </c>
    </row>
    <row r="165" spans="3:24" hidden="1">
      <c r="C165" s="7" t="s">
        <v>20</v>
      </c>
      <c r="D165" s="7" t="s">
        <v>104</v>
      </c>
      <c r="E165" s="7" t="s">
        <v>145</v>
      </c>
      <c r="F165" s="7" t="s">
        <v>146</v>
      </c>
      <c r="G165" s="71" t="s">
        <v>268</v>
      </c>
      <c r="H165" s="15">
        <v>31625000</v>
      </c>
      <c r="I165" s="10" t="s">
        <v>269</v>
      </c>
      <c r="J165" s="7" t="s">
        <v>270</v>
      </c>
      <c r="K165" s="10" t="s">
        <v>167</v>
      </c>
      <c r="L165" s="7" t="s">
        <v>168</v>
      </c>
      <c r="M165" s="7"/>
      <c r="N165" s="7">
        <f>VLOOKUP(J165,[1]Sheet1!$C:$D,2,FALSE)</f>
        <v>4048</v>
      </c>
      <c r="O165" s="7">
        <f>VLOOKUP(J165,[2]Desa!$A:$D,4,FALSE)</f>
        <v>148</v>
      </c>
      <c r="P165" s="7">
        <f>VLOOKUP(J165,[3]Sheet1!$D:$F,3,FALSE)</f>
        <v>16</v>
      </c>
      <c r="Q165" s="7"/>
      <c r="R165" s="7"/>
      <c r="S165" s="12">
        <v>-8.57349323008801</v>
      </c>
      <c r="T165" s="12">
        <v>116.154609377855</v>
      </c>
      <c r="U165" s="7"/>
      <c r="V165" s="50">
        <f>Table13678[[#This Row],[PAGU SEMULA]]-Table13678[[#This Row],[PAGU ANGGARAN]]</f>
        <v>-31625000</v>
      </c>
      <c r="W165" s="50">
        <f>Table13678[[#This Row],[PAGU SEMULA]]-Table13678[[#This Row],[PAGU ANGGARAN]]</f>
        <v>-31625000</v>
      </c>
      <c r="X165" t="s">
        <v>984</v>
      </c>
    </row>
    <row r="166" spans="3:24" hidden="1">
      <c r="C166" s="7" t="s">
        <v>20</v>
      </c>
      <c r="D166" s="7" t="s">
        <v>104</v>
      </c>
      <c r="E166" s="7" t="s">
        <v>105</v>
      </c>
      <c r="F166" s="7" t="s">
        <v>240</v>
      </c>
      <c r="G166" s="71" t="s">
        <v>271</v>
      </c>
      <c r="H166" s="15">
        <v>77000000</v>
      </c>
      <c r="I166" s="10" t="s">
        <v>269</v>
      </c>
      <c r="J166" s="7" t="s">
        <v>270</v>
      </c>
      <c r="K166" s="10" t="s">
        <v>167</v>
      </c>
      <c r="L166" s="7" t="s">
        <v>168</v>
      </c>
      <c r="M166" s="7"/>
      <c r="N166" s="7">
        <f>VLOOKUP(J166,[1]Sheet1!$C:$D,2,FALSE)</f>
        <v>4048</v>
      </c>
      <c r="O166" s="7">
        <f>VLOOKUP(J166,[2]Desa!$A:$D,4,FALSE)</f>
        <v>148</v>
      </c>
      <c r="P166" s="7">
        <f>VLOOKUP(J166,[3]Sheet1!$D:$F,3,FALSE)</f>
        <v>16</v>
      </c>
      <c r="Q166" s="7"/>
      <c r="R166" s="7"/>
      <c r="S166" s="12">
        <v>-8.57349323008801</v>
      </c>
      <c r="T166" s="12">
        <v>116.154609377855</v>
      </c>
      <c r="U166" s="7"/>
      <c r="V166" s="50">
        <f>Table13678[[#This Row],[PAGU SEMULA]]-Table13678[[#This Row],[PAGU ANGGARAN]]</f>
        <v>-77000000</v>
      </c>
      <c r="W166" s="50">
        <f>Table13678[[#This Row],[PAGU SEMULA]]-Table13678[[#This Row],[PAGU ANGGARAN]]</f>
        <v>-77000000</v>
      </c>
      <c r="X166" t="s">
        <v>984</v>
      </c>
    </row>
    <row r="167" spans="3:24" hidden="1">
      <c r="C167" s="7" t="s">
        <v>29</v>
      </c>
      <c r="D167" s="7" t="s">
        <v>30</v>
      </c>
      <c r="E167" s="7" t="s">
        <v>31</v>
      </c>
      <c r="F167" s="7" t="s">
        <v>32</v>
      </c>
      <c r="G167" s="7" t="s">
        <v>33</v>
      </c>
      <c r="H167" s="8">
        <v>194040000</v>
      </c>
      <c r="I167" s="10" t="s">
        <v>269</v>
      </c>
      <c r="J167" s="7" t="s">
        <v>270</v>
      </c>
      <c r="K167" s="10" t="s">
        <v>167</v>
      </c>
      <c r="L167" s="7" t="s">
        <v>168</v>
      </c>
      <c r="M167" s="7"/>
      <c r="N167" s="7">
        <f>VLOOKUP(J167,[1]Sheet1!$C:$D,2,FALSE)</f>
        <v>4048</v>
      </c>
      <c r="O167" s="7">
        <f>VLOOKUP(J167,[2]Desa!$A:$D,4,FALSE)</f>
        <v>148</v>
      </c>
      <c r="P167" s="7">
        <f>VLOOKUP(J167,[3]Sheet1!$D:$F,3,FALSE)</f>
        <v>16</v>
      </c>
      <c r="Q167" s="7"/>
      <c r="R167" s="7"/>
      <c r="S167" s="12">
        <v>-8.57349323008801</v>
      </c>
      <c r="T167" s="12">
        <v>116.154609377855</v>
      </c>
      <c r="U167" s="7"/>
      <c r="V167" s="50">
        <f>Table13678[[#This Row],[PAGU SEMULA]]-Table13678[[#This Row],[PAGU ANGGARAN]]</f>
        <v>-194040000</v>
      </c>
      <c r="W167" s="50">
        <f>Table13678[[#This Row],[PAGU SEMULA]]-Table13678[[#This Row],[PAGU ANGGARAN]]</f>
        <v>-194040000</v>
      </c>
      <c r="X167" t="s">
        <v>984</v>
      </c>
    </row>
    <row r="168" spans="3:24" hidden="1">
      <c r="C168" s="7" t="s">
        <v>29</v>
      </c>
      <c r="D168" s="7" t="s">
        <v>30</v>
      </c>
      <c r="E168" s="7" t="s">
        <v>31</v>
      </c>
      <c r="F168" s="7" t="s">
        <v>32</v>
      </c>
      <c r="G168" s="7" t="s">
        <v>34</v>
      </c>
      <c r="H168" s="8">
        <v>15523200</v>
      </c>
      <c r="I168" s="10" t="s">
        <v>269</v>
      </c>
      <c r="J168" s="7" t="s">
        <v>270</v>
      </c>
      <c r="K168" s="10" t="s">
        <v>167</v>
      </c>
      <c r="L168" s="7" t="s">
        <v>168</v>
      </c>
      <c r="M168" s="7"/>
      <c r="N168" s="7">
        <f>VLOOKUP(J168,[1]Sheet1!$C:$D,2,FALSE)</f>
        <v>4048</v>
      </c>
      <c r="O168" s="7">
        <f>VLOOKUP(J168,[2]Desa!$A:$D,4,FALSE)</f>
        <v>148</v>
      </c>
      <c r="P168" s="7">
        <f>VLOOKUP(J168,[3]Sheet1!$D:$F,3,FALSE)</f>
        <v>16</v>
      </c>
      <c r="Q168" s="7"/>
      <c r="R168" s="7"/>
      <c r="S168" s="12">
        <v>-8.57349323008801</v>
      </c>
      <c r="T168" s="12">
        <v>116.154609377855</v>
      </c>
      <c r="U168" s="7"/>
      <c r="V168" s="50">
        <f>Table13678[[#This Row],[PAGU SEMULA]]-Table13678[[#This Row],[PAGU ANGGARAN]]</f>
        <v>-15523200</v>
      </c>
      <c r="W168" s="50">
        <f>Table13678[[#This Row],[PAGU SEMULA]]-Table13678[[#This Row],[PAGU ANGGARAN]]</f>
        <v>-15523200</v>
      </c>
      <c r="X168" t="s">
        <v>984</v>
      </c>
    </row>
    <row r="169" spans="3:24" hidden="1">
      <c r="C169" s="7" t="s">
        <v>84</v>
      </c>
      <c r="D169" s="7" t="s">
        <v>89</v>
      </c>
      <c r="E169" s="7" t="s">
        <v>90</v>
      </c>
      <c r="F169" s="7" t="s">
        <v>272</v>
      </c>
      <c r="G169" s="7" t="s">
        <v>273</v>
      </c>
      <c r="H169" s="8">
        <v>178350000</v>
      </c>
      <c r="I169" s="10" t="s">
        <v>269</v>
      </c>
      <c r="J169" s="7" t="s">
        <v>270</v>
      </c>
      <c r="K169" s="10" t="s">
        <v>167</v>
      </c>
      <c r="L169" s="7" t="s">
        <v>168</v>
      </c>
      <c r="M169" s="7"/>
      <c r="N169" s="7">
        <f>VLOOKUP(J169,[1]Sheet1!$C:$D,2,FALSE)</f>
        <v>4048</v>
      </c>
      <c r="O169" s="7">
        <f>VLOOKUP(J169,[2]Desa!$A:$D,4,FALSE)</f>
        <v>148</v>
      </c>
      <c r="P169" s="7">
        <f>VLOOKUP(J169,[3]Sheet1!$D:$F,3,FALSE)</f>
        <v>16</v>
      </c>
      <c r="Q169" s="7"/>
      <c r="R169" s="7"/>
      <c r="S169" s="12">
        <v>-8.57349323008801</v>
      </c>
      <c r="T169" s="12">
        <v>116.154609377855</v>
      </c>
      <c r="U169" s="7"/>
      <c r="V169" s="50">
        <f>Table13678[[#This Row],[PAGU SEMULA]]-Table13678[[#This Row],[PAGU ANGGARAN]]</f>
        <v>-178350000</v>
      </c>
      <c r="W169" s="50">
        <f>Table13678[[#This Row],[PAGU SEMULA]]-Table13678[[#This Row],[PAGU ANGGARAN]]</f>
        <v>-178350000</v>
      </c>
      <c r="X169" t="s">
        <v>982</v>
      </c>
    </row>
    <row r="170" spans="3:24" hidden="1">
      <c r="C170" s="7" t="s">
        <v>110</v>
      </c>
      <c r="D170" s="7" t="s">
        <v>111</v>
      </c>
      <c r="E170" s="7" t="s">
        <v>112</v>
      </c>
      <c r="F170" s="7" t="s">
        <v>113</v>
      </c>
      <c r="G170" s="71" t="s">
        <v>274</v>
      </c>
      <c r="H170" s="8">
        <v>48800000</v>
      </c>
      <c r="I170" s="10" t="s">
        <v>269</v>
      </c>
      <c r="J170" s="7" t="s">
        <v>270</v>
      </c>
      <c r="K170" s="10" t="s">
        <v>167</v>
      </c>
      <c r="L170" s="7" t="s">
        <v>168</v>
      </c>
      <c r="M170" s="7"/>
      <c r="N170" s="7">
        <f>VLOOKUP(J170,[1]Sheet1!$C:$D,2,FALSE)</f>
        <v>4048</v>
      </c>
      <c r="O170" s="7">
        <f>VLOOKUP(J170,[2]Desa!$A:$D,4,FALSE)</f>
        <v>148</v>
      </c>
      <c r="P170" s="7">
        <f>VLOOKUP(J170,[3]Sheet1!$D:$F,3,FALSE)</f>
        <v>16</v>
      </c>
      <c r="Q170" s="7"/>
      <c r="R170" s="7"/>
      <c r="S170" s="12">
        <v>-8.57349323008801</v>
      </c>
      <c r="T170" s="12">
        <v>116.154609377855</v>
      </c>
      <c r="U170" s="7"/>
      <c r="V170" s="50">
        <f>Table13678[[#This Row],[PAGU SEMULA]]-Table13678[[#This Row],[PAGU ANGGARAN]]</f>
        <v>-48800000</v>
      </c>
      <c r="W170" s="50">
        <f>Table13678[[#This Row],[PAGU SEMULA]]-Table13678[[#This Row],[PAGU ANGGARAN]]</f>
        <v>-48800000</v>
      </c>
      <c r="X170" t="s">
        <v>982</v>
      </c>
    </row>
    <row r="171" spans="3:24" hidden="1">
      <c r="C171" s="7" t="s">
        <v>35</v>
      </c>
      <c r="D171" s="7" t="s">
        <v>36</v>
      </c>
      <c r="E171" s="7" t="s">
        <v>37</v>
      </c>
      <c r="F171" s="7" t="s">
        <v>38</v>
      </c>
      <c r="G171" s="7" t="s">
        <v>39</v>
      </c>
      <c r="H171" s="15">
        <v>75000000</v>
      </c>
      <c r="I171" s="10" t="s">
        <v>269</v>
      </c>
      <c r="J171" s="7" t="s">
        <v>270</v>
      </c>
      <c r="K171" s="10" t="s">
        <v>167</v>
      </c>
      <c r="L171" s="7" t="s">
        <v>168</v>
      </c>
      <c r="M171" s="7"/>
      <c r="N171" s="7">
        <f>VLOOKUP(J171,[1]Sheet1!$C:$D,2,FALSE)</f>
        <v>4048</v>
      </c>
      <c r="O171" s="7">
        <f>VLOOKUP(J171,[2]Desa!$A:$D,4,FALSE)</f>
        <v>148</v>
      </c>
      <c r="P171" s="7">
        <f>VLOOKUP(J171,[3]Sheet1!$D:$F,3,FALSE)</f>
        <v>16</v>
      </c>
      <c r="Q171" s="7"/>
      <c r="R171" s="7"/>
      <c r="S171" s="12">
        <v>-8.57349323008801</v>
      </c>
      <c r="T171" s="12">
        <v>116.154609377855</v>
      </c>
      <c r="U171" s="7"/>
      <c r="V171" s="50">
        <f>Table13678[[#This Row],[PAGU SEMULA]]-Table13678[[#This Row],[PAGU ANGGARAN]]</f>
        <v>-75000000</v>
      </c>
      <c r="W171" s="50">
        <f>Table13678[[#This Row],[PAGU SEMULA]]-Table13678[[#This Row],[PAGU ANGGARAN]]</f>
        <v>-75000000</v>
      </c>
      <c r="X171" t="s">
        <v>984</v>
      </c>
    </row>
    <row r="172" spans="3:24" hidden="1">
      <c r="C172" s="7" t="s">
        <v>35</v>
      </c>
      <c r="D172" s="7" t="s">
        <v>36</v>
      </c>
      <c r="E172" s="7" t="s">
        <v>37</v>
      </c>
      <c r="F172" s="7" t="s">
        <v>40</v>
      </c>
      <c r="G172" s="7" t="s">
        <v>275</v>
      </c>
      <c r="H172" s="15">
        <v>67500000</v>
      </c>
      <c r="I172" s="10" t="s">
        <v>269</v>
      </c>
      <c r="J172" s="7" t="s">
        <v>270</v>
      </c>
      <c r="K172" s="10" t="s">
        <v>167</v>
      </c>
      <c r="L172" s="7" t="s">
        <v>168</v>
      </c>
      <c r="M172" s="7"/>
      <c r="N172" s="7">
        <f>VLOOKUP(J172,[1]Sheet1!$C:$D,2,FALSE)</f>
        <v>4048</v>
      </c>
      <c r="O172" s="7">
        <f>VLOOKUP(J172,[2]Desa!$A:$D,4,FALSE)</f>
        <v>148</v>
      </c>
      <c r="P172" s="7">
        <f>VLOOKUP(J172,[3]Sheet1!$D:$F,3,FALSE)</f>
        <v>16</v>
      </c>
      <c r="Q172" s="7"/>
      <c r="R172" s="7"/>
      <c r="S172" s="12">
        <v>-8.57349323008801</v>
      </c>
      <c r="T172" s="12">
        <v>116.154609377855</v>
      </c>
      <c r="U172" s="7"/>
      <c r="V172" s="50">
        <f>Table13678[[#This Row],[PAGU SEMULA]]-Table13678[[#This Row],[PAGU ANGGARAN]]</f>
        <v>-67500000</v>
      </c>
      <c r="W172" s="50">
        <f>Table13678[[#This Row],[PAGU SEMULA]]-Table13678[[#This Row],[PAGU ANGGARAN]]</f>
        <v>-67500000</v>
      </c>
      <c r="X172" t="s">
        <v>986</v>
      </c>
    </row>
    <row r="173" spans="3:24" hidden="1">
      <c r="C173" s="7" t="s">
        <v>35</v>
      </c>
      <c r="D173" s="7" t="s">
        <v>156</v>
      </c>
      <c r="E173" s="7" t="s">
        <v>252</v>
      </c>
      <c r="F173" s="7" t="s">
        <v>253</v>
      </c>
      <c r="G173" s="7" t="s">
        <v>276</v>
      </c>
      <c r="H173" s="15">
        <v>202700000</v>
      </c>
      <c r="I173" s="10" t="s">
        <v>269</v>
      </c>
      <c r="J173" s="7" t="s">
        <v>270</v>
      </c>
      <c r="K173" s="10" t="s">
        <v>167</v>
      </c>
      <c r="L173" s="7" t="s">
        <v>168</v>
      </c>
      <c r="M173" s="7"/>
      <c r="N173" s="7">
        <f>VLOOKUP(J173,[1]Sheet1!$C:$D,2,FALSE)</f>
        <v>4048</v>
      </c>
      <c r="O173" s="7">
        <f>VLOOKUP(J173,[2]Desa!$A:$D,4,FALSE)</f>
        <v>148</v>
      </c>
      <c r="P173" s="7">
        <f>VLOOKUP(J173,[3]Sheet1!$D:$F,3,FALSE)</f>
        <v>16</v>
      </c>
      <c r="Q173" s="7"/>
      <c r="R173" s="7"/>
      <c r="S173" s="12">
        <v>-8.57349323008801</v>
      </c>
      <c r="T173" s="12">
        <v>116.154609377855</v>
      </c>
      <c r="U173" s="7"/>
      <c r="V173" s="50">
        <f>Table13678[[#This Row],[PAGU SEMULA]]-Table13678[[#This Row],[PAGU ANGGARAN]]</f>
        <v>-202700000</v>
      </c>
      <c r="W173" s="50">
        <f>Table13678[[#This Row],[PAGU SEMULA]]-Table13678[[#This Row],[PAGU ANGGARAN]]</f>
        <v>-202700000</v>
      </c>
      <c r="X173" t="s">
        <v>986</v>
      </c>
    </row>
    <row r="174" spans="3:24" hidden="1">
      <c r="C174" s="7" t="s">
        <v>68</v>
      </c>
      <c r="D174" s="7" t="s">
        <v>277</v>
      </c>
      <c r="E174" s="7" t="s">
        <v>278</v>
      </c>
      <c r="F174" s="7" t="s">
        <v>279</v>
      </c>
      <c r="G174" s="7" t="s">
        <v>280</v>
      </c>
      <c r="H174" s="8">
        <v>30000000</v>
      </c>
      <c r="I174" s="10" t="s">
        <v>269</v>
      </c>
      <c r="J174" s="7" t="s">
        <v>270</v>
      </c>
      <c r="K174" s="10" t="s">
        <v>167</v>
      </c>
      <c r="L174" s="7" t="s">
        <v>168</v>
      </c>
      <c r="M174" s="7"/>
      <c r="N174" s="7">
        <f>VLOOKUP(J174,[1]Sheet1!$C:$D,2,FALSE)</f>
        <v>4048</v>
      </c>
      <c r="O174" s="7">
        <f>VLOOKUP(J174,[2]Desa!$A:$D,4,FALSE)</f>
        <v>148</v>
      </c>
      <c r="P174" s="7">
        <f>VLOOKUP(J174,[3]Sheet1!$D:$F,3,FALSE)</f>
        <v>16</v>
      </c>
      <c r="Q174" s="7"/>
      <c r="R174" s="7"/>
      <c r="S174" s="12">
        <v>-8.57349323008801</v>
      </c>
      <c r="T174" s="12">
        <v>116.154609377855</v>
      </c>
      <c r="U174" s="7"/>
      <c r="V174" s="50">
        <f>Table13678[[#This Row],[PAGU SEMULA]]-Table13678[[#This Row],[PAGU ANGGARAN]]</f>
        <v>-30000000</v>
      </c>
      <c r="W174" s="50">
        <f>Table13678[[#This Row],[PAGU SEMULA]]-Table13678[[#This Row],[PAGU ANGGARAN]]</f>
        <v>-30000000</v>
      </c>
      <c r="X174" t="s">
        <v>982</v>
      </c>
    </row>
    <row r="175" spans="3:24" hidden="1">
      <c r="C175" s="7" t="s">
        <v>68</v>
      </c>
      <c r="D175" s="7" t="s">
        <v>277</v>
      </c>
      <c r="E175" s="7" t="s">
        <v>278</v>
      </c>
      <c r="F175" s="7" t="s">
        <v>279</v>
      </c>
      <c r="G175" s="7" t="s">
        <v>281</v>
      </c>
      <c r="H175" s="8">
        <v>0</v>
      </c>
      <c r="I175" s="10" t="s">
        <v>269</v>
      </c>
      <c r="J175" s="7" t="s">
        <v>270</v>
      </c>
      <c r="K175" s="10" t="s">
        <v>167</v>
      </c>
      <c r="L175" s="7" t="s">
        <v>168</v>
      </c>
      <c r="M175" s="7"/>
      <c r="N175" s="7">
        <f>VLOOKUP(J175,[1]Sheet1!$C:$D,2,FALSE)</f>
        <v>4048</v>
      </c>
      <c r="O175" s="7">
        <f>VLOOKUP(J175,[2]Desa!$A:$D,4,FALSE)</f>
        <v>148</v>
      </c>
      <c r="P175" s="7">
        <f>VLOOKUP(J175,[3]Sheet1!$D:$F,3,FALSE)</f>
        <v>16</v>
      </c>
      <c r="Q175" s="7"/>
      <c r="R175" s="7"/>
      <c r="S175" s="12">
        <v>-8.57349323008801</v>
      </c>
      <c r="T175" s="12">
        <v>116.154609377855</v>
      </c>
      <c r="U175" s="7"/>
      <c r="V175" s="50">
        <f>Table13678[[#This Row],[PAGU SEMULA]]-Table13678[[#This Row],[PAGU ANGGARAN]]</f>
        <v>0</v>
      </c>
      <c r="W175" s="50">
        <f>Table13678[[#This Row],[PAGU SEMULA]]-Table13678[[#This Row],[PAGU ANGGARAN]]</f>
        <v>0</v>
      </c>
      <c r="X175" t="s">
        <v>982</v>
      </c>
    </row>
    <row r="176" spans="3:24" hidden="1">
      <c r="C176" s="7" t="s">
        <v>46</v>
      </c>
      <c r="D176" s="7" t="s">
        <v>47</v>
      </c>
      <c r="E176" s="7" t="s">
        <v>48</v>
      </c>
      <c r="F176" s="7" t="s">
        <v>282</v>
      </c>
      <c r="G176" s="7" t="s">
        <v>283</v>
      </c>
      <c r="H176" s="8">
        <v>49500000</v>
      </c>
      <c r="I176" s="10" t="s">
        <v>269</v>
      </c>
      <c r="J176" s="7" t="s">
        <v>270</v>
      </c>
      <c r="K176" s="10" t="s">
        <v>167</v>
      </c>
      <c r="L176" s="7" t="s">
        <v>168</v>
      </c>
      <c r="M176" s="7"/>
      <c r="N176" s="7">
        <f>VLOOKUP(J176,[1]Sheet1!$C:$D,2,FALSE)</f>
        <v>4048</v>
      </c>
      <c r="O176" s="7">
        <f>VLOOKUP(J176,[2]Desa!$A:$D,4,FALSE)</f>
        <v>148</v>
      </c>
      <c r="P176" s="7">
        <f>VLOOKUP(J176,[3]Sheet1!$D:$F,3,FALSE)</f>
        <v>16</v>
      </c>
      <c r="Q176" s="7"/>
      <c r="R176" s="7"/>
      <c r="S176" s="12">
        <v>-8.57349323008801</v>
      </c>
      <c r="T176" s="12">
        <v>116.154609377855</v>
      </c>
      <c r="U176" s="7"/>
      <c r="V176" s="50">
        <f>Table13678[[#This Row],[PAGU SEMULA]]-Table13678[[#This Row],[PAGU ANGGARAN]]</f>
        <v>-49500000</v>
      </c>
      <c r="W176" s="50">
        <f>Table13678[[#This Row],[PAGU SEMULA]]-Table13678[[#This Row],[PAGU ANGGARAN]]</f>
        <v>-49500000</v>
      </c>
      <c r="X176" t="s">
        <v>987</v>
      </c>
    </row>
    <row r="177" spans="3:24" hidden="1">
      <c r="C177" s="7" t="s">
        <v>20</v>
      </c>
      <c r="D177" s="7" t="s">
        <v>104</v>
      </c>
      <c r="E177" s="7" t="s">
        <v>105</v>
      </c>
      <c r="F177" s="7" t="s">
        <v>284</v>
      </c>
      <c r="G177" s="71" t="s">
        <v>285</v>
      </c>
      <c r="H177" s="15">
        <v>377450000</v>
      </c>
      <c r="I177" s="10" t="s">
        <v>286</v>
      </c>
      <c r="J177" s="7" t="s">
        <v>287</v>
      </c>
      <c r="K177" s="10" t="s">
        <v>288</v>
      </c>
      <c r="L177" s="7" t="s">
        <v>289</v>
      </c>
      <c r="M177" s="7"/>
      <c r="N177" s="7">
        <f>VLOOKUP(J177,[1]Sheet1!$C:$D,2,FALSE)</f>
        <v>2741</v>
      </c>
      <c r="O177" s="7">
        <f>VLOOKUP(J177,[2]Desa!$A:$D,4,FALSE)</f>
        <v>134</v>
      </c>
      <c r="P177" s="7">
        <f>VLOOKUP(J177,[3]Sheet1!$D:$F,3,FALSE)</f>
        <v>18</v>
      </c>
      <c r="Q177" s="7"/>
      <c r="R177" s="7"/>
      <c r="S177" s="12">
        <v>-8.5245283750835394</v>
      </c>
      <c r="T177" s="12">
        <v>116.150627581413</v>
      </c>
      <c r="U177" s="7"/>
      <c r="V177" s="50">
        <f>Table13678[[#This Row],[PAGU SEMULA]]-Table13678[[#This Row],[PAGU ANGGARAN]]</f>
        <v>-377450000</v>
      </c>
      <c r="W177" s="50">
        <f>Table13678[[#This Row],[PAGU SEMULA]]-Table13678[[#This Row],[PAGU ANGGARAN]]</f>
        <v>-377450000</v>
      </c>
      <c r="X177" t="s">
        <v>984</v>
      </c>
    </row>
    <row r="178" spans="3:24" hidden="1">
      <c r="C178" s="7" t="s">
        <v>20</v>
      </c>
      <c r="D178" s="7" t="s">
        <v>104</v>
      </c>
      <c r="E178" s="7" t="s">
        <v>105</v>
      </c>
      <c r="F178" s="7" t="s">
        <v>138</v>
      </c>
      <c r="G178" s="71" t="s">
        <v>290</v>
      </c>
      <c r="H178" s="19">
        <v>71680000</v>
      </c>
      <c r="I178" s="10" t="s">
        <v>286</v>
      </c>
      <c r="J178" s="7" t="s">
        <v>287</v>
      </c>
      <c r="K178" s="10" t="s">
        <v>288</v>
      </c>
      <c r="L178" s="7" t="s">
        <v>289</v>
      </c>
      <c r="M178" s="7"/>
      <c r="N178" s="7">
        <f>VLOOKUP(J178,[1]Sheet1!$C:$D,2,FALSE)</f>
        <v>2741</v>
      </c>
      <c r="O178" s="7">
        <f>VLOOKUP(J178,[2]Desa!$A:$D,4,FALSE)</f>
        <v>134</v>
      </c>
      <c r="P178" s="7">
        <f>VLOOKUP(J178,[3]Sheet1!$D:$F,3,FALSE)</f>
        <v>18</v>
      </c>
      <c r="Q178" s="7"/>
      <c r="R178" s="7"/>
      <c r="S178" s="12">
        <v>-8.5245283750835394</v>
      </c>
      <c r="T178" s="12">
        <v>116.150627581413</v>
      </c>
      <c r="U178" s="7"/>
      <c r="V178" s="50">
        <f>Table13678[[#This Row],[PAGU SEMULA]]-Table13678[[#This Row],[PAGU ANGGARAN]]</f>
        <v>-71680000</v>
      </c>
      <c r="W178" s="50">
        <f>Table13678[[#This Row],[PAGU SEMULA]]-Table13678[[#This Row],[PAGU ANGGARAN]]</f>
        <v>-71680000</v>
      </c>
      <c r="X178" t="s">
        <v>984</v>
      </c>
    </row>
    <row r="179" spans="3:24" hidden="1">
      <c r="C179" s="7" t="s">
        <v>29</v>
      </c>
      <c r="D179" s="7" t="s">
        <v>30</v>
      </c>
      <c r="E179" s="7" t="s">
        <v>31</v>
      </c>
      <c r="F179" s="7" t="s">
        <v>32</v>
      </c>
      <c r="G179" s="7" t="s">
        <v>33</v>
      </c>
      <c r="H179" s="8">
        <v>219240000</v>
      </c>
      <c r="I179" s="10" t="s">
        <v>286</v>
      </c>
      <c r="J179" s="7" t="s">
        <v>287</v>
      </c>
      <c r="K179" s="10" t="s">
        <v>288</v>
      </c>
      <c r="L179" s="7" t="s">
        <v>289</v>
      </c>
      <c r="M179" s="7"/>
      <c r="N179" s="7">
        <f>VLOOKUP(J179,[1]Sheet1!$C:$D,2,FALSE)</f>
        <v>2741</v>
      </c>
      <c r="O179" s="7">
        <f>VLOOKUP(J179,[2]Desa!$A:$D,4,FALSE)</f>
        <v>134</v>
      </c>
      <c r="P179" s="7">
        <f>VLOOKUP(J179,[3]Sheet1!$D:$F,3,FALSE)</f>
        <v>18</v>
      </c>
      <c r="Q179" s="7"/>
      <c r="R179" s="7"/>
      <c r="S179" s="12">
        <v>-8.5245283750835394</v>
      </c>
      <c r="T179" s="12">
        <v>116.150627581413</v>
      </c>
      <c r="U179" s="7"/>
      <c r="V179" s="50">
        <f>Table13678[[#This Row],[PAGU SEMULA]]-Table13678[[#This Row],[PAGU ANGGARAN]]</f>
        <v>-219240000</v>
      </c>
      <c r="W179" s="50">
        <f>Table13678[[#This Row],[PAGU SEMULA]]-Table13678[[#This Row],[PAGU ANGGARAN]]</f>
        <v>-219240000</v>
      </c>
      <c r="X179" t="s">
        <v>984</v>
      </c>
    </row>
    <row r="180" spans="3:24" hidden="1">
      <c r="C180" s="7" t="s">
        <v>29</v>
      </c>
      <c r="D180" s="7" t="s">
        <v>30</v>
      </c>
      <c r="E180" s="7" t="s">
        <v>31</v>
      </c>
      <c r="F180" s="7" t="s">
        <v>32</v>
      </c>
      <c r="G180" s="7" t="s">
        <v>34</v>
      </c>
      <c r="H180" s="8">
        <v>17539200</v>
      </c>
      <c r="I180" s="10" t="s">
        <v>286</v>
      </c>
      <c r="J180" s="7" t="s">
        <v>287</v>
      </c>
      <c r="K180" s="10" t="s">
        <v>288</v>
      </c>
      <c r="L180" s="7" t="s">
        <v>289</v>
      </c>
      <c r="M180" s="7"/>
      <c r="N180" s="7">
        <f>VLOOKUP(J180,[1]Sheet1!$C:$D,2,FALSE)</f>
        <v>2741</v>
      </c>
      <c r="O180" s="7">
        <f>VLOOKUP(J180,[2]Desa!$A:$D,4,FALSE)</f>
        <v>134</v>
      </c>
      <c r="P180" s="7">
        <f>VLOOKUP(J180,[3]Sheet1!$D:$F,3,FALSE)</f>
        <v>18</v>
      </c>
      <c r="Q180" s="7"/>
      <c r="R180" s="7"/>
      <c r="S180" s="12">
        <v>-8.5245283750835394</v>
      </c>
      <c r="T180" s="12">
        <v>116.150627581413</v>
      </c>
      <c r="U180" s="7"/>
      <c r="V180" s="50">
        <f>Table13678[[#This Row],[PAGU SEMULA]]-Table13678[[#This Row],[PAGU ANGGARAN]]</f>
        <v>-17539200</v>
      </c>
      <c r="W180" s="50">
        <f>Table13678[[#This Row],[PAGU SEMULA]]-Table13678[[#This Row],[PAGU ANGGARAN]]</f>
        <v>-17539200</v>
      </c>
      <c r="X180" t="s">
        <v>984</v>
      </c>
    </row>
    <row r="181" spans="3:24" hidden="1">
      <c r="C181" s="7" t="s">
        <v>110</v>
      </c>
      <c r="D181" s="7" t="s">
        <v>291</v>
      </c>
      <c r="E181" s="7" t="s">
        <v>292</v>
      </c>
      <c r="F181" s="7" t="s">
        <v>293</v>
      </c>
      <c r="G181" s="71" t="s">
        <v>294</v>
      </c>
      <c r="H181" s="8">
        <v>68250000</v>
      </c>
      <c r="I181" s="10" t="s">
        <v>286</v>
      </c>
      <c r="J181" s="7" t="s">
        <v>287</v>
      </c>
      <c r="K181" s="10" t="s">
        <v>288</v>
      </c>
      <c r="L181" s="7" t="s">
        <v>289</v>
      </c>
      <c r="M181" s="7"/>
      <c r="N181" s="7">
        <f>VLOOKUP(J181,[1]Sheet1!$C:$D,2,FALSE)</f>
        <v>2741</v>
      </c>
      <c r="O181" s="7">
        <f>VLOOKUP(J181,[2]Desa!$A:$D,4,FALSE)</f>
        <v>134</v>
      </c>
      <c r="P181" s="7">
        <f>VLOOKUP(J181,[3]Sheet1!$D:$F,3,FALSE)</f>
        <v>18</v>
      </c>
      <c r="Q181" s="7"/>
      <c r="R181" s="7"/>
      <c r="S181" s="12">
        <v>-8.5245283750835394</v>
      </c>
      <c r="T181" s="12">
        <v>116.150627581413</v>
      </c>
      <c r="U181" s="7"/>
      <c r="V181" s="50">
        <f>Table13678[[#This Row],[PAGU SEMULA]]-Table13678[[#This Row],[PAGU ANGGARAN]]</f>
        <v>-68250000</v>
      </c>
      <c r="W181" s="50">
        <f>Table13678[[#This Row],[PAGU SEMULA]]-Table13678[[#This Row],[PAGU ANGGARAN]]</f>
        <v>-68250000</v>
      </c>
      <c r="X181" t="s">
        <v>982</v>
      </c>
    </row>
    <row r="182" spans="3:24" hidden="1">
      <c r="C182" s="7" t="s">
        <v>35</v>
      </c>
      <c r="D182" s="7" t="s">
        <v>36</v>
      </c>
      <c r="E182" s="7" t="s">
        <v>37</v>
      </c>
      <c r="F182" s="7" t="s">
        <v>38</v>
      </c>
      <c r="G182" s="7" t="s">
        <v>39</v>
      </c>
      <c r="H182" s="15">
        <v>75000000</v>
      </c>
      <c r="I182" s="10" t="s">
        <v>286</v>
      </c>
      <c r="J182" s="7" t="s">
        <v>287</v>
      </c>
      <c r="K182" s="10" t="s">
        <v>288</v>
      </c>
      <c r="L182" s="7" t="s">
        <v>289</v>
      </c>
      <c r="M182" s="7"/>
      <c r="N182" s="7">
        <f>VLOOKUP(J182,[1]Sheet1!$C:$D,2,FALSE)</f>
        <v>2741</v>
      </c>
      <c r="O182" s="7">
        <f>VLOOKUP(J182,[2]Desa!$A:$D,4,FALSE)</f>
        <v>134</v>
      </c>
      <c r="P182" s="7">
        <f>VLOOKUP(J182,[3]Sheet1!$D:$F,3,FALSE)</f>
        <v>18</v>
      </c>
      <c r="Q182" s="7"/>
      <c r="R182" s="7"/>
      <c r="S182" s="12">
        <v>-8.5245283750835394</v>
      </c>
      <c r="T182" s="12">
        <v>116.150627581413</v>
      </c>
      <c r="U182" s="7"/>
      <c r="V182" s="50">
        <f>Table13678[[#This Row],[PAGU SEMULA]]-Table13678[[#This Row],[PAGU ANGGARAN]]</f>
        <v>-75000000</v>
      </c>
      <c r="W182" s="50">
        <f>Table13678[[#This Row],[PAGU SEMULA]]-Table13678[[#This Row],[PAGU ANGGARAN]]</f>
        <v>-75000000</v>
      </c>
      <c r="X182" t="s">
        <v>984</v>
      </c>
    </row>
    <row r="183" spans="3:24" hidden="1">
      <c r="C183" s="7" t="s">
        <v>35</v>
      </c>
      <c r="D183" s="7" t="s">
        <v>52</v>
      </c>
      <c r="E183" s="7" t="s">
        <v>95</v>
      </c>
      <c r="F183" s="7" t="s">
        <v>96</v>
      </c>
      <c r="G183" s="7" t="s">
        <v>41</v>
      </c>
      <c r="H183" s="17">
        <v>145125000</v>
      </c>
      <c r="I183" s="10" t="s">
        <v>286</v>
      </c>
      <c r="J183" s="7" t="s">
        <v>287</v>
      </c>
      <c r="K183" s="10" t="s">
        <v>288</v>
      </c>
      <c r="L183" s="7" t="s">
        <v>289</v>
      </c>
      <c r="M183" s="7"/>
      <c r="N183" s="7">
        <f>VLOOKUP(J183,[1]Sheet1!$C:$D,2,FALSE)</f>
        <v>2741</v>
      </c>
      <c r="O183" s="7">
        <f>VLOOKUP(J183,[2]Desa!$A:$D,4,FALSE)</f>
        <v>134</v>
      </c>
      <c r="P183" s="7">
        <f>VLOOKUP(J183,[3]Sheet1!$D:$F,3,FALSE)</f>
        <v>18</v>
      </c>
      <c r="Q183" s="7"/>
      <c r="R183" s="7"/>
      <c r="S183" s="12">
        <v>-8.5245283750835394</v>
      </c>
      <c r="T183" s="12">
        <v>116.150627581413</v>
      </c>
      <c r="U183" s="7"/>
      <c r="V183" s="50">
        <f>Table13678[[#This Row],[PAGU SEMULA]]-Table13678[[#This Row],[PAGU ANGGARAN]]</f>
        <v>-145125000</v>
      </c>
      <c r="W183" s="50">
        <f>Table13678[[#This Row],[PAGU SEMULA]]-Table13678[[#This Row],[PAGU ANGGARAN]]</f>
        <v>-145125000</v>
      </c>
      <c r="X183" t="s">
        <v>986</v>
      </c>
    </row>
    <row r="184" spans="3:24" hidden="1">
      <c r="C184" s="7" t="s">
        <v>46</v>
      </c>
      <c r="D184" s="7" t="s">
        <v>122</v>
      </c>
      <c r="E184" s="7" t="s">
        <v>123</v>
      </c>
      <c r="F184" s="7" t="s">
        <v>124</v>
      </c>
      <c r="G184" s="71" t="s">
        <v>125</v>
      </c>
      <c r="H184" s="8">
        <v>51989500</v>
      </c>
      <c r="I184" s="10" t="s">
        <v>286</v>
      </c>
      <c r="J184" s="7" t="s">
        <v>287</v>
      </c>
      <c r="K184" s="10" t="s">
        <v>288</v>
      </c>
      <c r="L184" s="7" t="s">
        <v>289</v>
      </c>
      <c r="M184" s="7"/>
      <c r="N184" s="7">
        <f>VLOOKUP(J184,[1]Sheet1!$C:$D,2,FALSE)</f>
        <v>2741</v>
      </c>
      <c r="O184" s="7">
        <f>VLOOKUP(J184,[2]Desa!$A:$D,4,FALSE)</f>
        <v>134</v>
      </c>
      <c r="P184" s="7">
        <f>VLOOKUP(J184,[3]Sheet1!$D:$F,3,FALSE)</f>
        <v>18</v>
      </c>
      <c r="Q184" s="7"/>
      <c r="R184" s="7"/>
      <c r="S184" s="12">
        <v>-8.5245283750835394</v>
      </c>
      <c r="T184" s="12">
        <v>116.150627581413</v>
      </c>
      <c r="U184" s="7"/>
      <c r="V184" s="50">
        <f>Table13678[[#This Row],[PAGU SEMULA]]-Table13678[[#This Row],[PAGU ANGGARAN]]</f>
        <v>-51989500</v>
      </c>
      <c r="W184" s="50">
        <f>Table13678[[#This Row],[PAGU SEMULA]]-Table13678[[#This Row],[PAGU ANGGARAN]]</f>
        <v>-51989500</v>
      </c>
      <c r="X184" t="s">
        <v>987</v>
      </c>
    </row>
    <row r="185" spans="3:24" hidden="1">
      <c r="C185" s="7" t="s">
        <v>46</v>
      </c>
      <c r="D185" s="7" t="s">
        <v>47</v>
      </c>
      <c r="E185" s="7" t="s">
        <v>48</v>
      </c>
      <c r="F185" s="7" t="s">
        <v>49</v>
      </c>
      <c r="G185" s="7" t="s">
        <v>173</v>
      </c>
      <c r="H185" s="8">
        <v>29100000</v>
      </c>
      <c r="I185" s="10" t="s">
        <v>286</v>
      </c>
      <c r="J185" s="7" t="s">
        <v>287</v>
      </c>
      <c r="K185" s="10" t="s">
        <v>288</v>
      </c>
      <c r="L185" s="7" t="s">
        <v>289</v>
      </c>
      <c r="M185" s="7"/>
      <c r="N185" s="7">
        <f>VLOOKUP(J185,[1]Sheet1!$C:$D,2,FALSE)</f>
        <v>2741</v>
      </c>
      <c r="O185" s="7">
        <f>VLOOKUP(J185,[2]Desa!$A:$D,4,FALSE)</f>
        <v>134</v>
      </c>
      <c r="P185" s="7">
        <f>VLOOKUP(J185,[3]Sheet1!$D:$F,3,FALSE)</f>
        <v>18</v>
      </c>
      <c r="Q185" s="7"/>
      <c r="R185" s="7"/>
      <c r="S185" s="12">
        <v>-8.5245283750835394</v>
      </c>
      <c r="T185" s="12">
        <v>116.150627581413</v>
      </c>
      <c r="U185" s="7"/>
      <c r="V185" s="50">
        <f>Table13678[[#This Row],[PAGU SEMULA]]-Table13678[[#This Row],[PAGU ANGGARAN]]</f>
        <v>-29100000</v>
      </c>
      <c r="W185" s="50">
        <f>Table13678[[#This Row],[PAGU SEMULA]]-Table13678[[#This Row],[PAGU ANGGARAN]]</f>
        <v>-29100000</v>
      </c>
      <c r="X185" t="s">
        <v>987</v>
      </c>
    </row>
    <row r="186" spans="3:24" hidden="1">
      <c r="C186" s="7" t="s">
        <v>20</v>
      </c>
      <c r="D186" s="7" t="s">
        <v>104</v>
      </c>
      <c r="E186" s="7" t="s">
        <v>105</v>
      </c>
      <c r="F186" s="7" t="s">
        <v>126</v>
      </c>
      <c r="G186" s="71" t="s">
        <v>295</v>
      </c>
      <c r="H186" s="19">
        <v>218720000</v>
      </c>
      <c r="I186" s="10" t="s">
        <v>296</v>
      </c>
      <c r="J186" s="7" t="s">
        <v>297</v>
      </c>
      <c r="K186" s="10" t="s">
        <v>196</v>
      </c>
      <c r="L186" s="7" t="s">
        <v>197</v>
      </c>
      <c r="M186" s="7"/>
      <c r="N186" s="7">
        <f>VLOOKUP(J186,[1]Sheet1!$C:$D,2,FALSE)</f>
        <v>15814</v>
      </c>
      <c r="O186" s="7">
        <f>VLOOKUP(J186,[2]Desa!$A:$D,4,FALSE)</f>
        <v>1250</v>
      </c>
      <c r="P186" s="7">
        <f>VLOOKUP(J186,[3]Sheet1!$D:$F,3,FALSE)</f>
        <v>116</v>
      </c>
      <c r="Q186" s="7"/>
      <c r="R186" s="7"/>
      <c r="S186" s="12">
        <v>-8.8495641766396194</v>
      </c>
      <c r="T186" s="12">
        <v>116.057118064345</v>
      </c>
      <c r="U186" s="7"/>
      <c r="V186" s="50">
        <f>Table13678[[#This Row],[PAGU SEMULA]]-Table13678[[#This Row],[PAGU ANGGARAN]]</f>
        <v>-218720000</v>
      </c>
      <c r="W186" s="50">
        <f>Table13678[[#This Row],[PAGU SEMULA]]-Table13678[[#This Row],[PAGU ANGGARAN]]</f>
        <v>-218720000</v>
      </c>
      <c r="X186" t="s">
        <v>984</v>
      </c>
    </row>
    <row r="187" spans="3:24" hidden="1">
      <c r="C187" s="7" t="s">
        <v>20</v>
      </c>
      <c r="D187" s="7" t="s">
        <v>104</v>
      </c>
      <c r="E187" s="7" t="s">
        <v>105</v>
      </c>
      <c r="F187" s="7" t="s">
        <v>169</v>
      </c>
      <c r="G187" s="71" t="s">
        <v>298</v>
      </c>
      <c r="H187" s="19">
        <v>2567585000</v>
      </c>
      <c r="I187" s="10" t="s">
        <v>296</v>
      </c>
      <c r="J187" s="7" t="s">
        <v>297</v>
      </c>
      <c r="K187" s="10" t="s">
        <v>196</v>
      </c>
      <c r="L187" s="7" t="s">
        <v>197</v>
      </c>
      <c r="M187" s="7"/>
      <c r="N187" s="7">
        <f>VLOOKUP(J187,[1]Sheet1!$C:$D,2,FALSE)</f>
        <v>15814</v>
      </c>
      <c r="O187" s="7">
        <f>VLOOKUP(J187,[2]Desa!$A:$D,4,FALSE)</f>
        <v>1250</v>
      </c>
      <c r="P187" s="7">
        <f>VLOOKUP(J187,[3]Sheet1!$D:$F,3,FALSE)</f>
        <v>116</v>
      </c>
      <c r="Q187" s="7"/>
      <c r="R187" s="7"/>
      <c r="S187" s="12">
        <v>-8.8495641766396194</v>
      </c>
      <c r="T187" s="12">
        <v>116.057118064345</v>
      </c>
      <c r="U187" s="7"/>
      <c r="V187" s="50">
        <f>Table13678[[#This Row],[PAGU SEMULA]]-Table13678[[#This Row],[PAGU ANGGARAN]]</f>
        <v>-2567585000</v>
      </c>
      <c r="W187" s="50">
        <f>Table13678[[#This Row],[PAGU SEMULA]]-Table13678[[#This Row],[PAGU ANGGARAN]]</f>
        <v>-2567585000</v>
      </c>
      <c r="X187" t="s">
        <v>984</v>
      </c>
    </row>
    <row r="188" spans="3:24" hidden="1">
      <c r="C188" s="7" t="s">
        <v>20</v>
      </c>
      <c r="D188" s="7" t="s">
        <v>104</v>
      </c>
      <c r="E188" s="7" t="s">
        <v>299</v>
      </c>
      <c r="F188" s="7" t="s">
        <v>300</v>
      </c>
      <c r="G188" s="71" t="s">
        <v>301</v>
      </c>
      <c r="H188" s="15">
        <v>385600000</v>
      </c>
      <c r="I188" s="10" t="s">
        <v>296</v>
      </c>
      <c r="J188" s="7" t="s">
        <v>297</v>
      </c>
      <c r="K188" s="10" t="s">
        <v>196</v>
      </c>
      <c r="L188" s="7" t="s">
        <v>197</v>
      </c>
      <c r="M188" s="7"/>
      <c r="N188" s="7">
        <f>VLOOKUP(J188,[1]Sheet1!$C:$D,2,FALSE)</f>
        <v>15814</v>
      </c>
      <c r="O188" s="7">
        <f>VLOOKUP(J188,[2]Desa!$A:$D,4,FALSE)</f>
        <v>1250</v>
      </c>
      <c r="P188" s="7">
        <f>VLOOKUP(J188,[3]Sheet1!$D:$F,3,FALSE)</f>
        <v>116</v>
      </c>
      <c r="Q188" s="7"/>
      <c r="R188" s="7"/>
      <c r="S188" s="12">
        <v>-8.8495641766396194</v>
      </c>
      <c r="T188" s="12">
        <v>116.057118064345</v>
      </c>
      <c r="U188" s="7"/>
      <c r="V188" s="50">
        <f>Table13678[[#This Row],[PAGU SEMULA]]-Table13678[[#This Row],[PAGU ANGGARAN]]</f>
        <v>-385600000</v>
      </c>
      <c r="W188" s="50">
        <f>Table13678[[#This Row],[PAGU SEMULA]]-Table13678[[#This Row],[PAGU ANGGARAN]]</f>
        <v>-385600000</v>
      </c>
      <c r="X188" t="s">
        <v>984</v>
      </c>
    </row>
    <row r="189" spans="3:24" hidden="1">
      <c r="C189" s="7" t="s">
        <v>20</v>
      </c>
      <c r="D189" s="7" t="s">
        <v>104</v>
      </c>
      <c r="E189" s="7" t="s">
        <v>105</v>
      </c>
      <c r="F189" s="7" t="s">
        <v>302</v>
      </c>
      <c r="G189" s="71" t="s">
        <v>303</v>
      </c>
      <c r="H189" s="15">
        <v>40800000</v>
      </c>
      <c r="I189" s="10" t="s">
        <v>296</v>
      </c>
      <c r="J189" s="7" t="s">
        <v>297</v>
      </c>
      <c r="K189" s="10" t="s">
        <v>196</v>
      </c>
      <c r="L189" s="7" t="s">
        <v>197</v>
      </c>
      <c r="M189" s="7"/>
      <c r="N189" s="7">
        <f>VLOOKUP(J189,[1]Sheet1!$C:$D,2,FALSE)</f>
        <v>15814</v>
      </c>
      <c r="O189" s="7">
        <f>VLOOKUP(J189,[2]Desa!$A:$D,4,FALSE)</f>
        <v>1250</v>
      </c>
      <c r="P189" s="7">
        <f>VLOOKUP(J189,[3]Sheet1!$D:$F,3,FALSE)</f>
        <v>116</v>
      </c>
      <c r="Q189" s="7"/>
      <c r="R189" s="7"/>
      <c r="S189" s="12">
        <v>-8.8495641766396194</v>
      </c>
      <c r="T189" s="12">
        <v>116.057118064345</v>
      </c>
      <c r="U189" s="7"/>
      <c r="V189" s="50">
        <f>Table13678[[#This Row],[PAGU SEMULA]]-Table13678[[#This Row],[PAGU ANGGARAN]]</f>
        <v>-40800000</v>
      </c>
      <c r="W189" s="50">
        <f>Table13678[[#This Row],[PAGU SEMULA]]-Table13678[[#This Row],[PAGU ANGGARAN]]</f>
        <v>-40800000</v>
      </c>
      <c r="X189" t="s">
        <v>984</v>
      </c>
    </row>
    <row r="190" spans="3:24" hidden="1">
      <c r="C190" s="7" t="s">
        <v>20</v>
      </c>
      <c r="D190" s="7" t="s">
        <v>104</v>
      </c>
      <c r="E190" s="7" t="s">
        <v>145</v>
      </c>
      <c r="F190" s="7" t="s">
        <v>146</v>
      </c>
      <c r="G190" s="71" t="s">
        <v>304</v>
      </c>
      <c r="H190" s="15">
        <v>31625000</v>
      </c>
      <c r="I190" s="10" t="s">
        <v>296</v>
      </c>
      <c r="J190" s="7" t="s">
        <v>297</v>
      </c>
      <c r="K190" s="10" t="s">
        <v>196</v>
      </c>
      <c r="L190" s="7" t="s">
        <v>197</v>
      </c>
      <c r="M190" s="7"/>
      <c r="N190" s="7">
        <f>VLOOKUP(J190,[1]Sheet1!$C:$D,2,FALSE)</f>
        <v>15814</v>
      </c>
      <c r="O190" s="7">
        <f>VLOOKUP(J190,[2]Desa!$A:$D,4,FALSE)</f>
        <v>1250</v>
      </c>
      <c r="P190" s="7">
        <f>VLOOKUP(J190,[3]Sheet1!$D:$F,3,FALSE)</f>
        <v>116</v>
      </c>
      <c r="Q190" s="7"/>
      <c r="R190" s="7"/>
      <c r="S190" s="12">
        <v>-8.8495641766396194</v>
      </c>
      <c r="T190" s="12">
        <v>116.057118064345</v>
      </c>
      <c r="U190" s="7"/>
      <c r="V190" s="50">
        <f>Table13678[[#This Row],[PAGU SEMULA]]-Table13678[[#This Row],[PAGU ANGGARAN]]</f>
        <v>-31625000</v>
      </c>
      <c r="W190" s="50">
        <f>Table13678[[#This Row],[PAGU SEMULA]]-Table13678[[#This Row],[PAGU ANGGARAN]]</f>
        <v>-31625000</v>
      </c>
      <c r="X190" t="s">
        <v>984</v>
      </c>
    </row>
    <row r="191" spans="3:24" hidden="1">
      <c r="C191" s="7" t="s">
        <v>29</v>
      </c>
      <c r="D191" s="7" t="s">
        <v>30</v>
      </c>
      <c r="E191" s="7" t="s">
        <v>31</v>
      </c>
      <c r="F191" s="7" t="s">
        <v>32</v>
      </c>
      <c r="G191" s="7" t="s">
        <v>33</v>
      </c>
      <c r="H191" s="8">
        <v>1432620000</v>
      </c>
      <c r="I191" s="10" t="s">
        <v>296</v>
      </c>
      <c r="J191" s="7" t="s">
        <v>297</v>
      </c>
      <c r="K191" s="10" t="s">
        <v>196</v>
      </c>
      <c r="L191" s="7" t="s">
        <v>197</v>
      </c>
      <c r="M191" s="7"/>
      <c r="N191" s="7">
        <f>VLOOKUP(J191,[1]Sheet1!$C:$D,2,FALSE)</f>
        <v>15814</v>
      </c>
      <c r="O191" s="7">
        <f>VLOOKUP(J191,[2]Desa!$A:$D,4,FALSE)</f>
        <v>1250</v>
      </c>
      <c r="P191" s="7">
        <f>VLOOKUP(J191,[3]Sheet1!$D:$F,3,FALSE)</f>
        <v>116</v>
      </c>
      <c r="Q191" s="7"/>
      <c r="R191" s="7"/>
      <c r="S191" s="12">
        <v>-8.8495641766396194</v>
      </c>
      <c r="T191" s="12">
        <v>116.057118064345</v>
      </c>
      <c r="U191" s="7"/>
      <c r="V191" s="50">
        <f>Table13678[[#This Row],[PAGU SEMULA]]-Table13678[[#This Row],[PAGU ANGGARAN]]</f>
        <v>-1432620000</v>
      </c>
      <c r="W191" s="50">
        <f>Table13678[[#This Row],[PAGU SEMULA]]-Table13678[[#This Row],[PAGU ANGGARAN]]</f>
        <v>-1432620000</v>
      </c>
      <c r="X191" t="s">
        <v>984</v>
      </c>
    </row>
    <row r="192" spans="3:24" hidden="1">
      <c r="C192" s="7" t="s">
        <v>29</v>
      </c>
      <c r="D192" s="7" t="s">
        <v>30</v>
      </c>
      <c r="E192" s="7" t="s">
        <v>31</v>
      </c>
      <c r="F192" s="7" t="s">
        <v>32</v>
      </c>
      <c r="G192" s="7" t="s">
        <v>34</v>
      </c>
      <c r="H192" s="8">
        <v>114609600</v>
      </c>
      <c r="I192" s="10" t="s">
        <v>296</v>
      </c>
      <c r="J192" s="7" t="s">
        <v>297</v>
      </c>
      <c r="K192" s="10" t="s">
        <v>196</v>
      </c>
      <c r="L192" s="7" t="s">
        <v>197</v>
      </c>
      <c r="M192" s="7"/>
      <c r="N192" s="7">
        <f>VLOOKUP(J192,[1]Sheet1!$C:$D,2,FALSE)</f>
        <v>15814</v>
      </c>
      <c r="O192" s="7">
        <f>VLOOKUP(J192,[2]Desa!$A:$D,4,FALSE)</f>
        <v>1250</v>
      </c>
      <c r="P192" s="7">
        <f>VLOOKUP(J192,[3]Sheet1!$D:$F,3,FALSE)</f>
        <v>116</v>
      </c>
      <c r="Q192" s="7"/>
      <c r="R192" s="7"/>
      <c r="S192" s="12">
        <v>-8.8495641766396194</v>
      </c>
      <c r="T192" s="12">
        <v>116.057118064345</v>
      </c>
      <c r="U192" s="7"/>
      <c r="V192" s="50">
        <f>Table13678[[#This Row],[PAGU SEMULA]]-Table13678[[#This Row],[PAGU ANGGARAN]]</f>
        <v>-114609600</v>
      </c>
      <c r="W192" s="50">
        <f>Table13678[[#This Row],[PAGU SEMULA]]-Table13678[[#This Row],[PAGU ANGGARAN]]</f>
        <v>-114609600</v>
      </c>
      <c r="X192" t="s">
        <v>984</v>
      </c>
    </row>
    <row r="193" spans="3:24" hidden="1">
      <c r="C193" s="7" t="s">
        <v>151</v>
      </c>
      <c r="D193" s="7" t="s">
        <v>152</v>
      </c>
      <c r="E193" s="7" t="s">
        <v>153</v>
      </c>
      <c r="F193" s="7" t="s">
        <v>154</v>
      </c>
      <c r="G193" s="7" t="s">
        <v>155</v>
      </c>
      <c r="H193" s="8">
        <v>100000000</v>
      </c>
      <c r="I193" s="10" t="s">
        <v>296</v>
      </c>
      <c r="J193" s="7" t="s">
        <v>297</v>
      </c>
      <c r="K193" s="10" t="s">
        <v>196</v>
      </c>
      <c r="L193" s="7" t="s">
        <v>197</v>
      </c>
      <c r="M193" s="7"/>
      <c r="N193" s="7">
        <f>VLOOKUP(J193,[1]Sheet1!$C:$D,2,FALSE)</f>
        <v>15814</v>
      </c>
      <c r="O193" s="7">
        <f>VLOOKUP(J193,[2]Desa!$A:$D,4,FALSE)</f>
        <v>1250</v>
      </c>
      <c r="P193" s="7">
        <f>VLOOKUP(J193,[3]Sheet1!$D:$F,3,FALSE)</f>
        <v>116</v>
      </c>
      <c r="Q193" s="7"/>
      <c r="R193" s="7"/>
      <c r="S193" s="12">
        <v>-8.8495641766396194</v>
      </c>
      <c r="T193" s="12">
        <v>116.057118064345</v>
      </c>
      <c r="U193" s="7"/>
      <c r="V193" s="50">
        <f>Table13678[[#This Row],[PAGU SEMULA]]-Table13678[[#This Row],[PAGU ANGGARAN]]</f>
        <v>-100000000</v>
      </c>
      <c r="W193" s="50">
        <f>Table13678[[#This Row],[PAGU SEMULA]]-Table13678[[#This Row],[PAGU ANGGARAN]]</f>
        <v>-100000000</v>
      </c>
      <c r="X193" t="s">
        <v>987</v>
      </c>
    </row>
    <row r="194" spans="3:24" hidden="1">
      <c r="C194" s="7" t="s">
        <v>198</v>
      </c>
      <c r="D194" s="7" t="s">
        <v>199</v>
      </c>
      <c r="E194" s="7" t="s">
        <v>200</v>
      </c>
      <c r="F194" s="7" t="s">
        <v>201</v>
      </c>
      <c r="G194" s="7" t="s">
        <v>202</v>
      </c>
      <c r="H194" s="8">
        <v>76620000</v>
      </c>
      <c r="I194" s="10" t="s">
        <v>296</v>
      </c>
      <c r="J194" s="7" t="s">
        <v>297</v>
      </c>
      <c r="K194" s="10" t="s">
        <v>196</v>
      </c>
      <c r="L194" s="7" t="s">
        <v>197</v>
      </c>
      <c r="M194" s="7"/>
      <c r="N194" s="7">
        <f>VLOOKUP(J194,[1]Sheet1!$C:$D,2,FALSE)</f>
        <v>15814</v>
      </c>
      <c r="O194" s="7">
        <f>VLOOKUP(J194,[2]Desa!$A:$D,4,FALSE)</f>
        <v>1250</v>
      </c>
      <c r="P194" s="7">
        <f>VLOOKUP(J194,[3]Sheet1!$D:$F,3,FALSE)</f>
        <v>116</v>
      </c>
      <c r="Q194" s="7"/>
      <c r="R194" s="7"/>
      <c r="S194" s="12">
        <v>-8.8495641766396194</v>
      </c>
      <c r="T194" s="12">
        <v>116.057118064345</v>
      </c>
      <c r="U194" s="7"/>
      <c r="V194" s="50">
        <f>Table13678[[#This Row],[PAGU SEMULA]]-Table13678[[#This Row],[PAGU ANGGARAN]]</f>
        <v>-76620000</v>
      </c>
      <c r="W194" s="50">
        <f>Table13678[[#This Row],[PAGU SEMULA]]-Table13678[[#This Row],[PAGU ANGGARAN]]</f>
        <v>-76620000</v>
      </c>
      <c r="X194" t="s">
        <v>982</v>
      </c>
    </row>
    <row r="195" spans="3:24" hidden="1">
      <c r="C195" s="7" t="s">
        <v>110</v>
      </c>
      <c r="D195" s="7" t="s">
        <v>305</v>
      </c>
      <c r="E195" s="7" t="s">
        <v>306</v>
      </c>
      <c r="F195" s="7" t="s">
        <v>307</v>
      </c>
      <c r="G195" s="71" t="s">
        <v>308</v>
      </c>
      <c r="H195" s="8">
        <v>2400000</v>
      </c>
      <c r="I195" s="10" t="s">
        <v>296</v>
      </c>
      <c r="J195" s="7" t="s">
        <v>297</v>
      </c>
      <c r="K195" s="10" t="s">
        <v>196</v>
      </c>
      <c r="L195" s="7" t="s">
        <v>197</v>
      </c>
      <c r="M195" s="7"/>
      <c r="N195" s="7">
        <f>VLOOKUP(J195,[1]Sheet1!$C:$D,2,FALSE)</f>
        <v>15814</v>
      </c>
      <c r="O195" s="7">
        <f>VLOOKUP(J195,[2]Desa!$A:$D,4,FALSE)</f>
        <v>1250</v>
      </c>
      <c r="P195" s="7">
        <f>VLOOKUP(J195,[3]Sheet1!$D:$F,3,FALSE)</f>
        <v>116</v>
      </c>
      <c r="Q195" s="7"/>
      <c r="R195" s="7"/>
      <c r="S195" s="12">
        <v>-8.8495641766396194</v>
      </c>
      <c r="T195" s="12">
        <v>116.057118064345</v>
      </c>
      <c r="U195" s="7"/>
      <c r="V195" s="50">
        <f>Table13678[[#This Row],[PAGU SEMULA]]-Table13678[[#This Row],[PAGU ANGGARAN]]</f>
        <v>-2400000</v>
      </c>
      <c r="W195" s="50">
        <f>Table13678[[#This Row],[PAGU SEMULA]]-Table13678[[#This Row],[PAGU ANGGARAN]]</f>
        <v>-2400000</v>
      </c>
      <c r="X195" t="s">
        <v>982</v>
      </c>
    </row>
    <row r="196" spans="3:24" hidden="1">
      <c r="C196" s="7" t="s">
        <v>35</v>
      </c>
      <c r="D196" s="7" t="s">
        <v>36</v>
      </c>
      <c r="E196" s="7" t="s">
        <v>37</v>
      </c>
      <c r="F196" s="7" t="s">
        <v>38</v>
      </c>
      <c r="G196" s="7" t="s">
        <v>39</v>
      </c>
      <c r="H196" s="15">
        <v>105000000</v>
      </c>
      <c r="I196" s="10" t="s">
        <v>296</v>
      </c>
      <c r="J196" s="7" t="s">
        <v>297</v>
      </c>
      <c r="K196" s="10" t="s">
        <v>196</v>
      </c>
      <c r="L196" s="7" t="s">
        <v>197</v>
      </c>
      <c r="M196" s="7"/>
      <c r="N196" s="7">
        <f>VLOOKUP(J196,[1]Sheet1!$C:$D,2,FALSE)</f>
        <v>15814</v>
      </c>
      <c r="O196" s="7">
        <f>VLOOKUP(J196,[2]Desa!$A:$D,4,FALSE)</f>
        <v>1250</v>
      </c>
      <c r="P196" s="7">
        <f>VLOOKUP(J196,[3]Sheet1!$D:$F,3,FALSE)</f>
        <v>116</v>
      </c>
      <c r="Q196" s="7"/>
      <c r="R196" s="7"/>
      <c r="S196" s="12">
        <v>-8.8495641766396194</v>
      </c>
      <c r="T196" s="12">
        <v>116.057118064345</v>
      </c>
      <c r="U196" s="7"/>
      <c r="V196" s="50">
        <f>Table13678[[#This Row],[PAGU SEMULA]]-Table13678[[#This Row],[PAGU ANGGARAN]]</f>
        <v>-105000000</v>
      </c>
      <c r="W196" s="50">
        <f>Table13678[[#This Row],[PAGU SEMULA]]-Table13678[[#This Row],[PAGU ANGGARAN]]</f>
        <v>-105000000</v>
      </c>
      <c r="X196" t="s">
        <v>984</v>
      </c>
    </row>
    <row r="197" spans="3:24" hidden="1">
      <c r="C197" s="7" t="s">
        <v>35</v>
      </c>
      <c r="D197" s="7" t="s">
        <v>65</v>
      </c>
      <c r="E197" s="7" t="s">
        <v>66</v>
      </c>
      <c r="F197" s="7" t="s">
        <v>93</v>
      </c>
      <c r="G197" s="7" t="s">
        <v>309</v>
      </c>
      <c r="H197" s="17">
        <v>215000000</v>
      </c>
      <c r="I197" s="10" t="s">
        <v>296</v>
      </c>
      <c r="J197" s="7" t="s">
        <v>297</v>
      </c>
      <c r="K197" s="10" t="s">
        <v>196</v>
      </c>
      <c r="L197" s="7" t="s">
        <v>197</v>
      </c>
      <c r="M197" s="7"/>
      <c r="N197" s="7">
        <f>VLOOKUP(J197,[1]Sheet1!$C:$D,2,FALSE)</f>
        <v>15814</v>
      </c>
      <c r="O197" s="7">
        <f>VLOOKUP(J197,[2]Desa!$A:$D,4,FALSE)</f>
        <v>1250</v>
      </c>
      <c r="P197" s="7">
        <f>VLOOKUP(J197,[3]Sheet1!$D:$F,3,FALSE)</f>
        <v>116</v>
      </c>
      <c r="Q197" s="7"/>
      <c r="R197" s="7"/>
      <c r="S197" s="12">
        <v>-8.8495641766396194</v>
      </c>
      <c r="T197" s="12">
        <v>116.057118064345</v>
      </c>
      <c r="U197" s="7"/>
      <c r="V197" s="50">
        <f>Table13678[[#This Row],[PAGU SEMULA]]-Table13678[[#This Row],[PAGU ANGGARAN]]</f>
        <v>-215000000</v>
      </c>
      <c r="W197" s="50">
        <f>Table13678[[#This Row],[PAGU SEMULA]]-Table13678[[#This Row],[PAGU ANGGARAN]]</f>
        <v>-215000000</v>
      </c>
      <c r="X197" t="s">
        <v>986</v>
      </c>
    </row>
    <row r="198" spans="3:24" hidden="1">
      <c r="C198" s="7" t="s">
        <v>35</v>
      </c>
      <c r="D198" s="7" t="s">
        <v>65</v>
      </c>
      <c r="E198" s="7" t="s">
        <v>66</v>
      </c>
      <c r="F198" s="7" t="s">
        <v>67</v>
      </c>
      <c r="G198" s="7" t="s">
        <v>310</v>
      </c>
      <c r="H198" s="15">
        <v>0</v>
      </c>
      <c r="I198" s="10" t="s">
        <v>296</v>
      </c>
      <c r="J198" s="7" t="s">
        <v>297</v>
      </c>
      <c r="K198" s="10" t="s">
        <v>196</v>
      </c>
      <c r="L198" s="7" t="s">
        <v>197</v>
      </c>
      <c r="M198" s="7"/>
      <c r="N198" s="7">
        <f>VLOOKUP(J198,[1]Sheet1!$C:$D,2,FALSE)</f>
        <v>15814</v>
      </c>
      <c r="O198" s="7">
        <f>VLOOKUP(J198,[2]Desa!$A:$D,4,FALSE)</f>
        <v>1250</v>
      </c>
      <c r="P198" s="7">
        <f>VLOOKUP(J198,[3]Sheet1!$D:$F,3,FALSE)</f>
        <v>116</v>
      </c>
      <c r="Q198" s="7"/>
      <c r="R198" s="7"/>
      <c r="S198" s="12">
        <v>-8.8495641766396194</v>
      </c>
      <c r="T198" s="12">
        <v>116.057118064345</v>
      </c>
      <c r="U198" s="7"/>
      <c r="V198" s="50">
        <f>Table13678[[#This Row],[PAGU SEMULA]]-Table13678[[#This Row],[PAGU ANGGARAN]]</f>
        <v>0</v>
      </c>
      <c r="W198" s="50">
        <f>Table13678[[#This Row],[PAGU SEMULA]]-Table13678[[#This Row],[PAGU ANGGARAN]]</f>
        <v>0</v>
      </c>
      <c r="X198" t="s">
        <v>986</v>
      </c>
    </row>
    <row r="199" spans="3:24" hidden="1">
      <c r="C199" s="7" t="s">
        <v>35</v>
      </c>
      <c r="D199" s="7" t="s">
        <v>52</v>
      </c>
      <c r="E199" s="7" t="s">
        <v>95</v>
      </c>
      <c r="F199" s="7" t="s">
        <v>96</v>
      </c>
      <c r="G199" s="7" t="s">
        <v>41</v>
      </c>
      <c r="H199" s="17">
        <v>193500000</v>
      </c>
      <c r="I199" s="10" t="s">
        <v>296</v>
      </c>
      <c r="J199" s="7" t="s">
        <v>297</v>
      </c>
      <c r="K199" s="10" t="s">
        <v>196</v>
      </c>
      <c r="L199" s="7" t="s">
        <v>197</v>
      </c>
      <c r="M199" s="7"/>
      <c r="N199" s="7">
        <f>VLOOKUP(J199,[1]Sheet1!$C:$D,2,FALSE)</f>
        <v>15814</v>
      </c>
      <c r="O199" s="7">
        <f>VLOOKUP(J199,[2]Desa!$A:$D,4,FALSE)</f>
        <v>1250</v>
      </c>
      <c r="P199" s="7">
        <f>VLOOKUP(J199,[3]Sheet1!$D:$F,3,FALSE)</f>
        <v>116</v>
      </c>
      <c r="Q199" s="7"/>
      <c r="R199" s="7"/>
      <c r="S199" s="12">
        <v>-8.8495641766396194</v>
      </c>
      <c r="T199" s="12">
        <v>116.057118064345</v>
      </c>
      <c r="U199" s="7"/>
      <c r="V199" s="50">
        <f>Table13678[[#This Row],[PAGU SEMULA]]-Table13678[[#This Row],[PAGU ANGGARAN]]</f>
        <v>-193500000</v>
      </c>
      <c r="W199" s="50">
        <f>Table13678[[#This Row],[PAGU SEMULA]]-Table13678[[#This Row],[PAGU ANGGARAN]]</f>
        <v>-193500000</v>
      </c>
      <c r="X199" t="s">
        <v>986</v>
      </c>
    </row>
    <row r="200" spans="3:24" hidden="1">
      <c r="C200" s="7" t="s">
        <v>35</v>
      </c>
      <c r="D200" s="7" t="s">
        <v>52</v>
      </c>
      <c r="E200" s="7" t="s">
        <v>95</v>
      </c>
      <c r="F200" s="7" t="s">
        <v>96</v>
      </c>
      <c r="G200" s="7" t="s">
        <v>311</v>
      </c>
      <c r="H200" s="17">
        <v>96750000</v>
      </c>
      <c r="I200" s="10" t="s">
        <v>296</v>
      </c>
      <c r="J200" s="7" t="s">
        <v>297</v>
      </c>
      <c r="K200" s="10" t="s">
        <v>196</v>
      </c>
      <c r="L200" s="7" t="s">
        <v>197</v>
      </c>
      <c r="M200" s="7"/>
      <c r="N200" s="7">
        <f>VLOOKUP(J200,[1]Sheet1!$C:$D,2,FALSE)</f>
        <v>15814</v>
      </c>
      <c r="O200" s="7">
        <f>VLOOKUP(J200,[2]Desa!$A:$D,4,FALSE)</f>
        <v>1250</v>
      </c>
      <c r="P200" s="7">
        <f>VLOOKUP(J200,[3]Sheet1!$D:$F,3,FALSE)</f>
        <v>116</v>
      </c>
      <c r="Q200" s="7"/>
      <c r="R200" s="7"/>
      <c r="S200" s="12">
        <v>-8.8495641766396194</v>
      </c>
      <c r="T200" s="12">
        <v>116.057118064345</v>
      </c>
      <c r="U200" s="7"/>
      <c r="V200" s="50">
        <f>Table13678[[#This Row],[PAGU SEMULA]]-Table13678[[#This Row],[PAGU ANGGARAN]]</f>
        <v>-96750000</v>
      </c>
      <c r="W200" s="50">
        <f>Table13678[[#This Row],[PAGU SEMULA]]-Table13678[[#This Row],[PAGU ANGGARAN]]</f>
        <v>-96750000</v>
      </c>
      <c r="X200" t="s">
        <v>986</v>
      </c>
    </row>
    <row r="201" spans="3:24" hidden="1">
      <c r="C201" s="7" t="s">
        <v>29</v>
      </c>
      <c r="D201" s="7" t="s">
        <v>30</v>
      </c>
      <c r="E201" s="7" t="s">
        <v>31</v>
      </c>
      <c r="F201" s="7" t="s">
        <v>32</v>
      </c>
      <c r="G201" s="7" t="s">
        <v>33</v>
      </c>
      <c r="H201" s="8">
        <v>279720000</v>
      </c>
      <c r="I201" s="10" t="s">
        <v>312</v>
      </c>
      <c r="J201" s="7" t="s">
        <v>313</v>
      </c>
      <c r="K201" s="10" t="s">
        <v>58</v>
      </c>
      <c r="L201" s="7" t="s">
        <v>59</v>
      </c>
      <c r="M201" s="7"/>
      <c r="N201" s="7">
        <f>VLOOKUP(J201,[1]Sheet1!$C:$D,2,FALSE)</f>
        <v>4805</v>
      </c>
      <c r="O201" s="7">
        <f>VLOOKUP(J201,[2]Desa!$A:$D,4,FALSE)</f>
        <v>260</v>
      </c>
      <c r="P201" s="7">
        <f>VLOOKUP(J201,[3]Sheet1!$D:$F,3,FALSE)</f>
        <v>25</v>
      </c>
      <c r="Q201" s="7"/>
      <c r="R201" s="7"/>
      <c r="S201" s="12">
        <v>-8.5477030454129306</v>
      </c>
      <c r="T201" s="12">
        <v>116.226457006687</v>
      </c>
      <c r="U201" s="7"/>
      <c r="V201" s="50">
        <f>Table13678[[#This Row],[PAGU SEMULA]]-Table13678[[#This Row],[PAGU ANGGARAN]]</f>
        <v>-279720000</v>
      </c>
      <c r="W201" s="50">
        <f>Table13678[[#This Row],[PAGU SEMULA]]-Table13678[[#This Row],[PAGU ANGGARAN]]</f>
        <v>-279720000</v>
      </c>
      <c r="X201" t="s">
        <v>984</v>
      </c>
    </row>
    <row r="202" spans="3:24" hidden="1">
      <c r="C202" s="7" t="s">
        <v>29</v>
      </c>
      <c r="D202" s="7" t="s">
        <v>30</v>
      </c>
      <c r="E202" s="7" t="s">
        <v>31</v>
      </c>
      <c r="F202" s="7" t="s">
        <v>32</v>
      </c>
      <c r="G202" s="7" t="s">
        <v>34</v>
      </c>
      <c r="H202" s="8">
        <v>22377600</v>
      </c>
      <c r="I202" s="10" t="s">
        <v>312</v>
      </c>
      <c r="J202" s="7" t="s">
        <v>313</v>
      </c>
      <c r="K202" s="10" t="s">
        <v>58</v>
      </c>
      <c r="L202" s="7" t="s">
        <v>59</v>
      </c>
      <c r="M202" s="7"/>
      <c r="N202" s="7">
        <f>VLOOKUP(J202,[1]Sheet1!$C:$D,2,FALSE)</f>
        <v>4805</v>
      </c>
      <c r="O202" s="7">
        <f>VLOOKUP(J202,[2]Desa!$A:$D,4,FALSE)</f>
        <v>260</v>
      </c>
      <c r="P202" s="7">
        <f>VLOOKUP(J202,[3]Sheet1!$D:$F,3,FALSE)</f>
        <v>25</v>
      </c>
      <c r="Q202" s="7"/>
      <c r="R202" s="7"/>
      <c r="S202" s="12">
        <v>-8.5477030454129306</v>
      </c>
      <c r="T202" s="12">
        <v>116.226457006687</v>
      </c>
      <c r="U202" s="7"/>
      <c r="V202" s="50">
        <f>Table13678[[#This Row],[PAGU SEMULA]]-Table13678[[#This Row],[PAGU ANGGARAN]]</f>
        <v>-22377600</v>
      </c>
      <c r="W202" s="50">
        <f>Table13678[[#This Row],[PAGU SEMULA]]-Table13678[[#This Row],[PAGU ANGGARAN]]</f>
        <v>-22377600</v>
      </c>
      <c r="X202" t="s">
        <v>984</v>
      </c>
    </row>
    <row r="203" spans="3:24" hidden="1">
      <c r="C203" s="7" t="s">
        <v>60</v>
      </c>
      <c r="D203" s="7" t="s">
        <v>185</v>
      </c>
      <c r="E203" s="7" t="s">
        <v>186</v>
      </c>
      <c r="F203" s="7" t="s">
        <v>187</v>
      </c>
      <c r="G203" s="71" t="s">
        <v>250</v>
      </c>
      <c r="H203" s="15">
        <v>114000000</v>
      </c>
      <c r="I203" s="10" t="s">
        <v>312</v>
      </c>
      <c r="J203" s="7" t="s">
        <v>313</v>
      </c>
      <c r="K203" s="10" t="s">
        <v>58</v>
      </c>
      <c r="L203" s="7" t="s">
        <v>59</v>
      </c>
      <c r="M203" s="7"/>
      <c r="N203" s="7">
        <f>VLOOKUP(J203,[1]Sheet1!$C:$D,2,FALSE)</f>
        <v>4805</v>
      </c>
      <c r="O203" s="7">
        <f>VLOOKUP(J203,[2]Desa!$A:$D,4,FALSE)</f>
        <v>260</v>
      </c>
      <c r="P203" s="7">
        <f>VLOOKUP(J203,[3]Sheet1!$D:$F,3,FALSE)</f>
        <v>25</v>
      </c>
      <c r="Q203" s="7"/>
      <c r="R203" s="7"/>
      <c r="S203" s="12">
        <v>-8.5477030454129306</v>
      </c>
      <c r="T203" s="12">
        <v>116.226457006687</v>
      </c>
      <c r="U203" s="7"/>
      <c r="V203" s="50">
        <f>Table13678[[#This Row],[PAGU SEMULA]]-Table13678[[#This Row],[PAGU ANGGARAN]]</f>
        <v>-114000000</v>
      </c>
      <c r="W203" s="50">
        <f>Table13678[[#This Row],[PAGU SEMULA]]-Table13678[[#This Row],[PAGU ANGGARAN]]</f>
        <v>-114000000</v>
      </c>
      <c r="X203" t="s">
        <v>987</v>
      </c>
    </row>
    <row r="204" spans="3:24" hidden="1">
      <c r="C204" s="7" t="s">
        <v>110</v>
      </c>
      <c r="D204" s="7" t="s">
        <v>314</v>
      </c>
      <c r="E204" s="7" t="s">
        <v>315</v>
      </c>
      <c r="F204" s="7" t="s">
        <v>316</v>
      </c>
      <c r="G204" s="71" t="s">
        <v>317</v>
      </c>
      <c r="H204" s="8">
        <v>99450000</v>
      </c>
      <c r="I204" s="10" t="s">
        <v>312</v>
      </c>
      <c r="J204" s="7" t="s">
        <v>313</v>
      </c>
      <c r="K204" s="10" t="s">
        <v>58</v>
      </c>
      <c r="L204" s="7" t="s">
        <v>59</v>
      </c>
      <c r="M204" s="7"/>
      <c r="N204" s="7">
        <f>VLOOKUP(J204,[1]Sheet1!$C:$D,2,FALSE)</f>
        <v>4805</v>
      </c>
      <c r="O204" s="7">
        <f>VLOOKUP(J204,[2]Desa!$A:$D,4,FALSE)</f>
        <v>260</v>
      </c>
      <c r="P204" s="7">
        <f>VLOOKUP(J204,[3]Sheet1!$D:$F,3,FALSE)</f>
        <v>25</v>
      </c>
      <c r="Q204" s="7"/>
      <c r="R204" s="7"/>
      <c r="S204" s="12">
        <v>-8.5477030454129306</v>
      </c>
      <c r="T204" s="12">
        <v>116.226457006687</v>
      </c>
      <c r="U204" s="7"/>
      <c r="V204" s="50">
        <f>Table13678[[#This Row],[PAGU SEMULA]]-Table13678[[#This Row],[PAGU ANGGARAN]]</f>
        <v>-99450000</v>
      </c>
      <c r="W204" s="50">
        <f>Table13678[[#This Row],[PAGU SEMULA]]-Table13678[[#This Row],[PAGU ANGGARAN]]</f>
        <v>-99450000</v>
      </c>
      <c r="X204" t="s">
        <v>982</v>
      </c>
    </row>
    <row r="205" spans="3:24" hidden="1">
      <c r="C205" s="7" t="s">
        <v>35</v>
      </c>
      <c r="D205" s="7" t="s">
        <v>36</v>
      </c>
      <c r="E205" s="7" t="s">
        <v>37</v>
      </c>
      <c r="F205" s="7" t="s">
        <v>38</v>
      </c>
      <c r="G205" s="7" t="s">
        <v>39</v>
      </c>
      <c r="H205" s="15">
        <v>75000000</v>
      </c>
      <c r="I205" s="10" t="s">
        <v>312</v>
      </c>
      <c r="J205" s="7" t="s">
        <v>313</v>
      </c>
      <c r="K205" s="10" t="s">
        <v>58</v>
      </c>
      <c r="L205" s="7" t="s">
        <v>59</v>
      </c>
      <c r="M205" s="7"/>
      <c r="N205" s="7">
        <f>VLOOKUP(J205,[1]Sheet1!$C:$D,2,FALSE)</f>
        <v>4805</v>
      </c>
      <c r="O205" s="7">
        <f>VLOOKUP(J205,[2]Desa!$A:$D,4,FALSE)</f>
        <v>260</v>
      </c>
      <c r="P205" s="7">
        <f>VLOOKUP(J205,[3]Sheet1!$D:$F,3,FALSE)</f>
        <v>25</v>
      </c>
      <c r="Q205" s="7"/>
      <c r="R205" s="7"/>
      <c r="S205" s="12">
        <v>-8.5477030454129306</v>
      </c>
      <c r="T205" s="12">
        <v>116.226457006687</v>
      </c>
      <c r="U205" s="7"/>
      <c r="V205" s="50">
        <f>Table13678[[#This Row],[PAGU SEMULA]]-Table13678[[#This Row],[PAGU ANGGARAN]]</f>
        <v>-75000000</v>
      </c>
      <c r="W205" s="50">
        <f>Table13678[[#This Row],[PAGU SEMULA]]-Table13678[[#This Row],[PAGU ANGGARAN]]</f>
        <v>-75000000</v>
      </c>
      <c r="X205" t="s">
        <v>984</v>
      </c>
    </row>
    <row r="206" spans="3:24" hidden="1">
      <c r="C206" s="7" t="s">
        <v>35</v>
      </c>
      <c r="D206" s="7" t="s">
        <v>52</v>
      </c>
      <c r="E206" s="7" t="s">
        <v>95</v>
      </c>
      <c r="F206" s="7" t="s">
        <v>96</v>
      </c>
      <c r="G206" s="7" t="s">
        <v>318</v>
      </c>
      <c r="H206" s="17">
        <v>48375000</v>
      </c>
      <c r="I206" s="10" t="s">
        <v>312</v>
      </c>
      <c r="J206" s="7" t="s">
        <v>313</v>
      </c>
      <c r="K206" s="10" t="s">
        <v>58</v>
      </c>
      <c r="L206" s="7" t="s">
        <v>59</v>
      </c>
      <c r="M206" s="7"/>
      <c r="N206" s="7">
        <f>VLOOKUP(J206,[1]Sheet1!$C:$D,2,FALSE)</f>
        <v>4805</v>
      </c>
      <c r="O206" s="7">
        <f>VLOOKUP(J206,[2]Desa!$A:$D,4,FALSE)</f>
        <v>260</v>
      </c>
      <c r="P206" s="7">
        <f>VLOOKUP(J206,[3]Sheet1!$D:$F,3,FALSE)</f>
        <v>25</v>
      </c>
      <c r="Q206" s="7"/>
      <c r="R206" s="7"/>
      <c r="S206" s="12">
        <v>-8.5477030454129306</v>
      </c>
      <c r="T206" s="12">
        <v>116.226457006687</v>
      </c>
      <c r="U206" s="7"/>
      <c r="V206" s="50">
        <f>Table13678[[#This Row],[PAGU SEMULA]]-Table13678[[#This Row],[PAGU ANGGARAN]]</f>
        <v>-48375000</v>
      </c>
      <c r="W206" s="50">
        <f>Table13678[[#This Row],[PAGU SEMULA]]-Table13678[[#This Row],[PAGU ANGGARAN]]</f>
        <v>-48375000</v>
      </c>
      <c r="X206" t="s">
        <v>986</v>
      </c>
    </row>
    <row r="207" spans="3:24" hidden="1">
      <c r="C207" s="7" t="s">
        <v>35</v>
      </c>
      <c r="D207" s="7" t="s">
        <v>52</v>
      </c>
      <c r="E207" s="7" t="s">
        <v>95</v>
      </c>
      <c r="F207" s="7" t="s">
        <v>96</v>
      </c>
      <c r="G207" s="7" t="s">
        <v>319</v>
      </c>
      <c r="H207" s="17">
        <v>145125000</v>
      </c>
      <c r="I207" s="10" t="s">
        <v>312</v>
      </c>
      <c r="J207" s="7" t="s">
        <v>313</v>
      </c>
      <c r="K207" s="10" t="s">
        <v>58</v>
      </c>
      <c r="L207" s="7" t="s">
        <v>59</v>
      </c>
      <c r="M207" s="7"/>
      <c r="N207" s="7">
        <f>VLOOKUP(J207,[1]Sheet1!$C:$D,2,FALSE)</f>
        <v>4805</v>
      </c>
      <c r="O207" s="7">
        <f>VLOOKUP(J207,[2]Desa!$A:$D,4,FALSE)</f>
        <v>260</v>
      </c>
      <c r="P207" s="7">
        <f>VLOOKUP(J207,[3]Sheet1!$D:$F,3,FALSE)</f>
        <v>25</v>
      </c>
      <c r="Q207" s="7"/>
      <c r="R207" s="7"/>
      <c r="S207" s="12">
        <v>-8.5477030454129306</v>
      </c>
      <c r="T207" s="12">
        <v>116.226457006687</v>
      </c>
      <c r="U207" s="7"/>
      <c r="V207" s="50">
        <f>Table13678[[#This Row],[PAGU SEMULA]]-Table13678[[#This Row],[PAGU ANGGARAN]]</f>
        <v>-145125000</v>
      </c>
      <c r="W207" s="50">
        <f>Table13678[[#This Row],[PAGU SEMULA]]-Table13678[[#This Row],[PAGU ANGGARAN]]</f>
        <v>-145125000</v>
      </c>
      <c r="X207" t="s">
        <v>986</v>
      </c>
    </row>
    <row r="208" spans="3:24" hidden="1">
      <c r="C208" s="7" t="s">
        <v>35</v>
      </c>
      <c r="D208" s="7" t="s">
        <v>52</v>
      </c>
      <c r="E208" s="7" t="s">
        <v>95</v>
      </c>
      <c r="F208" s="7" t="s">
        <v>96</v>
      </c>
      <c r="G208" s="7" t="s">
        <v>320</v>
      </c>
      <c r="H208" s="17">
        <v>387000000</v>
      </c>
      <c r="I208" s="10" t="s">
        <v>312</v>
      </c>
      <c r="J208" s="7" t="s">
        <v>313</v>
      </c>
      <c r="K208" s="10" t="s">
        <v>58</v>
      </c>
      <c r="L208" s="7" t="s">
        <v>59</v>
      </c>
      <c r="M208" s="7"/>
      <c r="N208" s="7">
        <f>VLOOKUP(J208,[1]Sheet1!$C:$D,2,FALSE)</f>
        <v>4805</v>
      </c>
      <c r="O208" s="7">
        <f>VLOOKUP(J208,[2]Desa!$A:$D,4,FALSE)</f>
        <v>260</v>
      </c>
      <c r="P208" s="7">
        <f>VLOOKUP(J208,[3]Sheet1!$D:$F,3,FALSE)</f>
        <v>25</v>
      </c>
      <c r="Q208" s="7"/>
      <c r="R208" s="7"/>
      <c r="S208" s="12">
        <v>-8.5477030454129306</v>
      </c>
      <c r="T208" s="12">
        <v>116.226457006687</v>
      </c>
      <c r="U208" s="7"/>
      <c r="V208" s="50">
        <f>Table13678[[#This Row],[PAGU SEMULA]]-Table13678[[#This Row],[PAGU ANGGARAN]]</f>
        <v>-387000000</v>
      </c>
      <c r="W208" s="50">
        <f>Table13678[[#This Row],[PAGU SEMULA]]-Table13678[[#This Row],[PAGU ANGGARAN]]</f>
        <v>-387000000</v>
      </c>
      <c r="X208" t="s">
        <v>986</v>
      </c>
    </row>
    <row r="209" spans="3:24" hidden="1">
      <c r="C209" s="7" t="s">
        <v>51</v>
      </c>
      <c r="D209" s="7" t="s">
        <v>52</v>
      </c>
      <c r="E209" s="7" t="s">
        <v>53</v>
      </c>
      <c r="F209" s="7" t="s">
        <v>54</v>
      </c>
      <c r="G209" s="7" t="s">
        <v>73</v>
      </c>
      <c r="H209" s="8">
        <v>189090000</v>
      </c>
      <c r="I209" s="10" t="s">
        <v>312</v>
      </c>
      <c r="J209" s="7" t="s">
        <v>313</v>
      </c>
      <c r="K209" s="10" t="s">
        <v>58</v>
      </c>
      <c r="L209" s="7" t="s">
        <v>59</v>
      </c>
      <c r="M209" s="7"/>
      <c r="N209" s="7">
        <f>VLOOKUP(J209,[1]Sheet1!$C:$D,2,FALSE)</f>
        <v>4805</v>
      </c>
      <c r="O209" s="7">
        <f>VLOOKUP(J209,[2]Desa!$A:$D,4,FALSE)</f>
        <v>260</v>
      </c>
      <c r="P209" s="7">
        <f>VLOOKUP(J209,[3]Sheet1!$D:$F,3,FALSE)</f>
        <v>25</v>
      </c>
      <c r="Q209" s="7"/>
      <c r="R209" s="7"/>
      <c r="S209" s="12">
        <v>-8.5477030454129306</v>
      </c>
      <c r="T209" s="12">
        <v>116.226457006687</v>
      </c>
      <c r="U209" s="7"/>
      <c r="V209" s="50">
        <f>Table13678[[#This Row],[PAGU SEMULA]]-Table13678[[#This Row],[PAGU ANGGARAN]]</f>
        <v>-189090000</v>
      </c>
      <c r="W209" s="50">
        <f>Table13678[[#This Row],[PAGU SEMULA]]-Table13678[[#This Row],[PAGU ANGGARAN]]</f>
        <v>-189090000</v>
      </c>
      <c r="X209" t="s">
        <v>986</v>
      </c>
    </row>
    <row r="210" spans="3:24" hidden="1">
      <c r="C210" s="7" t="s">
        <v>51</v>
      </c>
      <c r="D210" s="7" t="s">
        <v>65</v>
      </c>
      <c r="E210" s="7" t="s">
        <v>321</v>
      </c>
      <c r="F210" s="7" t="s">
        <v>322</v>
      </c>
      <c r="G210" s="7" t="s">
        <v>67</v>
      </c>
      <c r="H210" s="8">
        <v>200000000</v>
      </c>
      <c r="I210" s="10" t="s">
        <v>312</v>
      </c>
      <c r="J210" s="7" t="s">
        <v>313</v>
      </c>
      <c r="K210" s="10" t="s">
        <v>58</v>
      </c>
      <c r="L210" s="7" t="s">
        <v>59</v>
      </c>
      <c r="M210" s="7"/>
      <c r="N210" s="7">
        <f>VLOOKUP(J210,[1]Sheet1!$C:$D,2,FALSE)</f>
        <v>4805</v>
      </c>
      <c r="O210" s="7">
        <f>VLOOKUP(J210,[2]Desa!$A:$D,4,FALSE)</f>
        <v>260</v>
      </c>
      <c r="P210" s="7">
        <f>VLOOKUP(J210,[3]Sheet1!$D:$F,3,FALSE)</f>
        <v>25</v>
      </c>
      <c r="Q210" s="7"/>
      <c r="R210" s="7"/>
      <c r="S210" s="12">
        <v>-8.5477030454129306</v>
      </c>
      <c r="T210" s="12">
        <v>116.226457006687</v>
      </c>
      <c r="U210" s="7"/>
      <c r="V210" s="50">
        <f>Table13678[[#This Row],[PAGU SEMULA]]-Table13678[[#This Row],[PAGU ANGGARAN]]</f>
        <v>-200000000</v>
      </c>
      <c r="W210" s="50">
        <f>Table13678[[#This Row],[PAGU SEMULA]]-Table13678[[#This Row],[PAGU ANGGARAN]]</f>
        <v>-200000000</v>
      </c>
      <c r="X210" t="s">
        <v>986</v>
      </c>
    </row>
    <row r="211" spans="3:24" hidden="1">
      <c r="C211" s="7" t="s">
        <v>323</v>
      </c>
      <c r="D211" s="7" t="s">
        <v>324</v>
      </c>
      <c r="E211" s="7" t="s">
        <v>325</v>
      </c>
      <c r="F211" s="7" t="s">
        <v>326</v>
      </c>
      <c r="G211" s="7" t="s">
        <v>327</v>
      </c>
      <c r="H211" s="8">
        <v>46000000</v>
      </c>
      <c r="I211" s="10" t="s">
        <v>312</v>
      </c>
      <c r="J211" s="7" t="s">
        <v>313</v>
      </c>
      <c r="K211" s="10" t="s">
        <v>58</v>
      </c>
      <c r="L211" s="7" t="s">
        <v>59</v>
      </c>
      <c r="M211" s="7"/>
      <c r="N211" s="7">
        <f>VLOOKUP(J211,[1]Sheet1!$C:$D,2,FALSE)</f>
        <v>4805</v>
      </c>
      <c r="O211" s="7">
        <f>VLOOKUP(J211,[2]Desa!$A:$D,4,FALSE)</f>
        <v>260</v>
      </c>
      <c r="P211" s="7">
        <f>VLOOKUP(J211,[3]Sheet1!$D:$F,3,FALSE)</f>
        <v>25</v>
      </c>
      <c r="Q211" s="7"/>
      <c r="R211" s="7"/>
      <c r="S211" s="12">
        <v>-8.5477030454129306</v>
      </c>
      <c r="T211" s="12">
        <v>116.226457006687</v>
      </c>
      <c r="U211" s="7"/>
      <c r="V211" s="50">
        <f>Table13678[[#This Row],[PAGU SEMULA]]-Table13678[[#This Row],[PAGU ANGGARAN]]</f>
        <v>-46000000</v>
      </c>
      <c r="W211" s="50">
        <f>Table13678[[#This Row],[PAGU SEMULA]]-Table13678[[#This Row],[PAGU ANGGARAN]]</f>
        <v>-46000000</v>
      </c>
      <c r="X211" t="s">
        <v>982</v>
      </c>
    </row>
    <row r="212" spans="3:24" hidden="1">
      <c r="C212" s="7" t="s">
        <v>20</v>
      </c>
      <c r="D212" s="7" t="s">
        <v>104</v>
      </c>
      <c r="E212" s="7" t="s">
        <v>105</v>
      </c>
      <c r="F212" s="7" t="s">
        <v>106</v>
      </c>
      <c r="G212" s="71" t="s">
        <v>328</v>
      </c>
      <c r="H212" s="15">
        <v>298750000</v>
      </c>
      <c r="I212" s="10" t="s">
        <v>329</v>
      </c>
      <c r="J212" s="7" t="s">
        <v>330</v>
      </c>
      <c r="K212" s="10" t="s">
        <v>196</v>
      </c>
      <c r="L212" s="7" t="s">
        <v>197</v>
      </c>
      <c r="M212" s="7"/>
      <c r="N212" s="7">
        <f>VLOOKUP(J212,[1]Sheet1!$C:$D,2,FALSE)</f>
        <v>6520</v>
      </c>
      <c r="O212" s="7">
        <f>VLOOKUP(J212,[2]Desa!$A:$D,4,FALSE)</f>
        <v>402</v>
      </c>
      <c r="P212" s="7">
        <f>VLOOKUP(J212,[3]Sheet1!$D:$F,3,FALSE)</f>
        <v>72</v>
      </c>
      <c r="Q212" s="7"/>
      <c r="R212" s="7"/>
      <c r="S212" s="12">
        <v>-8.7861311471929202</v>
      </c>
      <c r="T212" s="12">
        <v>116.06988826435899</v>
      </c>
      <c r="U212" s="7"/>
      <c r="V212" s="50">
        <f>Table13678[[#This Row],[PAGU SEMULA]]-Table13678[[#This Row],[PAGU ANGGARAN]]</f>
        <v>-298750000</v>
      </c>
      <c r="W212" s="50">
        <f>Table13678[[#This Row],[PAGU SEMULA]]-Table13678[[#This Row],[PAGU ANGGARAN]]</f>
        <v>-298750000</v>
      </c>
      <c r="X212" t="s">
        <v>984</v>
      </c>
    </row>
    <row r="213" spans="3:24" hidden="1">
      <c r="C213" s="7" t="s">
        <v>20</v>
      </c>
      <c r="D213" s="7" t="s">
        <v>104</v>
      </c>
      <c r="E213" s="7" t="s">
        <v>145</v>
      </c>
      <c r="F213" s="7" t="s">
        <v>146</v>
      </c>
      <c r="G213" s="71" t="s">
        <v>331</v>
      </c>
      <c r="H213" s="15">
        <v>59000000</v>
      </c>
      <c r="I213" s="10" t="s">
        <v>329</v>
      </c>
      <c r="J213" s="7" t="s">
        <v>330</v>
      </c>
      <c r="K213" s="10" t="s">
        <v>196</v>
      </c>
      <c r="L213" s="7" t="s">
        <v>197</v>
      </c>
      <c r="M213" s="7"/>
      <c r="N213" s="7">
        <f>VLOOKUP(J213,[1]Sheet1!$C:$D,2,FALSE)</f>
        <v>6520</v>
      </c>
      <c r="O213" s="7">
        <f>VLOOKUP(J213,[2]Desa!$A:$D,4,FALSE)</f>
        <v>402</v>
      </c>
      <c r="P213" s="7">
        <f>VLOOKUP(J213,[3]Sheet1!$D:$F,3,FALSE)</f>
        <v>72</v>
      </c>
      <c r="Q213" s="7"/>
      <c r="R213" s="7"/>
      <c r="S213" s="12">
        <v>-8.7861311471929202</v>
      </c>
      <c r="T213" s="12">
        <v>116.06988826435899</v>
      </c>
      <c r="U213" s="7"/>
      <c r="V213" s="50">
        <f>Table13678[[#This Row],[PAGU SEMULA]]-Table13678[[#This Row],[PAGU ANGGARAN]]</f>
        <v>-59000000</v>
      </c>
      <c r="W213" s="50">
        <f>Table13678[[#This Row],[PAGU SEMULA]]-Table13678[[#This Row],[PAGU ANGGARAN]]</f>
        <v>-59000000</v>
      </c>
      <c r="X213" t="s">
        <v>984</v>
      </c>
    </row>
    <row r="214" spans="3:24" hidden="1">
      <c r="C214" s="7" t="s">
        <v>29</v>
      </c>
      <c r="D214" s="7" t="s">
        <v>30</v>
      </c>
      <c r="E214" s="7" t="s">
        <v>31</v>
      </c>
      <c r="F214" s="7" t="s">
        <v>32</v>
      </c>
      <c r="G214" s="7" t="s">
        <v>33</v>
      </c>
      <c r="H214" s="8">
        <v>474600000</v>
      </c>
      <c r="I214" s="10" t="s">
        <v>329</v>
      </c>
      <c r="J214" s="7" t="s">
        <v>330</v>
      </c>
      <c r="K214" s="10" t="s">
        <v>196</v>
      </c>
      <c r="L214" s="7" t="s">
        <v>197</v>
      </c>
      <c r="M214" s="7"/>
      <c r="N214" s="7">
        <f>VLOOKUP(J214,[1]Sheet1!$C:$D,2,FALSE)</f>
        <v>6520</v>
      </c>
      <c r="O214" s="7">
        <f>VLOOKUP(J214,[2]Desa!$A:$D,4,FALSE)</f>
        <v>402</v>
      </c>
      <c r="P214" s="7">
        <f>VLOOKUP(J214,[3]Sheet1!$D:$F,3,FALSE)</f>
        <v>72</v>
      </c>
      <c r="Q214" s="7"/>
      <c r="R214" s="7"/>
      <c r="S214" s="12">
        <v>-8.7861311471929202</v>
      </c>
      <c r="T214" s="12">
        <v>116.06988826435899</v>
      </c>
      <c r="U214" s="7"/>
      <c r="V214" s="50">
        <f>Table13678[[#This Row],[PAGU SEMULA]]-Table13678[[#This Row],[PAGU ANGGARAN]]</f>
        <v>-474600000</v>
      </c>
      <c r="W214" s="50">
        <f>Table13678[[#This Row],[PAGU SEMULA]]-Table13678[[#This Row],[PAGU ANGGARAN]]</f>
        <v>-474600000</v>
      </c>
      <c r="X214" t="s">
        <v>984</v>
      </c>
    </row>
    <row r="215" spans="3:24" hidden="1">
      <c r="C215" s="7" t="s">
        <v>29</v>
      </c>
      <c r="D215" s="7" t="s">
        <v>30</v>
      </c>
      <c r="E215" s="7" t="s">
        <v>31</v>
      </c>
      <c r="F215" s="7" t="s">
        <v>32</v>
      </c>
      <c r="G215" s="7" t="s">
        <v>34</v>
      </c>
      <c r="H215" s="8">
        <v>37968000</v>
      </c>
      <c r="I215" s="10" t="s">
        <v>329</v>
      </c>
      <c r="J215" s="7" t="s">
        <v>330</v>
      </c>
      <c r="K215" s="10" t="s">
        <v>196</v>
      </c>
      <c r="L215" s="7" t="s">
        <v>197</v>
      </c>
      <c r="M215" s="7"/>
      <c r="N215" s="7">
        <f>VLOOKUP(J215,[1]Sheet1!$C:$D,2,FALSE)</f>
        <v>6520</v>
      </c>
      <c r="O215" s="7">
        <f>VLOOKUP(J215,[2]Desa!$A:$D,4,FALSE)</f>
        <v>402</v>
      </c>
      <c r="P215" s="7">
        <f>VLOOKUP(J215,[3]Sheet1!$D:$F,3,FALSE)</f>
        <v>72</v>
      </c>
      <c r="Q215" s="7"/>
      <c r="R215" s="7"/>
      <c r="S215" s="12">
        <v>-8.7861311471929202</v>
      </c>
      <c r="T215" s="12">
        <v>116.06988826435899</v>
      </c>
      <c r="U215" s="7"/>
      <c r="V215" s="50">
        <f>Table13678[[#This Row],[PAGU SEMULA]]-Table13678[[#This Row],[PAGU ANGGARAN]]</f>
        <v>-37968000</v>
      </c>
      <c r="W215" s="50">
        <f>Table13678[[#This Row],[PAGU SEMULA]]-Table13678[[#This Row],[PAGU ANGGARAN]]</f>
        <v>-37968000</v>
      </c>
      <c r="X215" t="s">
        <v>984</v>
      </c>
    </row>
    <row r="216" spans="3:24" hidden="1">
      <c r="C216" s="7" t="s">
        <v>198</v>
      </c>
      <c r="D216" s="7" t="s">
        <v>332</v>
      </c>
      <c r="E216" s="7" t="s">
        <v>333</v>
      </c>
      <c r="F216" s="7" t="s">
        <v>334</v>
      </c>
      <c r="G216" s="7" t="s">
        <v>335</v>
      </c>
      <c r="H216" s="8">
        <v>77750000</v>
      </c>
      <c r="I216" s="10" t="s">
        <v>329</v>
      </c>
      <c r="J216" s="7" t="s">
        <v>330</v>
      </c>
      <c r="K216" s="10" t="s">
        <v>196</v>
      </c>
      <c r="L216" s="7" t="s">
        <v>197</v>
      </c>
      <c r="M216" s="7"/>
      <c r="N216" s="7">
        <f>VLOOKUP(J216,[1]Sheet1!$C:$D,2,FALSE)</f>
        <v>6520</v>
      </c>
      <c r="O216" s="7">
        <f>VLOOKUP(J216,[2]Desa!$A:$D,4,FALSE)</f>
        <v>402</v>
      </c>
      <c r="P216" s="7">
        <f>VLOOKUP(J216,[3]Sheet1!$D:$F,3,FALSE)</f>
        <v>72</v>
      </c>
      <c r="Q216" s="7"/>
      <c r="R216" s="7"/>
      <c r="S216" s="12">
        <v>-8.7861311471929202</v>
      </c>
      <c r="T216" s="12">
        <v>116.06988826435899</v>
      </c>
      <c r="U216" s="7"/>
      <c r="V216" s="50">
        <f>Table13678[[#This Row],[PAGU SEMULA]]-Table13678[[#This Row],[PAGU ANGGARAN]]</f>
        <v>-77750000</v>
      </c>
      <c r="W216" s="50">
        <f>Table13678[[#This Row],[PAGU SEMULA]]-Table13678[[#This Row],[PAGU ANGGARAN]]</f>
        <v>-77750000</v>
      </c>
      <c r="X216" t="s">
        <v>982</v>
      </c>
    </row>
    <row r="217" spans="3:24" hidden="1">
      <c r="C217" s="7" t="s">
        <v>35</v>
      </c>
      <c r="D217" s="7" t="s">
        <v>36</v>
      </c>
      <c r="E217" s="7" t="s">
        <v>37</v>
      </c>
      <c r="F217" s="7" t="s">
        <v>38</v>
      </c>
      <c r="G217" s="7" t="s">
        <v>39</v>
      </c>
      <c r="H217" s="15">
        <v>95000000</v>
      </c>
      <c r="I217" s="10" t="s">
        <v>329</v>
      </c>
      <c r="J217" s="7" t="s">
        <v>330</v>
      </c>
      <c r="K217" s="10" t="s">
        <v>196</v>
      </c>
      <c r="L217" s="7" t="s">
        <v>197</v>
      </c>
      <c r="M217" s="7"/>
      <c r="N217" s="7">
        <f>VLOOKUP(J217,[1]Sheet1!$C:$D,2,FALSE)</f>
        <v>6520</v>
      </c>
      <c r="O217" s="7">
        <f>VLOOKUP(J217,[2]Desa!$A:$D,4,FALSE)</f>
        <v>402</v>
      </c>
      <c r="P217" s="7">
        <f>VLOOKUP(J217,[3]Sheet1!$D:$F,3,FALSE)</f>
        <v>72</v>
      </c>
      <c r="Q217" s="7"/>
      <c r="R217" s="7"/>
      <c r="S217" s="12">
        <v>-8.7861311471929202</v>
      </c>
      <c r="T217" s="12">
        <v>116.06988826435899</v>
      </c>
      <c r="U217" s="7"/>
      <c r="V217" s="50">
        <f>Table13678[[#This Row],[PAGU SEMULA]]-Table13678[[#This Row],[PAGU ANGGARAN]]</f>
        <v>-95000000</v>
      </c>
      <c r="W217" s="50">
        <f>Table13678[[#This Row],[PAGU SEMULA]]-Table13678[[#This Row],[PAGU ANGGARAN]]</f>
        <v>-95000000</v>
      </c>
      <c r="X217" t="s">
        <v>984</v>
      </c>
    </row>
    <row r="218" spans="3:24" hidden="1">
      <c r="C218" s="7" t="s">
        <v>35</v>
      </c>
      <c r="D218" s="7" t="s">
        <v>212</v>
      </c>
      <c r="E218" s="7" t="s">
        <v>213</v>
      </c>
      <c r="F218" s="7" t="s">
        <v>214</v>
      </c>
      <c r="G218" s="7" t="s">
        <v>336</v>
      </c>
      <c r="H218" s="15">
        <v>197750000</v>
      </c>
      <c r="I218" s="10" t="s">
        <v>329</v>
      </c>
      <c r="J218" s="7" t="s">
        <v>330</v>
      </c>
      <c r="K218" s="10" t="s">
        <v>196</v>
      </c>
      <c r="L218" s="7" t="s">
        <v>197</v>
      </c>
      <c r="M218" s="7"/>
      <c r="N218" s="7">
        <f>VLOOKUP(J218,[1]Sheet1!$C:$D,2,FALSE)</f>
        <v>6520</v>
      </c>
      <c r="O218" s="7">
        <f>VLOOKUP(J218,[2]Desa!$A:$D,4,FALSE)</f>
        <v>402</v>
      </c>
      <c r="P218" s="7">
        <f>VLOOKUP(J218,[3]Sheet1!$D:$F,3,FALSE)</f>
        <v>72</v>
      </c>
      <c r="Q218" s="7"/>
      <c r="R218" s="7"/>
      <c r="S218" s="12">
        <v>-8.7861311471929202</v>
      </c>
      <c r="T218" s="12">
        <v>116.06988826435899</v>
      </c>
      <c r="U218" s="7"/>
      <c r="V218" s="50">
        <f>Table13678[[#This Row],[PAGU SEMULA]]-Table13678[[#This Row],[PAGU ANGGARAN]]</f>
        <v>-197750000</v>
      </c>
      <c r="W218" s="50">
        <f>Table13678[[#This Row],[PAGU SEMULA]]-Table13678[[#This Row],[PAGU ANGGARAN]]</f>
        <v>-197750000</v>
      </c>
      <c r="X218" t="s">
        <v>986</v>
      </c>
    </row>
    <row r="219" spans="3:24" hidden="1">
      <c r="C219" s="7" t="s">
        <v>51</v>
      </c>
      <c r="D219" s="7" t="s">
        <v>52</v>
      </c>
      <c r="E219" s="7" t="s">
        <v>53</v>
      </c>
      <c r="F219" s="7" t="s">
        <v>54</v>
      </c>
      <c r="G219" s="7" t="s">
        <v>73</v>
      </c>
      <c r="H219" s="8">
        <v>189090000</v>
      </c>
      <c r="I219" s="10" t="s">
        <v>329</v>
      </c>
      <c r="J219" s="7" t="s">
        <v>330</v>
      </c>
      <c r="K219" s="10" t="s">
        <v>196</v>
      </c>
      <c r="L219" s="7" t="s">
        <v>197</v>
      </c>
      <c r="M219" s="7"/>
      <c r="N219" s="7">
        <f>VLOOKUP(J219,[1]Sheet1!$C:$D,2,FALSE)</f>
        <v>6520</v>
      </c>
      <c r="O219" s="7">
        <f>VLOOKUP(J219,[2]Desa!$A:$D,4,FALSE)</f>
        <v>402</v>
      </c>
      <c r="P219" s="7">
        <f>VLOOKUP(J219,[3]Sheet1!$D:$F,3,FALSE)</f>
        <v>72</v>
      </c>
      <c r="Q219" s="7"/>
      <c r="R219" s="7"/>
      <c r="S219" s="12">
        <v>-8.7861311471929202</v>
      </c>
      <c r="T219" s="12">
        <v>116.06988826435899</v>
      </c>
      <c r="U219" s="7"/>
      <c r="V219" s="50">
        <f>Table13678[[#This Row],[PAGU SEMULA]]-Table13678[[#This Row],[PAGU ANGGARAN]]</f>
        <v>-189090000</v>
      </c>
      <c r="W219" s="50">
        <f>Table13678[[#This Row],[PAGU SEMULA]]-Table13678[[#This Row],[PAGU ANGGARAN]]</f>
        <v>-189090000</v>
      </c>
      <c r="X219" t="s">
        <v>986</v>
      </c>
    </row>
    <row r="220" spans="3:24" hidden="1">
      <c r="C220" s="7" t="s">
        <v>20</v>
      </c>
      <c r="D220" s="7" t="s">
        <v>104</v>
      </c>
      <c r="E220" s="7" t="s">
        <v>105</v>
      </c>
      <c r="F220" s="7" t="s">
        <v>106</v>
      </c>
      <c r="G220" s="71" t="s">
        <v>337</v>
      </c>
      <c r="H220" s="15">
        <v>397930000</v>
      </c>
      <c r="I220" s="10" t="s">
        <v>338</v>
      </c>
      <c r="J220" s="7" t="s">
        <v>339</v>
      </c>
      <c r="K220" s="10" t="s">
        <v>142</v>
      </c>
      <c r="L220" s="7" t="s">
        <v>143</v>
      </c>
      <c r="M220" s="7"/>
      <c r="N220" s="7">
        <f>VLOOKUP(J220,[1]Sheet1!$C:$D,2,FALSE)</f>
        <v>4610</v>
      </c>
      <c r="O220" s="7">
        <f>VLOOKUP(J220,[2]Desa!$A:$D,4,FALSE)</f>
        <v>157</v>
      </c>
      <c r="P220" s="7">
        <f>VLOOKUP(J220,[3]Sheet1!$D:$F,3,FALSE)</f>
        <v>35</v>
      </c>
      <c r="Q220" s="7"/>
      <c r="R220" s="7"/>
      <c r="S220" s="12">
        <v>-8.6589243669939098</v>
      </c>
      <c r="T220" s="12">
        <v>116.11763849490799</v>
      </c>
      <c r="U220" s="7"/>
      <c r="V220" s="50">
        <f>Table13678[[#This Row],[PAGU SEMULA]]-Table13678[[#This Row],[PAGU ANGGARAN]]</f>
        <v>-397930000</v>
      </c>
      <c r="W220" s="50">
        <f>Table13678[[#This Row],[PAGU SEMULA]]-Table13678[[#This Row],[PAGU ANGGARAN]]</f>
        <v>-397930000</v>
      </c>
      <c r="X220" t="s">
        <v>984</v>
      </c>
    </row>
    <row r="221" spans="3:24" hidden="1">
      <c r="C221" s="7" t="s">
        <v>29</v>
      </c>
      <c r="D221" s="7" t="s">
        <v>30</v>
      </c>
      <c r="E221" s="7" t="s">
        <v>31</v>
      </c>
      <c r="F221" s="7" t="s">
        <v>32</v>
      </c>
      <c r="G221" s="7" t="s">
        <v>33</v>
      </c>
      <c r="H221" s="8">
        <v>275940000</v>
      </c>
      <c r="I221" s="10" t="s">
        <v>338</v>
      </c>
      <c r="J221" s="7" t="s">
        <v>339</v>
      </c>
      <c r="K221" s="10" t="s">
        <v>142</v>
      </c>
      <c r="L221" s="7" t="s">
        <v>143</v>
      </c>
      <c r="M221" s="7"/>
      <c r="N221" s="7">
        <f>VLOOKUP(J221,[1]Sheet1!$C:$D,2,FALSE)</f>
        <v>4610</v>
      </c>
      <c r="O221" s="7">
        <f>VLOOKUP(J221,[2]Desa!$A:$D,4,FALSE)</f>
        <v>157</v>
      </c>
      <c r="P221" s="7">
        <f>VLOOKUP(J221,[3]Sheet1!$D:$F,3,FALSE)</f>
        <v>35</v>
      </c>
      <c r="Q221" s="7"/>
      <c r="R221" s="7"/>
      <c r="S221" s="12">
        <v>-8.6589243669939098</v>
      </c>
      <c r="T221" s="12">
        <v>116.11763849490799</v>
      </c>
      <c r="U221" s="7"/>
      <c r="V221" s="50">
        <f>Table13678[[#This Row],[PAGU SEMULA]]-Table13678[[#This Row],[PAGU ANGGARAN]]</f>
        <v>-275940000</v>
      </c>
      <c r="W221" s="50">
        <f>Table13678[[#This Row],[PAGU SEMULA]]-Table13678[[#This Row],[PAGU ANGGARAN]]</f>
        <v>-275940000</v>
      </c>
      <c r="X221" t="s">
        <v>984</v>
      </c>
    </row>
    <row r="222" spans="3:24" hidden="1">
      <c r="C222" s="7" t="s">
        <v>29</v>
      </c>
      <c r="D222" s="7" t="s">
        <v>30</v>
      </c>
      <c r="E222" s="7" t="s">
        <v>31</v>
      </c>
      <c r="F222" s="7" t="s">
        <v>32</v>
      </c>
      <c r="G222" s="7" t="s">
        <v>34</v>
      </c>
      <c r="H222" s="8">
        <v>22075200</v>
      </c>
      <c r="I222" s="10" t="s">
        <v>338</v>
      </c>
      <c r="J222" s="7" t="s">
        <v>339</v>
      </c>
      <c r="K222" s="10" t="s">
        <v>142</v>
      </c>
      <c r="L222" s="7" t="s">
        <v>143</v>
      </c>
      <c r="M222" s="7"/>
      <c r="N222" s="7">
        <f>VLOOKUP(J222,[1]Sheet1!$C:$D,2,FALSE)</f>
        <v>4610</v>
      </c>
      <c r="O222" s="7">
        <f>VLOOKUP(J222,[2]Desa!$A:$D,4,FALSE)</f>
        <v>157</v>
      </c>
      <c r="P222" s="7">
        <f>VLOOKUP(J222,[3]Sheet1!$D:$F,3,FALSE)</f>
        <v>35</v>
      </c>
      <c r="Q222" s="7"/>
      <c r="R222" s="7"/>
      <c r="S222" s="12">
        <v>-8.6589243669939098</v>
      </c>
      <c r="T222" s="12">
        <v>116.11763849490799</v>
      </c>
      <c r="U222" s="7"/>
      <c r="V222" s="50">
        <f>Table13678[[#This Row],[PAGU SEMULA]]-Table13678[[#This Row],[PAGU ANGGARAN]]</f>
        <v>-22075200</v>
      </c>
      <c r="W222" s="50">
        <f>Table13678[[#This Row],[PAGU SEMULA]]-Table13678[[#This Row],[PAGU ANGGARAN]]</f>
        <v>-22075200</v>
      </c>
      <c r="X222" t="s">
        <v>984</v>
      </c>
    </row>
    <row r="223" spans="3:24" hidden="1">
      <c r="C223" s="7" t="s">
        <v>35</v>
      </c>
      <c r="D223" s="7" t="s">
        <v>36</v>
      </c>
      <c r="E223" s="7" t="s">
        <v>37</v>
      </c>
      <c r="F223" s="7" t="s">
        <v>38</v>
      </c>
      <c r="G223" s="7" t="s">
        <v>39</v>
      </c>
      <c r="H223" s="15">
        <v>75000000</v>
      </c>
      <c r="I223" s="10" t="s">
        <v>338</v>
      </c>
      <c r="J223" s="7" t="s">
        <v>339</v>
      </c>
      <c r="K223" s="10" t="s">
        <v>142</v>
      </c>
      <c r="L223" s="7" t="s">
        <v>143</v>
      </c>
      <c r="M223" s="7"/>
      <c r="N223" s="7">
        <f>VLOOKUP(J223,[1]Sheet1!$C:$D,2,FALSE)</f>
        <v>4610</v>
      </c>
      <c r="O223" s="7">
        <f>VLOOKUP(J223,[2]Desa!$A:$D,4,FALSE)</f>
        <v>157</v>
      </c>
      <c r="P223" s="7">
        <f>VLOOKUP(J223,[3]Sheet1!$D:$F,3,FALSE)</f>
        <v>35</v>
      </c>
      <c r="Q223" s="7"/>
      <c r="R223" s="7"/>
      <c r="S223" s="12">
        <v>-8.6589243669939098</v>
      </c>
      <c r="T223" s="12">
        <v>116.11763849490799</v>
      </c>
      <c r="U223" s="7"/>
      <c r="V223" s="50">
        <f>Table13678[[#This Row],[PAGU SEMULA]]-Table13678[[#This Row],[PAGU ANGGARAN]]</f>
        <v>-75000000</v>
      </c>
      <c r="W223" s="50">
        <f>Table13678[[#This Row],[PAGU SEMULA]]-Table13678[[#This Row],[PAGU ANGGARAN]]</f>
        <v>-75000000</v>
      </c>
      <c r="X223" t="s">
        <v>984</v>
      </c>
    </row>
    <row r="224" spans="3:24" hidden="1">
      <c r="C224" s="7" t="s">
        <v>35</v>
      </c>
      <c r="D224" s="7" t="s">
        <v>65</v>
      </c>
      <c r="E224" s="7" t="s">
        <v>66</v>
      </c>
      <c r="F224" s="7" t="s">
        <v>160</v>
      </c>
      <c r="G224" s="7" t="s">
        <v>340</v>
      </c>
      <c r="H224" s="15">
        <v>1211286600</v>
      </c>
      <c r="I224" s="10" t="s">
        <v>338</v>
      </c>
      <c r="J224" s="7" t="s">
        <v>339</v>
      </c>
      <c r="K224" s="10" t="s">
        <v>142</v>
      </c>
      <c r="L224" s="7" t="s">
        <v>143</v>
      </c>
      <c r="M224" s="7"/>
      <c r="N224" s="7">
        <f>VLOOKUP(J224,[1]Sheet1!$C:$D,2,FALSE)</f>
        <v>4610</v>
      </c>
      <c r="O224" s="7">
        <f>VLOOKUP(J224,[2]Desa!$A:$D,4,FALSE)</f>
        <v>157</v>
      </c>
      <c r="P224" s="7">
        <f>VLOOKUP(J224,[3]Sheet1!$D:$F,3,FALSE)</f>
        <v>35</v>
      </c>
      <c r="Q224" s="7"/>
      <c r="R224" s="7"/>
      <c r="S224" s="12">
        <v>-8.6589243669939098</v>
      </c>
      <c r="T224" s="12">
        <v>116.11763849490799</v>
      </c>
      <c r="U224" s="7"/>
      <c r="V224" s="50">
        <f>Table13678[[#This Row],[PAGU SEMULA]]-Table13678[[#This Row],[PAGU ANGGARAN]]</f>
        <v>-1211286600</v>
      </c>
      <c r="W224" s="50">
        <f>Table13678[[#This Row],[PAGU SEMULA]]-Table13678[[#This Row],[PAGU ANGGARAN]]</f>
        <v>-1211286600</v>
      </c>
      <c r="X224" t="s">
        <v>986</v>
      </c>
    </row>
    <row r="225" spans="3:24" hidden="1">
      <c r="C225" s="7" t="s">
        <v>60</v>
      </c>
      <c r="D225" s="7" t="s">
        <v>61</v>
      </c>
      <c r="E225" s="7" t="s">
        <v>62</v>
      </c>
      <c r="F225" s="7" t="s">
        <v>63</v>
      </c>
      <c r="G225" s="71" t="s">
        <v>251</v>
      </c>
      <c r="H225" s="15">
        <v>46950000</v>
      </c>
      <c r="I225" s="10" t="s">
        <v>341</v>
      </c>
      <c r="J225" s="7" t="s">
        <v>342</v>
      </c>
      <c r="K225" s="10" t="s">
        <v>27</v>
      </c>
      <c r="L225" s="7" t="s">
        <v>28</v>
      </c>
      <c r="M225" s="7"/>
      <c r="N225" s="7">
        <f>VLOOKUP(J225,[1]Sheet1!$C:$D,2,FALSE)</f>
        <v>8762</v>
      </c>
      <c r="O225" s="7">
        <f>VLOOKUP(J225,[2]Desa!$A:$D,4,FALSE)</f>
        <v>188</v>
      </c>
      <c r="P225" s="7">
        <f>VLOOKUP(J225,[3]Sheet1!$D:$F,3,FALSE)</f>
        <v>74</v>
      </c>
      <c r="Q225" s="7"/>
      <c r="R225" s="7"/>
      <c r="S225" s="12">
        <v>-8.6801494376060102</v>
      </c>
      <c r="T225" s="12">
        <v>116.138730702275</v>
      </c>
      <c r="U225" s="7"/>
      <c r="V225" s="50">
        <f>Table13678[[#This Row],[PAGU SEMULA]]-Table13678[[#This Row],[PAGU ANGGARAN]]</f>
        <v>-46950000</v>
      </c>
      <c r="W225" s="50">
        <f>Table13678[[#This Row],[PAGU SEMULA]]-Table13678[[#This Row],[PAGU ANGGARAN]]</f>
        <v>-46950000</v>
      </c>
      <c r="X225" t="s">
        <v>987</v>
      </c>
    </row>
    <row r="226" spans="3:24" hidden="1">
      <c r="C226" s="7" t="s">
        <v>198</v>
      </c>
      <c r="D226" s="7" t="s">
        <v>343</v>
      </c>
      <c r="E226" s="7" t="s">
        <v>344</v>
      </c>
      <c r="F226" s="7" t="s">
        <v>345</v>
      </c>
      <c r="G226" s="7" t="s">
        <v>346</v>
      </c>
      <c r="H226" s="8">
        <v>141180000</v>
      </c>
      <c r="I226" s="10" t="s">
        <v>341</v>
      </c>
      <c r="J226" s="7" t="s">
        <v>342</v>
      </c>
      <c r="K226" s="10" t="s">
        <v>27</v>
      </c>
      <c r="L226" s="7" t="s">
        <v>28</v>
      </c>
      <c r="M226" s="7"/>
      <c r="N226" s="7">
        <f>VLOOKUP(J226,[1]Sheet1!$C:$D,2,FALSE)</f>
        <v>8762</v>
      </c>
      <c r="O226" s="7">
        <f>VLOOKUP(J226,[2]Desa!$A:$D,4,FALSE)</f>
        <v>188</v>
      </c>
      <c r="P226" s="7">
        <f>VLOOKUP(J226,[3]Sheet1!$D:$F,3,FALSE)</f>
        <v>74</v>
      </c>
      <c r="Q226" s="7"/>
      <c r="R226" s="7"/>
      <c r="S226" s="12">
        <v>-8.6801494376060102</v>
      </c>
      <c r="T226" s="12">
        <v>116.138730702275</v>
      </c>
      <c r="U226" s="7"/>
      <c r="V226" s="50">
        <f>Table13678[[#This Row],[PAGU SEMULA]]-Table13678[[#This Row],[PAGU ANGGARAN]]</f>
        <v>-141180000</v>
      </c>
      <c r="W226" s="50">
        <f>Table13678[[#This Row],[PAGU SEMULA]]-Table13678[[#This Row],[PAGU ANGGARAN]]</f>
        <v>-141180000</v>
      </c>
      <c r="X226" t="s">
        <v>982</v>
      </c>
    </row>
    <row r="227" spans="3:24" hidden="1">
      <c r="C227" s="7" t="s">
        <v>35</v>
      </c>
      <c r="D227" s="7" t="s">
        <v>36</v>
      </c>
      <c r="E227" s="7" t="s">
        <v>37</v>
      </c>
      <c r="F227" s="7" t="s">
        <v>38</v>
      </c>
      <c r="G227" s="7" t="s">
        <v>39</v>
      </c>
      <c r="H227" s="15">
        <v>75000000</v>
      </c>
      <c r="I227" s="10" t="s">
        <v>341</v>
      </c>
      <c r="J227" s="7" t="s">
        <v>342</v>
      </c>
      <c r="K227" s="10" t="s">
        <v>27</v>
      </c>
      <c r="L227" s="7" t="s">
        <v>28</v>
      </c>
      <c r="M227" s="7"/>
      <c r="N227" s="7">
        <f>VLOOKUP(J227,[1]Sheet1!$C:$D,2,FALSE)</f>
        <v>8762</v>
      </c>
      <c r="O227" s="7">
        <f>VLOOKUP(J227,[2]Desa!$A:$D,4,FALSE)</f>
        <v>188</v>
      </c>
      <c r="P227" s="7">
        <f>VLOOKUP(J227,[3]Sheet1!$D:$F,3,FALSE)</f>
        <v>74</v>
      </c>
      <c r="Q227" s="7"/>
      <c r="R227" s="7"/>
      <c r="S227" s="12">
        <v>-8.6801494376060102</v>
      </c>
      <c r="T227" s="12">
        <v>116.138730702275</v>
      </c>
      <c r="U227" s="7"/>
      <c r="V227" s="50">
        <f>Table13678[[#This Row],[PAGU SEMULA]]-Table13678[[#This Row],[PAGU ANGGARAN]]</f>
        <v>-75000000</v>
      </c>
      <c r="W227" s="50">
        <f>Table13678[[#This Row],[PAGU SEMULA]]-Table13678[[#This Row],[PAGU ANGGARAN]]</f>
        <v>-75000000</v>
      </c>
      <c r="X227" t="s">
        <v>984</v>
      </c>
    </row>
    <row r="228" spans="3:24" hidden="1">
      <c r="C228" s="7" t="s">
        <v>35</v>
      </c>
      <c r="D228" s="7" t="s">
        <v>42</v>
      </c>
      <c r="E228" s="7" t="s">
        <v>43</v>
      </c>
      <c r="F228" s="7" t="s">
        <v>44</v>
      </c>
      <c r="G228" s="7" t="s">
        <v>347</v>
      </c>
      <c r="H228" s="15">
        <v>90000000</v>
      </c>
      <c r="I228" s="10" t="s">
        <v>341</v>
      </c>
      <c r="J228" s="7" t="s">
        <v>342</v>
      </c>
      <c r="K228" s="10" t="s">
        <v>27</v>
      </c>
      <c r="L228" s="7" t="s">
        <v>28</v>
      </c>
      <c r="M228" s="7"/>
      <c r="N228" s="7">
        <f>VLOOKUP(J228,[1]Sheet1!$C:$D,2,FALSE)</f>
        <v>8762</v>
      </c>
      <c r="O228" s="7">
        <f>VLOOKUP(J228,[2]Desa!$A:$D,4,FALSE)</f>
        <v>188</v>
      </c>
      <c r="P228" s="7">
        <f>VLOOKUP(J228,[3]Sheet1!$D:$F,3,FALSE)</f>
        <v>74</v>
      </c>
      <c r="Q228" s="7"/>
      <c r="R228" s="7"/>
      <c r="S228" s="12">
        <v>-8.6801494376060102</v>
      </c>
      <c r="T228" s="12">
        <v>116.138730702275</v>
      </c>
      <c r="U228" s="7"/>
      <c r="V228" s="50">
        <f>Table13678[[#This Row],[PAGU SEMULA]]-Table13678[[#This Row],[PAGU ANGGARAN]]</f>
        <v>-90000000</v>
      </c>
      <c r="W228" s="50">
        <f>Table13678[[#This Row],[PAGU SEMULA]]-Table13678[[#This Row],[PAGU ANGGARAN]]</f>
        <v>-90000000</v>
      </c>
      <c r="X228" t="s">
        <v>986</v>
      </c>
    </row>
    <row r="229" spans="3:24" hidden="1">
      <c r="C229" s="7" t="s">
        <v>35</v>
      </c>
      <c r="D229" s="7" t="s">
        <v>255</v>
      </c>
      <c r="E229" s="7" t="s">
        <v>256</v>
      </c>
      <c r="F229" s="7" t="s">
        <v>257</v>
      </c>
      <c r="G229" s="7" t="s">
        <v>348</v>
      </c>
      <c r="H229" s="15">
        <v>4995000000</v>
      </c>
      <c r="I229" s="10" t="s">
        <v>341</v>
      </c>
      <c r="J229" s="7" t="s">
        <v>342</v>
      </c>
      <c r="K229" s="10" t="s">
        <v>27</v>
      </c>
      <c r="L229" s="7" t="s">
        <v>28</v>
      </c>
      <c r="M229" s="7"/>
      <c r="N229" s="7">
        <f>VLOOKUP(J229,[1]Sheet1!$C:$D,2,FALSE)</f>
        <v>8762</v>
      </c>
      <c r="O229" s="7">
        <f>VLOOKUP(J229,[2]Desa!$A:$D,4,FALSE)</f>
        <v>188</v>
      </c>
      <c r="P229" s="7">
        <f>VLOOKUP(J229,[3]Sheet1!$D:$F,3,FALSE)</f>
        <v>74</v>
      </c>
      <c r="Q229" s="7"/>
      <c r="R229" s="7"/>
      <c r="S229" s="12">
        <v>-8.6801494376060102</v>
      </c>
      <c r="T229" s="12">
        <v>116.138730702275</v>
      </c>
      <c r="U229" s="7"/>
      <c r="V229" s="50">
        <f>Table13678[[#This Row],[PAGU SEMULA]]-Table13678[[#This Row],[PAGU ANGGARAN]]</f>
        <v>-4995000000</v>
      </c>
      <c r="W229" s="50">
        <f>Table13678[[#This Row],[PAGU SEMULA]]-Table13678[[#This Row],[PAGU ANGGARAN]]</f>
        <v>-4995000000</v>
      </c>
      <c r="X229" t="s">
        <v>986</v>
      </c>
    </row>
    <row r="230" spans="3:24" hidden="1">
      <c r="C230" s="7" t="s">
        <v>35</v>
      </c>
      <c r="D230" s="7" t="s">
        <v>255</v>
      </c>
      <c r="E230" s="7" t="s">
        <v>256</v>
      </c>
      <c r="F230" s="7" t="s">
        <v>257</v>
      </c>
      <c r="G230" s="7" t="s">
        <v>349</v>
      </c>
      <c r="H230" s="15">
        <v>1100000000</v>
      </c>
      <c r="I230" s="10" t="s">
        <v>341</v>
      </c>
      <c r="J230" s="7" t="s">
        <v>342</v>
      </c>
      <c r="K230" s="10" t="s">
        <v>27</v>
      </c>
      <c r="L230" s="7" t="s">
        <v>28</v>
      </c>
      <c r="M230" s="7"/>
      <c r="N230" s="7">
        <f>VLOOKUP(J230,[1]Sheet1!$C:$D,2,FALSE)</f>
        <v>8762</v>
      </c>
      <c r="O230" s="7">
        <f>VLOOKUP(J230,[2]Desa!$A:$D,4,FALSE)</f>
        <v>188</v>
      </c>
      <c r="P230" s="7">
        <f>VLOOKUP(J230,[3]Sheet1!$D:$F,3,FALSE)</f>
        <v>74</v>
      </c>
      <c r="Q230" s="7"/>
      <c r="R230" s="7"/>
      <c r="S230" s="12">
        <v>-8.6801494376060102</v>
      </c>
      <c r="T230" s="12">
        <v>116.138730702275</v>
      </c>
      <c r="U230" s="7"/>
      <c r="V230" s="50">
        <f>Table13678[[#This Row],[PAGU SEMULA]]-Table13678[[#This Row],[PAGU ANGGARAN]]</f>
        <v>-1100000000</v>
      </c>
      <c r="W230" s="50">
        <f>Table13678[[#This Row],[PAGU SEMULA]]-Table13678[[#This Row],[PAGU ANGGARAN]]</f>
        <v>-1100000000</v>
      </c>
      <c r="X230" t="s">
        <v>986</v>
      </c>
    </row>
    <row r="231" spans="3:24" hidden="1">
      <c r="C231" s="7" t="s">
        <v>35</v>
      </c>
      <c r="D231" s="7" t="s">
        <v>255</v>
      </c>
      <c r="E231" s="7" t="s">
        <v>256</v>
      </c>
      <c r="F231" s="7" t="s">
        <v>257</v>
      </c>
      <c r="G231" s="7" t="s">
        <v>350</v>
      </c>
      <c r="H231" s="15">
        <v>4500000000</v>
      </c>
      <c r="I231" s="10" t="s">
        <v>341</v>
      </c>
      <c r="J231" s="7" t="s">
        <v>342</v>
      </c>
      <c r="K231" s="10" t="s">
        <v>27</v>
      </c>
      <c r="L231" s="7" t="s">
        <v>28</v>
      </c>
      <c r="M231" s="7"/>
      <c r="N231" s="7">
        <f>VLOOKUP(J231,[1]Sheet1!$C:$D,2,FALSE)</f>
        <v>8762</v>
      </c>
      <c r="O231" s="7">
        <f>VLOOKUP(J231,[2]Desa!$A:$D,4,FALSE)</f>
        <v>188</v>
      </c>
      <c r="P231" s="7">
        <f>VLOOKUP(J231,[3]Sheet1!$D:$F,3,FALSE)</f>
        <v>74</v>
      </c>
      <c r="Q231" s="7"/>
      <c r="R231" s="7"/>
      <c r="S231" s="12">
        <v>-8.6801494376060102</v>
      </c>
      <c r="T231" s="12">
        <v>116.138730702275</v>
      </c>
      <c r="U231" s="7"/>
      <c r="V231" s="50">
        <f>Table13678[[#This Row],[PAGU SEMULA]]-Table13678[[#This Row],[PAGU ANGGARAN]]</f>
        <v>-4500000000</v>
      </c>
      <c r="W231" s="50">
        <f>Table13678[[#This Row],[PAGU SEMULA]]-Table13678[[#This Row],[PAGU ANGGARAN]]</f>
        <v>-4500000000</v>
      </c>
      <c r="X231" t="s">
        <v>986</v>
      </c>
    </row>
    <row r="232" spans="3:24" hidden="1">
      <c r="C232" s="7" t="s">
        <v>35</v>
      </c>
      <c r="D232" s="7" t="s">
        <v>255</v>
      </c>
      <c r="E232" s="7" t="s">
        <v>256</v>
      </c>
      <c r="F232" s="7" t="s">
        <v>257</v>
      </c>
      <c r="G232" s="7" t="s">
        <v>351</v>
      </c>
      <c r="H232" s="15">
        <v>3050000000</v>
      </c>
      <c r="I232" s="10" t="s">
        <v>341</v>
      </c>
      <c r="J232" s="7" t="s">
        <v>342</v>
      </c>
      <c r="K232" s="10" t="s">
        <v>27</v>
      </c>
      <c r="L232" s="7" t="s">
        <v>28</v>
      </c>
      <c r="M232" s="7"/>
      <c r="N232" s="7">
        <f>VLOOKUP(J232,[1]Sheet1!$C:$D,2,FALSE)</f>
        <v>8762</v>
      </c>
      <c r="O232" s="7">
        <f>VLOOKUP(J232,[2]Desa!$A:$D,4,FALSE)</f>
        <v>188</v>
      </c>
      <c r="P232" s="7">
        <f>VLOOKUP(J232,[3]Sheet1!$D:$F,3,FALSE)</f>
        <v>74</v>
      </c>
      <c r="Q232" s="7"/>
      <c r="R232" s="7"/>
      <c r="S232" s="12">
        <v>-8.6801494376060102</v>
      </c>
      <c r="T232" s="12">
        <v>116.138730702275</v>
      </c>
      <c r="U232" s="7"/>
      <c r="V232" s="50">
        <f>Table13678[[#This Row],[PAGU SEMULA]]-Table13678[[#This Row],[PAGU ANGGARAN]]</f>
        <v>-3050000000</v>
      </c>
      <c r="W232" s="50">
        <f>Table13678[[#This Row],[PAGU SEMULA]]-Table13678[[#This Row],[PAGU ANGGARAN]]</f>
        <v>-3050000000</v>
      </c>
      <c r="X232" t="s">
        <v>986</v>
      </c>
    </row>
    <row r="233" spans="3:24" hidden="1">
      <c r="C233" s="7" t="s">
        <v>35</v>
      </c>
      <c r="D233" s="7" t="s">
        <v>255</v>
      </c>
      <c r="E233" s="7" t="s">
        <v>256</v>
      </c>
      <c r="F233" s="7" t="s">
        <v>257</v>
      </c>
      <c r="G233" s="7" t="s">
        <v>352</v>
      </c>
      <c r="H233" s="15">
        <v>1000000000</v>
      </c>
      <c r="I233" s="10" t="s">
        <v>341</v>
      </c>
      <c r="J233" s="7" t="s">
        <v>342</v>
      </c>
      <c r="K233" s="10" t="s">
        <v>27</v>
      </c>
      <c r="L233" s="7" t="s">
        <v>28</v>
      </c>
      <c r="M233" s="7"/>
      <c r="N233" s="7">
        <f>VLOOKUP(J233,[1]Sheet1!$C:$D,2,FALSE)</f>
        <v>8762</v>
      </c>
      <c r="O233" s="7">
        <f>VLOOKUP(J233,[2]Desa!$A:$D,4,FALSE)</f>
        <v>188</v>
      </c>
      <c r="P233" s="7">
        <f>VLOOKUP(J233,[3]Sheet1!$D:$F,3,FALSE)</f>
        <v>74</v>
      </c>
      <c r="Q233" s="7"/>
      <c r="R233" s="7"/>
      <c r="S233" s="12">
        <v>-8.6801494376060102</v>
      </c>
      <c r="T233" s="12">
        <v>116.138730702275</v>
      </c>
      <c r="U233" s="7"/>
      <c r="V233" s="50">
        <f>Table13678[[#This Row],[PAGU SEMULA]]-Table13678[[#This Row],[PAGU ANGGARAN]]</f>
        <v>-1000000000</v>
      </c>
      <c r="W233" s="50">
        <f>Table13678[[#This Row],[PAGU SEMULA]]-Table13678[[#This Row],[PAGU ANGGARAN]]</f>
        <v>-1000000000</v>
      </c>
      <c r="X233" t="s">
        <v>986</v>
      </c>
    </row>
    <row r="234" spans="3:24" hidden="1">
      <c r="C234" s="7" t="s">
        <v>35</v>
      </c>
      <c r="D234" s="7" t="s">
        <v>255</v>
      </c>
      <c r="E234" s="7" t="s">
        <v>256</v>
      </c>
      <c r="F234" s="7" t="s">
        <v>257</v>
      </c>
      <c r="G234" s="7" t="s">
        <v>353</v>
      </c>
      <c r="H234" s="15">
        <v>39553665000</v>
      </c>
      <c r="I234" s="10" t="s">
        <v>341</v>
      </c>
      <c r="J234" s="7" t="s">
        <v>342</v>
      </c>
      <c r="K234" s="10" t="s">
        <v>27</v>
      </c>
      <c r="L234" s="7" t="s">
        <v>28</v>
      </c>
      <c r="M234" s="7"/>
      <c r="N234" s="7">
        <f>VLOOKUP(J234,[1]Sheet1!$C:$D,2,FALSE)</f>
        <v>8762</v>
      </c>
      <c r="O234" s="7">
        <f>VLOOKUP(J234,[2]Desa!$A:$D,4,FALSE)</f>
        <v>188</v>
      </c>
      <c r="P234" s="7">
        <f>VLOOKUP(J234,[3]Sheet1!$D:$F,3,FALSE)</f>
        <v>74</v>
      </c>
      <c r="Q234" s="7"/>
      <c r="R234" s="7"/>
      <c r="S234" s="12">
        <v>-8.6801494376060102</v>
      </c>
      <c r="T234" s="12">
        <v>116.138730702275</v>
      </c>
      <c r="U234" s="7"/>
      <c r="V234" s="50">
        <f>Table13678[[#This Row],[PAGU SEMULA]]-Table13678[[#This Row],[PAGU ANGGARAN]]</f>
        <v>-39553665000</v>
      </c>
      <c r="W234" s="50">
        <f>Table13678[[#This Row],[PAGU SEMULA]]-Table13678[[#This Row],[PAGU ANGGARAN]]</f>
        <v>-39553665000</v>
      </c>
      <c r="X234" t="s">
        <v>986</v>
      </c>
    </row>
    <row r="235" spans="3:24" hidden="1">
      <c r="C235" s="7" t="s">
        <v>35</v>
      </c>
      <c r="D235" s="7" t="s">
        <v>354</v>
      </c>
      <c r="E235" s="7" t="s">
        <v>355</v>
      </c>
      <c r="F235" s="7" t="s">
        <v>356</v>
      </c>
      <c r="G235" s="7" t="s">
        <v>357</v>
      </c>
      <c r="H235" s="15">
        <v>400000000</v>
      </c>
      <c r="I235" s="10" t="s">
        <v>341</v>
      </c>
      <c r="J235" s="7" t="s">
        <v>342</v>
      </c>
      <c r="K235" s="10" t="s">
        <v>27</v>
      </c>
      <c r="L235" s="7" t="s">
        <v>28</v>
      </c>
      <c r="M235" s="7"/>
      <c r="N235" s="7">
        <f>VLOOKUP(J235,[1]Sheet1!$C:$D,2,FALSE)</f>
        <v>8762</v>
      </c>
      <c r="O235" s="7">
        <f>VLOOKUP(J235,[2]Desa!$A:$D,4,FALSE)</f>
        <v>188</v>
      </c>
      <c r="P235" s="7">
        <f>VLOOKUP(J235,[3]Sheet1!$D:$F,3,FALSE)</f>
        <v>74</v>
      </c>
      <c r="Q235" s="7"/>
      <c r="R235" s="7"/>
      <c r="S235" s="12">
        <v>-8.6801494376060102</v>
      </c>
      <c r="T235" s="12">
        <v>116.138730702275</v>
      </c>
      <c r="U235" s="7"/>
      <c r="V235" s="50">
        <f>Table13678[[#This Row],[PAGU SEMULA]]-Table13678[[#This Row],[PAGU ANGGARAN]]</f>
        <v>-400000000</v>
      </c>
      <c r="W235" s="50">
        <f>Table13678[[#This Row],[PAGU SEMULA]]-Table13678[[#This Row],[PAGU ANGGARAN]]</f>
        <v>-400000000</v>
      </c>
      <c r="X235" t="s">
        <v>986</v>
      </c>
    </row>
    <row r="236" spans="3:24" hidden="1">
      <c r="C236" s="7" t="s">
        <v>35</v>
      </c>
      <c r="D236" s="7" t="s">
        <v>354</v>
      </c>
      <c r="E236" s="7" t="s">
        <v>355</v>
      </c>
      <c r="F236" s="7" t="s">
        <v>356</v>
      </c>
      <c r="G236" s="7" t="s">
        <v>358</v>
      </c>
      <c r="H236" s="15">
        <v>1000000000</v>
      </c>
      <c r="I236" s="10" t="s">
        <v>341</v>
      </c>
      <c r="J236" s="7" t="s">
        <v>342</v>
      </c>
      <c r="K236" s="10" t="s">
        <v>27</v>
      </c>
      <c r="L236" s="7" t="s">
        <v>28</v>
      </c>
      <c r="M236" s="7"/>
      <c r="N236" s="7">
        <f>VLOOKUP(J236,[1]Sheet1!$C:$D,2,FALSE)</f>
        <v>8762</v>
      </c>
      <c r="O236" s="7">
        <f>VLOOKUP(J236,[2]Desa!$A:$D,4,FALSE)</f>
        <v>188</v>
      </c>
      <c r="P236" s="7">
        <f>VLOOKUP(J236,[3]Sheet1!$D:$F,3,FALSE)</f>
        <v>74</v>
      </c>
      <c r="Q236" s="7"/>
      <c r="R236" s="7"/>
      <c r="S236" s="12">
        <v>-8.6801494376060102</v>
      </c>
      <c r="T236" s="12">
        <v>116.138730702275</v>
      </c>
      <c r="U236" s="7"/>
      <c r="V236" s="50">
        <f>Table13678[[#This Row],[PAGU SEMULA]]-Table13678[[#This Row],[PAGU ANGGARAN]]</f>
        <v>-1000000000</v>
      </c>
      <c r="W236" s="50">
        <f>Table13678[[#This Row],[PAGU SEMULA]]-Table13678[[#This Row],[PAGU ANGGARAN]]</f>
        <v>-1000000000</v>
      </c>
      <c r="X236" t="s">
        <v>986</v>
      </c>
    </row>
    <row r="237" spans="3:24" hidden="1">
      <c r="C237" s="7" t="s">
        <v>35</v>
      </c>
      <c r="D237" s="7" t="s">
        <v>354</v>
      </c>
      <c r="E237" s="7" t="s">
        <v>355</v>
      </c>
      <c r="F237" s="7" t="s">
        <v>356</v>
      </c>
      <c r="G237" s="7" t="s">
        <v>359</v>
      </c>
      <c r="H237" s="15">
        <v>9500000000</v>
      </c>
      <c r="I237" s="10" t="s">
        <v>341</v>
      </c>
      <c r="J237" s="7" t="s">
        <v>342</v>
      </c>
      <c r="K237" s="10" t="s">
        <v>27</v>
      </c>
      <c r="L237" s="7" t="s">
        <v>28</v>
      </c>
      <c r="M237" s="7"/>
      <c r="N237" s="7">
        <f>VLOOKUP(J237,[1]Sheet1!$C:$D,2,FALSE)</f>
        <v>8762</v>
      </c>
      <c r="O237" s="7">
        <f>VLOOKUP(J237,[2]Desa!$A:$D,4,FALSE)</f>
        <v>188</v>
      </c>
      <c r="P237" s="7">
        <f>VLOOKUP(J237,[3]Sheet1!$D:$F,3,FALSE)</f>
        <v>74</v>
      </c>
      <c r="Q237" s="7"/>
      <c r="R237" s="7"/>
      <c r="S237" s="12">
        <v>-8.6801494376060102</v>
      </c>
      <c r="T237" s="12">
        <v>116.138730702275</v>
      </c>
      <c r="U237" s="7"/>
      <c r="V237" s="50">
        <f>Table13678[[#This Row],[PAGU SEMULA]]-Table13678[[#This Row],[PAGU ANGGARAN]]</f>
        <v>-9500000000</v>
      </c>
      <c r="W237" s="50">
        <f>Table13678[[#This Row],[PAGU SEMULA]]-Table13678[[#This Row],[PAGU ANGGARAN]]</f>
        <v>-9500000000</v>
      </c>
      <c r="X237" t="s">
        <v>986</v>
      </c>
    </row>
    <row r="238" spans="3:24" hidden="1">
      <c r="C238" s="7" t="s">
        <v>35</v>
      </c>
      <c r="D238" s="7" t="s">
        <v>354</v>
      </c>
      <c r="E238" s="7" t="s">
        <v>355</v>
      </c>
      <c r="F238" s="7" t="s">
        <v>356</v>
      </c>
      <c r="G238" s="7" t="s">
        <v>360</v>
      </c>
      <c r="H238" s="15">
        <v>1000000000</v>
      </c>
      <c r="I238" s="10" t="s">
        <v>341</v>
      </c>
      <c r="J238" s="7" t="s">
        <v>342</v>
      </c>
      <c r="K238" s="10" t="s">
        <v>27</v>
      </c>
      <c r="L238" s="7" t="s">
        <v>28</v>
      </c>
      <c r="M238" s="7"/>
      <c r="N238" s="7">
        <f>VLOOKUP(J238,[1]Sheet1!$C:$D,2,FALSE)</f>
        <v>8762</v>
      </c>
      <c r="O238" s="7">
        <f>VLOOKUP(J238,[2]Desa!$A:$D,4,FALSE)</f>
        <v>188</v>
      </c>
      <c r="P238" s="7">
        <f>VLOOKUP(J238,[3]Sheet1!$D:$F,3,FALSE)</f>
        <v>74</v>
      </c>
      <c r="Q238" s="7"/>
      <c r="R238" s="7"/>
      <c r="S238" s="12">
        <v>-8.6801494376060102</v>
      </c>
      <c r="T238" s="12">
        <v>116.138730702275</v>
      </c>
      <c r="U238" s="7"/>
      <c r="V238" s="50">
        <f>Table13678[[#This Row],[PAGU SEMULA]]-Table13678[[#This Row],[PAGU ANGGARAN]]</f>
        <v>-1000000000</v>
      </c>
      <c r="W238" s="50">
        <f>Table13678[[#This Row],[PAGU SEMULA]]-Table13678[[#This Row],[PAGU ANGGARAN]]</f>
        <v>-1000000000</v>
      </c>
      <c r="X238" t="s">
        <v>986</v>
      </c>
    </row>
    <row r="239" spans="3:24" hidden="1">
      <c r="C239" s="7" t="s">
        <v>35</v>
      </c>
      <c r="D239" s="7" t="s">
        <v>354</v>
      </c>
      <c r="E239" s="7" t="s">
        <v>355</v>
      </c>
      <c r="F239" s="7" t="s">
        <v>356</v>
      </c>
      <c r="G239" s="7" t="s">
        <v>361</v>
      </c>
      <c r="H239" s="15">
        <v>1000000000</v>
      </c>
      <c r="I239" s="10" t="s">
        <v>341</v>
      </c>
      <c r="J239" s="7" t="s">
        <v>342</v>
      </c>
      <c r="K239" s="10" t="s">
        <v>27</v>
      </c>
      <c r="L239" s="7" t="s">
        <v>28</v>
      </c>
      <c r="M239" s="7"/>
      <c r="N239" s="7">
        <f>VLOOKUP(J239,[1]Sheet1!$C:$D,2,FALSE)</f>
        <v>8762</v>
      </c>
      <c r="O239" s="7">
        <f>VLOOKUP(J239,[2]Desa!$A:$D,4,FALSE)</f>
        <v>188</v>
      </c>
      <c r="P239" s="7">
        <f>VLOOKUP(J239,[3]Sheet1!$D:$F,3,FALSE)</f>
        <v>74</v>
      </c>
      <c r="Q239" s="7"/>
      <c r="R239" s="7"/>
      <c r="S239" s="12">
        <v>-8.6801494376060102</v>
      </c>
      <c r="T239" s="12">
        <v>116.138730702275</v>
      </c>
      <c r="U239" s="7"/>
      <c r="V239" s="50">
        <f>Table13678[[#This Row],[PAGU SEMULA]]-Table13678[[#This Row],[PAGU ANGGARAN]]</f>
        <v>-1000000000</v>
      </c>
      <c r="W239" s="50">
        <f>Table13678[[#This Row],[PAGU SEMULA]]-Table13678[[#This Row],[PAGU ANGGARAN]]</f>
        <v>-1000000000</v>
      </c>
      <c r="X239" t="s">
        <v>986</v>
      </c>
    </row>
    <row r="240" spans="3:24" hidden="1">
      <c r="C240" s="7" t="s">
        <v>35</v>
      </c>
      <c r="D240" s="7" t="s">
        <v>354</v>
      </c>
      <c r="E240" s="7" t="s">
        <v>355</v>
      </c>
      <c r="F240" s="7" t="s">
        <v>356</v>
      </c>
      <c r="G240" s="7" t="s">
        <v>359</v>
      </c>
      <c r="H240" s="15">
        <v>2001368600</v>
      </c>
      <c r="I240" s="10" t="s">
        <v>341</v>
      </c>
      <c r="J240" s="7" t="s">
        <v>342</v>
      </c>
      <c r="K240" s="10" t="s">
        <v>27</v>
      </c>
      <c r="L240" s="7" t="s">
        <v>28</v>
      </c>
      <c r="M240" s="7"/>
      <c r="N240" s="7">
        <f>VLOOKUP(J240,[1]Sheet1!$C:$D,2,FALSE)</f>
        <v>8762</v>
      </c>
      <c r="O240" s="7">
        <f>VLOOKUP(J240,[2]Desa!$A:$D,4,FALSE)</f>
        <v>188</v>
      </c>
      <c r="P240" s="7">
        <f>VLOOKUP(J240,[3]Sheet1!$D:$F,3,FALSE)</f>
        <v>74</v>
      </c>
      <c r="Q240" s="7"/>
      <c r="R240" s="7"/>
      <c r="S240" s="12">
        <v>-8.6801494376060102</v>
      </c>
      <c r="T240" s="12">
        <v>116.138730702275</v>
      </c>
      <c r="U240" s="7"/>
      <c r="V240" s="50">
        <f>Table13678[[#This Row],[PAGU SEMULA]]-Table13678[[#This Row],[PAGU ANGGARAN]]</f>
        <v>-2001368600</v>
      </c>
      <c r="W240" s="50">
        <f>Table13678[[#This Row],[PAGU SEMULA]]-Table13678[[#This Row],[PAGU ANGGARAN]]</f>
        <v>-2001368600</v>
      </c>
      <c r="X240" t="s">
        <v>986</v>
      </c>
    </row>
    <row r="241" spans="3:24" hidden="1">
      <c r="C241" s="7" t="s">
        <v>35</v>
      </c>
      <c r="D241" s="7" t="s">
        <v>65</v>
      </c>
      <c r="E241" s="7" t="s">
        <v>66</v>
      </c>
      <c r="F241" s="7" t="s">
        <v>322</v>
      </c>
      <c r="G241" s="7" t="s">
        <v>322</v>
      </c>
      <c r="H241" s="15">
        <v>34151000</v>
      </c>
      <c r="I241" s="10" t="s">
        <v>341</v>
      </c>
      <c r="J241" s="7" t="s">
        <v>342</v>
      </c>
      <c r="K241" s="10" t="s">
        <v>27</v>
      </c>
      <c r="L241" s="7" t="s">
        <v>28</v>
      </c>
      <c r="M241" s="7"/>
      <c r="N241" s="7">
        <f>VLOOKUP(J241,[1]Sheet1!$C:$D,2,FALSE)</f>
        <v>8762</v>
      </c>
      <c r="O241" s="7">
        <f>VLOOKUP(J241,[2]Desa!$A:$D,4,FALSE)</f>
        <v>188</v>
      </c>
      <c r="P241" s="7">
        <f>VLOOKUP(J241,[3]Sheet1!$D:$F,3,FALSE)</f>
        <v>74</v>
      </c>
      <c r="Q241" s="7"/>
      <c r="R241" s="7"/>
      <c r="S241" s="12">
        <v>-8.6801494376060102</v>
      </c>
      <c r="T241" s="12">
        <v>116.138730702275</v>
      </c>
      <c r="U241" s="7"/>
      <c r="V241" s="50">
        <f>Table13678[[#This Row],[PAGU SEMULA]]-Table13678[[#This Row],[PAGU ANGGARAN]]</f>
        <v>-34151000</v>
      </c>
      <c r="W241" s="50">
        <f>Table13678[[#This Row],[PAGU SEMULA]]-Table13678[[#This Row],[PAGU ANGGARAN]]</f>
        <v>-34151000</v>
      </c>
      <c r="X241" t="s">
        <v>986</v>
      </c>
    </row>
    <row r="242" spans="3:24" hidden="1">
      <c r="C242" s="7" t="s">
        <v>35</v>
      </c>
      <c r="D242" s="7" t="s">
        <v>65</v>
      </c>
      <c r="E242" s="7" t="s">
        <v>66</v>
      </c>
      <c r="F242" s="7" t="s">
        <v>322</v>
      </c>
      <c r="G242" s="7" t="s">
        <v>322</v>
      </c>
      <c r="H242" s="15">
        <v>85377500</v>
      </c>
      <c r="I242" s="10" t="s">
        <v>341</v>
      </c>
      <c r="J242" s="7" t="s">
        <v>342</v>
      </c>
      <c r="K242" s="10" t="s">
        <v>27</v>
      </c>
      <c r="L242" s="7" t="s">
        <v>28</v>
      </c>
      <c r="M242" s="7"/>
      <c r="N242" s="7">
        <f>VLOOKUP(J242,[1]Sheet1!$C:$D,2,FALSE)</f>
        <v>8762</v>
      </c>
      <c r="O242" s="7">
        <f>VLOOKUP(J242,[2]Desa!$A:$D,4,FALSE)</f>
        <v>188</v>
      </c>
      <c r="P242" s="7">
        <f>VLOOKUP(J242,[3]Sheet1!$D:$F,3,FALSE)</f>
        <v>74</v>
      </c>
      <c r="Q242" s="7"/>
      <c r="R242" s="7"/>
      <c r="S242" s="12">
        <v>-8.6801494376060102</v>
      </c>
      <c r="T242" s="12">
        <v>116.138730702275</v>
      </c>
      <c r="U242" s="7"/>
      <c r="V242" s="50">
        <f>Table13678[[#This Row],[PAGU SEMULA]]-Table13678[[#This Row],[PAGU ANGGARAN]]</f>
        <v>-85377500</v>
      </c>
      <c r="W242" s="50">
        <f>Table13678[[#This Row],[PAGU SEMULA]]-Table13678[[#This Row],[PAGU ANGGARAN]]</f>
        <v>-85377500</v>
      </c>
      <c r="X242" t="s">
        <v>986</v>
      </c>
    </row>
    <row r="243" spans="3:24" hidden="1">
      <c r="C243" s="7" t="s">
        <v>35</v>
      </c>
      <c r="D243" s="7" t="s">
        <v>65</v>
      </c>
      <c r="E243" s="7" t="s">
        <v>66</v>
      </c>
      <c r="F243" s="7" t="s">
        <v>362</v>
      </c>
      <c r="G243" s="7" t="s">
        <v>363</v>
      </c>
      <c r="H243" s="15">
        <v>56928228400</v>
      </c>
      <c r="I243" s="10" t="s">
        <v>341</v>
      </c>
      <c r="J243" s="7" t="s">
        <v>342</v>
      </c>
      <c r="K243" s="10" t="s">
        <v>27</v>
      </c>
      <c r="L243" s="7" t="s">
        <v>28</v>
      </c>
      <c r="M243" s="7"/>
      <c r="N243" s="7">
        <f>VLOOKUP(J243,[1]Sheet1!$C:$D,2,FALSE)</f>
        <v>8762</v>
      </c>
      <c r="O243" s="7">
        <f>VLOOKUP(J243,[2]Desa!$A:$D,4,FALSE)</f>
        <v>188</v>
      </c>
      <c r="P243" s="7">
        <f>VLOOKUP(J243,[3]Sheet1!$D:$F,3,FALSE)</f>
        <v>74</v>
      </c>
      <c r="Q243" s="7"/>
      <c r="R243" s="7"/>
      <c r="S243" s="12">
        <v>-8.6801494376060102</v>
      </c>
      <c r="T243" s="12">
        <v>116.138730702275</v>
      </c>
      <c r="U243" s="7"/>
      <c r="V243" s="50">
        <f>Table13678[[#This Row],[PAGU SEMULA]]-Table13678[[#This Row],[PAGU ANGGARAN]]</f>
        <v>-56928228400</v>
      </c>
      <c r="W243" s="50">
        <f>Table13678[[#This Row],[PAGU SEMULA]]-Table13678[[#This Row],[PAGU ANGGARAN]]</f>
        <v>-56928228400</v>
      </c>
      <c r="X243" t="s">
        <v>986</v>
      </c>
    </row>
    <row r="244" spans="3:24" hidden="1">
      <c r="C244" s="7" t="s">
        <v>35</v>
      </c>
      <c r="D244" s="7" t="s">
        <v>65</v>
      </c>
      <c r="E244" s="7" t="s">
        <v>66</v>
      </c>
      <c r="F244" s="7" t="s">
        <v>67</v>
      </c>
      <c r="G244" s="7" t="s">
        <v>364</v>
      </c>
      <c r="H244" s="17">
        <v>1098672666</v>
      </c>
      <c r="I244" s="10" t="s">
        <v>341</v>
      </c>
      <c r="J244" s="7" t="s">
        <v>342</v>
      </c>
      <c r="K244" s="10" t="s">
        <v>27</v>
      </c>
      <c r="L244" s="7" t="s">
        <v>28</v>
      </c>
      <c r="M244" s="7"/>
      <c r="N244" s="7">
        <f>VLOOKUP(J244,[1]Sheet1!$C:$D,2,FALSE)</f>
        <v>8762</v>
      </c>
      <c r="O244" s="7">
        <f>VLOOKUP(J244,[2]Desa!$A:$D,4,FALSE)</f>
        <v>188</v>
      </c>
      <c r="P244" s="7">
        <f>VLOOKUP(J244,[3]Sheet1!$D:$F,3,FALSE)</f>
        <v>74</v>
      </c>
      <c r="Q244" s="7"/>
      <c r="R244" s="7"/>
      <c r="S244" s="12">
        <v>-8.6801494376060102</v>
      </c>
      <c r="T244" s="12">
        <v>116.138730702275</v>
      </c>
      <c r="U244" s="7"/>
      <c r="V244" s="50">
        <f>Table13678[[#This Row],[PAGU SEMULA]]-Table13678[[#This Row],[PAGU ANGGARAN]]</f>
        <v>-1098672666</v>
      </c>
      <c r="W244" s="50">
        <f>Table13678[[#This Row],[PAGU SEMULA]]-Table13678[[#This Row],[PAGU ANGGARAN]]</f>
        <v>-1098672666</v>
      </c>
      <c r="X244" t="s">
        <v>986</v>
      </c>
    </row>
    <row r="245" spans="3:24" hidden="1">
      <c r="C245" s="7" t="s">
        <v>35</v>
      </c>
      <c r="D245" s="7" t="s">
        <v>52</v>
      </c>
      <c r="E245" s="7" t="s">
        <v>95</v>
      </c>
      <c r="F245" s="7" t="s">
        <v>96</v>
      </c>
      <c r="G245" s="7" t="s">
        <v>365</v>
      </c>
      <c r="H245" s="15">
        <v>950000000</v>
      </c>
      <c r="I245" s="10" t="s">
        <v>341</v>
      </c>
      <c r="J245" s="7" t="s">
        <v>342</v>
      </c>
      <c r="K245" s="10" t="s">
        <v>27</v>
      </c>
      <c r="L245" s="7" t="s">
        <v>28</v>
      </c>
      <c r="M245" s="7"/>
      <c r="N245" s="7">
        <f>VLOOKUP(J245,[1]Sheet1!$C:$D,2,FALSE)</f>
        <v>8762</v>
      </c>
      <c r="O245" s="7">
        <f>VLOOKUP(J245,[2]Desa!$A:$D,4,FALSE)</f>
        <v>188</v>
      </c>
      <c r="P245" s="7">
        <f>VLOOKUP(J245,[3]Sheet1!$D:$F,3,FALSE)</f>
        <v>74</v>
      </c>
      <c r="Q245" s="7"/>
      <c r="R245" s="7"/>
      <c r="S245" s="12">
        <v>-8.6801494376060102</v>
      </c>
      <c r="T245" s="12">
        <v>116.138730702275</v>
      </c>
      <c r="U245" s="7"/>
      <c r="V245" s="50">
        <f>Table13678[[#This Row],[PAGU SEMULA]]-Table13678[[#This Row],[PAGU ANGGARAN]]</f>
        <v>-950000000</v>
      </c>
      <c r="W245" s="50">
        <f>Table13678[[#This Row],[PAGU SEMULA]]-Table13678[[#This Row],[PAGU ANGGARAN]]</f>
        <v>-950000000</v>
      </c>
      <c r="X245" t="s">
        <v>986</v>
      </c>
    </row>
    <row r="246" spans="3:24" hidden="1">
      <c r="C246" s="7" t="s">
        <v>35</v>
      </c>
      <c r="D246" s="7" t="s">
        <v>52</v>
      </c>
      <c r="E246" s="7" t="s">
        <v>95</v>
      </c>
      <c r="F246" s="7" t="s">
        <v>96</v>
      </c>
      <c r="G246" s="7" t="s">
        <v>366</v>
      </c>
      <c r="H246" s="15">
        <v>50000000</v>
      </c>
      <c r="I246" s="10" t="s">
        <v>341</v>
      </c>
      <c r="J246" s="7" t="s">
        <v>342</v>
      </c>
      <c r="K246" s="10" t="s">
        <v>27</v>
      </c>
      <c r="L246" s="7" t="s">
        <v>28</v>
      </c>
      <c r="M246" s="7"/>
      <c r="N246" s="7">
        <f>VLOOKUP(J246,[1]Sheet1!$C:$D,2,FALSE)</f>
        <v>8762</v>
      </c>
      <c r="O246" s="7">
        <f>VLOOKUP(J246,[2]Desa!$A:$D,4,FALSE)</f>
        <v>188</v>
      </c>
      <c r="P246" s="7">
        <f>VLOOKUP(J246,[3]Sheet1!$D:$F,3,FALSE)</f>
        <v>74</v>
      </c>
      <c r="Q246" s="7"/>
      <c r="R246" s="7"/>
      <c r="S246" s="12">
        <v>-8.6801494376060102</v>
      </c>
      <c r="T246" s="12">
        <v>116.138730702275</v>
      </c>
      <c r="U246" s="7"/>
      <c r="V246" s="50">
        <f>Table13678[[#This Row],[PAGU SEMULA]]-Table13678[[#This Row],[PAGU ANGGARAN]]</f>
        <v>-50000000</v>
      </c>
      <c r="W246" s="50">
        <f>Table13678[[#This Row],[PAGU SEMULA]]-Table13678[[#This Row],[PAGU ANGGARAN]]</f>
        <v>-50000000</v>
      </c>
      <c r="X246" t="s">
        <v>986</v>
      </c>
    </row>
    <row r="247" spans="3:24" hidden="1">
      <c r="C247" s="7" t="s">
        <v>35</v>
      </c>
      <c r="D247" s="7" t="s">
        <v>52</v>
      </c>
      <c r="E247" s="7" t="s">
        <v>95</v>
      </c>
      <c r="F247" s="7" t="s">
        <v>96</v>
      </c>
      <c r="G247" s="7" t="s">
        <v>41</v>
      </c>
      <c r="H247" s="17">
        <v>145125000</v>
      </c>
      <c r="I247" s="10" t="s">
        <v>341</v>
      </c>
      <c r="J247" s="7" t="s">
        <v>342</v>
      </c>
      <c r="K247" s="10" t="s">
        <v>27</v>
      </c>
      <c r="L247" s="7" t="s">
        <v>28</v>
      </c>
      <c r="M247" s="7"/>
      <c r="N247" s="7">
        <f>VLOOKUP(J247,[1]Sheet1!$C:$D,2,FALSE)</f>
        <v>8762</v>
      </c>
      <c r="O247" s="7">
        <f>VLOOKUP(J247,[2]Desa!$A:$D,4,FALSE)</f>
        <v>188</v>
      </c>
      <c r="P247" s="7">
        <f>VLOOKUP(J247,[3]Sheet1!$D:$F,3,FALSE)</f>
        <v>74</v>
      </c>
      <c r="Q247" s="7"/>
      <c r="R247" s="7"/>
      <c r="S247" s="12">
        <v>-8.6801494376060102</v>
      </c>
      <c r="T247" s="12">
        <v>116.138730702275</v>
      </c>
      <c r="U247" s="7"/>
      <c r="V247" s="50">
        <f>Table13678[[#This Row],[PAGU SEMULA]]-Table13678[[#This Row],[PAGU ANGGARAN]]</f>
        <v>-145125000</v>
      </c>
      <c r="W247" s="50">
        <f>Table13678[[#This Row],[PAGU SEMULA]]-Table13678[[#This Row],[PAGU ANGGARAN]]</f>
        <v>-145125000</v>
      </c>
      <c r="X247" t="s">
        <v>986</v>
      </c>
    </row>
    <row r="248" spans="3:24" hidden="1">
      <c r="C248" s="7" t="s">
        <v>35</v>
      </c>
      <c r="D248" s="7" t="s">
        <v>52</v>
      </c>
      <c r="E248" s="7" t="s">
        <v>95</v>
      </c>
      <c r="F248" s="7" t="s">
        <v>96</v>
      </c>
      <c r="G248" s="7" t="s">
        <v>41</v>
      </c>
      <c r="H248" s="17">
        <v>145125000</v>
      </c>
      <c r="I248" s="10" t="s">
        <v>341</v>
      </c>
      <c r="J248" s="7" t="s">
        <v>342</v>
      </c>
      <c r="K248" s="10" t="s">
        <v>27</v>
      </c>
      <c r="L248" s="7" t="s">
        <v>28</v>
      </c>
      <c r="M248" s="7"/>
      <c r="N248" s="7">
        <f>VLOOKUP(J248,[1]Sheet1!$C:$D,2,FALSE)</f>
        <v>8762</v>
      </c>
      <c r="O248" s="7">
        <f>VLOOKUP(J248,[2]Desa!$A:$D,4,FALSE)</f>
        <v>188</v>
      </c>
      <c r="P248" s="7">
        <f>VLOOKUP(J248,[3]Sheet1!$D:$F,3,FALSE)</f>
        <v>74</v>
      </c>
      <c r="Q248" s="7"/>
      <c r="R248" s="7"/>
      <c r="S248" s="12">
        <v>-8.6801494376060102</v>
      </c>
      <c r="T248" s="12">
        <v>116.138730702275</v>
      </c>
      <c r="U248" s="7"/>
      <c r="V248" s="50">
        <f>Table13678[[#This Row],[PAGU SEMULA]]-Table13678[[#This Row],[PAGU ANGGARAN]]</f>
        <v>-145125000</v>
      </c>
      <c r="W248" s="50">
        <f>Table13678[[#This Row],[PAGU SEMULA]]-Table13678[[#This Row],[PAGU ANGGARAN]]</f>
        <v>-145125000</v>
      </c>
      <c r="X248" t="s">
        <v>986</v>
      </c>
    </row>
    <row r="249" spans="3:24" hidden="1">
      <c r="C249" s="7" t="s">
        <v>35</v>
      </c>
      <c r="D249" s="7" t="s">
        <v>52</v>
      </c>
      <c r="E249" s="7" t="s">
        <v>95</v>
      </c>
      <c r="F249" s="7" t="s">
        <v>96</v>
      </c>
      <c r="G249" s="7" t="s">
        <v>367</v>
      </c>
      <c r="H249" s="17">
        <v>145125000</v>
      </c>
      <c r="I249" s="10" t="s">
        <v>341</v>
      </c>
      <c r="J249" s="7" t="s">
        <v>342</v>
      </c>
      <c r="K249" s="10" t="s">
        <v>27</v>
      </c>
      <c r="L249" s="7" t="s">
        <v>28</v>
      </c>
      <c r="M249" s="7"/>
      <c r="N249" s="7">
        <f>VLOOKUP(J249,[1]Sheet1!$C:$D,2,FALSE)</f>
        <v>8762</v>
      </c>
      <c r="O249" s="7">
        <f>VLOOKUP(J249,[2]Desa!$A:$D,4,FALSE)</f>
        <v>188</v>
      </c>
      <c r="P249" s="7">
        <f>VLOOKUP(J249,[3]Sheet1!$D:$F,3,FALSE)</f>
        <v>74</v>
      </c>
      <c r="Q249" s="7"/>
      <c r="R249" s="7"/>
      <c r="S249" s="12">
        <v>-8.6801494376060102</v>
      </c>
      <c r="T249" s="12">
        <v>116.138730702275</v>
      </c>
      <c r="U249" s="7"/>
      <c r="V249" s="50">
        <f>Table13678[[#This Row],[PAGU SEMULA]]-Table13678[[#This Row],[PAGU ANGGARAN]]</f>
        <v>-145125000</v>
      </c>
      <c r="W249" s="50">
        <f>Table13678[[#This Row],[PAGU SEMULA]]-Table13678[[#This Row],[PAGU ANGGARAN]]</f>
        <v>-145125000</v>
      </c>
      <c r="X249" t="s">
        <v>986</v>
      </c>
    </row>
    <row r="250" spans="3:24" hidden="1">
      <c r="C250" s="7" t="s">
        <v>68</v>
      </c>
      <c r="D250" s="7" t="s">
        <v>69</v>
      </c>
      <c r="E250" s="7" t="s">
        <v>70</v>
      </c>
      <c r="F250" s="7" t="s">
        <v>71</v>
      </c>
      <c r="G250" s="7" t="s">
        <v>368</v>
      </c>
      <c r="H250" s="8">
        <v>29774000</v>
      </c>
      <c r="I250" s="10" t="s">
        <v>341</v>
      </c>
      <c r="J250" s="7" t="s">
        <v>342</v>
      </c>
      <c r="K250" s="10" t="s">
        <v>27</v>
      </c>
      <c r="L250" s="7" t="s">
        <v>28</v>
      </c>
      <c r="M250" s="7"/>
      <c r="N250" s="7">
        <f>VLOOKUP(J250,[1]Sheet1!$C:$D,2,FALSE)</f>
        <v>8762</v>
      </c>
      <c r="O250" s="7">
        <f>VLOOKUP(J250,[2]Desa!$A:$D,4,FALSE)</f>
        <v>188</v>
      </c>
      <c r="P250" s="7">
        <f>VLOOKUP(J250,[3]Sheet1!$D:$F,3,FALSE)</f>
        <v>74</v>
      </c>
      <c r="Q250" s="7"/>
      <c r="R250" s="7"/>
      <c r="S250" s="12">
        <v>-8.6801494376060102</v>
      </c>
      <c r="T250" s="12">
        <v>116.138730702275</v>
      </c>
      <c r="U250" s="7"/>
      <c r="V250" s="50">
        <f>Table13678[[#This Row],[PAGU SEMULA]]-Table13678[[#This Row],[PAGU ANGGARAN]]</f>
        <v>-29774000</v>
      </c>
      <c r="W250" s="50">
        <f>Table13678[[#This Row],[PAGU SEMULA]]-Table13678[[#This Row],[PAGU ANGGARAN]]</f>
        <v>-29774000</v>
      </c>
      <c r="X250" t="s">
        <v>982</v>
      </c>
    </row>
    <row r="251" spans="3:24" hidden="1">
      <c r="C251" s="7" t="s">
        <v>46</v>
      </c>
      <c r="D251" s="7" t="s">
        <v>122</v>
      </c>
      <c r="E251" s="7" t="s">
        <v>123</v>
      </c>
      <c r="F251" s="7" t="s">
        <v>124</v>
      </c>
      <c r="G251" s="71" t="s">
        <v>125</v>
      </c>
      <c r="H251" s="8">
        <v>29837200</v>
      </c>
      <c r="I251" s="10" t="s">
        <v>341</v>
      </c>
      <c r="J251" s="7" t="s">
        <v>342</v>
      </c>
      <c r="K251" s="10" t="s">
        <v>27</v>
      </c>
      <c r="L251" s="7" t="s">
        <v>28</v>
      </c>
      <c r="M251" s="7"/>
      <c r="N251" s="7">
        <f>VLOOKUP(J251,[1]Sheet1!$C:$D,2,FALSE)</f>
        <v>8762</v>
      </c>
      <c r="O251" s="7">
        <f>VLOOKUP(J251,[2]Desa!$A:$D,4,FALSE)</f>
        <v>188</v>
      </c>
      <c r="P251" s="7">
        <f>VLOOKUP(J251,[3]Sheet1!$D:$F,3,FALSE)</f>
        <v>74</v>
      </c>
      <c r="Q251" s="7"/>
      <c r="R251" s="7"/>
      <c r="S251" s="12">
        <v>-8.6801494376060102</v>
      </c>
      <c r="T251" s="12">
        <v>116.138730702275</v>
      </c>
      <c r="U251" s="7"/>
      <c r="V251" s="50">
        <f>Table13678[[#This Row],[PAGU SEMULA]]-Table13678[[#This Row],[PAGU ANGGARAN]]</f>
        <v>-29837200</v>
      </c>
      <c r="W251" s="50">
        <f>Table13678[[#This Row],[PAGU SEMULA]]-Table13678[[#This Row],[PAGU ANGGARAN]]</f>
        <v>-29837200</v>
      </c>
      <c r="X251" t="s">
        <v>987</v>
      </c>
    </row>
    <row r="252" spans="3:24" hidden="1">
      <c r="C252" s="7" t="s">
        <v>46</v>
      </c>
      <c r="D252" s="7" t="s">
        <v>122</v>
      </c>
      <c r="E252" s="7" t="s">
        <v>123</v>
      </c>
      <c r="F252" s="7" t="s">
        <v>124</v>
      </c>
      <c r="G252" s="7" t="s">
        <v>369</v>
      </c>
      <c r="H252" s="8">
        <v>162500000</v>
      </c>
      <c r="I252" s="10" t="s">
        <v>341</v>
      </c>
      <c r="J252" s="7" t="s">
        <v>342</v>
      </c>
      <c r="K252" s="10" t="s">
        <v>27</v>
      </c>
      <c r="L252" s="7" t="s">
        <v>28</v>
      </c>
      <c r="M252" s="7"/>
      <c r="N252" s="7">
        <f>VLOOKUP(J252,[1]Sheet1!$C:$D,2,FALSE)</f>
        <v>8762</v>
      </c>
      <c r="O252" s="7">
        <f>VLOOKUP(J252,[2]Desa!$A:$D,4,FALSE)</f>
        <v>188</v>
      </c>
      <c r="P252" s="7">
        <f>VLOOKUP(J252,[3]Sheet1!$D:$F,3,FALSE)</f>
        <v>74</v>
      </c>
      <c r="Q252" s="7"/>
      <c r="R252" s="7"/>
      <c r="S252" s="12">
        <v>-8.6801494376060102</v>
      </c>
      <c r="T252" s="12">
        <v>116.138730702275</v>
      </c>
      <c r="U252" s="7"/>
      <c r="V252" s="50">
        <f>Table13678[[#This Row],[PAGU SEMULA]]-Table13678[[#This Row],[PAGU ANGGARAN]]</f>
        <v>-162500000</v>
      </c>
      <c r="W252" s="50">
        <f>Table13678[[#This Row],[PAGU SEMULA]]-Table13678[[#This Row],[PAGU ANGGARAN]]</f>
        <v>-162500000</v>
      </c>
      <c r="X252" t="s">
        <v>987</v>
      </c>
    </row>
    <row r="253" spans="3:24" hidden="1">
      <c r="C253" s="7" t="s">
        <v>46</v>
      </c>
      <c r="D253" s="7" t="s">
        <v>122</v>
      </c>
      <c r="E253" s="7" t="s">
        <v>123</v>
      </c>
      <c r="F253" s="7" t="s">
        <v>124</v>
      </c>
      <c r="G253" s="7" t="s">
        <v>370</v>
      </c>
      <c r="H253" s="8">
        <v>37500000</v>
      </c>
      <c r="I253" s="10" t="s">
        <v>341</v>
      </c>
      <c r="J253" s="7" t="s">
        <v>342</v>
      </c>
      <c r="K253" s="10" t="s">
        <v>27</v>
      </c>
      <c r="L253" s="7" t="s">
        <v>28</v>
      </c>
      <c r="M253" s="7"/>
      <c r="N253" s="7">
        <f>VLOOKUP(J253,[1]Sheet1!$C:$D,2,FALSE)</f>
        <v>8762</v>
      </c>
      <c r="O253" s="7">
        <f>VLOOKUP(J253,[2]Desa!$A:$D,4,FALSE)</f>
        <v>188</v>
      </c>
      <c r="P253" s="7">
        <f>VLOOKUP(J253,[3]Sheet1!$D:$F,3,FALSE)</f>
        <v>74</v>
      </c>
      <c r="Q253" s="7"/>
      <c r="R253" s="7"/>
      <c r="S253" s="12">
        <v>-8.6801494376060102</v>
      </c>
      <c r="T253" s="12">
        <v>116.138730702275</v>
      </c>
      <c r="U253" s="7"/>
      <c r="V253" s="50">
        <f>Table13678[[#This Row],[PAGU SEMULA]]-Table13678[[#This Row],[PAGU ANGGARAN]]</f>
        <v>-37500000</v>
      </c>
      <c r="W253" s="50">
        <f>Table13678[[#This Row],[PAGU SEMULA]]-Table13678[[#This Row],[PAGU ANGGARAN]]</f>
        <v>-37500000</v>
      </c>
      <c r="X253" t="s">
        <v>987</v>
      </c>
    </row>
    <row r="254" spans="3:24" hidden="1">
      <c r="C254" s="7" t="s">
        <v>46</v>
      </c>
      <c r="D254" s="7" t="s">
        <v>122</v>
      </c>
      <c r="E254" s="7" t="s">
        <v>123</v>
      </c>
      <c r="F254" s="7" t="s">
        <v>124</v>
      </c>
      <c r="G254" s="7" t="s">
        <v>192</v>
      </c>
      <c r="H254" s="8">
        <v>130000000</v>
      </c>
      <c r="I254" s="10" t="s">
        <v>341</v>
      </c>
      <c r="J254" s="7" t="s">
        <v>342</v>
      </c>
      <c r="K254" s="10" t="s">
        <v>27</v>
      </c>
      <c r="L254" s="7" t="s">
        <v>28</v>
      </c>
      <c r="M254" s="7"/>
      <c r="N254" s="7">
        <f>VLOOKUP(J254,[1]Sheet1!$C:$D,2,FALSE)</f>
        <v>8762</v>
      </c>
      <c r="O254" s="7">
        <f>VLOOKUP(J254,[2]Desa!$A:$D,4,FALSE)</f>
        <v>188</v>
      </c>
      <c r="P254" s="7">
        <f>VLOOKUP(J254,[3]Sheet1!$D:$F,3,FALSE)</f>
        <v>74</v>
      </c>
      <c r="Q254" s="7"/>
      <c r="R254" s="7"/>
      <c r="S254" s="12">
        <v>-8.6801494376060102</v>
      </c>
      <c r="T254" s="12">
        <v>116.138730702275</v>
      </c>
      <c r="U254" s="7"/>
      <c r="V254" s="50">
        <f>Table13678[[#This Row],[PAGU SEMULA]]-Table13678[[#This Row],[PAGU ANGGARAN]]</f>
        <v>-130000000</v>
      </c>
      <c r="W254" s="50">
        <f>Table13678[[#This Row],[PAGU SEMULA]]-Table13678[[#This Row],[PAGU ANGGARAN]]</f>
        <v>-130000000</v>
      </c>
      <c r="X254" t="s">
        <v>987</v>
      </c>
    </row>
    <row r="255" spans="3:24" hidden="1">
      <c r="C255" s="7" t="s">
        <v>46</v>
      </c>
      <c r="D255" s="7" t="s">
        <v>47</v>
      </c>
      <c r="E255" s="7" t="s">
        <v>48</v>
      </c>
      <c r="F255" s="7" t="s">
        <v>49</v>
      </c>
      <c r="G255" s="7" t="s">
        <v>371</v>
      </c>
      <c r="H255" s="8">
        <v>30774000</v>
      </c>
      <c r="I255" s="10" t="s">
        <v>341</v>
      </c>
      <c r="J255" s="7" t="s">
        <v>342</v>
      </c>
      <c r="K255" s="10" t="s">
        <v>27</v>
      </c>
      <c r="L255" s="7" t="s">
        <v>28</v>
      </c>
      <c r="M255" s="7"/>
      <c r="N255" s="7">
        <f>VLOOKUP(J255,[1]Sheet1!$C:$D,2,FALSE)</f>
        <v>8762</v>
      </c>
      <c r="O255" s="7">
        <f>VLOOKUP(J255,[2]Desa!$A:$D,4,FALSE)</f>
        <v>188</v>
      </c>
      <c r="P255" s="7">
        <f>VLOOKUP(J255,[3]Sheet1!$D:$F,3,FALSE)</f>
        <v>74</v>
      </c>
      <c r="Q255" s="7"/>
      <c r="R255" s="7"/>
      <c r="S255" s="12">
        <v>-8.6801494376060102</v>
      </c>
      <c r="T255" s="12">
        <v>116.138730702275</v>
      </c>
      <c r="U255" s="7"/>
      <c r="V255" s="50">
        <f>Table13678[[#This Row],[PAGU SEMULA]]-Table13678[[#This Row],[PAGU ANGGARAN]]</f>
        <v>-30774000</v>
      </c>
      <c r="W255" s="50">
        <f>Table13678[[#This Row],[PAGU SEMULA]]-Table13678[[#This Row],[PAGU ANGGARAN]]</f>
        <v>-30774000</v>
      </c>
      <c r="X255" t="s">
        <v>987</v>
      </c>
    </row>
    <row r="256" spans="3:24" hidden="1">
      <c r="C256" s="7" t="s">
        <v>51</v>
      </c>
      <c r="D256" s="7" t="s">
        <v>52</v>
      </c>
      <c r="E256" s="7" t="s">
        <v>53</v>
      </c>
      <c r="F256" s="7" t="s">
        <v>54</v>
      </c>
      <c r="G256" s="7" t="s">
        <v>55</v>
      </c>
      <c r="H256" s="8">
        <v>189090000</v>
      </c>
      <c r="I256" s="10" t="s">
        <v>341</v>
      </c>
      <c r="J256" s="7" t="s">
        <v>342</v>
      </c>
      <c r="K256" s="10" t="s">
        <v>27</v>
      </c>
      <c r="L256" s="7" t="s">
        <v>28</v>
      </c>
      <c r="M256" s="7"/>
      <c r="N256" s="7">
        <f>VLOOKUP(J256,[1]Sheet1!$C:$D,2,FALSE)</f>
        <v>8762</v>
      </c>
      <c r="O256" s="7">
        <f>VLOOKUP(J256,[2]Desa!$A:$D,4,FALSE)</f>
        <v>188</v>
      </c>
      <c r="P256" s="7">
        <f>VLOOKUP(J256,[3]Sheet1!$D:$F,3,FALSE)</f>
        <v>74</v>
      </c>
      <c r="Q256" s="7"/>
      <c r="R256" s="7"/>
      <c r="S256" s="12">
        <v>-8.6801494376060102</v>
      </c>
      <c r="T256" s="12">
        <v>116.138730702275</v>
      </c>
      <c r="U256" s="7"/>
      <c r="V256" s="50">
        <f>Table13678[[#This Row],[PAGU SEMULA]]-Table13678[[#This Row],[PAGU ANGGARAN]]</f>
        <v>-189090000</v>
      </c>
      <c r="W256" s="50">
        <f>Table13678[[#This Row],[PAGU SEMULA]]-Table13678[[#This Row],[PAGU ANGGARAN]]</f>
        <v>-189090000</v>
      </c>
      <c r="X256" t="s">
        <v>986</v>
      </c>
    </row>
    <row r="257" spans="3:24" hidden="1">
      <c r="C257" s="7" t="s">
        <v>51</v>
      </c>
      <c r="D257" s="7" t="s">
        <v>52</v>
      </c>
      <c r="E257" s="7" t="s">
        <v>53</v>
      </c>
      <c r="F257" s="7" t="s">
        <v>54</v>
      </c>
      <c r="G257" s="7" t="s">
        <v>55</v>
      </c>
      <c r="H257" s="8">
        <v>142295000</v>
      </c>
      <c r="I257" s="10" t="s">
        <v>341</v>
      </c>
      <c r="J257" s="7" t="s">
        <v>342</v>
      </c>
      <c r="K257" s="10" t="s">
        <v>27</v>
      </c>
      <c r="L257" s="7" t="s">
        <v>28</v>
      </c>
      <c r="M257" s="7"/>
      <c r="N257" s="7">
        <f>VLOOKUP(J257,[1]Sheet1!$C:$D,2,FALSE)</f>
        <v>8762</v>
      </c>
      <c r="O257" s="7">
        <f>VLOOKUP(J257,[2]Desa!$A:$D,4,FALSE)</f>
        <v>188</v>
      </c>
      <c r="P257" s="7">
        <f>VLOOKUP(J257,[3]Sheet1!$D:$F,3,FALSE)</f>
        <v>74</v>
      </c>
      <c r="Q257" s="7"/>
      <c r="R257" s="7"/>
      <c r="S257" s="12">
        <v>-8.6801494376060102</v>
      </c>
      <c r="T257" s="12">
        <v>116.138730702275</v>
      </c>
      <c r="U257" s="7"/>
      <c r="V257" s="50">
        <f>Table13678[[#This Row],[PAGU SEMULA]]-Table13678[[#This Row],[PAGU ANGGARAN]]</f>
        <v>-142295000</v>
      </c>
      <c r="W257" s="50">
        <f>Table13678[[#This Row],[PAGU SEMULA]]-Table13678[[#This Row],[PAGU ANGGARAN]]</f>
        <v>-142295000</v>
      </c>
      <c r="X257" t="s">
        <v>986</v>
      </c>
    </row>
    <row r="258" spans="3:24" hidden="1">
      <c r="C258" s="7" t="s">
        <v>51</v>
      </c>
      <c r="D258" s="7" t="s">
        <v>134</v>
      </c>
      <c r="E258" s="7" t="s">
        <v>135</v>
      </c>
      <c r="F258" s="7" t="s">
        <v>136</v>
      </c>
      <c r="G258" s="7" t="s">
        <v>137</v>
      </c>
      <c r="H258" s="8">
        <v>189000000</v>
      </c>
      <c r="I258" s="10" t="s">
        <v>341</v>
      </c>
      <c r="J258" s="7" t="s">
        <v>342</v>
      </c>
      <c r="K258" s="10" t="s">
        <v>27</v>
      </c>
      <c r="L258" s="7" t="s">
        <v>28</v>
      </c>
      <c r="M258" s="7"/>
      <c r="N258" s="7">
        <f>VLOOKUP(J258,[1]Sheet1!$C:$D,2,FALSE)</f>
        <v>8762</v>
      </c>
      <c r="O258" s="7">
        <f>VLOOKUP(J258,[2]Desa!$A:$D,4,FALSE)</f>
        <v>188</v>
      </c>
      <c r="P258" s="7">
        <f>VLOOKUP(J258,[3]Sheet1!$D:$F,3,FALSE)</f>
        <v>74</v>
      </c>
      <c r="Q258" s="7"/>
      <c r="R258" s="7"/>
      <c r="S258" s="12">
        <v>-8.6801494376060102</v>
      </c>
      <c r="T258" s="12">
        <v>116.138730702275</v>
      </c>
      <c r="U258" s="7"/>
      <c r="V258" s="50">
        <f>Table13678[[#This Row],[PAGU SEMULA]]-Table13678[[#This Row],[PAGU ANGGARAN]]</f>
        <v>-189000000</v>
      </c>
      <c r="W258" s="50">
        <f>Table13678[[#This Row],[PAGU SEMULA]]-Table13678[[#This Row],[PAGU ANGGARAN]]</f>
        <v>-189000000</v>
      </c>
      <c r="X258" t="s">
        <v>986</v>
      </c>
    </row>
    <row r="259" spans="3:24" hidden="1">
      <c r="C259" s="7" t="s">
        <v>51</v>
      </c>
      <c r="D259" s="7" t="s">
        <v>156</v>
      </c>
      <c r="E259" s="7" t="s">
        <v>372</v>
      </c>
      <c r="F259" s="7" t="s">
        <v>373</v>
      </c>
      <c r="G259" s="7" t="s">
        <v>374</v>
      </c>
      <c r="H259" s="8">
        <v>189000000</v>
      </c>
      <c r="I259" s="10" t="s">
        <v>341</v>
      </c>
      <c r="J259" s="7" t="s">
        <v>342</v>
      </c>
      <c r="K259" s="10" t="s">
        <v>27</v>
      </c>
      <c r="L259" s="7" t="s">
        <v>28</v>
      </c>
      <c r="M259" s="7"/>
      <c r="N259" s="7">
        <f>VLOOKUP(J259,[1]Sheet1!$C:$D,2,FALSE)</f>
        <v>8762</v>
      </c>
      <c r="O259" s="7">
        <f>VLOOKUP(J259,[2]Desa!$A:$D,4,FALSE)</f>
        <v>188</v>
      </c>
      <c r="P259" s="7">
        <f>VLOOKUP(J259,[3]Sheet1!$D:$F,3,FALSE)</f>
        <v>74</v>
      </c>
      <c r="Q259" s="7"/>
      <c r="R259" s="7"/>
      <c r="S259" s="12">
        <v>-8.6801494376060102</v>
      </c>
      <c r="T259" s="12">
        <v>116.138730702275</v>
      </c>
      <c r="U259" s="7"/>
      <c r="V259" s="50">
        <f>Table13678[[#This Row],[PAGU SEMULA]]-Table13678[[#This Row],[PAGU ANGGARAN]]</f>
        <v>-189000000</v>
      </c>
      <c r="W259" s="50">
        <f>Table13678[[#This Row],[PAGU SEMULA]]-Table13678[[#This Row],[PAGU ANGGARAN]]</f>
        <v>-189000000</v>
      </c>
      <c r="X259" t="s">
        <v>986</v>
      </c>
    </row>
    <row r="260" spans="3:24" hidden="1">
      <c r="C260" s="7" t="s">
        <v>20</v>
      </c>
      <c r="D260" s="7" t="s">
        <v>104</v>
      </c>
      <c r="E260" s="7" t="s">
        <v>105</v>
      </c>
      <c r="F260" s="7" t="s">
        <v>106</v>
      </c>
      <c r="G260" s="71" t="s">
        <v>375</v>
      </c>
      <c r="H260" s="15">
        <v>1090510000</v>
      </c>
      <c r="I260" s="10" t="s">
        <v>376</v>
      </c>
      <c r="J260" s="7" t="s">
        <v>377</v>
      </c>
      <c r="K260" s="10" t="s">
        <v>167</v>
      </c>
      <c r="L260" s="7" t="s">
        <v>168</v>
      </c>
      <c r="M260" s="7"/>
      <c r="N260" s="7">
        <f>VLOOKUP(J260,[1]Sheet1!$C:$D,2,FALSE)</f>
        <v>6099</v>
      </c>
      <c r="O260" s="7">
        <f>VLOOKUP(J260,[2]Desa!$A:$D,4,FALSE)</f>
        <v>205</v>
      </c>
      <c r="P260" s="7">
        <f>VLOOKUP(J260,[3]Sheet1!$D:$F,3,FALSE)</f>
        <v>49</v>
      </c>
      <c r="Q260" s="7"/>
      <c r="R260" s="7"/>
      <c r="S260" s="12">
        <v>-8.5551804825877706</v>
      </c>
      <c r="T260" s="12">
        <v>116.148317437385</v>
      </c>
      <c r="U260" s="7"/>
      <c r="V260" s="50">
        <f>Table13678[[#This Row],[PAGU SEMULA]]-Table13678[[#This Row],[PAGU ANGGARAN]]</f>
        <v>-1090510000</v>
      </c>
      <c r="W260" s="50">
        <f>Table13678[[#This Row],[PAGU SEMULA]]-Table13678[[#This Row],[PAGU ANGGARAN]]</f>
        <v>-1090510000</v>
      </c>
      <c r="X260" t="s">
        <v>984</v>
      </c>
    </row>
    <row r="261" spans="3:24" hidden="1">
      <c r="C261" s="7" t="s">
        <v>20</v>
      </c>
      <c r="D261" s="7" t="s">
        <v>104</v>
      </c>
      <c r="E261" s="7" t="s">
        <v>105</v>
      </c>
      <c r="F261" s="7" t="s">
        <v>169</v>
      </c>
      <c r="G261" s="71" t="s">
        <v>378</v>
      </c>
      <c r="H261" s="15">
        <v>224965500</v>
      </c>
      <c r="I261" s="10" t="s">
        <v>376</v>
      </c>
      <c r="J261" s="7" t="s">
        <v>377</v>
      </c>
      <c r="K261" s="10" t="s">
        <v>167</v>
      </c>
      <c r="L261" s="7" t="s">
        <v>168</v>
      </c>
      <c r="M261" s="7"/>
      <c r="N261" s="7">
        <f>VLOOKUP(J261,[1]Sheet1!$C:$D,2,FALSE)</f>
        <v>6099</v>
      </c>
      <c r="O261" s="7">
        <f>VLOOKUP(J261,[2]Desa!$A:$D,4,FALSE)</f>
        <v>205</v>
      </c>
      <c r="P261" s="7">
        <f>VLOOKUP(J261,[3]Sheet1!$D:$F,3,FALSE)</f>
        <v>49</v>
      </c>
      <c r="Q261" s="7"/>
      <c r="R261" s="7"/>
      <c r="S261" s="12">
        <v>-8.5551804825877706</v>
      </c>
      <c r="T261" s="12">
        <v>116.148317437385</v>
      </c>
      <c r="U261" s="7"/>
      <c r="V261" s="50">
        <f>Table13678[[#This Row],[PAGU SEMULA]]-Table13678[[#This Row],[PAGU ANGGARAN]]</f>
        <v>-224965500</v>
      </c>
      <c r="W261" s="50">
        <f>Table13678[[#This Row],[PAGU SEMULA]]-Table13678[[#This Row],[PAGU ANGGARAN]]</f>
        <v>-224965500</v>
      </c>
      <c r="X261" t="s">
        <v>984</v>
      </c>
    </row>
    <row r="262" spans="3:24" hidden="1">
      <c r="C262" s="7" t="s">
        <v>20</v>
      </c>
      <c r="D262" s="7" t="s">
        <v>104</v>
      </c>
      <c r="E262" s="7" t="s">
        <v>145</v>
      </c>
      <c r="F262" s="7" t="s">
        <v>146</v>
      </c>
      <c r="G262" s="71" t="s">
        <v>379</v>
      </c>
      <c r="H262" s="15">
        <v>59000000</v>
      </c>
      <c r="I262" s="10" t="s">
        <v>376</v>
      </c>
      <c r="J262" s="7" t="s">
        <v>377</v>
      </c>
      <c r="K262" s="10" t="s">
        <v>167</v>
      </c>
      <c r="L262" s="7" t="s">
        <v>168</v>
      </c>
      <c r="M262" s="7"/>
      <c r="N262" s="7">
        <f>VLOOKUP(J262,[1]Sheet1!$C:$D,2,FALSE)</f>
        <v>6099</v>
      </c>
      <c r="O262" s="7">
        <f>VLOOKUP(J262,[2]Desa!$A:$D,4,FALSE)</f>
        <v>205</v>
      </c>
      <c r="P262" s="7">
        <f>VLOOKUP(J262,[3]Sheet1!$D:$F,3,FALSE)</f>
        <v>49</v>
      </c>
      <c r="Q262" s="7"/>
      <c r="R262" s="7"/>
      <c r="S262" s="12">
        <v>-8.5551804825877706</v>
      </c>
      <c r="T262" s="12">
        <v>116.148317437385</v>
      </c>
      <c r="U262" s="7"/>
      <c r="V262" s="50">
        <f>Table13678[[#This Row],[PAGU SEMULA]]-Table13678[[#This Row],[PAGU ANGGARAN]]</f>
        <v>-59000000</v>
      </c>
      <c r="W262" s="50">
        <f>Table13678[[#This Row],[PAGU SEMULA]]-Table13678[[#This Row],[PAGU ANGGARAN]]</f>
        <v>-59000000</v>
      </c>
      <c r="X262" t="s">
        <v>984</v>
      </c>
    </row>
    <row r="263" spans="3:24" hidden="1">
      <c r="C263" s="7" t="s">
        <v>29</v>
      </c>
      <c r="D263" s="7" t="s">
        <v>30</v>
      </c>
      <c r="E263" s="7" t="s">
        <v>31</v>
      </c>
      <c r="F263" s="7" t="s">
        <v>32</v>
      </c>
      <c r="G263" s="7" t="s">
        <v>33</v>
      </c>
      <c r="H263" s="8">
        <v>466200000</v>
      </c>
      <c r="I263" s="10" t="s">
        <v>376</v>
      </c>
      <c r="J263" s="7" t="s">
        <v>377</v>
      </c>
      <c r="K263" s="10" t="s">
        <v>167</v>
      </c>
      <c r="L263" s="7" t="s">
        <v>168</v>
      </c>
      <c r="M263" s="7"/>
      <c r="N263" s="7">
        <f>VLOOKUP(J263,[1]Sheet1!$C:$D,2,FALSE)</f>
        <v>6099</v>
      </c>
      <c r="O263" s="7">
        <f>VLOOKUP(J263,[2]Desa!$A:$D,4,FALSE)</f>
        <v>205</v>
      </c>
      <c r="P263" s="7">
        <f>VLOOKUP(J263,[3]Sheet1!$D:$F,3,FALSE)</f>
        <v>49</v>
      </c>
      <c r="Q263" s="7"/>
      <c r="R263" s="7"/>
      <c r="S263" s="12">
        <v>-8.5551804825877706</v>
      </c>
      <c r="T263" s="12">
        <v>116.148317437385</v>
      </c>
      <c r="U263" s="7"/>
      <c r="V263" s="50">
        <f>Table13678[[#This Row],[PAGU SEMULA]]-Table13678[[#This Row],[PAGU ANGGARAN]]</f>
        <v>-466200000</v>
      </c>
      <c r="W263" s="50">
        <f>Table13678[[#This Row],[PAGU SEMULA]]-Table13678[[#This Row],[PAGU ANGGARAN]]</f>
        <v>-466200000</v>
      </c>
      <c r="X263" t="s">
        <v>984</v>
      </c>
    </row>
    <row r="264" spans="3:24" hidden="1">
      <c r="C264" s="7" t="s">
        <v>29</v>
      </c>
      <c r="D264" s="7" t="s">
        <v>30</v>
      </c>
      <c r="E264" s="7" t="s">
        <v>31</v>
      </c>
      <c r="F264" s="7" t="s">
        <v>32</v>
      </c>
      <c r="G264" s="7" t="s">
        <v>34</v>
      </c>
      <c r="H264" s="8">
        <v>37296000</v>
      </c>
      <c r="I264" s="10" t="s">
        <v>376</v>
      </c>
      <c r="J264" s="7" t="s">
        <v>377</v>
      </c>
      <c r="K264" s="10" t="s">
        <v>167</v>
      </c>
      <c r="L264" s="7" t="s">
        <v>168</v>
      </c>
      <c r="M264" s="7"/>
      <c r="N264" s="7">
        <f>VLOOKUP(J264,[1]Sheet1!$C:$D,2,FALSE)</f>
        <v>6099</v>
      </c>
      <c r="O264" s="7">
        <f>VLOOKUP(J264,[2]Desa!$A:$D,4,FALSE)</f>
        <v>205</v>
      </c>
      <c r="P264" s="7">
        <f>VLOOKUP(J264,[3]Sheet1!$D:$F,3,FALSE)</f>
        <v>49</v>
      </c>
      <c r="Q264" s="7"/>
      <c r="R264" s="7"/>
      <c r="S264" s="12">
        <v>-8.5551804825877706</v>
      </c>
      <c r="T264" s="12">
        <v>116.148317437385</v>
      </c>
      <c r="U264" s="7"/>
      <c r="V264" s="50">
        <f>Table13678[[#This Row],[PAGU SEMULA]]-Table13678[[#This Row],[PAGU ANGGARAN]]</f>
        <v>-37296000</v>
      </c>
      <c r="W264" s="50">
        <f>Table13678[[#This Row],[PAGU SEMULA]]-Table13678[[#This Row],[PAGU ANGGARAN]]</f>
        <v>-37296000</v>
      </c>
      <c r="X264" t="s">
        <v>984</v>
      </c>
    </row>
    <row r="265" spans="3:24" hidden="1">
      <c r="C265" s="7" t="s">
        <v>35</v>
      </c>
      <c r="D265" s="7" t="s">
        <v>36</v>
      </c>
      <c r="E265" s="7" t="s">
        <v>37</v>
      </c>
      <c r="F265" s="7" t="s">
        <v>38</v>
      </c>
      <c r="G265" s="7" t="s">
        <v>39</v>
      </c>
      <c r="H265" s="15">
        <v>75000000</v>
      </c>
      <c r="I265" s="10" t="s">
        <v>376</v>
      </c>
      <c r="J265" s="7" t="s">
        <v>377</v>
      </c>
      <c r="K265" s="10" t="s">
        <v>167</v>
      </c>
      <c r="L265" s="7" t="s">
        <v>168</v>
      </c>
      <c r="M265" s="7"/>
      <c r="N265" s="7">
        <f>VLOOKUP(J265,[1]Sheet1!$C:$D,2,FALSE)</f>
        <v>6099</v>
      </c>
      <c r="O265" s="7">
        <f>VLOOKUP(J265,[2]Desa!$A:$D,4,FALSE)</f>
        <v>205</v>
      </c>
      <c r="P265" s="7">
        <f>VLOOKUP(J265,[3]Sheet1!$D:$F,3,FALSE)</f>
        <v>49</v>
      </c>
      <c r="Q265" s="7"/>
      <c r="R265" s="7"/>
      <c r="S265" s="12">
        <v>-8.5551804825877706</v>
      </c>
      <c r="T265" s="12">
        <v>116.148317437385</v>
      </c>
      <c r="U265" s="7"/>
      <c r="V265" s="50">
        <f>Table13678[[#This Row],[PAGU SEMULA]]-Table13678[[#This Row],[PAGU ANGGARAN]]</f>
        <v>-75000000</v>
      </c>
      <c r="W265" s="50">
        <f>Table13678[[#This Row],[PAGU SEMULA]]-Table13678[[#This Row],[PAGU ANGGARAN]]</f>
        <v>-75000000</v>
      </c>
      <c r="X265" t="s">
        <v>984</v>
      </c>
    </row>
    <row r="266" spans="3:24" hidden="1">
      <c r="C266" s="7" t="s">
        <v>35</v>
      </c>
      <c r="D266" s="7" t="s">
        <v>156</v>
      </c>
      <c r="E266" s="7" t="s">
        <v>252</v>
      </c>
      <c r="F266" s="7" t="s">
        <v>253</v>
      </c>
      <c r="G266" s="7" t="s">
        <v>380</v>
      </c>
      <c r="H266" s="15">
        <v>222700000</v>
      </c>
      <c r="I266" s="10" t="s">
        <v>376</v>
      </c>
      <c r="J266" s="7" t="s">
        <v>377</v>
      </c>
      <c r="K266" s="10" t="s">
        <v>167</v>
      </c>
      <c r="L266" s="7" t="s">
        <v>168</v>
      </c>
      <c r="M266" s="7"/>
      <c r="N266" s="7">
        <f>VLOOKUP(J266,[1]Sheet1!$C:$D,2,FALSE)</f>
        <v>6099</v>
      </c>
      <c r="O266" s="7">
        <f>VLOOKUP(J266,[2]Desa!$A:$D,4,FALSE)</f>
        <v>205</v>
      </c>
      <c r="P266" s="7">
        <f>VLOOKUP(J266,[3]Sheet1!$D:$F,3,FALSE)</f>
        <v>49</v>
      </c>
      <c r="Q266" s="7"/>
      <c r="R266" s="7"/>
      <c r="S266" s="12">
        <v>-8.5551804825877706</v>
      </c>
      <c r="T266" s="12">
        <v>116.148317437385</v>
      </c>
      <c r="U266" s="7"/>
      <c r="V266" s="50">
        <f>Table13678[[#This Row],[PAGU SEMULA]]-Table13678[[#This Row],[PAGU ANGGARAN]]</f>
        <v>-222700000</v>
      </c>
      <c r="W266" s="50">
        <f>Table13678[[#This Row],[PAGU SEMULA]]-Table13678[[#This Row],[PAGU ANGGARAN]]</f>
        <v>-222700000</v>
      </c>
      <c r="X266" t="s">
        <v>986</v>
      </c>
    </row>
    <row r="267" spans="3:24" hidden="1">
      <c r="C267" s="7" t="s">
        <v>35</v>
      </c>
      <c r="D267" s="7" t="s">
        <v>65</v>
      </c>
      <c r="E267" s="7" t="s">
        <v>66</v>
      </c>
      <c r="F267" s="7" t="s">
        <v>322</v>
      </c>
      <c r="G267" s="7" t="s">
        <v>322</v>
      </c>
      <c r="H267" s="17">
        <v>85377500</v>
      </c>
      <c r="I267" s="10" t="s">
        <v>376</v>
      </c>
      <c r="J267" s="7" t="s">
        <v>377</v>
      </c>
      <c r="K267" s="10" t="s">
        <v>167</v>
      </c>
      <c r="L267" s="7" t="s">
        <v>168</v>
      </c>
      <c r="M267" s="7"/>
      <c r="N267" s="7">
        <f>VLOOKUP(J267,[1]Sheet1!$C:$D,2,FALSE)</f>
        <v>6099</v>
      </c>
      <c r="O267" s="7">
        <f>VLOOKUP(J267,[2]Desa!$A:$D,4,FALSE)</f>
        <v>205</v>
      </c>
      <c r="P267" s="7">
        <f>VLOOKUP(J267,[3]Sheet1!$D:$F,3,FALSE)</f>
        <v>49</v>
      </c>
      <c r="Q267" s="7"/>
      <c r="R267" s="7"/>
      <c r="S267" s="12">
        <v>-8.5551804825877706</v>
      </c>
      <c r="T267" s="12">
        <v>116.148317437385</v>
      </c>
      <c r="U267" s="7"/>
      <c r="V267" s="50">
        <f>Table13678[[#This Row],[PAGU SEMULA]]-Table13678[[#This Row],[PAGU ANGGARAN]]</f>
        <v>-85377500</v>
      </c>
      <c r="W267" s="50">
        <f>Table13678[[#This Row],[PAGU SEMULA]]-Table13678[[#This Row],[PAGU ANGGARAN]]</f>
        <v>-85377500</v>
      </c>
      <c r="X267" t="s">
        <v>986</v>
      </c>
    </row>
    <row r="268" spans="3:24" hidden="1">
      <c r="C268" s="7" t="s">
        <v>35</v>
      </c>
      <c r="D268" s="7" t="s">
        <v>52</v>
      </c>
      <c r="E268" s="7" t="s">
        <v>95</v>
      </c>
      <c r="F268" s="7" t="s">
        <v>96</v>
      </c>
      <c r="G268" s="7" t="s">
        <v>41</v>
      </c>
      <c r="H268" s="17">
        <v>72562500</v>
      </c>
      <c r="I268" s="10" t="s">
        <v>376</v>
      </c>
      <c r="J268" s="7" t="s">
        <v>377</v>
      </c>
      <c r="K268" s="10" t="s">
        <v>167</v>
      </c>
      <c r="L268" s="7" t="s">
        <v>168</v>
      </c>
      <c r="M268" s="7"/>
      <c r="N268" s="7">
        <f>VLOOKUP(J268,[1]Sheet1!$C:$D,2,FALSE)</f>
        <v>6099</v>
      </c>
      <c r="O268" s="7">
        <f>VLOOKUP(J268,[2]Desa!$A:$D,4,FALSE)</f>
        <v>205</v>
      </c>
      <c r="P268" s="7">
        <f>VLOOKUP(J268,[3]Sheet1!$D:$F,3,FALSE)</f>
        <v>49</v>
      </c>
      <c r="Q268" s="7"/>
      <c r="R268" s="7"/>
      <c r="S268" s="12">
        <v>-8.5551804825877706</v>
      </c>
      <c r="T268" s="12">
        <v>116.148317437385</v>
      </c>
      <c r="U268" s="7"/>
      <c r="V268" s="50">
        <f>Table13678[[#This Row],[PAGU SEMULA]]-Table13678[[#This Row],[PAGU ANGGARAN]]</f>
        <v>-72562500</v>
      </c>
      <c r="W268" s="50">
        <f>Table13678[[#This Row],[PAGU SEMULA]]-Table13678[[#This Row],[PAGU ANGGARAN]]</f>
        <v>-72562500</v>
      </c>
      <c r="X268" t="s">
        <v>986</v>
      </c>
    </row>
    <row r="269" spans="3:24" hidden="1">
      <c r="C269" s="7" t="s">
        <v>20</v>
      </c>
      <c r="D269" s="7" t="s">
        <v>104</v>
      </c>
      <c r="E269" s="7" t="s">
        <v>105</v>
      </c>
      <c r="F269" s="7" t="s">
        <v>138</v>
      </c>
      <c r="G269" s="71" t="s">
        <v>381</v>
      </c>
      <c r="H269" s="15">
        <v>65587000</v>
      </c>
      <c r="I269" s="10" t="s">
        <v>382</v>
      </c>
      <c r="J269" s="7" t="s">
        <v>383</v>
      </c>
      <c r="K269" s="10" t="s">
        <v>27</v>
      </c>
      <c r="L269" s="7" t="s">
        <v>28</v>
      </c>
      <c r="M269" s="7"/>
      <c r="N269" s="7">
        <f>VLOOKUP(J269,[1]Sheet1!$C:$D,2,FALSE)</f>
        <v>6498</v>
      </c>
      <c r="O269" s="7">
        <f>VLOOKUP(J269,[2]Desa!$A:$D,4,FALSE)</f>
        <v>209</v>
      </c>
      <c r="P269" s="7">
        <f>VLOOKUP(J269,[3]Sheet1!$D:$F,3,FALSE)</f>
        <v>29</v>
      </c>
      <c r="Q269" s="7"/>
      <c r="R269" s="7"/>
      <c r="S269" s="12">
        <v>-8.6600211871200603</v>
      </c>
      <c r="T269" s="12">
        <v>116.14369075258</v>
      </c>
      <c r="U269" s="7"/>
      <c r="V269" s="50">
        <f>Table13678[[#This Row],[PAGU SEMULA]]-Table13678[[#This Row],[PAGU ANGGARAN]]</f>
        <v>-65587000</v>
      </c>
      <c r="W269" s="50">
        <f>Table13678[[#This Row],[PAGU SEMULA]]-Table13678[[#This Row],[PAGU ANGGARAN]]</f>
        <v>-65587000</v>
      </c>
      <c r="X269" t="s">
        <v>984</v>
      </c>
    </row>
    <row r="270" spans="3:24" hidden="1">
      <c r="C270" s="7" t="s">
        <v>20</v>
      </c>
      <c r="D270" s="7" t="s">
        <v>104</v>
      </c>
      <c r="E270" s="7" t="s">
        <v>105</v>
      </c>
      <c r="F270" s="7" t="s">
        <v>169</v>
      </c>
      <c r="G270" s="71" t="s">
        <v>384</v>
      </c>
      <c r="H270" s="15">
        <v>429495000</v>
      </c>
      <c r="I270" s="10" t="s">
        <v>382</v>
      </c>
      <c r="J270" s="7" t="s">
        <v>383</v>
      </c>
      <c r="K270" s="10" t="s">
        <v>27</v>
      </c>
      <c r="L270" s="7" t="s">
        <v>28</v>
      </c>
      <c r="M270" s="7"/>
      <c r="N270" s="7">
        <f>VLOOKUP(J270,[1]Sheet1!$C:$D,2,FALSE)</f>
        <v>6498</v>
      </c>
      <c r="O270" s="7">
        <f>VLOOKUP(J270,[2]Desa!$A:$D,4,FALSE)</f>
        <v>209</v>
      </c>
      <c r="P270" s="7">
        <f>VLOOKUP(J270,[3]Sheet1!$D:$F,3,FALSE)</f>
        <v>29</v>
      </c>
      <c r="Q270" s="7"/>
      <c r="R270" s="7"/>
      <c r="S270" s="12">
        <v>-8.6600211871200603</v>
      </c>
      <c r="T270" s="12">
        <v>116.14369075258</v>
      </c>
      <c r="U270" s="7"/>
      <c r="V270" s="50">
        <f>Table13678[[#This Row],[PAGU SEMULA]]-Table13678[[#This Row],[PAGU ANGGARAN]]</f>
        <v>-429495000</v>
      </c>
      <c r="W270" s="50">
        <f>Table13678[[#This Row],[PAGU SEMULA]]-Table13678[[#This Row],[PAGU ANGGARAN]]</f>
        <v>-429495000</v>
      </c>
      <c r="X270" t="s">
        <v>984</v>
      </c>
    </row>
    <row r="271" spans="3:24" hidden="1">
      <c r="C271" s="7" t="s">
        <v>20</v>
      </c>
      <c r="D271" s="7" t="s">
        <v>104</v>
      </c>
      <c r="E271" s="7" t="s">
        <v>145</v>
      </c>
      <c r="F271" s="7" t="s">
        <v>146</v>
      </c>
      <c r="G271" s="71" t="s">
        <v>385</v>
      </c>
      <c r="H271" s="15">
        <v>59000000</v>
      </c>
      <c r="I271" s="10" t="s">
        <v>382</v>
      </c>
      <c r="J271" s="7" t="s">
        <v>383</v>
      </c>
      <c r="K271" s="10" t="s">
        <v>27</v>
      </c>
      <c r="L271" s="7" t="s">
        <v>28</v>
      </c>
      <c r="M271" s="7"/>
      <c r="N271" s="7">
        <f>VLOOKUP(J271,[1]Sheet1!$C:$D,2,FALSE)</f>
        <v>6498</v>
      </c>
      <c r="O271" s="7">
        <f>VLOOKUP(J271,[2]Desa!$A:$D,4,FALSE)</f>
        <v>209</v>
      </c>
      <c r="P271" s="7">
        <f>VLOOKUP(J271,[3]Sheet1!$D:$F,3,FALSE)</f>
        <v>29</v>
      </c>
      <c r="Q271" s="7"/>
      <c r="R271" s="7"/>
      <c r="S271" s="12">
        <v>-8.6600211871200603</v>
      </c>
      <c r="T271" s="12">
        <v>116.14369075258</v>
      </c>
      <c r="U271" s="7"/>
      <c r="V271" s="50">
        <f>Table13678[[#This Row],[PAGU SEMULA]]-Table13678[[#This Row],[PAGU ANGGARAN]]</f>
        <v>-59000000</v>
      </c>
      <c r="W271" s="50">
        <f>Table13678[[#This Row],[PAGU SEMULA]]-Table13678[[#This Row],[PAGU ANGGARAN]]</f>
        <v>-59000000</v>
      </c>
      <c r="X271" t="s">
        <v>984</v>
      </c>
    </row>
    <row r="272" spans="3:24" hidden="1">
      <c r="C272" s="7" t="s">
        <v>29</v>
      </c>
      <c r="D272" s="7" t="s">
        <v>30</v>
      </c>
      <c r="E272" s="7" t="s">
        <v>31</v>
      </c>
      <c r="F272" s="7" t="s">
        <v>32</v>
      </c>
      <c r="G272" s="7" t="s">
        <v>33</v>
      </c>
      <c r="H272" s="8">
        <v>407400000</v>
      </c>
      <c r="I272" s="10" t="s">
        <v>382</v>
      </c>
      <c r="J272" s="7" t="s">
        <v>383</v>
      </c>
      <c r="K272" s="10" t="s">
        <v>27</v>
      </c>
      <c r="L272" s="7" t="s">
        <v>28</v>
      </c>
      <c r="M272" s="7"/>
      <c r="N272" s="7">
        <f>VLOOKUP(J272,[1]Sheet1!$C:$D,2,FALSE)</f>
        <v>6498</v>
      </c>
      <c r="O272" s="7">
        <f>VLOOKUP(J272,[2]Desa!$A:$D,4,FALSE)</f>
        <v>209</v>
      </c>
      <c r="P272" s="7">
        <f>VLOOKUP(J272,[3]Sheet1!$D:$F,3,FALSE)</f>
        <v>29</v>
      </c>
      <c r="Q272" s="7"/>
      <c r="R272" s="7"/>
      <c r="S272" s="12">
        <v>-8.6600211871200603</v>
      </c>
      <c r="T272" s="12">
        <v>116.14369075258</v>
      </c>
      <c r="U272" s="7"/>
      <c r="V272" s="50">
        <f>Table13678[[#This Row],[PAGU SEMULA]]-Table13678[[#This Row],[PAGU ANGGARAN]]</f>
        <v>-407400000</v>
      </c>
      <c r="W272" s="50">
        <f>Table13678[[#This Row],[PAGU SEMULA]]-Table13678[[#This Row],[PAGU ANGGARAN]]</f>
        <v>-407400000</v>
      </c>
      <c r="X272" t="s">
        <v>984</v>
      </c>
    </row>
    <row r="273" spans="3:24" hidden="1">
      <c r="C273" s="7" t="s">
        <v>29</v>
      </c>
      <c r="D273" s="7" t="s">
        <v>30</v>
      </c>
      <c r="E273" s="7" t="s">
        <v>31</v>
      </c>
      <c r="F273" s="7" t="s">
        <v>32</v>
      </c>
      <c r="G273" s="7" t="s">
        <v>34</v>
      </c>
      <c r="H273" s="8">
        <v>32592000</v>
      </c>
      <c r="I273" s="10" t="s">
        <v>382</v>
      </c>
      <c r="J273" s="7" t="s">
        <v>383</v>
      </c>
      <c r="K273" s="10" t="s">
        <v>27</v>
      </c>
      <c r="L273" s="7" t="s">
        <v>28</v>
      </c>
      <c r="M273" s="7"/>
      <c r="N273" s="7">
        <f>VLOOKUP(J273,[1]Sheet1!$C:$D,2,FALSE)</f>
        <v>6498</v>
      </c>
      <c r="O273" s="7">
        <f>VLOOKUP(J273,[2]Desa!$A:$D,4,FALSE)</f>
        <v>209</v>
      </c>
      <c r="P273" s="7">
        <f>VLOOKUP(J273,[3]Sheet1!$D:$F,3,FALSE)</f>
        <v>29</v>
      </c>
      <c r="Q273" s="7"/>
      <c r="R273" s="7"/>
      <c r="S273" s="12">
        <v>-8.6600211871200603</v>
      </c>
      <c r="T273" s="12">
        <v>116.14369075258</v>
      </c>
      <c r="U273" s="7"/>
      <c r="V273" s="50">
        <f>Table13678[[#This Row],[PAGU SEMULA]]-Table13678[[#This Row],[PAGU ANGGARAN]]</f>
        <v>-32592000</v>
      </c>
      <c r="W273" s="50">
        <f>Table13678[[#This Row],[PAGU SEMULA]]-Table13678[[#This Row],[PAGU ANGGARAN]]</f>
        <v>-32592000</v>
      </c>
      <c r="X273" t="s">
        <v>984</v>
      </c>
    </row>
    <row r="274" spans="3:24" hidden="1">
      <c r="C274" s="7" t="s">
        <v>35</v>
      </c>
      <c r="D274" s="7" t="s">
        <v>36</v>
      </c>
      <c r="E274" s="7" t="s">
        <v>37</v>
      </c>
      <c r="F274" s="7" t="s">
        <v>38</v>
      </c>
      <c r="G274" s="7" t="s">
        <v>39</v>
      </c>
      <c r="H274" s="15">
        <v>75000000</v>
      </c>
      <c r="I274" s="10" t="s">
        <v>382</v>
      </c>
      <c r="J274" s="7" t="s">
        <v>383</v>
      </c>
      <c r="K274" s="10" t="s">
        <v>27</v>
      </c>
      <c r="L274" s="7" t="s">
        <v>28</v>
      </c>
      <c r="M274" s="7"/>
      <c r="N274" s="7">
        <f>VLOOKUP(J274,[1]Sheet1!$C:$D,2,FALSE)</f>
        <v>6498</v>
      </c>
      <c r="O274" s="7">
        <f>VLOOKUP(J274,[2]Desa!$A:$D,4,FALSE)</f>
        <v>209</v>
      </c>
      <c r="P274" s="7">
        <f>VLOOKUP(J274,[3]Sheet1!$D:$F,3,FALSE)</f>
        <v>29</v>
      </c>
      <c r="Q274" s="7"/>
      <c r="R274" s="7"/>
      <c r="S274" s="12">
        <v>-8.6600211871200603</v>
      </c>
      <c r="T274" s="12">
        <v>116.14369075258</v>
      </c>
      <c r="U274" s="7"/>
      <c r="V274" s="50">
        <f>Table13678[[#This Row],[PAGU SEMULA]]-Table13678[[#This Row],[PAGU ANGGARAN]]</f>
        <v>-75000000</v>
      </c>
      <c r="W274" s="50">
        <f>Table13678[[#This Row],[PAGU SEMULA]]-Table13678[[#This Row],[PAGU ANGGARAN]]</f>
        <v>-75000000</v>
      </c>
      <c r="X274" t="s">
        <v>984</v>
      </c>
    </row>
    <row r="275" spans="3:24" hidden="1">
      <c r="C275" s="7" t="s">
        <v>35</v>
      </c>
      <c r="D275" s="7" t="s">
        <v>255</v>
      </c>
      <c r="E275" s="7" t="s">
        <v>256</v>
      </c>
      <c r="F275" s="7" t="s">
        <v>257</v>
      </c>
      <c r="G275" s="7" t="s">
        <v>258</v>
      </c>
      <c r="H275" s="15">
        <v>365000000</v>
      </c>
      <c r="I275" s="10" t="s">
        <v>382</v>
      </c>
      <c r="J275" s="7" t="s">
        <v>383</v>
      </c>
      <c r="K275" s="10" t="s">
        <v>27</v>
      </c>
      <c r="L275" s="7" t="s">
        <v>28</v>
      </c>
      <c r="M275" s="7"/>
      <c r="N275" s="7">
        <f>VLOOKUP(J275,[1]Sheet1!$C:$D,2,FALSE)</f>
        <v>6498</v>
      </c>
      <c r="O275" s="7">
        <f>VLOOKUP(J275,[2]Desa!$A:$D,4,FALSE)</f>
        <v>209</v>
      </c>
      <c r="P275" s="7">
        <f>VLOOKUP(J275,[3]Sheet1!$D:$F,3,FALSE)</f>
        <v>29</v>
      </c>
      <c r="Q275" s="7"/>
      <c r="R275" s="7"/>
      <c r="S275" s="12">
        <v>-8.6600211871200603</v>
      </c>
      <c r="T275" s="12">
        <v>116.14369075258</v>
      </c>
      <c r="U275" s="7"/>
      <c r="V275" s="50">
        <f>Table13678[[#This Row],[PAGU SEMULA]]-Table13678[[#This Row],[PAGU ANGGARAN]]</f>
        <v>-365000000</v>
      </c>
      <c r="W275" s="50">
        <f>Table13678[[#This Row],[PAGU SEMULA]]-Table13678[[#This Row],[PAGU ANGGARAN]]</f>
        <v>-365000000</v>
      </c>
      <c r="X275" t="s">
        <v>986</v>
      </c>
    </row>
    <row r="276" spans="3:24" hidden="1">
      <c r="C276" s="7" t="s">
        <v>35</v>
      </c>
      <c r="D276" s="7" t="s">
        <v>65</v>
      </c>
      <c r="E276" s="7" t="s">
        <v>66</v>
      </c>
      <c r="F276" s="7" t="s">
        <v>93</v>
      </c>
      <c r="G276" s="7" t="s">
        <v>386</v>
      </c>
      <c r="H276" s="17">
        <v>400000000</v>
      </c>
      <c r="I276" s="10" t="s">
        <v>382</v>
      </c>
      <c r="J276" s="7" t="s">
        <v>383</v>
      </c>
      <c r="K276" s="10" t="s">
        <v>27</v>
      </c>
      <c r="L276" s="7" t="s">
        <v>28</v>
      </c>
      <c r="M276" s="7"/>
      <c r="N276" s="7">
        <f>VLOOKUP(J276,[1]Sheet1!$C:$D,2,FALSE)</f>
        <v>6498</v>
      </c>
      <c r="O276" s="7">
        <f>VLOOKUP(J276,[2]Desa!$A:$D,4,FALSE)</f>
        <v>209</v>
      </c>
      <c r="P276" s="7">
        <f>VLOOKUP(J276,[3]Sheet1!$D:$F,3,FALSE)</f>
        <v>29</v>
      </c>
      <c r="Q276" s="7"/>
      <c r="R276" s="7"/>
      <c r="S276" s="12">
        <v>-8.6600211871200603</v>
      </c>
      <c r="T276" s="12">
        <v>116.14369075258</v>
      </c>
      <c r="U276" s="7"/>
      <c r="V276" s="50">
        <f>Table13678[[#This Row],[PAGU SEMULA]]-Table13678[[#This Row],[PAGU ANGGARAN]]</f>
        <v>-400000000</v>
      </c>
      <c r="W276" s="50">
        <f>Table13678[[#This Row],[PAGU SEMULA]]-Table13678[[#This Row],[PAGU ANGGARAN]]</f>
        <v>-400000000</v>
      </c>
      <c r="X276" t="s">
        <v>986</v>
      </c>
    </row>
    <row r="277" spans="3:24" hidden="1">
      <c r="C277" s="7" t="s">
        <v>35</v>
      </c>
      <c r="D277" s="7" t="s">
        <v>52</v>
      </c>
      <c r="E277" s="7" t="s">
        <v>95</v>
      </c>
      <c r="F277" s="7" t="s">
        <v>96</v>
      </c>
      <c r="G277" s="7" t="s">
        <v>367</v>
      </c>
      <c r="H277" s="17">
        <v>145125000</v>
      </c>
      <c r="I277" s="10" t="s">
        <v>382</v>
      </c>
      <c r="J277" s="7" t="s">
        <v>383</v>
      </c>
      <c r="K277" s="10" t="s">
        <v>27</v>
      </c>
      <c r="L277" s="7" t="s">
        <v>28</v>
      </c>
      <c r="M277" s="7"/>
      <c r="N277" s="7">
        <f>VLOOKUP(J277,[1]Sheet1!$C:$D,2,FALSE)</f>
        <v>6498</v>
      </c>
      <c r="O277" s="7">
        <f>VLOOKUP(J277,[2]Desa!$A:$D,4,FALSE)</f>
        <v>209</v>
      </c>
      <c r="P277" s="7">
        <f>VLOOKUP(J277,[3]Sheet1!$D:$F,3,FALSE)</f>
        <v>29</v>
      </c>
      <c r="Q277" s="7"/>
      <c r="R277" s="7"/>
      <c r="S277" s="12">
        <v>-8.6600211871200603</v>
      </c>
      <c r="T277" s="12">
        <v>116.14369075258</v>
      </c>
      <c r="U277" s="7"/>
      <c r="V277" s="50">
        <f>Table13678[[#This Row],[PAGU SEMULA]]-Table13678[[#This Row],[PAGU ANGGARAN]]</f>
        <v>-145125000</v>
      </c>
      <c r="W277" s="50">
        <f>Table13678[[#This Row],[PAGU SEMULA]]-Table13678[[#This Row],[PAGU ANGGARAN]]</f>
        <v>-145125000</v>
      </c>
      <c r="X277" t="s">
        <v>986</v>
      </c>
    </row>
    <row r="278" spans="3:24" hidden="1">
      <c r="C278" s="7" t="s">
        <v>68</v>
      </c>
      <c r="D278" s="7" t="s">
        <v>69</v>
      </c>
      <c r="E278" s="7" t="s">
        <v>70</v>
      </c>
      <c r="F278" s="7" t="s">
        <v>71</v>
      </c>
      <c r="G278" s="7" t="s">
        <v>327</v>
      </c>
      <c r="H278" s="8">
        <v>29774000</v>
      </c>
      <c r="I278" s="10" t="s">
        <v>382</v>
      </c>
      <c r="J278" s="7" t="s">
        <v>383</v>
      </c>
      <c r="K278" s="10" t="s">
        <v>27</v>
      </c>
      <c r="L278" s="7" t="s">
        <v>28</v>
      </c>
      <c r="M278" s="7"/>
      <c r="N278" s="7">
        <f>VLOOKUP(J278,[1]Sheet1!$C:$D,2,FALSE)</f>
        <v>6498</v>
      </c>
      <c r="O278" s="7">
        <f>VLOOKUP(J278,[2]Desa!$A:$D,4,FALSE)</f>
        <v>209</v>
      </c>
      <c r="P278" s="7">
        <f>VLOOKUP(J278,[3]Sheet1!$D:$F,3,FALSE)</f>
        <v>29</v>
      </c>
      <c r="Q278" s="7"/>
      <c r="R278" s="7"/>
      <c r="S278" s="12">
        <v>-8.6600211871200603</v>
      </c>
      <c r="T278" s="12">
        <v>116.14369075258</v>
      </c>
      <c r="U278" s="7"/>
      <c r="V278" s="50">
        <f>Table13678[[#This Row],[PAGU SEMULA]]-Table13678[[#This Row],[PAGU ANGGARAN]]</f>
        <v>-29774000</v>
      </c>
      <c r="W278" s="50">
        <f>Table13678[[#This Row],[PAGU SEMULA]]-Table13678[[#This Row],[PAGU ANGGARAN]]</f>
        <v>-29774000</v>
      </c>
      <c r="X278" t="s">
        <v>982</v>
      </c>
    </row>
    <row r="279" spans="3:24" hidden="1">
      <c r="C279" s="7" t="s">
        <v>259</v>
      </c>
      <c r="D279" s="7" t="s">
        <v>260</v>
      </c>
      <c r="E279" s="7" t="s">
        <v>261</v>
      </c>
      <c r="F279" s="7" t="s">
        <v>262</v>
      </c>
      <c r="G279" s="7" t="s">
        <v>263</v>
      </c>
      <c r="H279" s="8">
        <v>200000000</v>
      </c>
      <c r="I279" s="10" t="s">
        <v>382</v>
      </c>
      <c r="J279" s="7" t="s">
        <v>383</v>
      </c>
      <c r="K279" s="10" t="s">
        <v>27</v>
      </c>
      <c r="L279" s="7" t="s">
        <v>28</v>
      </c>
      <c r="M279" s="7"/>
      <c r="N279" s="7">
        <f>VLOOKUP(J279,[1]Sheet1!$C:$D,2,FALSE)</f>
        <v>6498</v>
      </c>
      <c r="O279" s="7">
        <f>VLOOKUP(J279,[2]Desa!$A:$D,4,FALSE)</f>
        <v>209</v>
      </c>
      <c r="P279" s="7">
        <f>VLOOKUP(J279,[3]Sheet1!$D:$F,3,FALSE)</f>
        <v>29</v>
      </c>
      <c r="Q279" s="7"/>
      <c r="R279" s="7"/>
      <c r="S279" s="12">
        <v>-8.6600211871200603</v>
      </c>
      <c r="T279" s="12">
        <v>116.14369075258</v>
      </c>
      <c r="U279" s="7"/>
      <c r="V279" s="50">
        <f>Table13678[[#This Row],[PAGU SEMULA]]-Table13678[[#This Row],[PAGU ANGGARAN]]</f>
        <v>-200000000</v>
      </c>
      <c r="W279" s="50">
        <f>Table13678[[#This Row],[PAGU SEMULA]]-Table13678[[#This Row],[PAGU ANGGARAN]]</f>
        <v>-200000000</v>
      </c>
      <c r="X279" t="s">
        <v>984</v>
      </c>
    </row>
    <row r="280" spans="3:24" hidden="1">
      <c r="C280" s="7" t="s">
        <v>51</v>
      </c>
      <c r="D280" s="7" t="s">
        <v>52</v>
      </c>
      <c r="E280" s="7" t="s">
        <v>53</v>
      </c>
      <c r="F280" s="7" t="s">
        <v>54</v>
      </c>
      <c r="G280" s="7" t="s">
        <v>55</v>
      </c>
      <c r="H280" s="8">
        <v>189090000</v>
      </c>
      <c r="I280" s="10" t="s">
        <v>382</v>
      </c>
      <c r="J280" s="7" t="s">
        <v>383</v>
      </c>
      <c r="K280" s="10" t="s">
        <v>27</v>
      </c>
      <c r="L280" s="7" t="s">
        <v>28</v>
      </c>
      <c r="M280" s="7"/>
      <c r="N280" s="7">
        <f>VLOOKUP(J280,[1]Sheet1!$C:$D,2,FALSE)</f>
        <v>6498</v>
      </c>
      <c r="O280" s="7">
        <f>VLOOKUP(J280,[2]Desa!$A:$D,4,FALSE)</f>
        <v>209</v>
      </c>
      <c r="P280" s="7">
        <f>VLOOKUP(J280,[3]Sheet1!$D:$F,3,FALSE)</f>
        <v>29</v>
      </c>
      <c r="Q280" s="7"/>
      <c r="R280" s="7"/>
      <c r="S280" s="12">
        <v>-8.6600211871200603</v>
      </c>
      <c r="T280" s="12">
        <v>116.14369075258</v>
      </c>
      <c r="U280" s="7"/>
      <c r="V280" s="50">
        <f>Table13678[[#This Row],[PAGU SEMULA]]-Table13678[[#This Row],[PAGU ANGGARAN]]</f>
        <v>-189090000</v>
      </c>
      <c r="W280" s="50">
        <f>Table13678[[#This Row],[PAGU SEMULA]]-Table13678[[#This Row],[PAGU ANGGARAN]]</f>
        <v>-189090000</v>
      </c>
      <c r="X280" t="s">
        <v>986</v>
      </c>
    </row>
    <row r="281" spans="3:24" hidden="1">
      <c r="C281" s="7" t="s">
        <v>387</v>
      </c>
      <c r="D281" s="7" t="s">
        <v>100</v>
      </c>
      <c r="E281" s="7" t="s">
        <v>388</v>
      </c>
      <c r="F281" s="7" t="s">
        <v>102</v>
      </c>
      <c r="G281" s="7" t="s">
        <v>389</v>
      </c>
      <c r="H281" s="8">
        <v>198000000</v>
      </c>
      <c r="I281" s="10" t="s">
        <v>382</v>
      </c>
      <c r="J281" s="7" t="s">
        <v>383</v>
      </c>
      <c r="K281" s="10" t="s">
        <v>27</v>
      </c>
      <c r="L281" s="7" t="s">
        <v>28</v>
      </c>
      <c r="M281" s="7"/>
      <c r="N281" s="7">
        <f>VLOOKUP(J281,[1]Sheet1!$C:$D,2,FALSE)</f>
        <v>6498</v>
      </c>
      <c r="O281" s="7">
        <f>VLOOKUP(J281,[2]Desa!$A:$D,4,FALSE)</f>
        <v>209</v>
      </c>
      <c r="P281" s="7">
        <f>VLOOKUP(J281,[3]Sheet1!$D:$F,3,FALSE)</f>
        <v>29</v>
      </c>
      <c r="Q281" s="7"/>
      <c r="R281" s="7"/>
      <c r="S281" s="12">
        <v>-8.6600211871200603</v>
      </c>
      <c r="T281" s="12">
        <v>116.14369075258</v>
      </c>
      <c r="U281" s="7"/>
      <c r="V281" s="50">
        <f>Table13678[[#This Row],[PAGU SEMULA]]-Table13678[[#This Row],[PAGU ANGGARAN]]</f>
        <v>-198000000</v>
      </c>
      <c r="W281" s="50">
        <f>Table13678[[#This Row],[PAGU SEMULA]]-Table13678[[#This Row],[PAGU ANGGARAN]]</f>
        <v>-198000000</v>
      </c>
      <c r="X281" t="s">
        <v>987</v>
      </c>
    </row>
    <row r="282" spans="3:24" hidden="1">
      <c r="C282" s="7" t="s">
        <v>20</v>
      </c>
      <c r="D282" s="7" t="s">
        <v>21</v>
      </c>
      <c r="E282" s="7" t="s">
        <v>22</v>
      </c>
      <c r="F282" s="7" t="s">
        <v>23</v>
      </c>
      <c r="G282" s="71" t="s">
        <v>390</v>
      </c>
      <c r="H282" s="15">
        <v>82500000</v>
      </c>
      <c r="I282" s="10" t="s">
        <v>391</v>
      </c>
      <c r="J282" s="7" t="s">
        <v>392</v>
      </c>
      <c r="K282" s="10" t="s">
        <v>58</v>
      </c>
      <c r="L282" s="7" t="s">
        <v>59</v>
      </c>
      <c r="M282" s="7"/>
      <c r="N282" s="7">
        <f>VLOOKUP(J282,[1]Sheet1!$C:$D,2,FALSE)</f>
        <v>5142</v>
      </c>
      <c r="O282" s="7">
        <f>VLOOKUP(J282,[2]Desa!$A:$D,4,FALSE)</f>
        <v>181</v>
      </c>
      <c r="P282" s="7">
        <f>VLOOKUP(J282,[3]Sheet1!$D:$F,3,FALSE)</f>
        <v>47</v>
      </c>
      <c r="Q282" s="7"/>
      <c r="R282" s="7"/>
      <c r="S282" s="12">
        <v>-8.59895203537741</v>
      </c>
      <c r="T282" s="12">
        <v>116.185823408508</v>
      </c>
      <c r="U282" s="7"/>
      <c r="V282" s="50">
        <f>Table13678[[#This Row],[PAGU SEMULA]]-Table13678[[#This Row],[PAGU ANGGARAN]]</f>
        <v>-82500000</v>
      </c>
      <c r="W282" s="50">
        <f>Table13678[[#This Row],[PAGU SEMULA]]-Table13678[[#This Row],[PAGU ANGGARAN]]</f>
        <v>-82500000</v>
      </c>
      <c r="X282" t="s">
        <v>984</v>
      </c>
    </row>
    <row r="283" spans="3:24" hidden="1">
      <c r="C283" s="7" t="s">
        <v>29</v>
      </c>
      <c r="D283" s="7" t="s">
        <v>30</v>
      </c>
      <c r="E283" s="7" t="s">
        <v>31</v>
      </c>
      <c r="F283" s="7" t="s">
        <v>32</v>
      </c>
      <c r="G283" s="7" t="s">
        <v>33</v>
      </c>
      <c r="H283" s="8">
        <v>249060000</v>
      </c>
      <c r="I283" s="10" t="s">
        <v>391</v>
      </c>
      <c r="J283" s="7" t="s">
        <v>392</v>
      </c>
      <c r="K283" s="10" t="s">
        <v>58</v>
      </c>
      <c r="L283" s="7" t="s">
        <v>59</v>
      </c>
      <c r="M283" s="7"/>
      <c r="N283" s="7">
        <f>VLOOKUP(J283,[1]Sheet1!$C:$D,2,FALSE)</f>
        <v>5142</v>
      </c>
      <c r="O283" s="7">
        <f>VLOOKUP(J283,[2]Desa!$A:$D,4,FALSE)</f>
        <v>181</v>
      </c>
      <c r="P283" s="7">
        <f>VLOOKUP(J283,[3]Sheet1!$D:$F,3,FALSE)</f>
        <v>47</v>
      </c>
      <c r="Q283" s="7"/>
      <c r="R283" s="7"/>
      <c r="S283" s="12">
        <v>-8.59895203537741</v>
      </c>
      <c r="T283" s="12">
        <v>116.185823408508</v>
      </c>
      <c r="U283" s="7"/>
      <c r="V283" s="50">
        <f>Table13678[[#This Row],[PAGU SEMULA]]-Table13678[[#This Row],[PAGU ANGGARAN]]</f>
        <v>-249060000</v>
      </c>
      <c r="W283" s="50">
        <f>Table13678[[#This Row],[PAGU SEMULA]]-Table13678[[#This Row],[PAGU ANGGARAN]]</f>
        <v>-249060000</v>
      </c>
      <c r="X283" t="s">
        <v>984</v>
      </c>
    </row>
    <row r="284" spans="3:24" hidden="1">
      <c r="C284" s="7" t="s">
        <v>29</v>
      </c>
      <c r="D284" s="7" t="s">
        <v>30</v>
      </c>
      <c r="E284" s="7" t="s">
        <v>31</v>
      </c>
      <c r="F284" s="7" t="s">
        <v>32</v>
      </c>
      <c r="G284" s="7" t="s">
        <v>34</v>
      </c>
      <c r="H284" s="8">
        <v>19924800</v>
      </c>
      <c r="I284" s="10" t="s">
        <v>391</v>
      </c>
      <c r="J284" s="7" t="s">
        <v>392</v>
      </c>
      <c r="K284" s="10" t="s">
        <v>58</v>
      </c>
      <c r="L284" s="7" t="s">
        <v>59</v>
      </c>
      <c r="M284" s="7"/>
      <c r="N284" s="7">
        <f>VLOOKUP(J284,[1]Sheet1!$C:$D,2,FALSE)</f>
        <v>5142</v>
      </c>
      <c r="O284" s="7">
        <f>VLOOKUP(J284,[2]Desa!$A:$D,4,FALSE)</f>
        <v>181</v>
      </c>
      <c r="P284" s="7">
        <f>VLOOKUP(J284,[3]Sheet1!$D:$F,3,FALSE)</f>
        <v>47</v>
      </c>
      <c r="Q284" s="7"/>
      <c r="R284" s="7"/>
      <c r="S284" s="12">
        <v>-8.59895203537741</v>
      </c>
      <c r="T284" s="12">
        <v>116.185823408508</v>
      </c>
      <c r="U284" s="7"/>
      <c r="V284" s="50">
        <f>Table13678[[#This Row],[PAGU SEMULA]]-Table13678[[#This Row],[PAGU ANGGARAN]]</f>
        <v>-19924800</v>
      </c>
      <c r="W284" s="50">
        <f>Table13678[[#This Row],[PAGU SEMULA]]-Table13678[[#This Row],[PAGU ANGGARAN]]</f>
        <v>-19924800</v>
      </c>
      <c r="X284" t="s">
        <v>984</v>
      </c>
    </row>
    <row r="285" spans="3:24" hidden="1">
      <c r="C285" s="7" t="s">
        <v>60</v>
      </c>
      <c r="D285" s="7" t="s">
        <v>61</v>
      </c>
      <c r="E285" s="7" t="s">
        <v>62</v>
      </c>
      <c r="F285" s="7" t="s">
        <v>63</v>
      </c>
      <c r="G285" s="71" t="s">
        <v>251</v>
      </c>
      <c r="H285" s="15">
        <v>84000000</v>
      </c>
      <c r="I285" s="10" t="s">
        <v>391</v>
      </c>
      <c r="J285" s="7" t="s">
        <v>392</v>
      </c>
      <c r="K285" s="10" t="s">
        <v>58</v>
      </c>
      <c r="L285" s="7" t="s">
        <v>59</v>
      </c>
      <c r="M285" s="7"/>
      <c r="N285" s="7">
        <f>VLOOKUP(J285,[1]Sheet1!$C:$D,2,FALSE)</f>
        <v>5142</v>
      </c>
      <c r="O285" s="7">
        <f>VLOOKUP(J285,[2]Desa!$A:$D,4,FALSE)</f>
        <v>181</v>
      </c>
      <c r="P285" s="7">
        <f>VLOOKUP(J285,[3]Sheet1!$D:$F,3,FALSE)</f>
        <v>47</v>
      </c>
      <c r="Q285" s="7"/>
      <c r="R285" s="7"/>
      <c r="S285" s="12">
        <v>-8.59895203537741</v>
      </c>
      <c r="T285" s="12">
        <v>116.185823408508</v>
      </c>
      <c r="U285" s="7"/>
      <c r="V285" s="50">
        <f>Table13678[[#This Row],[PAGU SEMULA]]-Table13678[[#This Row],[PAGU ANGGARAN]]</f>
        <v>-84000000</v>
      </c>
      <c r="W285" s="50">
        <f>Table13678[[#This Row],[PAGU SEMULA]]-Table13678[[#This Row],[PAGU ANGGARAN]]</f>
        <v>-84000000</v>
      </c>
      <c r="X285" t="s">
        <v>987</v>
      </c>
    </row>
    <row r="286" spans="3:24" hidden="1">
      <c r="C286" s="7" t="s">
        <v>35</v>
      </c>
      <c r="D286" s="7" t="s">
        <v>36</v>
      </c>
      <c r="E286" s="7" t="s">
        <v>37</v>
      </c>
      <c r="F286" s="7" t="s">
        <v>38</v>
      </c>
      <c r="G286" s="7" t="s">
        <v>39</v>
      </c>
      <c r="H286" s="15">
        <v>75000000</v>
      </c>
      <c r="I286" s="10" t="s">
        <v>391</v>
      </c>
      <c r="J286" s="7" t="s">
        <v>392</v>
      </c>
      <c r="K286" s="10" t="s">
        <v>58</v>
      </c>
      <c r="L286" s="7" t="s">
        <v>59</v>
      </c>
      <c r="M286" s="7"/>
      <c r="N286" s="7">
        <f>VLOOKUP(J286,[1]Sheet1!$C:$D,2,FALSE)</f>
        <v>5142</v>
      </c>
      <c r="O286" s="7">
        <f>VLOOKUP(J286,[2]Desa!$A:$D,4,FALSE)</f>
        <v>181</v>
      </c>
      <c r="P286" s="7">
        <f>VLOOKUP(J286,[3]Sheet1!$D:$F,3,FALSE)</f>
        <v>47</v>
      </c>
      <c r="Q286" s="7"/>
      <c r="R286" s="7"/>
      <c r="S286" s="12">
        <v>-8.59895203537741</v>
      </c>
      <c r="T286" s="12">
        <v>116.185823408508</v>
      </c>
      <c r="U286" s="7"/>
      <c r="V286" s="50">
        <f>Table13678[[#This Row],[PAGU SEMULA]]-Table13678[[#This Row],[PAGU ANGGARAN]]</f>
        <v>-75000000</v>
      </c>
      <c r="W286" s="50">
        <f>Table13678[[#This Row],[PAGU SEMULA]]-Table13678[[#This Row],[PAGU ANGGARAN]]</f>
        <v>-75000000</v>
      </c>
      <c r="X286" t="s">
        <v>984</v>
      </c>
    </row>
    <row r="287" spans="3:24" hidden="1">
      <c r="C287" s="7" t="s">
        <v>35</v>
      </c>
      <c r="D287" s="7" t="s">
        <v>52</v>
      </c>
      <c r="E287" s="7" t="s">
        <v>95</v>
      </c>
      <c r="F287" s="7" t="s">
        <v>96</v>
      </c>
      <c r="G287" s="7" t="s">
        <v>393</v>
      </c>
      <c r="H287" s="17">
        <v>96750000</v>
      </c>
      <c r="I287" s="10" t="s">
        <v>391</v>
      </c>
      <c r="J287" s="7" t="s">
        <v>392</v>
      </c>
      <c r="K287" s="10" t="s">
        <v>58</v>
      </c>
      <c r="L287" s="7" t="s">
        <v>59</v>
      </c>
      <c r="M287" s="7"/>
      <c r="N287" s="7">
        <f>VLOOKUP(J287,[1]Sheet1!$C:$D,2,FALSE)</f>
        <v>5142</v>
      </c>
      <c r="O287" s="7">
        <f>VLOOKUP(J287,[2]Desa!$A:$D,4,FALSE)</f>
        <v>181</v>
      </c>
      <c r="P287" s="7">
        <f>VLOOKUP(J287,[3]Sheet1!$D:$F,3,FALSE)</f>
        <v>47</v>
      </c>
      <c r="Q287" s="7"/>
      <c r="R287" s="7"/>
      <c r="S287" s="12">
        <v>-8.59895203537741</v>
      </c>
      <c r="T287" s="12">
        <v>116.185823408508</v>
      </c>
      <c r="U287" s="7"/>
      <c r="V287" s="50">
        <f>Table13678[[#This Row],[PAGU SEMULA]]-Table13678[[#This Row],[PAGU ANGGARAN]]</f>
        <v>-96750000</v>
      </c>
      <c r="W287" s="50">
        <f>Table13678[[#This Row],[PAGU SEMULA]]-Table13678[[#This Row],[PAGU ANGGARAN]]</f>
        <v>-96750000</v>
      </c>
      <c r="X287" t="s">
        <v>986</v>
      </c>
    </row>
    <row r="288" spans="3:24" hidden="1">
      <c r="C288" s="7" t="s">
        <v>68</v>
      </c>
      <c r="D288" s="7" t="s">
        <v>118</v>
      </c>
      <c r="E288" s="7" t="s">
        <v>119</v>
      </c>
      <c r="F288" s="7" t="s">
        <v>120</v>
      </c>
      <c r="G288" s="7" t="s">
        <v>121</v>
      </c>
      <c r="H288" s="8">
        <v>100000000</v>
      </c>
      <c r="I288" s="10" t="s">
        <v>391</v>
      </c>
      <c r="J288" s="7" t="s">
        <v>392</v>
      </c>
      <c r="K288" s="10" t="s">
        <v>58</v>
      </c>
      <c r="L288" s="7" t="s">
        <v>59</v>
      </c>
      <c r="M288" s="7"/>
      <c r="N288" s="7">
        <f>VLOOKUP(J288,[1]Sheet1!$C:$D,2,FALSE)</f>
        <v>5142</v>
      </c>
      <c r="O288" s="7">
        <f>VLOOKUP(J288,[2]Desa!$A:$D,4,FALSE)</f>
        <v>181</v>
      </c>
      <c r="P288" s="7">
        <f>VLOOKUP(J288,[3]Sheet1!$D:$F,3,FALSE)</f>
        <v>47</v>
      </c>
      <c r="Q288" s="7"/>
      <c r="R288" s="7"/>
      <c r="S288" s="12">
        <v>-8.59895203537741</v>
      </c>
      <c r="T288" s="12">
        <v>116.185823408508</v>
      </c>
      <c r="U288" s="7"/>
      <c r="V288" s="50">
        <f>Table13678[[#This Row],[PAGU SEMULA]]-Table13678[[#This Row],[PAGU ANGGARAN]]</f>
        <v>-100000000</v>
      </c>
      <c r="W288" s="50">
        <f>Table13678[[#This Row],[PAGU SEMULA]]-Table13678[[#This Row],[PAGU ANGGARAN]]</f>
        <v>-100000000</v>
      </c>
      <c r="X288" t="s">
        <v>982</v>
      </c>
    </row>
    <row r="289" spans="3:24" hidden="1">
      <c r="C289" s="7" t="s">
        <v>68</v>
      </c>
      <c r="D289" s="7" t="s">
        <v>69</v>
      </c>
      <c r="E289" s="7" t="s">
        <v>70</v>
      </c>
      <c r="F289" s="7" t="s">
        <v>71</v>
      </c>
      <c r="G289" s="7" t="s">
        <v>72</v>
      </c>
      <c r="H289" s="8">
        <v>29958000</v>
      </c>
      <c r="I289" s="10" t="s">
        <v>391</v>
      </c>
      <c r="J289" s="7" t="s">
        <v>392</v>
      </c>
      <c r="K289" s="10" t="s">
        <v>58</v>
      </c>
      <c r="L289" s="7" t="s">
        <v>59</v>
      </c>
      <c r="M289" s="7"/>
      <c r="N289" s="7">
        <f>VLOOKUP(J289,[1]Sheet1!$C:$D,2,FALSE)</f>
        <v>5142</v>
      </c>
      <c r="O289" s="7">
        <f>VLOOKUP(J289,[2]Desa!$A:$D,4,FALSE)</f>
        <v>181</v>
      </c>
      <c r="P289" s="7">
        <f>VLOOKUP(J289,[3]Sheet1!$D:$F,3,FALSE)</f>
        <v>47</v>
      </c>
      <c r="Q289" s="7"/>
      <c r="R289" s="7"/>
      <c r="S289" s="12">
        <v>-8.59895203537741</v>
      </c>
      <c r="T289" s="12">
        <v>116.185823408508</v>
      </c>
      <c r="U289" s="7"/>
      <c r="V289" s="50">
        <f>Table13678[[#This Row],[PAGU SEMULA]]-Table13678[[#This Row],[PAGU ANGGARAN]]</f>
        <v>-29958000</v>
      </c>
      <c r="W289" s="50">
        <f>Table13678[[#This Row],[PAGU SEMULA]]-Table13678[[#This Row],[PAGU ANGGARAN]]</f>
        <v>-29958000</v>
      </c>
      <c r="X289" t="s">
        <v>982</v>
      </c>
    </row>
    <row r="290" spans="3:24" hidden="1">
      <c r="C290" s="7" t="s">
        <v>68</v>
      </c>
      <c r="D290" s="7" t="s">
        <v>277</v>
      </c>
      <c r="E290" s="7" t="s">
        <v>278</v>
      </c>
      <c r="F290" s="7" t="s">
        <v>279</v>
      </c>
      <c r="G290" s="7" t="s">
        <v>280</v>
      </c>
      <c r="H290" s="8">
        <v>30000000</v>
      </c>
      <c r="I290" s="10" t="s">
        <v>391</v>
      </c>
      <c r="J290" s="7" t="s">
        <v>392</v>
      </c>
      <c r="K290" s="10" t="s">
        <v>58</v>
      </c>
      <c r="L290" s="7" t="s">
        <v>59</v>
      </c>
      <c r="M290" s="7"/>
      <c r="N290" s="7">
        <f>VLOOKUP(J290,[1]Sheet1!$C:$D,2,FALSE)</f>
        <v>5142</v>
      </c>
      <c r="O290" s="7">
        <f>VLOOKUP(J290,[2]Desa!$A:$D,4,FALSE)</f>
        <v>181</v>
      </c>
      <c r="P290" s="7">
        <f>VLOOKUP(J290,[3]Sheet1!$D:$F,3,FALSE)</f>
        <v>47</v>
      </c>
      <c r="Q290" s="7"/>
      <c r="R290" s="7"/>
      <c r="S290" s="12">
        <v>-8.59895203537741</v>
      </c>
      <c r="T290" s="12">
        <v>116.185823408508</v>
      </c>
      <c r="U290" s="7"/>
      <c r="V290" s="50">
        <f>Table13678[[#This Row],[PAGU SEMULA]]-Table13678[[#This Row],[PAGU ANGGARAN]]</f>
        <v>-30000000</v>
      </c>
      <c r="W290" s="50">
        <f>Table13678[[#This Row],[PAGU SEMULA]]-Table13678[[#This Row],[PAGU ANGGARAN]]</f>
        <v>-30000000</v>
      </c>
      <c r="X290" t="s">
        <v>982</v>
      </c>
    </row>
    <row r="291" spans="3:24" hidden="1">
      <c r="C291" s="7" t="s">
        <v>51</v>
      </c>
      <c r="D291" s="7" t="s">
        <v>65</v>
      </c>
      <c r="E291" s="7" t="s">
        <v>321</v>
      </c>
      <c r="F291" s="7" t="s">
        <v>322</v>
      </c>
      <c r="G291" s="7" t="s">
        <v>67</v>
      </c>
      <c r="H291" s="8">
        <v>200000000</v>
      </c>
      <c r="I291" s="10" t="s">
        <v>391</v>
      </c>
      <c r="J291" s="7" t="s">
        <v>392</v>
      </c>
      <c r="K291" s="10" t="s">
        <v>58</v>
      </c>
      <c r="L291" s="7" t="s">
        <v>59</v>
      </c>
      <c r="M291" s="7"/>
      <c r="N291" s="7">
        <f>VLOOKUP(J291,[1]Sheet1!$C:$D,2,FALSE)</f>
        <v>5142</v>
      </c>
      <c r="O291" s="7">
        <f>VLOOKUP(J291,[2]Desa!$A:$D,4,FALSE)</f>
        <v>181</v>
      </c>
      <c r="P291" s="7">
        <f>VLOOKUP(J291,[3]Sheet1!$D:$F,3,FALSE)</f>
        <v>47</v>
      </c>
      <c r="Q291" s="7"/>
      <c r="R291" s="7"/>
      <c r="S291" s="12">
        <v>-8.59895203537741</v>
      </c>
      <c r="T291" s="12">
        <v>116.185823408508</v>
      </c>
      <c r="U291" s="7"/>
      <c r="V291" s="50">
        <f>Table13678[[#This Row],[PAGU SEMULA]]-Table13678[[#This Row],[PAGU ANGGARAN]]</f>
        <v>-200000000</v>
      </c>
      <c r="W291" s="50">
        <f>Table13678[[#This Row],[PAGU SEMULA]]-Table13678[[#This Row],[PAGU ANGGARAN]]</f>
        <v>-200000000</v>
      </c>
      <c r="X291" t="s">
        <v>986</v>
      </c>
    </row>
    <row r="292" spans="3:24" hidden="1">
      <c r="C292" s="7" t="s">
        <v>394</v>
      </c>
      <c r="D292" s="7" t="s">
        <v>85</v>
      </c>
      <c r="E292" s="7" t="s">
        <v>395</v>
      </c>
      <c r="F292" s="7" t="s">
        <v>396</v>
      </c>
      <c r="G292" s="7" t="s">
        <v>397</v>
      </c>
      <c r="H292" s="8">
        <v>47775000</v>
      </c>
      <c r="I292" s="10" t="s">
        <v>391</v>
      </c>
      <c r="J292" s="7" t="s">
        <v>392</v>
      </c>
      <c r="K292" s="10" t="s">
        <v>58</v>
      </c>
      <c r="L292" s="7" t="s">
        <v>59</v>
      </c>
      <c r="M292" s="7"/>
      <c r="N292" s="7">
        <f>VLOOKUP(J292,[1]Sheet1!$C:$D,2,FALSE)</f>
        <v>5142</v>
      </c>
      <c r="O292" s="7">
        <f>VLOOKUP(J292,[2]Desa!$A:$D,4,FALSE)</f>
        <v>181</v>
      </c>
      <c r="P292" s="7">
        <f>VLOOKUP(J292,[3]Sheet1!$D:$F,3,FALSE)</f>
        <v>47</v>
      </c>
      <c r="Q292" s="7"/>
      <c r="R292" s="7"/>
      <c r="S292" s="12">
        <v>-8.59895203537741</v>
      </c>
      <c r="T292" s="12">
        <v>116.185823408508</v>
      </c>
      <c r="U292" s="7"/>
      <c r="V292" s="50">
        <f>Table13678[[#This Row],[PAGU SEMULA]]-Table13678[[#This Row],[PAGU ANGGARAN]]</f>
        <v>-47775000</v>
      </c>
      <c r="W292" s="50">
        <f>Table13678[[#This Row],[PAGU SEMULA]]-Table13678[[#This Row],[PAGU ANGGARAN]]</f>
        <v>-47775000</v>
      </c>
      <c r="X292" t="s">
        <v>982</v>
      </c>
    </row>
    <row r="293" spans="3:24" hidden="1">
      <c r="C293" s="7" t="s">
        <v>20</v>
      </c>
      <c r="D293" s="7" t="s">
        <v>104</v>
      </c>
      <c r="E293" s="7" t="s">
        <v>105</v>
      </c>
      <c r="F293" s="7" t="s">
        <v>106</v>
      </c>
      <c r="G293" s="71" t="s">
        <v>398</v>
      </c>
      <c r="H293" s="15">
        <v>397080000</v>
      </c>
      <c r="I293" s="10" t="s">
        <v>399</v>
      </c>
      <c r="J293" s="7" t="s">
        <v>400</v>
      </c>
      <c r="K293" s="10" t="s">
        <v>288</v>
      </c>
      <c r="L293" s="7" t="s">
        <v>289</v>
      </c>
      <c r="M293" s="7"/>
      <c r="N293" s="7">
        <f>VLOOKUP(J293,[1]Sheet1!$C:$D,2,FALSE)</f>
        <v>3394</v>
      </c>
      <c r="O293" s="7">
        <f>VLOOKUP(J293,[2]Desa!$A:$D,4,FALSE)</f>
        <v>165</v>
      </c>
      <c r="P293" s="7">
        <f>VLOOKUP(J293,[3]Sheet1!$D:$F,3,FALSE)</f>
        <v>9</v>
      </c>
      <c r="Q293" s="7"/>
      <c r="R293" s="7"/>
      <c r="S293" s="12">
        <v>-8.5439977450023807</v>
      </c>
      <c r="T293" s="12">
        <v>116.118286881413</v>
      </c>
      <c r="U293" s="7"/>
      <c r="V293" s="50">
        <f>Table13678[[#This Row],[PAGU SEMULA]]-Table13678[[#This Row],[PAGU ANGGARAN]]</f>
        <v>-397080000</v>
      </c>
      <c r="W293" s="50">
        <f>Table13678[[#This Row],[PAGU SEMULA]]-Table13678[[#This Row],[PAGU ANGGARAN]]</f>
        <v>-397080000</v>
      </c>
      <c r="X293" t="s">
        <v>984</v>
      </c>
    </row>
    <row r="294" spans="3:24" hidden="1">
      <c r="C294" s="7" t="s">
        <v>29</v>
      </c>
      <c r="D294" s="7" t="s">
        <v>30</v>
      </c>
      <c r="E294" s="7" t="s">
        <v>31</v>
      </c>
      <c r="F294" s="7" t="s">
        <v>32</v>
      </c>
      <c r="G294" s="7" t="s">
        <v>33</v>
      </c>
      <c r="H294" s="8">
        <v>244440000</v>
      </c>
      <c r="I294" s="10" t="s">
        <v>399</v>
      </c>
      <c r="J294" s="7" t="s">
        <v>400</v>
      </c>
      <c r="K294" s="10" t="s">
        <v>288</v>
      </c>
      <c r="L294" s="7" t="s">
        <v>289</v>
      </c>
      <c r="M294" s="7"/>
      <c r="N294" s="7">
        <f>VLOOKUP(J294,[1]Sheet1!$C:$D,2,FALSE)</f>
        <v>3394</v>
      </c>
      <c r="O294" s="7">
        <f>VLOOKUP(J294,[2]Desa!$A:$D,4,FALSE)</f>
        <v>165</v>
      </c>
      <c r="P294" s="7">
        <f>VLOOKUP(J294,[3]Sheet1!$D:$F,3,FALSE)</f>
        <v>9</v>
      </c>
      <c r="Q294" s="7"/>
      <c r="R294" s="7"/>
      <c r="S294" s="12">
        <v>-8.5439977450023807</v>
      </c>
      <c r="T294" s="12">
        <v>116.118286881413</v>
      </c>
      <c r="U294" s="7"/>
      <c r="V294" s="50">
        <f>Table13678[[#This Row],[PAGU SEMULA]]-Table13678[[#This Row],[PAGU ANGGARAN]]</f>
        <v>-244440000</v>
      </c>
      <c r="W294" s="50">
        <f>Table13678[[#This Row],[PAGU SEMULA]]-Table13678[[#This Row],[PAGU ANGGARAN]]</f>
        <v>-244440000</v>
      </c>
      <c r="X294" t="s">
        <v>984</v>
      </c>
    </row>
    <row r="295" spans="3:24" hidden="1">
      <c r="C295" s="7" t="s">
        <v>29</v>
      </c>
      <c r="D295" s="7" t="s">
        <v>30</v>
      </c>
      <c r="E295" s="7" t="s">
        <v>31</v>
      </c>
      <c r="F295" s="7" t="s">
        <v>32</v>
      </c>
      <c r="G295" s="7" t="s">
        <v>34</v>
      </c>
      <c r="H295" s="8">
        <v>19555200</v>
      </c>
      <c r="I295" s="10" t="s">
        <v>399</v>
      </c>
      <c r="J295" s="7" t="s">
        <v>400</v>
      </c>
      <c r="K295" s="10" t="s">
        <v>288</v>
      </c>
      <c r="L295" s="7" t="s">
        <v>289</v>
      </c>
      <c r="M295" s="7"/>
      <c r="N295" s="7">
        <f>VLOOKUP(J295,[1]Sheet1!$C:$D,2,FALSE)</f>
        <v>3394</v>
      </c>
      <c r="O295" s="7">
        <f>VLOOKUP(J295,[2]Desa!$A:$D,4,FALSE)</f>
        <v>165</v>
      </c>
      <c r="P295" s="7">
        <f>VLOOKUP(J295,[3]Sheet1!$D:$F,3,FALSE)</f>
        <v>9</v>
      </c>
      <c r="Q295" s="7"/>
      <c r="R295" s="7"/>
      <c r="S295" s="12">
        <v>-8.5439977450023807</v>
      </c>
      <c r="T295" s="12">
        <v>116.118286881413</v>
      </c>
      <c r="U295" s="7"/>
      <c r="V295" s="50">
        <f>Table13678[[#This Row],[PAGU SEMULA]]-Table13678[[#This Row],[PAGU ANGGARAN]]</f>
        <v>-19555200</v>
      </c>
      <c r="W295" s="50">
        <f>Table13678[[#This Row],[PAGU SEMULA]]-Table13678[[#This Row],[PAGU ANGGARAN]]</f>
        <v>-19555200</v>
      </c>
      <c r="X295" t="s">
        <v>984</v>
      </c>
    </row>
    <row r="296" spans="3:24" hidden="1">
      <c r="C296" s="7" t="s">
        <v>130</v>
      </c>
      <c r="D296" s="7" t="s">
        <v>131</v>
      </c>
      <c r="E296" s="7" t="s">
        <v>132</v>
      </c>
      <c r="F296" s="7" t="s">
        <v>132</v>
      </c>
      <c r="G296" s="7" t="s">
        <v>401</v>
      </c>
      <c r="H296" s="8">
        <v>95800000</v>
      </c>
      <c r="I296" s="10" t="s">
        <v>399</v>
      </c>
      <c r="J296" s="7" t="s">
        <v>400</v>
      </c>
      <c r="K296" s="10" t="s">
        <v>288</v>
      </c>
      <c r="L296" s="7" t="s">
        <v>289</v>
      </c>
      <c r="M296" s="7"/>
      <c r="N296" s="7">
        <f>VLOOKUP(J296,[1]Sheet1!$C:$D,2,FALSE)</f>
        <v>3394</v>
      </c>
      <c r="O296" s="7">
        <f>VLOOKUP(J296,[2]Desa!$A:$D,4,FALSE)</f>
        <v>165</v>
      </c>
      <c r="P296" s="7">
        <f>VLOOKUP(J296,[3]Sheet1!$D:$F,3,FALSE)</f>
        <v>9</v>
      </c>
      <c r="Q296" s="7"/>
      <c r="R296" s="7"/>
      <c r="S296" s="12">
        <v>-8.5439977450023807</v>
      </c>
      <c r="T296" s="12">
        <v>116.118286881413</v>
      </c>
      <c r="U296" s="7"/>
      <c r="V296" s="50">
        <f>Table13678[[#This Row],[PAGU SEMULA]]-Table13678[[#This Row],[PAGU ANGGARAN]]</f>
        <v>-95800000</v>
      </c>
      <c r="W296" s="50">
        <f>Table13678[[#This Row],[PAGU SEMULA]]-Table13678[[#This Row],[PAGU ANGGARAN]]</f>
        <v>-95800000</v>
      </c>
      <c r="X296" t="s">
        <v>986</v>
      </c>
    </row>
    <row r="297" spans="3:24" hidden="1">
      <c r="C297" s="7" t="s">
        <v>84</v>
      </c>
      <c r="D297" s="7" t="s">
        <v>85</v>
      </c>
      <c r="E297" s="7" t="s">
        <v>86</v>
      </c>
      <c r="F297" s="7" t="s">
        <v>87</v>
      </c>
      <c r="G297" s="7" t="s">
        <v>402</v>
      </c>
      <c r="H297" s="8">
        <v>45750000</v>
      </c>
      <c r="I297" s="10" t="s">
        <v>399</v>
      </c>
      <c r="J297" s="7" t="s">
        <v>400</v>
      </c>
      <c r="K297" s="10" t="s">
        <v>288</v>
      </c>
      <c r="L297" s="7" t="s">
        <v>289</v>
      </c>
      <c r="M297" s="7"/>
      <c r="N297" s="7">
        <f>VLOOKUP(J297,[1]Sheet1!$C:$D,2,FALSE)</f>
        <v>3394</v>
      </c>
      <c r="O297" s="7">
        <f>VLOOKUP(J297,[2]Desa!$A:$D,4,FALSE)</f>
        <v>165</v>
      </c>
      <c r="P297" s="7">
        <f>VLOOKUP(J297,[3]Sheet1!$D:$F,3,FALSE)</f>
        <v>9</v>
      </c>
      <c r="Q297" s="7"/>
      <c r="R297" s="7"/>
      <c r="S297" s="12">
        <v>-8.5439977450023807</v>
      </c>
      <c r="T297" s="12">
        <v>116.118286881413</v>
      </c>
      <c r="U297" s="7"/>
      <c r="V297" s="50">
        <f>Table13678[[#This Row],[PAGU SEMULA]]-Table13678[[#This Row],[PAGU ANGGARAN]]</f>
        <v>-45750000</v>
      </c>
      <c r="W297" s="50">
        <f>Table13678[[#This Row],[PAGU SEMULA]]-Table13678[[#This Row],[PAGU ANGGARAN]]</f>
        <v>-45750000</v>
      </c>
      <c r="X297" t="s">
        <v>982</v>
      </c>
    </row>
    <row r="298" spans="3:24" hidden="1">
      <c r="C298" s="7" t="s">
        <v>84</v>
      </c>
      <c r="D298" s="7" t="s">
        <v>85</v>
      </c>
      <c r="E298" s="7" t="s">
        <v>86</v>
      </c>
      <c r="F298" s="7" t="s">
        <v>87</v>
      </c>
      <c r="G298" s="7" t="s">
        <v>403</v>
      </c>
      <c r="H298" s="8">
        <v>43500000</v>
      </c>
      <c r="I298" s="10" t="s">
        <v>399</v>
      </c>
      <c r="J298" s="7" t="s">
        <v>400</v>
      </c>
      <c r="K298" s="10" t="s">
        <v>288</v>
      </c>
      <c r="L298" s="7" t="s">
        <v>289</v>
      </c>
      <c r="M298" s="7"/>
      <c r="N298" s="7">
        <f>VLOOKUP(J298,[1]Sheet1!$C:$D,2,FALSE)</f>
        <v>3394</v>
      </c>
      <c r="O298" s="7">
        <f>VLOOKUP(J298,[2]Desa!$A:$D,4,FALSE)</f>
        <v>165</v>
      </c>
      <c r="P298" s="7">
        <f>VLOOKUP(J298,[3]Sheet1!$D:$F,3,FALSE)</f>
        <v>9</v>
      </c>
      <c r="Q298" s="7"/>
      <c r="R298" s="7"/>
      <c r="S298" s="12">
        <v>-8.5439977450023807</v>
      </c>
      <c r="T298" s="12">
        <v>116.118286881413</v>
      </c>
      <c r="U298" s="7"/>
      <c r="V298" s="50">
        <f>Table13678[[#This Row],[PAGU SEMULA]]-Table13678[[#This Row],[PAGU ANGGARAN]]</f>
        <v>-43500000</v>
      </c>
      <c r="W298" s="50">
        <f>Table13678[[#This Row],[PAGU SEMULA]]-Table13678[[#This Row],[PAGU ANGGARAN]]</f>
        <v>-43500000</v>
      </c>
      <c r="X298" t="s">
        <v>982</v>
      </c>
    </row>
    <row r="299" spans="3:24" hidden="1">
      <c r="C299" s="7" t="s">
        <v>198</v>
      </c>
      <c r="D299" s="7" t="s">
        <v>404</v>
      </c>
      <c r="E299" s="7" t="s">
        <v>405</v>
      </c>
      <c r="F299" s="7" t="s">
        <v>406</v>
      </c>
      <c r="G299" s="7" t="s">
        <v>407</v>
      </c>
      <c r="H299" s="8">
        <v>48018466</v>
      </c>
      <c r="I299" s="10" t="s">
        <v>399</v>
      </c>
      <c r="J299" s="7" t="s">
        <v>400</v>
      </c>
      <c r="K299" s="10" t="s">
        <v>288</v>
      </c>
      <c r="L299" s="7" t="s">
        <v>289</v>
      </c>
      <c r="M299" s="7"/>
      <c r="N299" s="7">
        <f>VLOOKUP(J299,[1]Sheet1!$C:$D,2,FALSE)</f>
        <v>3394</v>
      </c>
      <c r="O299" s="7">
        <f>VLOOKUP(J299,[2]Desa!$A:$D,4,FALSE)</f>
        <v>165</v>
      </c>
      <c r="P299" s="7">
        <f>VLOOKUP(J299,[3]Sheet1!$D:$F,3,FALSE)</f>
        <v>9</v>
      </c>
      <c r="Q299" s="7"/>
      <c r="R299" s="7"/>
      <c r="S299" s="12">
        <v>-8.5439977450023807</v>
      </c>
      <c r="T299" s="12">
        <v>116.118286881413</v>
      </c>
      <c r="U299" s="7"/>
      <c r="V299" s="50">
        <f>Table13678[[#This Row],[PAGU SEMULA]]-Table13678[[#This Row],[PAGU ANGGARAN]]</f>
        <v>-48018466</v>
      </c>
      <c r="W299" s="50">
        <f>Table13678[[#This Row],[PAGU SEMULA]]-Table13678[[#This Row],[PAGU ANGGARAN]]</f>
        <v>-48018466</v>
      </c>
      <c r="X299" t="s">
        <v>982</v>
      </c>
    </row>
    <row r="300" spans="3:24" hidden="1">
      <c r="C300" s="7" t="s">
        <v>110</v>
      </c>
      <c r="D300" s="7" t="s">
        <v>111</v>
      </c>
      <c r="E300" s="7" t="s">
        <v>112</v>
      </c>
      <c r="F300" s="7" t="s">
        <v>113</v>
      </c>
      <c r="G300" s="71" t="s">
        <v>408</v>
      </c>
      <c r="H300" s="8">
        <v>48770000</v>
      </c>
      <c r="I300" s="10" t="s">
        <v>399</v>
      </c>
      <c r="J300" s="7" t="s">
        <v>400</v>
      </c>
      <c r="K300" s="10" t="s">
        <v>288</v>
      </c>
      <c r="L300" s="7" t="s">
        <v>289</v>
      </c>
      <c r="M300" s="7"/>
      <c r="N300" s="7">
        <f>VLOOKUP(J300,[1]Sheet1!$C:$D,2,FALSE)</f>
        <v>3394</v>
      </c>
      <c r="O300" s="7">
        <f>VLOOKUP(J300,[2]Desa!$A:$D,4,FALSE)</f>
        <v>165</v>
      </c>
      <c r="P300" s="7">
        <f>VLOOKUP(J300,[3]Sheet1!$D:$F,3,FALSE)</f>
        <v>9</v>
      </c>
      <c r="Q300" s="7"/>
      <c r="R300" s="7"/>
      <c r="S300" s="12">
        <v>-8.5439977450023807</v>
      </c>
      <c r="T300" s="12">
        <v>116.118286881413</v>
      </c>
      <c r="U300" s="7"/>
      <c r="V300" s="50">
        <f>Table13678[[#This Row],[PAGU SEMULA]]-Table13678[[#This Row],[PAGU ANGGARAN]]</f>
        <v>-48770000</v>
      </c>
      <c r="W300" s="50">
        <f>Table13678[[#This Row],[PAGU SEMULA]]-Table13678[[#This Row],[PAGU ANGGARAN]]</f>
        <v>-48770000</v>
      </c>
      <c r="X300" t="s">
        <v>982</v>
      </c>
    </row>
    <row r="301" spans="3:24" hidden="1">
      <c r="C301" s="7" t="s">
        <v>35</v>
      </c>
      <c r="D301" s="7" t="s">
        <v>36</v>
      </c>
      <c r="E301" s="7" t="s">
        <v>37</v>
      </c>
      <c r="F301" s="7" t="s">
        <v>38</v>
      </c>
      <c r="G301" s="7" t="s">
        <v>39</v>
      </c>
      <c r="H301" s="15">
        <v>75000000</v>
      </c>
      <c r="I301" s="10" t="s">
        <v>399</v>
      </c>
      <c r="J301" s="7" t="s">
        <v>400</v>
      </c>
      <c r="K301" s="10" t="s">
        <v>288</v>
      </c>
      <c r="L301" s="7" t="s">
        <v>289</v>
      </c>
      <c r="M301" s="7"/>
      <c r="N301" s="7">
        <f>VLOOKUP(J301,[1]Sheet1!$C:$D,2,FALSE)</f>
        <v>3394</v>
      </c>
      <c r="O301" s="7">
        <f>VLOOKUP(J301,[2]Desa!$A:$D,4,FALSE)</f>
        <v>165</v>
      </c>
      <c r="P301" s="7">
        <f>VLOOKUP(J301,[3]Sheet1!$D:$F,3,FALSE)</f>
        <v>9</v>
      </c>
      <c r="Q301" s="7"/>
      <c r="R301" s="7"/>
      <c r="S301" s="12">
        <v>-8.5439977450023807</v>
      </c>
      <c r="T301" s="12">
        <v>116.118286881413</v>
      </c>
      <c r="U301" s="7"/>
      <c r="V301" s="50">
        <f>Table13678[[#This Row],[PAGU SEMULA]]-Table13678[[#This Row],[PAGU ANGGARAN]]</f>
        <v>-75000000</v>
      </c>
      <c r="W301" s="50">
        <f>Table13678[[#This Row],[PAGU SEMULA]]-Table13678[[#This Row],[PAGU ANGGARAN]]</f>
        <v>-75000000</v>
      </c>
      <c r="X301" t="s">
        <v>984</v>
      </c>
    </row>
    <row r="302" spans="3:24" hidden="1">
      <c r="C302" s="7" t="s">
        <v>35</v>
      </c>
      <c r="D302" s="7" t="s">
        <v>52</v>
      </c>
      <c r="E302" s="7" t="s">
        <v>95</v>
      </c>
      <c r="F302" s="7" t="s">
        <v>96</v>
      </c>
      <c r="G302" s="7" t="s">
        <v>41</v>
      </c>
      <c r="H302" s="17">
        <v>411187500</v>
      </c>
      <c r="I302" s="10" t="s">
        <v>399</v>
      </c>
      <c r="J302" s="7" t="s">
        <v>400</v>
      </c>
      <c r="K302" s="10" t="s">
        <v>288</v>
      </c>
      <c r="L302" s="7" t="s">
        <v>289</v>
      </c>
      <c r="M302" s="7"/>
      <c r="N302" s="7">
        <f>VLOOKUP(J302,[1]Sheet1!$C:$D,2,FALSE)</f>
        <v>3394</v>
      </c>
      <c r="O302" s="7">
        <f>VLOOKUP(J302,[2]Desa!$A:$D,4,FALSE)</f>
        <v>165</v>
      </c>
      <c r="P302" s="7">
        <f>VLOOKUP(J302,[3]Sheet1!$D:$F,3,FALSE)</f>
        <v>9</v>
      </c>
      <c r="Q302" s="7"/>
      <c r="R302" s="7"/>
      <c r="S302" s="12">
        <v>-8.5439977450023807</v>
      </c>
      <c r="T302" s="12">
        <v>116.118286881413</v>
      </c>
      <c r="U302" s="7"/>
      <c r="V302" s="50">
        <f>Table13678[[#This Row],[PAGU SEMULA]]-Table13678[[#This Row],[PAGU ANGGARAN]]</f>
        <v>-411187500</v>
      </c>
      <c r="W302" s="50">
        <f>Table13678[[#This Row],[PAGU SEMULA]]-Table13678[[#This Row],[PAGU ANGGARAN]]</f>
        <v>-411187500</v>
      </c>
      <c r="X302" t="s">
        <v>986</v>
      </c>
    </row>
    <row r="303" spans="3:24" hidden="1">
      <c r="C303" s="7" t="s">
        <v>35</v>
      </c>
      <c r="D303" s="7" t="s">
        <v>52</v>
      </c>
      <c r="E303" s="7" t="s">
        <v>95</v>
      </c>
      <c r="F303" s="7" t="s">
        <v>96</v>
      </c>
      <c r="G303" s="7" t="s">
        <v>409</v>
      </c>
      <c r="H303" s="17">
        <v>193500000</v>
      </c>
      <c r="I303" s="10" t="s">
        <v>399</v>
      </c>
      <c r="J303" s="7" t="s">
        <v>400</v>
      </c>
      <c r="K303" s="10" t="s">
        <v>288</v>
      </c>
      <c r="L303" s="7" t="s">
        <v>289</v>
      </c>
      <c r="M303" s="7"/>
      <c r="N303" s="7">
        <f>VLOOKUP(J303,[1]Sheet1!$C:$D,2,FALSE)</f>
        <v>3394</v>
      </c>
      <c r="O303" s="7">
        <f>VLOOKUP(J303,[2]Desa!$A:$D,4,FALSE)</f>
        <v>165</v>
      </c>
      <c r="P303" s="7">
        <f>VLOOKUP(J303,[3]Sheet1!$D:$F,3,FALSE)</f>
        <v>9</v>
      </c>
      <c r="Q303" s="7"/>
      <c r="R303" s="7"/>
      <c r="S303" s="12">
        <v>-8.5439977450023807</v>
      </c>
      <c r="T303" s="12">
        <v>116.118286881413</v>
      </c>
      <c r="U303" s="7"/>
      <c r="V303" s="50">
        <f>Table13678[[#This Row],[PAGU SEMULA]]-Table13678[[#This Row],[PAGU ANGGARAN]]</f>
        <v>-193500000</v>
      </c>
      <c r="W303" s="50">
        <f>Table13678[[#This Row],[PAGU SEMULA]]-Table13678[[#This Row],[PAGU ANGGARAN]]</f>
        <v>-193500000</v>
      </c>
      <c r="X303" t="s">
        <v>986</v>
      </c>
    </row>
    <row r="304" spans="3:24" hidden="1">
      <c r="C304" s="7" t="s">
        <v>51</v>
      </c>
      <c r="D304" s="7" t="s">
        <v>52</v>
      </c>
      <c r="E304" s="7" t="s">
        <v>53</v>
      </c>
      <c r="F304" s="7" t="s">
        <v>54</v>
      </c>
      <c r="G304" s="7" t="s">
        <v>55</v>
      </c>
      <c r="H304" s="8">
        <v>189090000</v>
      </c>
      <c r="I304" s="10" t="s">
        <v>399</v>
      </c>
      <c r="J304" s="7" t="s">
        <v>400</v>
      </c>
      <c r="K304" s="10" t="s">
        <v>288</v>
      </c>
      <c r="L304" s="7" t="s">
        <v>289</v>
      </c>
      <c r="M304" s="7"/>
      <c r="N304" s="7">
        <f>VLOOKUP(J304,[1]Sheet1!$C:$D,2,FALSE)</f>
        <v>3394</v>
      </c>
      <c r="O304" s="7">
        <f>VLOOKUP(J304,[2]Desa!$A:$D,4,FALSE)</f>
        <v>165</v>
      </c>
      <c r="P304" s="7">
        <f>VLOOKUP(J304,[3]Sheet1!$D:$F,3,FALSE)</f>
        <v>9</v>
      </c>
      <c r="Q304" s="7"/>
      <c r="R304" s="7"/>
      <c r="S304" s="12">
        <v>-8.5439977450023807</v>
      </c>
      <c r="T304" s="12">
        <v>116.118286881413</v>
      </c>
      <c r="U304" s="7"/>
      <c r="V304" s="50">
        <f>Table13678[[#This Row],[PAGU SEMULA]]-Table13678[[#This Row],[PAGU ANGGARAN]]</f>
        <v>-189090000</v>
      </c>
      <c r="W304" s="50">
        <f>Table13678[[#This Row],[PAGU SEMULA]]-Table13678[[#This Row],[PAGU ANGGARAN]]</f>
        <v>-189090000</v>
      </c>
      <c r="X304" t="s">
        <v>986</v>
      </c>
    </row>
    <row r="305" spans="3:24" hidden="1">
      <c r="C305" s="7" t="s">
        <v>29</v>
      </c>
      <c r="D305" s="7" t="s">
        <v>30</v>
      </c>
      <c r="E305" s="7" t="s">
        <v>31</v>
      </c>
      <c r="F305" s="7" t="s">
        <v>32</v>
      </c>
      <c r="G305" s="7" t="s">
        <v>33</v>
      </c>
      <c r="H305" s="8">
        <v>28560000</v>
      </c>
      <c r="I305" s="10" t="s">
        <v>410</v>
      </c>
      <c r="J305" s="7" t="s">
        <v>411</v>
      </c>
      <c r="K305" s="10" t="s">
        <v>167</v>
      </c>
      <c r="L305" s="7" t="s">
        <v>168</v>
      </c>
      <c r="M305" s="7"/>
      <c r="N305" s="7">
        <f>VLOOKUP(J305,[1]Sheet1!$C:$D,2,FALSE)</f>
        <v>5302</v>
      </c>
      <c r="O305" s="7">
        <f>VLOOKUP(J305,[2]Desa!$A:$D,4,FALSE)</f>
        <v>86</v>
      </c>
      <c r="P305" s="7">
        <f>VLOOKUP(J305,[3]Sheet1!$D:$F,3,FALSE)</f>
        <v>30</v>
      </c>
      <c r="Q305" s="7"/>
      <c r="R305" s="7"/>
      <c r="S305" s="12">
        <v>-8.5640879882991605</v>
      </c>
      <c r="T305" s="12">
        <v>116.149478206689</v>
      </c>
      <c r="U305" s="7"/>
      <c r="V305" s="50">
        <f>Table13678[[#This Row],[PAGU SEMULA]]-Table13678[[#This Row],[PAGU ANGGARAN]]</f>
        <v>-28560000</v>
      </c>
      <c r="W305" s="50">
        <f>Table13678[[#This Row],[PAGU SEMULA]]-Table13678[[#This Row],[PAGU ANGGARAN]]</f>
        <v>-28560000</v>
      </c>
      <c r="X305" t="s">
        <v>984</v>
      </c>
    </row>
    <row r="306" spans="3:24" hidden="1">
      <c r="C306" s="7" t="s">
        <v>29</v>
      </c>
      <c r="D306" s="7" t="s">
        <v>30</v>
      </c>
      <c r="E306" s="7" t="s">
        <v>31</v>
      </c>
      <c r="F306" s="7" t="s">
        <v>32</v>
      </c>
      <c r="G306" s="7" t="s">
        <v>34</v>
      </c>
      <c r="H306" s="8">
        <v>2284800</v>
      </c>
      <c r="I306" s="10" t="s">
        <v>410</v>
      </c>
      <c r="J306" s="7" t="s">
        <v>411</v>
      </c>
      <c r="K306" s="10" t="s">
        <v>167</v>
      </c>
      <c r="L306" s="7" t="s">
        <v>168</v>
      </c>
      <c r="M306" s="7"/>
      <c r="N306" s="7">
        <f>VLOOKUP(J306,[1]Sheet1!$C:$D,2,FALSE)</f>
        <v>5302</v>
      </c>
      <c r="O306" s="7">
        <f>VLOOKUP(J306,[2]Desa!$A:$D,4,FALSE)</f>
        <v>86</v>
      </c>
      <c r="P306" s="7">
        <f>VLOOKUP(J306,[3]Sheet1!$D:$F,3,FALSE)</f>
        <v>30</v>
      </c>
      <c r="Q306" s="7"/>
      <c r="R306" s="7"/>
      <c r="S306" s="12">
        <v>-8.5640879882991605</v>
      </c>
      <c r="T306" s="12">
        <v>116.149478206689</v>
      </c>
      <c r="U306" s="7"/>
      <c r="V306" s="50">
        <f>Table13678[[#This Row],[PAGU SEMULA]]-Table13678[[#This Row],[PAGU ANGGARAN]]</f>
        <v>-2284800</v>
      </c>
      <c r="W306" s="50">
        <f>Table13678[[#This Row],[PAGU SEMULA]]-Table13678[[#This Row],[PAGU ANGGARAN]]</f>
        <v>-2284800</v>
      </c>
      <c r="X306" t="s">
        <v>984</v>
      </c>
    </row>
    <row r="307" spans="3:24" hidden="1">
      <c r="C307" s="7" t="s">
        <v>29</v>
      </c>
      <c r="D307" s="7" t="s">
        <v>30</v>
      </c>
      <c r="E307" s="7" t="s">
        <v>31</v>
      </c>
      <c r="F307" s="7" t="s">
        <v>32</v>
      </c>
      <c r="G307" s="7" t="s">
        <v>33</v>
      </c>
      <c r="H307" s="8">
        <v>2520000</v>
      </c>
      <c r="I307" s="10" t="s">
        <v>410</v>
      </c>
      <c r="J307" s="7" t="s">
        <v>411</v>
      </c>
      <c r="K307" s="10" t="s">
        <v>167</v>
      </c>
      <c r="L307" s="7" t="s">
        <v>168</v>
      </c>
      <c r="M307" s="7"/>
      <c r="N307" s="7">
        <f>VLOOKUP(J307,[1]Sheet1!$C:$D,2,FALSE)</f>
        <v>5302</v>
      </c>
      <c r="O307" s="7">
        <f>VLOOKUP(J307,[2]Desa!$A:$D,4,FALSE)</f>
        <v>86</v>
      </c>
      <c r="P307" s="7">
        <f>VLOOKUP(J307,[3]Sheet1!$D:$F,3,FALSE)</f>
        <v>30</v>
      </c>
      <c r="Q307" s="7"/>
      <c r="R307" s="7"/>
      <c r="S307" s="12">
        <v>-8.5640879882991605</v>
      </c>
      <c r="T307" s="12">
        <v>116.149478206689</v>
      </c>
      <c r="U307" s="7"/>
      <c r="V307" s="50">
        <f>Table13678[[#This Row],[PAGU SEMULA]]-Table13678[[#This Row],[PAGU ANGGARAN]]</f>
        <v>-2520000</v>
      </c>
      <c r="W307" s="50">
        <f>Table13678[[#This Row],[PAGU SEMULA]]-Table13678[[#This Row],[PAGU ANGGARAN]]</f>
        <v>-2520000</v>
      </c>
      <c r="X307" t="s">
        <v>984</v>
      </c>
    </row>
    <row r="308" spans="3:24" hidden="1">
      <c r="C308" s="7" t="s">
        <v>29</v>
      </c>
      <c r="D308" s="7" t="s">
        <v>30</v>
      </c>
      <c r="E308" s="7" t="s">
        <v>31</v>
      </c>
      <c r="F308" s="7" t="s">
        <v>32</v>
      </c>
      <c r="G308" s="7" t="s">
        <v>34</v>
      </c>
      <c r="H308" s="8">
        <v>201600</v>
      </c>
      <c r="I308" s="10" t="s">
        <v>410</v>
      </c>
      <c r="J308" s="7" t="s">
        <v>411</v>
      </c>
      <c r="K308" s="10" t="s">
        <v>167</v>
      </c>
      <c r="L308" s="7" t="s">
        <v>168</v>
      </c>
      <c r="M308" s="7"/>
      <c r="N308" s="7">
        <f>VLOOKUP(J308,[1]Sheet1!$C:$D,2,FALSE)</f>
        <v>5302</v>
      </c>
      <c r="O308" s="7">
        <f>VLOOKUP(J308,[2]Desa!$A:$D,4,FALSE)</f>
        <v>86</v>
      </c>
      <c r="P308" s="7">
        <f>VLOOKUP(J308,[3]Sheet1!$D:$F,3,FALSE)</f>
        <v>30</v>
      </c>
      <c r="Q308" s="7"/>
      <c r="R308" s="7"/>
      <c r="S308" s="12">
        <v>-8.5640879882991605</v>
      </c>
      <c r="T308" s="12">
        <v>116.149478206689</v>
      </c>
      <c r="U308" s="7"/>
      <c r="V308" s="50">
        <f>Table13678[[#This Row],[PAGU SEMULA]]-Table13678[[#This Row],[PAGU ANGGARAN]]</f>
        <v>-201600</v>
      </c>
      <c r="W308" s="50">
        <f>Table13678[[#This Row],[PAGU SEMULA]]-Table13678[[#This Row],[PAGU ANGGARAN]]</f>
        <v>-201600</v>
      </c>
      <c r="X308" t="s">
        <v>984</v>
      </c>
    </row>
    <row r="309" spans="3:24" hidden="1">
      <c r="C309" s="7" t="s">
        <v>29</v>
      </c>
      <c r="D309" s="7" t="s">
        <v>30</v>
      </c>
      <c r="E309" s="7" t="s">
        <v>31</v>
      </c>
      <c r="F309" s="7" t="s">
        <v>32</v>
      </c>
      <c r="G309" s="7" t="s">
        <v>33</v>
      </c>
      <c r="H309" s="8">
        <v>365400000</v>
      </c>
      <c r="I309" s="10" t="s">
        <v>410</v>
      </c>
      <c r="J309" s="7" t="s">
        <v>411</v>
      </c>
      <c r="K309" s="10" t="s">
        <v>167</v>
      </c>
      <c r="L309" s="7" t="s">
        <v>168</v>
      </c>
      <c r="M309" s="7"/>
      <c r="N309" s="7">
        <f>VLOOKUP(J309,[1]Sheet1!$C:$D,2,FALSE)</f>
        <v>5302</v>
      </c>
      <c r="O309" s="7">
        <f>VLOOKUP(J309,[2]Desa!$A:$D,4,FALSE)</f>
        <v>86</v>
      </c>
      <c r="P309" s="7">
        <f>VLOOKUP(J309,[3]Sheet1!$D:$F,3,FALSE)</f>
        <v>30</v>
      </c>
      <c r="Q309" s="7"/>
      <c r="R309" s="7"/>
      <c r="S309" s="12">
        <v>-8.5640879882991605</v>
      </c>
      <c r="T309" s="12">
        <v>116.149478206689</v>
      </c>
      <c r="U309" s="7"/>
      <c r="V309" s="50">
        <f>Table13678[[#This Row],[PAGU SEMULA]]-Table13678[[#This Row],[PAGU ANGGARAN]]</f>
        <v>-365400000</v>
      </c>
      <c r="W309" s="50">
        <f>Table13678[[#This Row],[PAGU SEMULA]]-Table13678[[#This Row],[PAGU ANGGARAN]]</f>
        <v>-365400000</v>
      </c>
      <c r="X309" t="s">
        <v>984</v>
      </c>
    </row>
    <row r="310" spans="3:24" hidden="1">
      <c r="C310" s="7" t="s">
        <v>29</v>
      </c>
      <c r="D310" s="7" t="s">
        <v>30</v>
      </c>
      <c r="E310" s="7" t="s">
        <v>31</v>
      </c>
      <c r="F310" s="7" t="s">
        <v>32</v>
      </c>
      <c r="G310" s="7" t="s">
        <v>34</v>
      </c>
      <c r="H310" s="8">
        <v>29232000</v>
      </c>
      <c r="I310" s="10" t="s">
        <v>410</v>
      </c>
      <c r="J310" s="7" t="s">
        <v>411</v>
      </c>
      <c r="K310" s="10" t="s">
        <v>167</v>
      </c>
      <c r="L310" s="7" t="s">
        <v>168</v>
      </c>
      <c r="M310" s="7"/>
      <c r="N310" s="7">
        <f>VLOOKUP(J310,[1]Sheet1!$C:$D,2,FALSE)</f>
        <v>5302</v>
      </c>
      <c r="O310" s="7">
        <f>VLOOKUP(J310,[2]Desa!$A:$D,4,FALSE)</f>
        <v>86</v>
      </c>
      <c r="P310" s="7">
        <f>VLOOKUP(J310,[3]Sheet1!$D:$F,3,FALSE)</f>
        <v>30</v>
      </c>
      <c r="Q310" s="7"/>
      <c r="R310" s="7"/>
      <c r="S310" s="12">
        <v>-8.5640879882991605</v>
      </c>
      <c r="T310" s="12">
        <v>116.149478206689</v>
      </c>
      <c r="U310" s="7"/>
      <c r="V310" s="50">
        <f>Table13678[[#This Row],[PAGU SEMULA]]-Table13678[[#This Row],[PAGU ANGGARAN]]</f>
        <v>-29232000</v>
      </c>
      <c r="W310" s="50">
        <f>Table13678[[#This Row],[PAGU SEMULA]]-Table13678[[#This Row],[PAGU ANGGARAN]]</f>
        <v>-29232000</v>
      </c>
      <c r="X310" t="s">
        <v>984</v>
      </c>
    </row>
    <row r="311" spans="3:24" hidden="1">
      <c r="C311" s="7" t="s">
        <v>35</v>
      </c>
      <c r="D311" s="7" t="s">
        <v>36</v>
      </c>
      <c r="E311" s="7" t="s">
        <v>37</v>
      </c>
      <c r="F311" s="7" t="s">
        <v>38</v>
      </c>
      <c r="G311" s="7" t="s">
        <v>39</v>
      </c>
      <c r="H311" s="15">
        <v>75000000</v>
      </c>
      <c r="I311" s="10" t="s">
        <v>410</v>
      </c>
      <c r="J311" s="7" t="s">
        <v>411</v>
      </c>
      <c r="K311" s="10" t="s">
        <v>167</v>
      </c>
      <c r="L311" s="7" t="s">
        <v>168</v>
      </c>
      <c r="M311" s="7"/>
      <c r="N311" s="7">
        <f>VLOOKUP(J311,[1]Sheet1!$C:$D,2,FALSE)</f>
        <v>5302</v>
      </c>
      <c r="O311" s="7">
        <f>VLOOKUP(J311,[2]Desa!$A:$D,4,FALSE)</f>
        <v>86</v>
      </c>
      <c r="P311" s="7">
        <f>VLOOKUP(J311,[3]Sheet1!$D:$F,3,FALSE)</f>
        <v>30</v>
      </c>
      <c r="Q311" s="7"/>
      <c r="R311" s="7"/>
      <c r="S311" s="12">
        <v>-8.5640879882991605</v>
      </c>
      <c r="T311" s="12">
        <v>116.149478206689</v>
      </c>
      <c r="U311" s="7"/>
      <c r="V311" s="50">
        <f>Table13678[[#This Row],[PAGU SEMULA]]-Table13678[[#This Row],[PAGU ANGGARAN]]</f>
        <v>-75000000</v>
      </c>
      <c r="W311" s="50">
        <f>Table13678[[#This Row],[PAGU SEMULA]]-Table13678[[#This Row],[PAGU ANGGARAN]]</f>
        <v>-75000000</v>
      </c>
      <c r="X311" t="s">
        <v>984</v>
      </c>
    </row>
    <row r="312" spans="3:24" hidden="1">
      <c r="C312" s="7" t="s">
        <v>35</v>
      </c>
      <c r="D312" s="7" t="s">
        <v>65</v>
      </c>
      <c r="E312" s="7" t="s">
        <v>66</v>
      </c>
      <c r="F312" s="7" t="s">
        <v>322</v>
      </c>
      <c r="G312" s="7" t="s">
        <v>322</v>
      </c>
      <c r="H312" s="15">
        <v>34151000</v>
      </c>
      <c r="I312" s="10" t="s">
        <v>410</v>
      </c>
      <c r="J312" s="7" t="s">
        <v>411</v>
      </c>
      <c r="K312" s="10" t="s">
        <v>167</v>
      </c>
      <c r="L312" s="7" t="s">
        <v>168</v>
      </c>
      <c r="M312" s="7"/>
      <c r="N312" s="7">
        <f>VLOOKUP(J312,[1]Sheet1!$C:$D,2,FALSE)</f>
        <v>5302</v>
      </c>
      <c r="O312" s="7">
        <f>VLOOKUP(J312,[2]Desa!$A:$D,4,FALSE)</f>
        <v>86</v>
      </c>
      <c r="P312" s="7">
        <f>VLOOKUP(J312,[3]Sheet1!$D:$F,3,FALSE)</f>
        <v>30</v>
      </c>
      <c r="Q312" s="7"/>
      <c r="R312" s="7"/>
      <c r="S312" s="12">
        <v>-8.5640879882991605</v>
      </c>
      <c r="T312" s="12">
        <v>116.149478206689</v>
      </c>
      <c r="U312" s="7"/>
      <c r="V312" s="50">
        <f>Table13678[[#This Row],[PAGU SEMULA]]-Table13678[[#This Row],[PAGU ANGGARAN]]</f>
        <v>-34151000</v>
      </c>
      <c r="W312" s="50">
        <f>Table13678[[#This Row],[PAGU SEMULA]]-Table13678[[#This Row],[PAGU ANGGARAN]]</f>
        <v>-34151000</v>
      </c>
      <c r="X312" t="s">
        <v>986</v>
      </c>
    </row>
    <row r="313" spans="3:24" hidden="1">
      <c r="C313" s="7" t="s">
        <v>35</v>
      </c>
      <c r="D313" s="7" t="s">
        <v>65</v>
      </c>
      <c r="E313" s="7" t="s">
        <v>66</v>
      </c>
      <c r="F313" s="7" t="s">
        <v>322</v>
      </c>
      <c r="G313" s="7" t="s">
        <v>322</v>
      </c>
      <c r="H313" s="15">
        <v>85377500</v>
      </c>
      <c r="I313" s="10" t="s">
        <v>410</v>
      </c>
      <c r="J313" s="7" t="s">
        <v>411</v>
      </c>
      <c r="K313" s="10" t="s">
        <v>167</v>
      </c>
      <c r="L313" s="7" t="s">
        <v>168</v>
      </c>
      <c r="M313" s="7"/>
      <c r="N313" s="7">
        <f>VLOOKUP(J313,[1]Sheet1!$C:$D,2,FALSE)</f>
        <v>5302</v>
      </c>
      <c r="O313" s="7">
        <f>VLOOKUP(J313,[2]Desa!$A:$D,4,FALSE)</f>
        <v>86</v>
      </c>
      <c r="P313" s="7">
        <f>VLOOKUP(J313,[3]Sheet1!$D:$F,3,FALSE)</f>
        <v>30</v>
      </c>
      <c r="Q313" s="7"/>
      <c r="R313" s="7"/>
      <c r="S313" s="12">
        <v>-8.5640879882991605</v>
      </c>
      <c r="T313" s="12">
        <v>116.149478206689</v>
      </c>
      <c r="U313" s="7"/>
      <c r="V313" s="50">
        <f>Table13678[[#This Row],[PAGU SEMULA]]-Table13678[[#This Row],[PAGU ANGGARAN]]</f>
        <v>-85377500</v>
      </c>
      <c r="W313" s="50">
        <f>Table13678[[#This Row],[PAGU SEMULA]]-Table13678[[#This Row],[PAGU ANGGARAN]]</f>
        <v>-85377500</v>
      </c>
      <c r="X313" t="s">
        <v>986</v>
      </c>
    </row>
    <row r="314" spans="3:24" hidden="1">
      <c r="C314" s="7" t="s">
        <v>35</v>
      </c>
      <c r="D314" s="7" t="s">
        <v>65</v>
      </c>
      <c r="E314" s="7" t="s">
        <v>66</v>
      </c>
      <c r="F314" s="7" t="s">
        <v>160</v>
      </c>
      <c r="G314" s="7" t="s">
        <v>340</v>
      </c>
      <c r="H314" s="15">
        <v>6150000000</v>
      </c>
      <c r="I314" s="10" t="s">
        <v>410</v>
      </c>
      <c r="J314" s="7" t="s">
        <v>411</v>
      </c>
      <c r="K314" s="10" t="s">
        <v>167</v>
      </c>
      <c r="L314" s="7" t="s">
        <v>168</v>
      </c>
      <c r="M314" s="7"/>
      <c r="N314" s="7">
        <f>VLOOKUP(J314,[1]Sheet1!$C:$D,2,FALSE)</f>
        <v>5302</v>
      </c>
      <c r="O314" s="7">
        <f>VLOOKUP(J314,[2]Desa!$A:$D,4,FALSE)</f>
        <v>86</v>
      </c>
      <c r="P314" s="7">
        <f>VLOOKUP(J314,[3]Sheet1!$D:$F,3,FALSE)</f>
        <v>30</v>
      </c>
      <c r="Q314" s="7"/>
      <c r="R314" s="7"/>
      <c r="S314" s="12">
        <v>-8.5640879882991605</v>
      </c>
      <c r="T314" s="12">
        <v>116.149478206689</v>
      </c>
      <c r="U314" s="7"/>
      <c r="V314" s="50">
        <f>Table13678[[#This Row],[PAGU SEMULA]]-Table13678[[#This Row],[PAGU ANGGARAN]]</f>
        <v>-6150000000</v>
      </c>
      <c r="W314" s="50">
        <f>Table13678[[#This Row],[PAGU SEMULA]]-Table13678[[#This Row],[PAGU ANGGARAN]]</f>
        <v>-6150000000</v>
      </c>
      <c r="X314" t="s">
        <v>986</v>
      </c>
    </row>
    <row r="315" spans="3:24" hidden="1">
      <c r="C315" s="7" t="s">
        <v>29</v>
      </c>
      <c r="D315" s="7" t="s">
        <v>30</v>
      </c>
      <c r="E315" s="7" t="s">
        <v>148</v>
      </c>
      <c r="F315" s="7" t="s">
        <v>149</v>
      </c>
      <c r="G315" s="7" t="s">
        <v>150</v>
      </c>
      <c r="H315" s="8">
        <v>933100000</v>
      </c>
      <c r="I315" s="10" t="s">
        <v>412</v>
      </c>
      <c r="J315" s="7" t="s">
        <v>413</v>
      </c>
      <c r="K315" s="10" t="s">
        <v>414</v>
      </c>
      <c r="L315" s="7" t="s">
        <v>415</v>
      </c>
      <c r="M315" s="7"/>
      <c r="N315" s="7">
        <f>VLOOKUP(J315,[1]Sheet1!$C:$D,2,FALSE)</f>
        <v>3438</v>
      </c>
      <c r="O315" s="7">
        <f>VLOOKUP(J315,[2]Desa!$A:$D,4,FALSE)</f>
        <v>249</v>
      </c>
      <c r="P315" s="7">
        <f>VLOOKUP(J315,[3]Sheet1!$D:$F,3,FALSE)</f>
        <v>29</v>
      </c>
      <c r="Q315" s="7"/>
      <c r="R315" s="7"/>
      <c r="S315" s="12">
        <v>-8.7656288296211802</v>
      </c>
      <c r="T315" s="12">
        <v>116.074592708547</v>
      </c>
      <c r="U315" s="7"/>
      <c r="V315" s="50">
        <f>Table13678[[#This Row],[PAGU SEMULA]]-Table13678[[#This Row],[PAGU ANGGARAN]]</f>
        <v>-933100000</v>
      </c>
      <c r="W315" s="50">
        <f>Table13678[[#This Row],[PAGU SEMULA]]-Table13678[[#This Row],[PAGU ANGGARAN]]</f>
        <v>-933100000</v>
      </c>
      <c r="X315" t="s">
        <v>984</v>
      </c>
    </row>
    <row r="316" spans="3:24" hidden="1">
      <c r="C316" s="7" t="s">
        <v>29</v>
      </c>
      <c r="D316" s="7" t="s">
        <v>30</v>
      </c>
      <c r="E316" s="7" t="s">
        <v>31</v>
      </c>
      <c r="F316" s="7" t="s">
        <v>32</v>
      </c>
      <c r="G316" s="7" t="s">
        <v>33</v>
      </c>
      <c r="H316" s="8">
        <v>224280000</v>
      </c>
      <c r="I316" s="10" t="s">
        <v>412</v>
      </c>
      <c r="J316" s="7" t="s">
        <v>413</v>
      </c>
      <c r="K316" s="10" t="s">
        <v>414</v>
      </c>
      <c r="L316" s="7" t="s">
        <v>415</v>
      </c>
      <c r="M316" s="7"/>
      <c r="N316" s="7">
        <f>VLOOKUP(J316,[1]Sheet1!$C:$D,2,FALSE)</f>
        <v>3438</v>
      </c>
      <c r="O316" s="7">
        <f>VLOOKUP(J316,[2]Desa!$A:$D,4,FALSE)</f>
        <v>249</v>
      </c>
      <c r="P316" s="7">
        <f>VLOOKUP(J316,[3]Sheet1!$D:$F,3,FALSE)</f>
        <v>29</v>
      </c>
      <c r="Q316" s="7"/>
      <c r="R316" s="7"/>
      <c r="S316" s="12">
        <v>-8.7656288296211802</v>
      </c>
      <c r="T316" s="12">
        <v>116.074592708547</v>
      </c>
      <c r="U316" s="7"/>
      <c r="V316" s="50">
        <f>Table13678[[#This Row],[PAGU SEMULA]]-Table13678[[#This Row],[PAGU ANGGARAN]]</f>
        <v>-224280000</v>
      </c>
      <c r="W316" s="50">
        <f>Table13678[[#This Row],[PAGU SEMULA]]-Table13678[[#This Row],[PAGU ANGGARAN]]</f>
        <v>-224280000</v>
      </c>
      <c r="X316" t="s">
        <v>984</v>
      </c>
    </row>
    <row r="317" spans="3:24" hidden="1">
      <c r="C317" s="7" t="s">
        <v>29</v>
      </c>
      <c r="D317" s="7" t="s">
        <v>30</v>
      </c>
      <c r="E317" s="7" t="s">
        <v>31</v>
      </c>
      <c r="F317" s="7" t="s">
        <v>32</v>
      </c>
      <c r="G317" s="7" t="s">
        <v>34</v>
      </c>
      <c r="H317" s="8">
        <v>17942400</v>
      </c>
      <c r="I317" s="10" t="s">
        <v>412</v>
      </c>
      <c r="J317" s="7" t="s">
        <v>413</v>
      </c>
      <c r="K317" s="10" t="s">
        <v>414</v>
      </c>
      <c r="L317" s="7" t="s">
        <v>415</v>
      </c>
      <c r="M317" s="7"/>
      <c r="N317" s="7">
        <f>VLOOKUP(J317,[1]Sheet1!$C:$D,2,FALSE)</f>
        <v>3438</v>
      </c>
      <c r="O317" s="7">
        <f>VLOOKUP(J317,[2]Desa!$A:$D,4,FALSE)</f>
        <v>249</v>
      </c>
      <c r="P317" s="7">
        <f>VLOOKUP(J317,[3]Sheet1!$D:$F,3,FALSE)</f>
        <v>29</v>
      </c>
      <c r="Q317" s="7"/>
      <c r="R317" s="7"/>
      <c r="S317" s="12">
        <v>-8.7656288296211802</v>
      </c>
      <c r="T317" s="12">
        <v>116.074592708547</v>
      </c>
      <c r="U317" s="7"/>
      <c r="V317" s="50">
        <f>Table13678[[#This Row],[PAGU SEMULA]]-Table13678[[#This Row],[PAGU ANGGARAN]]</f>
        <v>-17942400</v>
      </c>
      <c r="W317" s="50">
        <f>Table13678[[#This Row],[PAGU SEMULA]]-Table13678[[#This Row],[PAGU ANGGARAN]]</f>
        <v>-17942400</v>
      </c>
      <c r="X317" t="s">
        <v>984</v>
      </c>
    </row>
    <row r="318" spans="3:24" hidden="1">
      <c r="C318" s="7" t="s">
        <v>110</v>
      </c>
      <c r="D318" s="7" t="s">
        <v>178</v>
      </c>
      <c r="E318" s="7" t="s">
        <v>179</v>
      </c>
      <c r="F318" s="7" t="s">
        <v>180</v>
      </c>
      <c r="G318" s="71" t="s">
        <v>416</v>
      </c>
      <c r="H318" s="8">
        <v>56800000</v>
      </c>
      <c r="I318" s="10" t="s">
        <v>412</v>
      </c>
      <c r="J318" s="7" t="s">
        <v>413</v>
      </c>
      <c r="K318" s="10" t="s">
        <v>414</v>
      </c>
      <c r="L318" s="7" t="s">
        <v>415</v>
      </c>
      <c r="M318" s="7"/>
      <c r="N318" s="7">
        <f>VLOOKUP(J318,[1]Sheet1!$C:$D,2,FALSE)</f>
        <v>3438</v>
      </c>
      <c r="O318" s="7">
        <f>VLOOKUP(J318,[2]Desa!$A:$D,4,FALSE)</f>
        <v>249</v>
      </c>
      <c r="P318" s="7">
        <f>VLOOKUP(J318,[3]Sheet1!$D:$F,3,FALSE)</f>
        <v>29</v>
      </c>
      <c r="Q318" s="7"/>
      <c r="R318" s="7"/>
      <c r="S318" s="12">
        <v>-8.7656288296211802</v>
      </c>
      <c r="T318" s="12">
        <v>116.074592708547</v>
      </c>
      <c r="U318" s="7"/>
      <c r="V318" s="50">
        <f>Table13678[[#This Row],[PAGU SEMULA]]-Table13678[[#This Row],[PAGU ANGGARAN]]</f>
        <v>-56800000</v>
      </c>
      <c r="W318" s="50">
        <f>Table13678[[#This Row],[PAGU SEMULA]]-Table13678[[#This Row],[PAGU ANGGARAN]]</f>
        <v>-56800000</v>
      </c>
      <c r="X318" t="s">
        <v>982</v>
      </c>
    </row>
    <row r="319" spans="3:24" hidden="1">
      <c r="C319" s="7" t="s">
        <v>35</v>
      </c>
      <c r="D319" s="7" t="s">
        <v>36</v>
      </c>
      <c r="E319" s="7" t="s">
        <v>37</v>
      </c>
      <c r="F319" s="7" t="s">
        <v>38</v>
      </c>
      <c r="G319" s="7" t="s">
        <v>39</v>
      </c>
      <c r="H319" s="15">
        <v>75000000</v>
      </c>
      <c r="I319" s="10" t="s">
        <v>412</v>
      </c>
      <c r="J319" s="7" t="s">
        <v>413</v>
      </c>
      <c r="K319" s="10" t="s">
        <v>414</v>
      </c>
      <c r="L319" s="7" t="s">
        <v>415</v>
      </c>
      <c r="M319" s="7"/>
      <c r="N319" s="7">
        <f>VLOOKUP(J319,[1]Sheet1!$C:$D,2,FALSE)</f>
        <v>3438</v>
      </c>
      <c r="O319" s="7">
        <f>VLOOKUP(J319,[2]Desa!$A:$D,4,FALSE)</f>
        <v>249</v>
      </c>
      <c r="P319" s="7">
        <f>VLOOKUP(J319,[3]Sheet1!$D:$F,3,FALSE)</f>
        <v>29</v>
      </c>
      <c r="Q319" s="7"/>
      <c r="R319" s="7"/>
      <c r="S319" s="12">
        <v>-8.7656288296211802</v>
      </c>
      <c r="T319" s="12">
        <v>116.074592708547</v>
      </c>
      <c r="U319" s="7"/>
      <c r="V319" s="50">
        <f>Table13678[[#This Row],[PAGU SEMULA]]-Table13678[[#This Row],[PAGU ANGGARAN]]</f>
        <v>-75000000</v>
      </c>
      <c r="W319" s="50">
        <f>Table13678[[#This Row],[PAGU SEMULA]]-Table13678[[#This Row],[PAGU ANGGARAN]]</f>
        <v>-75000000</v>
      </c>
      <c r="X319" t="s">
        <v>984</v>
      </c>
    </row>
    <row r="320" spans="3:24" hidden="1">
      <c r="C320" s="7" t="s">
        <v>35</v>
      </c>
      <c r="D320" s="7" t="s">
        <v>65</v>
      </c>
      <c r="E320" s="7" t="s">
        <v>66</v>
      </c>
      <c r="F320" s="7" t="s">
        <v>322</v>
      </c>
      <c r="G320" s="7" t="s">
        <v>322</v>
      </c>
      <c r="H320" s="15">
        <v>68302000</v>
      </c>
      <c r="I320" s="10" t="s">
        <v>412</v>
      </c>
      <c r="J320" s="7" t="s">
        <v>413</v>
      </c>
      <c r="K320" s="10" t="s">
        <v>414</v>
      </c>
      <c r="L320" s="7" t="s">
        <v>415</v>
      </c>
      <c r="M320" s="7"/>
      <c r="N320" s="7">
        <f>VLOOKUP(J320,[1]Sheet1!$C:$D,2,FALSE)</f>
        <v>3438</v>
      </c>
      <c r="O320" s="7">
        <f>VLOOKUP(J320,[2]Desa!$A:$D,4,FALSE)</f>
        <v>249</v>
      </c>
      <c r="P320" s="7">
        <f>VLOOKUP(J320,[3]Sheet1!$D:$F,3,FALSE)</f>
        <v>29</v>
      </c>
      <c r="Q320" s="7"/>
      <c r="R320" s="7"/>
      <c r="S320" s="12">
        <v>-8.7656288296211802</v>
      </c>
      <c r="T320" s="12">
        <v>116.074592708547</v>
      </c>
      <c r="U320" s="7"/>
      <c r="V320" s="50">
        <f>Table13678[[#This Row],[PAGU SEMULA]]-Table13678[[#This Row],[PAGU ANGGARAN]]</f>
        <v>-68302000</v>
      </c>
      <c r="W320" s="50">
        <f>Table13678[[#This Row],[PAGU SEMULA]]-Table13678[[#This Row],[PAGU ANGGARAN]]</f>
        <v>-68302000</v>
      </c>
      <c r="X320" t="s">
        <v>986</v>
      </c>
    </row>
    <row r="321" spans="3:24" hidden="1">
      <c r="C321" s="7" t="s">
        <v>51</v>
      </c>
      <c r="D321" s="7" t="s">
        <v>156</v>
      </c>
      <c r="E321" s="7" t="s">
        <v>372</v>
      </c>
      <c r="F321" s="7" t="s">
        <v>373</v>
      </c>
      <c r="G321" s="7" t="s">
        <v>417</v>
      </c>
      <c r="H321" s="8">
        <v>189000000</v>
      </c>
      <c r="I321" s="10" t="s">
        <v>412</v>
      </c>
      <c r="J321" s="7" t="s">
        <v>413</v>
      </c>
      <c r="K321" s="10" t="s">
        <v>414</v>
      </c>
      <c r="L321" s="7" t="s">
        <v>415</v>
      </c>
      <c r="M321" s="7"/>
      <c r="N321" s="7">
        <f>VLOOKUP(J321,[1]Sheet1!$C:$D,2,FALSE)</f>
        <v>3438</v>
      </c>
      <c r="O321" s="7">
        <f>VLOOKUP(J321,[2]Desa!$A:$D,4,FALSE)</f>
        <v>249</v>
      </c>
      <c r="P321" s="7">
        <f>VLOOKUP(J321,[3]Sheet1!$D:$F,3,FALSE)</f>
        <v>29</v>
      </c>
      <c r="Q321" s="7"/>
      <c r="R321" s="7"/>
      <c r="S321" s="12">
        <v>-8.7656288296211802</v>
      </c>
      <c r="T321" s="12">
        <v>116.074592708547</v>
      </c>
      <c r="U321" s="7"/>
      <c r="V321" s="50">
        <f>Table13678[[#This Row],[PAGU SEMULA]]-Table13678[[#This Row],[PAGU ANGGARAN]]</f>
        <v>-189000000</v>
      </c>
      <c r="W321" s="50">
        <f>Table13678[[#This Row],[PAGU SEMULA]]-Table13678[[#This Row],[PAGU ANGGARAN]]</f>
        <v>-189000000</v>
      </c>
      <c r="X321" t="s">
        <v>986</v>
      </c>
    </row>
    <row r="322" spans="3:24" hidden="1">
      <c r="C322" s="7" t="s">
        <v>20</v>
      </c>
      <c r="D322" s="7" t="s">
        <v>104</v>
      </c>
      <c r="E322" s="7" t="s">
        <v>105</v>
      </c>
      <c r="F322" s="7" t="s">
        <v>126</v>
      </c>
      <c r="G322" s="71" t="s">
        <v>418</v>
      </c>
      <c r="H322" s="15">
        <v>58030000</v>
      </c>
      <c r="I322" s="10" t="s">
        <v>419</v>
      </c>
      <c r="J322" s="7" t="s">
        <v>420</v>
      </c>
      <c r="K322" s="10" t="s">
        <v>27</v>
      </c>
      <c r="L322" s="7" t="s">
        <v>28</v>
      </c>
      <c r="M322" s="7"/>
      <c r="N322" s="7">
        <f>VLOOKUP(J322,[1]Sheet1!$C:$D,2,FALSE)</f>
        <v>4404</v>
      </c>
      <c r="O322" s="7">
        <f>VLOOKUP(J322,[2]Desa!$A:$D,4,FALSE)</f>
        <v>140</v>
      </c>
      <c r="P322" s="7">
        <f>VLOOKUP(J322,[3]Sheet1!$D:$F,3,FALSE)</f>
        <v>29</v>
      </c>
      <c r="Q322" s="7"/>
      <c r="R322" s="7"/>
      <c r="S322" s="12">
        <v>-8.6711694425582895</v>
      </c>
      <c r="T322" s="12">
        <v>116.10205745073</v>
      </c>
      <c r="U322" s="7"/>
      <c r="V322" s="50">
        <f>Table13678[[#This Row],[PAGU SEMULA]]-Table13678[[#This Row],[PAGU ANGGARAN]]</f>
        <v>-58030000</v>
      </c>
      <c r="W322" s="50">
        <f>Table13678[[#This Row],[PAGU SEMULA]]-Table13678[[#This Row],[PAGU ANGGARAN]]</f>
        <v>-58030000</v>
      </c>
      <c r="X322" t="s">
        <v>984</v>
      </c>
    </row>
    <row r="323" spans="3:24" hidden="1">
      <c r="C323" s="7" t="s">
        <v>20</v>
      </c>
      <c r="D323" s="7" t="s">
        <v>104</v>
      </c>
      <c r="E323" s="7" t="s">
        <v>145</v>
      </c>
      <c r="F323" s="7" t="s">
        <v>243</v>
      </c>
      <c r="G323" s="71" t="s">
        <v>421</v>
      </c>
      <c r="H323" s="15">
        <v>198150000</v>
      </c>
      <c r="I323" s="10" t="s">
        <v>419</v>
      </c>
      <c r="J323" s="7" t="s">
        <v>420</v>
      </c>
      <c r="K323" s="10" t="s">
        <v>27</v>
      </c>
      <c r="L323" s="7" t="s">
        <v>28</v>
      </c>
      <c r="M323" s="7"/>
      <c r="N323" s="7">
        <f>VLOOKUP(J323,[1]Sheet1!$C:$D,2,FALSE)</f>
        <v>4404</v>
      </c>
      <c r="O323" s="7">
        <f>VLOOKUP(J323,[2]Desa!$A:$D,4,FALSE)</f>
        <v>140</v>
      </c>
      <c r="P323" s="7">
        <f>VLOOKUP(J323,[3]Sheet1!$D:$F,3,FALSE)</f>
        <v>29</v>
      </c>
      <c r="Q323" s="7"/>
      <c r="R323" s="7"/>
      <c r="S323" s="12">
        <v>-8.6711694425582895</v>
      </c>
      <c r="T323" s="12">
        <v>116.10205745073</v>
      </c>
      <c r="U323" s="7"/>
      <c r="V323" s="50">
        <f>Table13678[[#This Row],[PAGU SEMULA]]-Table13678[[#This Row],[PAGU ANGGARAN]]</f>
        <v>-198150000</v>
      </c>
      <c r="W323" s="50">
        <f>Table13678[[#This Row],[PAGU SEMULA]]-Table13678[[#This Row],[PAGU ANGGARAN]]</f>
        <v>-198150000</v>
      </c>
      <c r="X323" t="s">
        <v>984</v>
      </c>
    </row>
    <row r="324" spans="3:24" hidden="1">
      <c r="C324" s="7" t="s">
        <v>20</v>
      </c>
      <c r="D324" s="7" t="s">
        <v>104</v>
      </c>
      <c r="E324" s="7" t="s">
        <v>145</v>
      </c>
      <c r="F324" s="7" t="s">
        <v>243</v>
      </c>
      <c r="G324" s="71" t="s">
        <v>422</v>
      </c>
      <c r="H324" s="15">
        <v>58030000</v>
      </c>
      <c r="I324" s="10" t="s">
        <v>419</v>
      </c>
      <c r="J324" s="7" t="s">
        <v>420</v>
      </c>
      <c r="K324" s="10" t="s">
        <v>27</v>
      </c>
      <c r="L324" s="7" t="s">
        <v>28</v>
      </c>
      <c r="M324" s="7"/>
      <c r="N324" s="7">
        <f>VLOOKUP(J324,[1]Sheet1!$C:$D,2,FALSE)</f>
        <v>4404</v>
      </c>
      <c r="O324" s="7">
        <f>VLOOKUP(J324,[2]Desa!$A:$D,4,FALSE)</f>
        <v>140</v>
      </c>
      <c r="P324" s="7">
        <f>VLOOKUP(J324,[3]Sheet1!$D:$F,3,FALSE)</f>
        <v>29</v>
      </c>
      <c r="Q324" s="7"/>
      <c r="R324" s="7"/>
      <c r="S324" s="12">
        <v>-8.6711694425582895</v>
      </c>
      <c r="T324" s="12">
        <v>116.10205745073</v>
      </c>
      <c r="U324" s="7"/>
      <c r="V324" s="50">
        <f>Table13678[[#This Row],[PAGU SEMULA]]-Table13678[[#This Row],[PAGU ANGGARAN]]</f>
        <v>-58030000</v>
      </c>
      <c r="W324" s="50">
        <f>Table13678[[#This Row],[PAGU SEMULA]]-Table13678[[#This Row],[PAGU ANGGARAN]]</f>
        <v>-58030000</v>
      </c>
      <c r="X324" t="s">
        <v>984</v>
      </c>
    </row>
    <row r="325" spans="3:24" hidden="1">
      <c r="C325" s="7" t="s">
        <v>20</v>
      </c>
      <c r="D325" s="7" t="s">
        <v>104</v>
      </c>
      <c r="E325" s="7" t="s">
        <v>105</v>
      </c>
      <c r="F325" s="7" t="s">
        <v>106</v>
      </c>
      <c r="G325" s="72" t="s">
        <v>423</v>
      </c>
      <c r="H325" s="20">
        <v>298600000</v>
      </c>
      <c r="I325" s="10" t="s">
        <v>419</v>
      </c>
      <c r="J325" s="7" t="s">
        <v>420</v>
      </c>
      <c r="K325" s="10" t="s">
        <v>27</v>
      </c>
      <c r="L325" s="7" t="s">
        <v>28</v>
      </c>
      <c r="M325" s="7"/>
      <c r="N325" s="7">
        <f>VLOOKUP(J325,[1]Sheet1!$C:$D,2,FALSE)</f>
        <v>4404</v>
      </c>
      <c r="O325" s="7">
        <f>VLOOKUP(J325,[2]Desa!$A:$D,4,FALSE)</f>
        <v>140</v>
      </c>
      <c r="P325" s="7">
        <f>VLOOKUP(J325,[3]Sheet1!$D:$F,3,FALSE)</f>
        <v>29</v>
      </c>
      <c r="Q325" s="7"/>
      <c r="R325" s="7"/>
      <c r="S325" s="12">
        <v>-8.6711694425582895</v>
      </c>
      <c r="T325" s="12">
        <v>116.10205745073</v>
      </c>
      <c r="U325" s="7"/>
      <c r="V325" s="50">
        <f>Table13678[[#This Row],[PAGU SEMULA]]-Table13678[[#This Row],[PAGU ANGGARAN]]</f>
        <v>-298600000</v>
      </c>
      <c r="W325" s="50">
        <f>Table13678[[#This Row],[PAGU SEMULA]]-Table13678[[#This Row],[PAGU ANGGARAN]]</f>
        <v>-298600000</v>
      </c>
      <c r="X325" t="s">
        <v>984</v>
      </c>
    </row>
    <row r="326" spans="3:24" hidden="1">
      <c r="C326" s="7" t="s">
        <v>29</v>
      </c>
      <c r="D326" s="7" t="s">
        <v>30</v>
      </c>
      <c r="E326" s="7" t="s">
        <v>31</v>
      </c>
      <c r="F326" s="7" t="s">
        <v>32</v>
      </c>
      <c r="G326" s="7" t="s">
        <v>33</v>
      </c>
      <c r="H326" s="8">
        <v>181860000</v>
      </c>
      <c r="I326" s="10" t="s">
        <v>419</v>
      </c>
      <c r="J326" s="7" t="s">
        <v>420</v>
      </c>
      <c r="K326" s="10" t="s">
        <v>27</v>
      </c>
      <c r="L326" s="7" t="s">
        <v>28</v>
      </c>
      <c r="M326" s="7"/>
      <c r="N326" s="7">
        <f>VLOOKUP(J326,[1]Sheet1!$C:$D,2,FALSE)</f>
        <v>4404</v>
      </c>
      <c r="O326" s="7">
        <f>VLOOKUP(J326,[2]Desa!$A:$D,4,FALSE)</f>
        <v>140</v>
      </c>
      <c r="P326" s="7">
        <f>VLOOKUP(J326,[3]Sheet1!$D:$F,3,FALSE)</f>
        <v>29</v>
      </c>
      <c r="Q326" s="7"/>
      <c r="R326" s="7"/>
      <c r="S326" s="12">
        <v>-8.6711694425582895</v>
      </c>
      <c r="T326" s="12">
        <v>116.10205745073</v>
      </c>
      <c r="U326" s="7"/>
      <c r="V326" s="50">
        <f>Table13678[[#This Row],[PAGU SEMULA]]-Table13678[[#This Row],[PAGU ANGGARAN]]</f>
        <v>-181860000</v>
      </c>
      <c r="W326" s="50">
        <f>Table13678[[#This Row],[PAGU SEMULA]]-Table13678[[#This Row],[PAGU ANGGARAN]]</f>
        <v>-181860000</v>
      </c>
      <c r="X326" t="s">
        <v>984</v>
      </c>
    </row>
    <row r="327" spans="3:24" hidden="1">
      <c r="C327" s="7" t="s">
        <v>29</v>
      </c>
      <c r="D327" s="7" t="s">
        <v>30</v>
      </c>
      <c r="E327" s="7" t="s">
        <v>31</v>
      </c>
      <c r="F327" s="7" t="s">
        <v>32</v>
      </c>
      <c r="G327" s="7" t="s">
        <v>34</v>
      </c>
      <c r="H327" s="8">
        <v>14548800</v>
      </c>
      <c r="I327" s="10" t="s">
        <v>419</v>
      </c>
      <c r="J327" s="7" t="s">
        <v>420</v>
      </c>
      <c r="K327" s="10" t="s">
        <v>27</v>
      </c>
      <c r="L327" s="7" t="s">
        <v>28</v>
      </c>
      <c r="M327" s="7"/>
      <c r="N327" s="7">
        <f>VLOOKUP(J327,[1]Sheet1!$C:$D,2,FALSE)</f>
        <v>4404</v>
      </c>
      <c r="O327" s="7">
        <f>VLOOKUP(J327,[2]Desa!$A:$D,4,FALSE)</f>
        <v>140</v>
      </c>
      <c r="P327" s="7">
        <f>VLOOKUP(J327,[3]Sheet1!$D:$F,3,FALSE)</f>
        <v>29</v>
      </c>
      <c r="Q327" s="7"/>
      <c r="R327" s="7"/>
      <c r="S327" s="12">
        <v>-8.6711694425582895</v>
      </c>
      <c r="T327" s="12">
        <v>116.10205745073</v>
      </c>
      <c r="U327" s="7"/>
      <c r="V327" s="50">
        <f>Table13678[[#This Row],[PAGU SEMULA]]-Table13678[[#This Row],[PAGU ANGGARAN]]</f>
        <v>-14548800</v>
      </c>
      <c r="W327" s="50">
        <f>Table13678[[#This Row],[PAGU SEMULA]]-Table13678[[#This Row],[PAGU ANGGARAN]]</f>
        <v>-14548800</v>
      </c>
      <c r="X327" t="s">
        <v>984</v>
      </c>
    </row>
    <row r="328" spans="3:24" hidden="1">
      <c r="C328" s="7" t="s">
        <v>110</v>
      </c>
      <c r="D328" s="7" t="s">
        <v>111</v>
      </c>
      <c r="E328" s="7" t="s">
        <v>112</v>
      </c>
      <c r="F328" s="7" t="s">
        <v>113</v>
      </c>
      <c r="G328" s="71" t="s">
        <v>274</v>
      </c>
      <c r="H328" s="8">
        <v>135000000</v>
      </c>
      <c r="I328" s="10" t="s">
        <v>419</v>
      </c>
      <c r="J328" s="7" t="s">
        <v>420</v>
      </c>
      <c r="K328" s="10" t="s">
        <v>27</v>
      </c>
      <c r="L328" s="7" t="s">
        <v>28</v>
      </c>
      <c r="M328" s="7"/>
      <c r="N328" s="7">
        <f>VLOOKUP(J328,[1]Sheet1!$C:$D,2,FALSE)</f>
        <v>4404</v>
      </c>
      <c r="O328" s="7">
        <f>VLOOKUP(J328,[2]Desa!$A:$D,4,FALSE)</f>
        <v>140</v>
      </c>
      <c r="P328" s="7">
        <f>VLOOKUP(J328,[3]Sheet1!$D:$F,3,FALSE)</f>
        <v>29</v>
      </c>
      <c r="Q328" s="7"/>
      <c r="R328" s="7"/>
      <c r="S328" s="12">
        <v>-8.6711694425582895</v>
      </c>
      <c r="T328" s="12">
        <v>116.10205745073</v>
      </c>
      <c r="U328" s="7"/>
      <c r="V328" s="50">
        <f>Table13678[[#This Row],[PAGU SEMULA]]-Table13678[[#This Row],[PAGU ANGGARAN]]</f>
        <v>-135000000</v>
      </c>
      <c r="W328" s="50">
        <f>Table13678[[#This Row],[PAGU SEMULA]]-Table13678[[#This Row],[PAGU ANGGARAN]]</f>
        <v>-135000000</v>
      </c>
      <c r="X328" t="s">
        <v>982</v>
      </c>
    </row>
    <row r="329" spans="3:24" hidden="1">
      <c r="C329" s="7" t="s">
        <v>35</v>
      </c>
      <c r="D329" s="7" t="s">
        <v>36</v>
      </c>
      <c r="E329" s="7" t="s">
        <v>37</v>
      </c>
      <c r="F329" s="7" t="s">
        <v>38</v>
      </c>
      <c r="G329" s="7" t="s">
        <v>39</v>
      </c>
      <c r="H329" s="15">
        <v>75000000</v>
      </c>
      <c r="I329" s="10" t="s">
        <v>419</v>
      </c>
      <c r="J329" s="7" t="s">
        <v>420</v>
      </c>
      <c r="K329" s="10" t="s">
        <v>27</v>
      </c>
      <c r="L329" s="7" t="s">
        <v>28</v>
      </c>
      <c r="M329" s="7"/>
      <c r="N329" s="7">
        <f>VLOOKUP(J329,[1]Sheet1!$C:$D,2,FALSE)</f>
        <v>4404</v>
      </c>
      <c r="O329" s="7">
        <f>VLOOKUP(J329,[2]Desa!$A:$D,4,FALSE)</f>
        <v>140</v>
      </c>
      <c r="P329" s="7">
        <f>VLOOKUP(J329,[3]Sheet1!$D:$F,3,FALSE)</f>
        <v>29</v>
      </c>
      <c r="Q329" s="7"/>
      <c r="R329" s="7"/>
      <c r="S329" s="12">
        <v>-8.6711694425582895</v>
      </c>
      <c r="T329" s="12">
        <v>116.10205745073</v>
      </c>
      <c r="U329" s="7"/>
      <c r="V329" s="50">
        <f>Table13678[[#This Row],[PAGU SEMULA]]-Table13678[[#This Row],[PAGU ANGGARAN]]</f>
        <v>-75000000</v>
      </c>
      <c r="W329" s="50">
        <f>Table13678[[#This Row],[PAGU SEMULA]]-Table13678[[#This Row],[PAGU ANGGARAN]]</f>
        <v>-75000000</v>
      </c>
      <c r="X329" t="s">
        <v>984</v>
      </c>
    </row>
    <row r="330" spans="3:24" hidden="1">
      <c r="C330" s="7" t="s">
        <v>35</v>
      </c>
      <c r="D330" s="7" t="s">
        <v>65</v>
      </c>
      <c r="E330" s="7" t="s">
        <v>66</v>
      </c>
      <c r="F330" s="7" t="s">
        <v>93</v>
      </c>
      <c r="G330" s="7" t="s">
        <v>386</v>
      </c>
      <c r="H330" s="17">
        <v>2800000000</v>
      </c>
      <c r="I330" s="10" t="s">
        <v>419</v>
      </c>
      <c r="J330" s="7" t="s">
        <v>420</v>
      </c>
      <c r="K330" s="10" t="s">
        <v>27</v>
      </c>
      <c r="L330" s="7" t="s">
        <v>28</v>
      </c>
      <c r="M330" s="7"/>
      <c r="N330" s="7">
        <f>VLOOKUP(J330,[1]Sheet1!$C:$D,2,FALSE)</f>
        <v>4404</v>
      </c>
      <c r="O330" s="7">
        <f>VLOOKUP(J330,[2]Desa!$A:$D,4,FALSE)</f>
        <v>140</v>
      </c>
      <c r="P330" s="7">
        <f>VLOOKUP(J330,[3]Sheet1!$D:$F,3,FALSE)</f>
        <v>29</v>
      </c>
      <c r="Q330" s="7"/>
      <c r="R330" s="7"/>
      <c r="S330" s="12">
        <v>-8.6711694425582895</v>
      </c>
      <c r="T330" s="12">
        <v>116.10205745073</v>
      </c>
      <c r="U330" s="7"/>
      <c r="V330" s="50">
        <f>Table13678[[#This Row],[PAGU SEMULA]]-Table13678[[#This Row],[PAGU ANGGARAN]]</f>
        <v>-2800000000</v>
      </c>
      <c r="W330" s="50">
        <f>Table13678[[#This Row],[PAGU SEMULA]]-Table13678[[#This Row],[PAGU ANGGARAN]]</f>
        <v>-2800000000</v>
      </c>
      <c r="X330" t="s">
        <v>986</v>
      </c>
    </row>
    <row r="331" spans="3:24" hidden="1">
      <c r="C331" s="7" t="s">
        <v>35</v>
      </c>
      <c r="D331" s="7" t="s">
        <v>65</v>
      </c>
      <c r="E331" s="7" t="s">
        <v>66</v>
      </c>
      <c r="F331" s="7" t="s">
        <v>160</v>
      </c>
      <c r="G331" s="7" t="s">
        <v>161</v>
      </c>
      <c r="H331" s="15">
        <v>1270000000</v>
      </c>
      <c r="I331" s="10" t="s">
        <v>419</v>
      </c>
      <c r="J331" s="7" t="s">
        <v>420</v>
      </c>
      <c r="K331" s="10" t="s">
        <v>27</v>
      </c>
      <c r="L331" s="7" t="s">
        <v>28</v>
      </c>
      <c r="M331" s="7"/>
      <c r="N331" s="7">
        <f>VLOOKUP(J331,[1]Sheet1!$C:$D,2,FALSE)</f>
        <v>4404</v>
      </c>
      <c r="O331" s="7">
        <f>VLOOKUP(J331,[2]Desa!$A:$D,4,FALSE)</f>
        <v>140</v>
      </c>
      <c r="P331" s="7">
        <f>VLOOKUP(J331,[3]Sheet1!$D:$F,3,FALSE)</f>
        <v>29</v>
      </c>
      <c r="Q331" s="7"/>
      <c r="R331" s="7"/>
      <c r="S331" s="12">
        <v>-8.6711694425582895</v>
      </c>
      <c r="T331" s="12">
        <v>116.10205745073</v>
      </c>
      <c r="U331" s="7"/>
      <c r="V331" s="50">
        <f>Table13678[[#This Row],[PAGU SEMULA]]-Table13678[[#This Row],[PAGU ANGGARAN]]</f>
        <v>-1270000000</v>
      </c>
      <c r="W331" s="50">
        <f>Table13678[[#This Row],[PAGU SEMULA]]-Table13678[[#This Row],[PAGU ANGGARAN]]</f>
        <v>-1270000000</v>
      </c>
      <c r="X331" t="s">
        <v>986</v>
      </c>
    </row>
    <row r="332" spans="3:24" hidden="1">
      <c r="C332" s="7" t="s">
        <v>20</v>
      </c>
      <c r="D332" s="7" t="s">
        <v>104</v>
      </c>
      <c r="E332" s="7" t="s">
        <v>145</v>
      </c>
      <c r="F332" s="7" t="s">
        <v>243</v>
      </c>
      <c r="G332" s="71" t="s">
        <v>424</v>
      </c>
      <c r="H332" s="15">
        <v>45350000</v>
      </c>
      <c r="I332" s="10" t="s">
        <v>425</v>
      </c>
      <c r="J332" s="7" t="s">
        <v>426</v>
      </c>
      <c r="K332" s="10" t="s">
        <v>167</v>
      </c>
      <c r="L332" s="7" t="s">
        <v>168</v>
      </c>
      <c r="M332" s="7"/>
      <c r="N332" s="7">
        <f>VLOOKUP(J332,[1]Sheet1!$C:$D,2,FALSE)</f>
        <v>3981</v>
      </c>
      <c r="O332" s="7">
        <f>VLOOKUP(J332,[2]Desa!$A:$D,4,FALSE)</f>
        <v>135</v>
      </c>
      <c r="P332" s="7">
        <f>VLOOKUP(J332,[3]Sheet1!$D:$F,3,FALSE)</f>
        <v>7</v>
      </c>
      <c r="Q332" s="7"/>
      <c r="R332" s="7"/>
      <c r="S332" s="12">
        <v>-8.5855676382741493</v>
      </c>
      <c r="T332" s="12">
        <v>116.17638517176201</v>
      </c>
      <c r="U332" s="7"/>
      <c r="V332" s="50">
        <f>Table13678[[#This Row],[PAGU SEMULA]]-Table13678[[#This Row],[PAGU ANGGARAN]]</f>
        <v>-45350000</v>
      </c>
      <c r="W332" s="50">
        <f>Table13678[[#This Row],[PAGU SEMULA]]-Table13678[[#This Row],[PAGU ANGGARAN]]</f>
        <v>-45350000</v>
      </c>
      <c r="X332" t="s">
        <v>984</v>
      </c>
    </row>
    <row r="333" spans="3:24" hidden="1">
      <c r="C333" s="7" t="s">
        <v>29</v>
      </c>
      <c r="D333" s="7" t="s">
        <v>30</v>
      </c>
      <c r="E333" s="7" t="s">
        <v>31</v>
      </c>
      <c r="F333" s="7" t="s">
        <v>32</v>
      </c>
      <c r="G333" s="7" t="s">
        <v>33</v>
      </c>
      <c r="H333" s="8">
        <v>220080000</v>
      </c>
      <c r="I333" s="10" t="s">
        <v>425</v>
      </c>
      <c r="J333" s="7" t="s">
        <v>426</v>
      </c>
      <c r="K333" s="10" t="s">
        <v>167</v>
      </c>
      <c r="L333" s="7" t="s">
        <v>168</v>
      </c>
      <c r="M333" s="7"/>
      <c r="N333" s="7">
        <f>VLOOKUP(J333,[1]Sheet1!$C:$D,2,FALSE)</f>
        <v>3981</v>
      </c>
      <c r="O333" s="7">
        <f>VLOOKUP(J333,[2]Desa!$A:$D,4,FALSE)</f>
        <v>135</v>
      </c>
      <c r="P333" s="7">
        <f>VLOOKUP(J333,[3]Sheet1!$D:$F,3,FALSE)</f>
        <v>7</v>
      </c>
      <c r="Q333" s="7"/>
      <c r="R333" s="7"/>
      <c r="S333" s="12">
        <v>-8.5855676382741493</v>
      </c>
      <c r="T333" s="12">
        <v>116.17638517176201</v>
      </c>
      <c r="U333" s="7"/>
      <c r="V333" s="50">
        <f>Table13678[[#This Row],[PAGU SEMULA]]-Table13678[[#This Row],[PAGU ANGGARAN]]</f>
        <v>-220080000</v>
      </c>
      <c r="W333" s="50">
        <f>Table13678[[#This Row],[PAGU SEMULA]]-Table13678[[#This Row],[PAGU ANGGARAN]]</f>
        <v>-220080000</v>
      </c>
      <c r="X333" t="s">
        <v>984</v>
      </c>
    </row>
    <row r="334" spans="3:24" hidden="1">
      <c r="C334" s="7" t="s">
        <v>29</v>
      </c>
      <c r="D334" s="7" t="s">
        <v>30</v>
      </c>
      <c r="E334" s="7" t="s">
        <v>31</v>
      </c>
      <c r="F334" s="7" t="s">
        <v>32</v>
      </c>
      <c r="G334" s="7" t="s">
        <v>34</v>
      </c>
      <c r="H334" s="8">
        <v>17606400</v>
      </c>
      <c r="I334" s="10" t="s">
        <v>425</v>
      </c>
      <c r="J334" s="7" t="s">
        <v>426</v>
      </c>
      <c r="K334" s="10" t="s">
        <v>167</v>
      </c>
      <c r="L334" s="7" t="s">
        <v>168</v>
      </c>
      <c r="M334" s="7"/>
      <c r="N334" s="7">
        <f>VLOOKUP(J334,[1]Sheet1!$C:$D,2,FALSE)</f>
        <v>3981</v>
      </c>
      <c r="O334" s="7">
        <f>VLOOKUP(J334,[2]Desa!$A:$D,4,FALSE)</f>
        <v>135</v>
      </c>
      <c r="P334" s="7">
        <f>VLOOKUP(J334,[3]Sheet1!$D:$F,3,FALSE)</f>
        <v>7</v>
      </c>
      <c r="Q334" s="7"/>
      <c r="R334" s="7"/>
      <c r="S334" s="12">
        <v>-8.5855676382741493</v>
      </c>
      <c r="T334" s="12">
        <v>116.17638517176201</v>
      </c>
      <c r="U334" s="7"/>
      <c r="V334" s="50">
        <f>Table13678[[#This Row],[PAGU SEMULA]]-Table13678[[#This Row],[PAGU ANGGARAN]]</f>
        <v>-17606400</v>
      </c>
      <c r="W334" s="50">
        <f>Table13678[[#This Row],[PAGU SEMULA]]-Table13678[[#This Row],[PAGU ANGGARAN]]</f>
        <v>-17606400</v>
      </c>
      <c r="X334" t="s">
        <v>984</v>
      </c>
    </row>
    <row r="335" spans="3:24" hidden="1">
      <c r="C335" s="7" t="s">
        <v>198</v>
      </c>
      <c r="D335" s="7" t="s">
        <v>404</v>
      </c>
      <c r="E335" s="7" t="s">
        <v>405</v>
      </c>
      <c r="F335" s="7" t="s">
        <v>406</v>
      </c>
      <c r="G335" s="7" t="s">
        <v>427</v>
      </c>
      <c r="H335" s="8">
        <v>95691528</v>
      </c>
      <c r="I335" s="10" t="s">
        <v>425</v>
      </c>
      <c r="J335" s="7" t="s">
        <v>426</v>
      </c>
      <c r="K335" s="10" t="s">
        <v>167</v>
      </c>
      <c r="L335" s="7" t="s">
        <v>168</v>
      </c>
      <c r="M335" s="7"/>
      <c r="N335" s="7">
        <f>VLOOKUP(J335,[1]Sheet1!$C:$D,2,FALSE)</f>
        <v>3981</v>
      </c>
      <c r="O335" s="7">
        <f>VLOOKUP(J335,[2]Desa!$A:$D,4,FALSE)</f>
        <v>135</v>
      </c>
      <c r="P335" s="7">
        <f>VLOOKUP(J335,[3]Sheet1!$D:$F,3,FALSE)</f>
        <v>7</v>
      </c>
      <c r="Q335" s="7"/>
      <c r="R335" s="7"/>
      <c r="S335" s="12">
        <v>-8.5855676382741493</v>
      </c>
      <c r="T335" s="12">
        <v>116.17638517176201</v>
      </c>
      <c r="U335" s="7"/>
      <c r="V335" s="50">
        <f>Table13678[[#This Row],[PAGU SEMULA]]-Table13678[[#This Row],[PAGU ANGGARAN]]</f>
        <v>-95691528</v>
      </c>
      <c r="W335" s="50">
        <f>Table13678[[#This Row],[PAGU SEMULA]]-Table13678[[#This Row],[PAGU ANGGARAN]]</f>
        <v>-95691528</v>
      </c>
      <c r="X335" t="s">
        <v>982</v>
      </c>
    </row>
    <row r="336" spans="3:24" hidden="1">
      <c r="C336" s="7" t="s">
        <v>35</v>
      </c>
      <c r="D336" s="7" t="s">
        <v>36</v>
      </c>
      <c r="E336" s="7" t="s">
        <v>37</v>
      </c>
      <c r="F336" s="7" t="s">
        <v>38</v>
      </c>
      <c r="G336" s="7" t="s">
        <v>39</v>
      </c>
      <c r="H336" s="67">
        <f>75000000+(5.4%*75000000)</f>
        <v>79050000</v>
      </c>
      <c r="I336" s="10" t="s">
        <v>425</v>
      </c>
      <c r="J336" s="7" t="s">
        <v>426</v>
      </c>
      <c r="K336" s="10" t="s">
        <v>167</v>
      </c>
      <c r="L336" s="7" t="s">
        <v>168</v>
      </c>
      <c r="M336" s="7"/>
      <c r="N336" s="7">
        <f>VLOOKUP(J336,[1]Sheet1!$C:$D,2,FALSE)</f>
        <v>3981</v>
      </c>
      <c r="O336" s="7">
        <f>VLOOKUP(J336,[2]Desa!$A:$D,4,FALSE)</f>
        <v>135</v>
      </c>
      <c r="P336" s="7">
        <f>VLOOKUP(J336,[3]Sheet1!$D:$F,3,FALSE)</f>
        <v>7</v>
      </c>
      <c r="Q336" s="7"/>
      <c r="R336" s="7"/>
      <c r="S336" s="12">
        <v>-8.5855676382741493</v>
      </c>
      <c r="T336" s="12">
        <v>116.17638517176201</v>
      </c>
      <c r="U336" s="7"/>
      <c r="V336" s="50">
        <f>Table13678[[#This Row],[PAGU SEMULA]]-Table13678[[#This Row],[PAGU ANGGARAN]]</f>
        <v>-79050000</v>
      </c>
      <c r="W336" s="50">
        <f>Table13678[[#This Row],[PAGU SEMULA]]-Table13678[[#This Row],[PAGU ANGGARAN]]</f>
        <v>-79050000</v>
      </c>
      <c r="X336" t="s">
        <v>984</v>
      </c>
    </row>
    <row r="337" spans="3:24" hidden="1">
      <c r="C337" s="7" t="s">
        <v>35</v>
      </c>
      <c r="D337" s="7" t="s">
        <v>65</v>
      </c>
      <c r="E337" s="7" t="s">
        <v>66</v>
      </c>
      <c r="F337" s="7" t="s">
        <v>322</v>
      </c>
      <c r="G337" s="7" t="s">
        <v>322</v>
      </c>
      <c r="H337" s="15">
        <v>34151000</v>
      </c>
      <c r="I337" s="10" t="s">
        <v>425</v>
      </c>
      <c r="J337" s="7" t="s">
        <v>426</v>
      </c>
      <c r="K337" s="10" t="s">
        <v>167</v>
      </c>
      <c r="L337" s="7" t="s">
        <v>168</v>
      </c>
      <c r="M337" s="7"/>
      <c r="N337" s="7">
        <f>VLOOKUP(J337,[1]Sheet1!$C:$D,2,FALSE)</f>
        <v>3981</v>
      </c>
      <c r="O337" s="7">
        <f>VLOOKUP(J337,[2]Desa!$A:$D,4,FALSE)</f>
        <v>135</v>
      </c>
      <c r="P337" s="7">
        <f>VLOOKUP(J337,[3]Sheet1!$D:$F,3,FALSE)</f>
        <v>7</v>
      </c>
      <c r="Q337" s="7"/>
      <c r="R337" s="7"/>
      <c r="S337" s="12">
        <v>-8.5855676382741493</v>
      </c>
      <c r="T337" s="12">
        <v>116.17638517176201</v>
      </c>
      <c r="U337" s="7"/>
      <c r="V337" s="50">
        <f>Table13678[[#This Row],[PAGU SEMULA]]-Table13678[[#This Row],[PAGU ANGGARAN]]</f>
        <v>-34151000</v>
      </c>
      <c r="W337" s="50">
        <f>Table13678[[#This Row],[PAGU SEMULA]]-Table13678[[#This Row],[PAGU ANGGARAN]]</f>
        <v>-34151000</v>
      </c>
      <c r="X337" t="s">
        <v>986</v>
      </c>
    </row>
    <row r="338" spans="3:24" hidden="1">
      <c r="C338" s="7" t="s">
        <v>35</v>
      </c>
      <c r="D338" s="7" t="s">
        <v>52</v>
      </c>
      <c r="E338" s="7" t="s">
        <v>95</v>
      </c>
      <c r="F338" s="7" t="s">
        <v>96</v>
      </c>
      <c r="G338" s="7" t="s">
        <v>318</v>
      </c>
      <c r="H338" s="60">
        <v>50000000</v>
      </c>
      <c r="I338" s="10" t="s">
        <v>425</v>
      </c>
      <c r="J338" s="7" t="s">
        <v>426</v>
      </c>
      <c r="K338" s="10" t="s">
        <v>167</v>
      </c>
      <c r="L338" s="7" t="s">
        <v>168</v>
      </c>
      <c r="M338" s="7"/>
      <c r="N338" s="7">
        <f>VLOOKUP(J338,[1]Sheet1!$C:$D,2,FALSE)</f>
        <v>3981</v>
      </c>
      <c r="O338" s="7">
        <f>VLOOKUP(J338,[2]Desa!$A:$D,4,FALSE)</f>
        <v>135</v>
      </c>
      <c r="P338" s="7">
        <f>VLOOKUP(J338,[3]Sheet1!$D:$F,3,FALSE)</f>
        <v>7</v>
      </c>
      <c r="Q338" s="7"/>
      <c r="R338" s="7"/>
      <c r="S338" s="12">
        <v>-8.5855676382741493</v>
      </c>
      <c r="T338" s="12">
        <v>116.17638517176201</v>
      </c>
      <c r="U338" s="63">
        <v>68000000</v>
      </c>
      <c r="V338" s="58">
        <f>Table13678[[#This Row],[PAGU SEMULA]]-Table13678[[#This Row],[PAGU ANGGARAN]]</f>
        <v>18000000</v>
      </c>
      <c r="W338" s="50">
        <f>Table13678[[#This Row],[PAGU SEMULA]]-Table13678[[#This Row],[PAGU ANGGARAN]]</f>
        <v>18000000</v>
      </c>
      <c r="X338" t="s">
        <v>986</v>
      </c>
    </row>
    <row r="339" spans="3:24" hidden="1">
      <c r="C339" s="7" t="s">
        <v>35</v>
      </c>
      <c r="D339" s="7" t="s">
        <v>156</v>
      </c>
      <c r="E339" s="7" t="s">
        <v>252</v>
      </c>
      <c r="F339" s="7" t="s">
        <v>253</v>
      </c>
      <c r="G339" s="7" t="s">
        <v>428</v>
      </c>
      <c r="H339" s="15">
        <v>10000000</v>
      </c>
      <c r="I339" s="10" t="s">
        <v>425</v>
      </c>
      <c r="J339" s="7" t="s">
        <v>426</v>
      </c>
      <c r="K339" s="10" t="s">
        <v>167</v>
      </c>
      <c r="L339" s="7" t="s">
        <v>168</v>
      </c>
      <c r="M339" s="7"/>
      <c r="N339" s="7">
        <f>VLOOKUP(J339,[1]Sheet1!$C:$D,2,FALSE)</f>
        <v>3981</v>
      </c>
      <c r="O339" s="7">
        <f>VLOOKUP(J339,[2]Desa!$A:$D,4,FALSE)</f>
        <v>135</v>
      </c>
      <c r="P339" s="7">
        <f>VLOOKUP(J339,[3]Sheet1!$D:$F,3,FALSE)</f>
        <v>7</v>
      </c>
      <c r="Q339" s="7"/>
      <c r="R339" s="7"/>
      <c r="S339" s="12">
        <v>-8.5855676382741493</v>
      </c>
      <c r="T339" s="12">
        <v>116.17638517176201</v>
      </c>
      <c r="U339" s="7"/>
      <c r="V339" s="50">
        <f>Table13678[[#This Row],[PAGU SEMULA]]-Table13678[[#This Row],[PAGU ANGGARAN]]</f>
        <v>-10000000</v>
      </c>
      <c r="W339" s="50">
        <f>Table13678[[#This Row],[PAGU SEMULA]]-Table13678[[#This Row],[PAGU ANGGARAN]]</f>
        <v>-10000000</v>
      </c>
      <c r="X339" t="s">
        <v>986</v>
      </c>
    </row>
    <row r="340" spans="3:24" hidden="1">
      <c r="C340" s="7" t="s">
        <v>35</v>
      </c>
      <c r="D340" s="7" t="s">
        <v>156</v>
      </c>
      <c r="E340" s="7" t="s">
        <v>252</v>
      </c>
      <c r="F340" s="7" t="s">
        <v>253</v>
      </c>
      <c r="G340" s="7" t="s">
        <v>429</v>
      </c>
      <c r="H340" s="15">
        <v>10000000</v>
      </c>
      <c r="I340" s="10" t="s">
        <v>425</v>
      </c>
      <c r="J340" s="7" t="s">
        <v>426</v>
      </c>
      <c r="K340" s="10" t="s">
        <v>167</v>
      </c>
      <c r="L340" s="7" t="s">
        <v>168</v>
      </c>
      <c r="M340" s="7"/>
      <c r="N340" s="7">
        <f>VLOOKUP(J340,[1]Sheet1!$C:$D,2,FALSE)</f>
        <v>3981</v>
      </c>
      <c r="O340" s="7">
        <f>VLOOKUP(J340,[2]Desa!$A:$D,4,FALSE)</f>
        <v>135</v>
      </c>
      <c r="P340" s="7">
        <f>VLOOKUP(J340,[3]Sheet1!$D:$F,3,FALSE)</f>
        <v>7</v>
      </c>
      <c r="Q340" s="7"/>
      <c r="R340" s="7"/>
      <c r="S340" s="12">
        <v>-8.5855676382741493</v>
      </c>
      <c r="T340" s="12">
        <v>116.17638517176201</v>
      </c>
      <c r="U340" s="7"/>
      <c r="V340" s="50">
        <f>Table13678[[#This Row],[PAGU SEMULA]]-Table13678[[#This Row],[PAGU ANGGARAN]]</f>
        <v>-10000000</v>
      </c>
      <c r="W340" s="50">
        <f>Table13678[[#This Row],[PAGU SEMULA]]-Table13678[[#This Row],[PAGU ANGGARAN]]</f>
        <v>-10000000</v>
      </c>
      <c r="X340" t="s">
        <v>986</v>
      </c>
    </row>
    <row r="341" spans="3:24" hidden="1">
      <c r="C341" s="7" t="s">
        <v>35</v>
      </c>
      <c r="D341" s="7" t="s">
        <v>156</v>
      </c>
      <c r="E341" s="7" t="s">
        <v>252</v>
      </c>
      <c r="F341" s="7" t="s">
        <v>253</v>
      </c>
      <c r="G341" s="7" t="s">
        <v>430</v>
      </c>
      <c r="H341" s="15">
        <v>249000000</v>
      </c>
      <c r="I341" s="10" t="s">
        <v>425</v>
      </c>
      <c r="J341" s="7" t="s">
        <v>426</v>
      </c>
      <c r="K341" s="10" t="s">
        <v>167</v>
      </c>
      <c r="L341" s="7" t="s">
        <v>168</v>
      </c>
      <c r="M341" s="7"/>
      <c r="N341" s="7">
        <f>VLOOKUP(J341,[1]Sheet1!$C:$D,2,FALSE)</f>
        <v>3981</v>
      </c>
      <c r="O341" s="7">
        <f>VLOOKUP(J341,[2]Desa!$A:$D,4,FALSE)</f>
        <v>135</v>
      </c>
      <c r="P341" s="7">
        <f>VLOOKUP(J341,[3]Sheet1!$D:$F,3,FALSE)</f>
        <v>7</v>
      </c>
      <c r="Q341" s="7"/>
      <c r="R341" s="7"/>
      <c r="S341" s="12">
        <v>-8.5855676382741493</v>
      </c>
      <c r="T341" s="12">
        <v>116.17638517176201</v>
      </c>
      <c r="U341" s="7"/>
      <c r="V341" s="50">
        <f>Table13678[[#This Row],[PAGU SEMULA]]-Table13678[[#This Row],[PAGU ANGGARAN]]</f>
        <v>-249000000</v>
      </c>
      <c r="W341" s="50">
        <f>Table13678[[#This Row],[PAGU SEMULA]]-Table13678[[#This Row],[PAGU ANGGARAN]]</f>
        <v>-249000000</v>
      </c>
      <c r="X341" t="s">
        <v>986</v>
      </c>
    </row>
    <row r="342" spans="3:24" hidden="1">
      <c r="C342" s="73" t="s">
        <v>46</v>
      </c>
      <c r="D342" s="29"/>
      <c r="E342" s="29"/>
      <c r="F342" s="29"/>
      <c r="G342" s="29" t="s">
        <v>958</v>
      </c>
      <c r="H342" s="15">
        <v>50000000</v>
      </c>
      <c r="I342" s="10" t="s">
        <v>425</v>
      </c>
      <c r="J342" s="7" t="s">
        <v>426</v>
      </c>
      <c r="K342" s="10" t="s">
        <v>167</v>
      </c>
      <c r="L342" s="7" t="s">
        <v>168</v>
      </c>
      <c r="M342" s="29"/>
      <c r="N342" s="29">
        <f>VLOOKUP(J342,[1]Sheet1!$C:$D,2,FALSE)</f>
        <v>3981</v>
      </c>
      <c r="O342" s="29">
        <f>VLOOKUP(J342,[2]Desa!$A:$D,4,FALSE)</f>
        <v>135</v>
      </c>
      <c r="P342" s="29">
        <f>VLOOKUP(J342,[3]Sheet1!$D:$F,3,FALSE)</f>
        <v>7</v>
      </c>
      <c r="Q342" s="29"/>
      <c r="R342" s="35"/>
      <c r="S342" s="36"/>
      <c r="T342" s="32"/>
      <c r="U342" s="25"/>
      <c r="V342" s="54">
        <f>Table13678[[#This Row],[PAGU SEMULA]]-Table13678[[#This Row],[PAGU ANGGARAN]]</f>
        <v>-50000000</v>
      </c>
      <c r="W342" s="54">
        <f>Table13678[[#This Row],[PAGU SEMULA]]-Table13678[[#This Row],[PAGU ANGGARAN]]</f>
        <v>-50000000</v>
      </c>
      <c r="X342" t="s">
        <v>987</v>
      </c>
    </row>
    <row r="343" spans="3:24" hidden="1">
      <c r="C343" s="7" t="s">
        <v>68</v>
      </c>
      <c r="D343" s="7" t="s">
        <v>431</v>
      </c>
      <c r="E343" s="7" t="s">
        <v>432</v>
      </c>
      <c r="F343" s="7" t="s">
        <v>948</v>
      </c>
      <c r="G343" s="7" t="s">
        <v>433</v>
      </c>
      <c r="H343" s="8">
        <v>175998000</v>
      </c>
      <c r="I343" s="10" t="s">
        <v>425</v>
      </c>
      <c r="J343" s="7" t="s">
        <v>426</v>
      </c>
      <c r="K343" s="10" t="s">
        <v>167</v>
      </c>
      <c r="L343" s="7" t="s">
        <v>168</v>
      </c>
      <c r="M343" s="7"/>
      <c r="N343" s="7">
        <f>VLOOKUP(J343,[1]Sheet1!$C:$D,2,FALSE)</f>
        <v>3981</v>
      </c>
      <c r="O343" s="7">
        <f>VLOOKUP(J343,[2]Desa!$A:$D,4,FALSE)</f>
        <v>135</v>
      </c>
      <c r="P343" s="7">
        <f>VLOOKUP(J343,[3]Sheet1!$D:$F,3,FALSE)</f>
        <v>7</v>
      </c>
      <c r="Q343" s="7"/>
      <c r="R343" s="7"/>
      <c r="S343" s="12">
        <v>-8.5855676382741493</v>
      </c>
      <c r="T343" s="12">
        <v>116.17638517176201</v>
      </c>
      <c r="U343" s="7"/>
      <c r="V343" s="50">
        <f>Table13678[[#This Row],[PAGU SEMULA]]-Table13678[[#This Row],[PAGU ANGGARAN]]</f>
        <v>-175998000</v>
      </c>
      <c r="W343" s="50">
        <f>Table13678[[#This Row],[PAGU SEMULA]]-Table13678[[#This Row],[PAGU ANGGARAN]]</f>
        <v>-175998000</v>
      </c>
      <c r="X343" t="s">
        <v>982</v>
      </c>
    </row>
    <row r="344" spans="3:24" hidden="1">
      <c r="C344" s="7" t="s">
        <v>29</v>
      </c>
      <c r="D344" s="7" t="s">
        <v>30</v>
      </c>
      <c r="E344" s="7" t="s">
        <v>31</v>
      </c>
      <c r="F344" s="7" t="s">
        <v>949</v>
      </c>
      <c r="G344" s="7" t="s">
        <v>33</v>
      </c>
      <c r="H344" s="8">
        <v>348180000</v>
      </c>
      <c r="I344" s="10" t="s">
        <v>434</v>
      </c>
      <c r="J344" s="7" t="s">
        <v>435</v>
      </c>
      <c r="K344" s="10" t="s">
        <v>167</v>
      </c>
      <c r="L344" s="7" t="s">
        <v>168</v>
      </c>
      <c r="M344" s="7"/>
      <c r="N344" s="7">
        <f>VLOOKUP(J344,[1]Sheet1!$C:$D,2,FALSE)</f>
        <v>5240</v>
      </c>
      <c r="O344" s="7">
        <f>VLOOKUP(J344,[2]Desa!$A:$D,4,FALSE)</f>
        <v>183</v>
      </c>
      <c r="P344" s="7">
        <f>VLOOKUP(J344,[3]Sheet1!$D:$F,3,FALSE)</f>
        <v>33</v>
      </c>
      <c r="Q344" s="7"/>
      <c r="R344" s="7"/>
      <c r="S344" s="12">
        <v>-8.5506129988127508</v>
      </c>
      <c r="T344" s="12">
        <v>116.14759150669499</v>
      </c>
      <c r="U344" s="7"/>
      <c r="V344" s="50">
        <f>Table13678[[#This Row],[PAGU SEMULA]]-Table13678[[#This Row],[PAGU ANGGARAN]]</f>
        <v>-348180000</v>
      </c>
      <c r="W344" s="50">
        <f>Table13678[[#This Row],[PAGU SEMULA]]-Table13678[[#This Row],[PAGU ANGGARAN]]</f>
        <v>-348180000</v>
      </c>
      <c r="X344" t="s">
        <v>984</v>
      </c>
    </row>
    <row r="345" spans="3:24" hidden="1">
      <c r="C345" s="7" t="s">
        <v>29</v>
      </c>
      <c r="D345" s="7" t="s">
        <v>30</v>
      </c>
      <c r="E345" s="7" t="s">
        <v>31</v>
      </c>
      <c r="F345" s="7" t="s">
        <v>32</v>
      </c>
      <c r="G345" s="7" t="s">
        <v>34</v>
      </c>
      <c r="H345" s="8">
        <v>27854400</v>
      </c>
      <c r="I345" s="10" t="s">
        <v>434</v>
      </c>
      <c r="J345" s="7" t="s">
        <v>435</v>
      </c>
      <c r="K345" s="10" t="s">
        <v>167</v>
      </c>
      <c r="L345" s="7" t="s">
        <v>168</v>
      </c>
      <c r="M345" s="7"/>
      <c r="N345" s="7">
        <f>VLOOKUP(J345,[1]Sheet1!$C:$D,2,FALSE)</f>
        <v>5240</v>
      </c>
      <c r="O345" s="7">
        <f>VLOOKUP(J345,[2]Desa!$A:$D,4,FALSE)</f>
        <v>183</v>
      </c>
      <c r="P345" s="7">
        <f>VLOOKUP(J345,[3]Sheet1!$D:$F,3,FALSE)</f>
        <v>33</v>
      </c>
      <c r="Q345" s="7"/>
      <c r="R345" s="7"/>
      <c r="S345" s="12">
        <v>-8.5506129988127508</v>
      </c>
      <c r="T345" s="12">
        <v>116.14759150669499</v>
      </c>
      <c r="U345" s="7"/>
      <c r="V345" s="50">
        <f>Table13678[[#This Row],[PAGU SEMULA]]-Table13678[[#This Row],[PAGU ANGGARAN]]</f>
        <v>-27854400</v>
      </c>
      <c r="W345" s="50">
        <f>Table13678[[#This Row],[PAGU SEMULA]]-Table13678[[#This Row],[PAGU ANGGARAN]]</f>
        <v>-27854400</v>
      </c>
      <c r="X345" t="s">
        <v>984</v>
      </c>
    </row>
    <row r="346" spans="3:24" hidden="1">
      <c r="C346" s="7" t="s">
        <v>84</v>
      </c>
      <c r="D346" s="7" t="s">
        <v>89</v>
      </c>
      <c r="E346" s="7" t="s">
        <v>90</v>
      </c>
      <c r="F346" s="7" t="s">
        <v>272</v>
      </c>
      <c r="G346" s="7" t="s">
        <v>436</v>
      </c>
      <c r="H346" s="8">
        <v>178250024</v>
      </c>
      <c r="I346" s="10" t="s">
        <v>434</v>
      </c>
      <c r="J346" s="7" t="s">
        <v>435</v>
      </c>
      <c r="K346" s="10" t="s">
        <v>167</v>
      </c>
      <c r="L346" s="7" t="s">
        <v>168</v>
      </c>
      <c r="M346" s="7"/>
      <c r="N346" s="7">
        <f>VLOOKUP(J346,[1]Sheet1!$C:$D,2,FALSE)</f>
        <v>5240</v>
      </c>
      <c r="O346" s="7">
        <f>VLOOKUP(J346,[2]Desa!$A:$D,4,FALSE)</f>
        <v>183</v>
      </c>
      <c r="P346" s="7">
        <f>VLOOKUP(J346,[3]Sheet1!$D:$F,3,FALSE)</f>
        <v>33</v>
      </c>
      <c r="Q346" s="7"/>
      <c r="R346" s="7"/>
      <c r="S346" s="12">
        <v>-8.5506129988127508</v>
      </c>
      <c r="T346" s="12">
        <v>116.14759150669499</v>
      </c>
      <c r="U346" s="7"/>
      <c r="V346" s="50">
        <f>Table13678[[#This Row],[PAGU SEMULA]]-Table13678[[#This Row],[PAGU ANGGARAN]]</f>
        <v>-178250024</v>
      </c>
      <c r="W346" s="50">
        <f>Table13678[[#This Row],[PAGU SEMULA]]-Table13678[[#This Row],[PAGU ANGGARAN]]</f>
        <v>-178250024</v>
      </c>
      <c r="X346" t="s">
        <v>982</v>
      </c>
    </row>
    <row r="347" spans="3:24" hidden="1">
      <c r="C347" s="7" t="s">
        <v>35</v>
      </c>
      <c r="D347" s="7" t="s">
        <v>36</v>
      </c>
      <c r="E347" s="7" t="s">
        <v>37</v>
      </c>
      <c r="F347" s="7" t="s">
        <v>38</v>
      </c>
      <c r="G347" s="7" t="s">
        <v>39</v>
      </c>
      <c r="H347" s="15">
        <v>75000000</v>
      </c>
      <c r="I347" s="10" t="s">
        <v>434</v>
      </c>
      <c r="J347" s="7" t="s">
        <v>435</v>
      </c>
      <c r="K347" s="10" t="s">
        <v>167</v>
      </c>
      <c r="L347" s="7" t="s">
        <v>168</v>
      </c>
      <c r="M347" s="7"/>
      <c r="N347" s="7">
        <f>VLOOKUP(J347,[1]Sheet1!$C:$D,2,FALSE)</f>
        <v>5240</v>
      </c>
      <c r="O347" s="7">
        <f>VLOOKUP(J347,[2]Desa!$A:$D,4,FALSE)</f>
        <v>183</v>
      </c>
      <c r="P347" s="7">
        <f>VLOOKUP(J347,[3]Sheet1!$D:$F,3,FALSE)</f>
        <v>33</v>
      </c>
      <c r="Q347" s="7"/>
      <c r="R347" s="7"/>
      <c r="S347" s="12">
        <v>-8.5506129988127508</v>
      </c>
      <c r="T347" s="12">
        <v>116.14759150669499</v>
      </c>
      <c r="U347" s="7"/>
      <c r="V347" s="50">
        <f>Table13678[[#This Row],[PAGU SEMULA]]-Table13678[[#This Row],[PAGU ANGGARAN]]</f>
        <v>-75000000</v>
      </c>
      <c r="W347" s="50">
        <f>Table13678[[#This Row],[PAGU SEMULA]]-Table13678[[#This Row],[PAGU ANGGARAN]]</f>
        <v>-75000000</v>
      </c>
      <c r="X347" t="s">
        <v>984</v>
      </c>
    </row>
    <row r="348" spans="3:24" hidden="1">
      <c r="C348" s="7" t="s">
        <v>35</v>
      </c>
      <c r="D348" s="7" t="s">
        <v>52</v>
      </c>
      <c r="E348" s="7" t="s">
        <v>95</v>
      </c>
      <c r="F348" s="7" t="s">
        <v>96</v>
      </c>
      <c r="G348" s="7" t="s">
        <v>437</v>
      </c>
      <c r="H348" s="15">
        <v>10000000</v>
      </c>
      <c r="I348" s="10" t="s">
        <v>434</v>
      </c>
      <c r="J348" s="7" t="s">
        <v>435</v>
      </c>
      <c r="K348" s="10" t="s">
        <v>167</v>
      </c>
      <c r="L348" s="7" t="s">
        <v>168</v>
      </c>
      <c r="M348" s="7"/>
      <c r="N348" s="7">
        <f>VLOOKUP(J348,[1]Sheet1!$C:$D,2,FALSE)</f>
        <v>5240</v>
      </c>
      <c r="O348" s="7">
        <f>VLOOKUP(J348,[2]Desa!$A:$D,4,FALSE)</f>
        <v>183</v>
      </c>
      <c r="P348" s="7">
        <f>VLOOKUP(J348,[3]Sheet1!$D:$F,3,FALSE)</f>
        <v>33</v>
      </c>
      <c r="Q348" s="7"/>
      <c r="R348" s="7"/>
      <c r="S348" s="12">
        <v>-8.5506129988127508</v>
      </c>
      <c r="T348" s="12">
        <v>116.14759150669499</v>
      </c>
      <c r="U348" s="7"/>
      <c r="V348" s="50">
        <f>Table13678[[#This Row],[PAGU SEMULA]]-Table13678[[#This Row],[PAGU ANGGARAN]]</f>
        <v>-10000000</v>
      </c>
      <c r="W348" s="50">
        <f>Table13678[[#This Row],[PAGU SEMULA]]-Table13678[[#This Row],[PAGU ANGGARAN]]</f>
        <v>-10000000</v>
      </c>
      <c r="X348" t="s">
        <v>986</v>
      </c>
    </row>
    <row r="349" spans="3:24" hidden="1">
      <c r="C349" s="7" t="s">
        <v>35</v>
      </c>
      <c r="D349" s="7" t="s">
        <v>52</v>
      </c>
      <c r="E349" s="7" t="s">
        <v>95</v>
      </c>
      <c r="F349" s="7" t="s">
        <v>96</v>
      </c>
      <c r="G349" s="7" t="s">
        <v>438</v>
      </c>
      <c r="H349" s="15">
        <v>10000000</v>
      </c>
      <c r="I349" s="10" t="s">
        <v>434</v>
      </c>
      <c r="J349" s="7" t="s">
        <v>435</v>
      </c>
      <c r="K349" s="10" t="s">
        <v>167</v>
      </c>
      <c r="L349" s="7" t="s">
        <v>168</v>
      </c>
      <c r="M349" s="7"/>
      <c r="N349" s="7">
        <f>VLOOKUP(J349,[1]Sheet1!$C:$D,2,FALSE)</f>
        <v>5240</v>
      </c>
      <c r="O349" s="7">
        <f>VLOOKUP(J349,[2]Desa!$A:$D,4,FALSE)</f>
        <v>183</v>
      </c>
      <c r="P349" s="7">
        <f>VLOOKUP(J349,[3]Sheet1!$D:$F,3,FALSE)</f>
        <v>33</v>
      </c>
      <c r="Q349" s="7"/>
      <c r="R349" s="7"/>
      <c r="S349" s="12">
        <v>-8.5506129988127508</v>
      </c>
      <c r="T349" s="12">
        <v>116.14759150669499</v>
      </c>
      <c r="U349" s="7"/>
      <c r="V349" s="50">
        <f>Table13678[[#This Row],[PAGU SEMULA]]-Table13678[[#This Row],[PAGU ANGGARAN]]</f>
        <v>-10000000</v>
      </c>
      <c r="W349" s="50">
        <f>Table13678[[#This Row],[PAGU SEMULA]]-Table13678[[#This Row],[PAGU ANGGARAN]]</f>
        <v>-10000000</v>
      </c>
      <c r="X349" t="s">
        <v>986</v>
      </c>
    </row>
    <row r="350" spans="3:24" hidden="1">
      <c r="C350" s="7" t="s">
        <v>35</v>
      </c>
      <c r="D350" s="7" t="s">
        <v>52</v>
      </c>
      <c r="E350" s="7" t="s">
        <v>95</v>
      </c>
      <c r="F350" s="7" t="s">
        <v>96</v>
      </c>
      <c r="G350" s="7" t="s">
        <v>439</v>
      </c>
      <c r="H350" s="15">
        <v>262000000</v>
      </c>
      <c r="I350" s="10" t="s">
        <v>434</v>
      </c>
      <c r="J350" s="7" t="s">
        <v>435</v>
      </c>
      <c r="K350" s="10" t="s">
        <v>167</v>
      </c>
      <c r="L350" s="7" t="s">
        <v>168</v>
      </c>
      <c r="M350" s="7"/>
      <c r="N350" s="7">
        <f>VLOOKUP(J350,[1]Sheet1!$C:$D,2,FALSE)</f>
        <v>5240</v>
      </c>
      <c r="O350" s="7">
        <f>VLOOKUP(J350,[2]Desa!$A:$D,4,FALSE)</f>
        <v>183</v>
      </c>
      <c r="P350" s="7">
        <f>VLOOKUP(J350,[3]Sheet1!$D:$F,3,FALSE)</f>
        <v>33</v>
      </c>
      <c r="Q350" s="7"/>
      <c r="R350" s="7"/>
      <c r="S350" s="12">
        <v>-8.5506129988127508</v>
      </c>
      <c r="T350" s="12">
        <v>116.14759150669499</v>
      </c>
      <c r="U350" s="7"/>
      <c r="V350" s="50">
        <f>Table13678[[#This Row],[PAGU SEMULA]]-Table13678[[#This Row],[PAGU ANGGARAN]]</f>
        <v>-262000000</v>
      </c>
      <c r="W350" s="50">
        <f>Table13678[[#This Row],[PAGU SEMULA]]-Table13678[[#This Row],[PAGU ANGGARAN]]</f>
        <v>-262000000</v>
      </c>
      <c r="X350" t="s">
        <v>986</v>
      </c>
    </row>
    <row r="351" spans="3:24" hidden="1">
      <c r="C351" s="7" t="s">
        <v>51</v>
      </c>
      <c r="D351" s="7" t="s">
        <v>52</v>
      </c>
      <c r="E351" s="7" t="s">
        <v>53</v>
      </c>
      <c r="F351" s="7" t="s">
        <v>54</v>
      </c>
      <c r="G351" s="7" t="s">
        <v>174</v>
      </c>
      <c r="H351" s="8">
        <v>94545000</v>
      </c>
      <c r="I351" s="10" t="s">
        <v>434</v>
      </c>
      <c r="J351" s="7" t="s">
        <v>435</v>
      </c>
      <c r="K351" s="10" t="s">
        <v>167</v>
      </c>
      <c r="L351" s="7" t="s">
        <v>168</v>
      </c>
      <c r="M351" s="7"/>
      <c r="N351" s="7">
        <f>VLOOKUP(J351,[1]Sheet1!$C:$D,2,FALSE)</f>
        <v>5240</v>
      </c>
      <c r="O351" s="7">
        <f>VLOOKUP(J351,[2]Desa!$A:$D,4,FALSE)</f>
        <v>183</v>
      </c>
      <c r="P351" s="7">
        <f>VLOOKUP(J351,[3]Sheet1!$D:$F,3,FALSE)</f>
        <v>33</v>
      </c>
      <c r="Q351" s="7"/>
      <c r="R351" s="7"/>
      <c r="S351" s="12">
        <v>-8.5506129988127508</v>
      </c>
      <c r="T351" s="12">
        <v>116.14759150669499</v>
      </c>
      <c r="U351" s="7"/>
      <c r="V351" s="50">
        <f>Table13678[[#This Row],[PAGU SEMULA]]-Table13678[[#This Row],[PAGU ANGGARAN]]</f>
        <v>-94545000</v>
      </c>
      <c r="W351" s="50">
        <f>Table13678[[#This Row],[PAGU SEMULA]]-Table13678[[#This Row],[PAGU ANGGARAN]]</f>
        <v>-94545000</v>
      </c>
      <c r="X351" t="s">
        <v>986</v>
      </c>
    </row>
    <row r="352" spans="3:24" hidden="1">
      <c r="C352" s="7" t="s">
        <v>20</v>
      </c>
      <c r="D352" s="7" t="s">
        <v>104</v>
      </c>
      <c r="E352" s="7" t="s">
        <v>145</v>
      </c>
      <c r="F352" s="7" t="s">
        <v>146</v>
      </c>
      <c r="G352" s="71" t="s">
        <v>440</v>
      </c>
      <c r="H352" s="15">
        <v>31625000</v>
      </c>
      <c r="I352" s="10" t="s">
        <v>441</v>
      </c>
      <c r="J352" s="7" t="s">
        <v>442</v>
      </c>
      <c r="K352" s="10" t="s">
        <v>288</v>
      </c>
      <c r="L352" s="7" t="s">
        <v>289</v>
      </c>
      <c r="M352" s="7"/>
      <c r="N352" s="7">
        <f>VLOOKUP(J352,[1]Sheet1!$C:$D,2,FALSE)</f>
        <v>2902</v>
      </c>
      <c r="O352" s="7">
        <f>VLOOKUP(J352,[2]Desa!$A:$D,4,FALSE)</f>
        <v>253</v>
      </c>
      <c r="P352" s="7">
        <f>VLOOKUP(J352,[3]Sheet1!$D:$F,3,FALSE)</f>
        <v>23</v>
      </c>
      <c r="Q352" s="7"/>
      <c r="R352" s="7"/>
      <c r="S352" s="12">
        <v>-8.5218018008549006</v>
      </c>
      <c r="T352" s="12">
        <v>116.13442436422</v>
      </c>
      <c r="U352" s="7"/>
      <c r="V352" s="50">
        <f>Table13678[[#This Row],[PAGU SEMULA]]-Table13678[[#This Row],[PAGU ANGGARAN]]</f>
        <v>-31625000</v>
      </c>
      <c r="W352" s="50">
        <f>Table13678[[#This Row],[PAGU SEMULA]]-Table13678[[#This Row],[PAGU ANGGARAN]]</f>
        <v>-31625000</v>
      </c>
      <c r="X352" t="s">
        <v>984</v>
      </c>
    </row>
    <row r="353" spans="3:24" hidden="1">
      <c r="C353" s="7" t="s">
        <v>29</v>
      </c>
      <c r="D353" s="7" t="s">
        <v>30</v>
      </c>
      <c r="E353" s="7" t="s">
        <v>31</v>
      </c>
      <c r="F353" s="7" t="s">
        <v>32</v>
      </c>
      <c r="G353" s="7" t="s">
        <v>33</v>
      </c>
      <c r="H353" s="8">
        <v>169260000</v>
      </c>
      <c r="I353" s="10" t="s">
        <v>441</v>
      </c>
      <c r="J353" s="7" t="s">
        <v>442</v>
      </c>
      <c r="K353" s="10" t="s">
        <v>288</v>
      </c>
      <c r="L353" s="7" t="s">
        <v>289</v>
      </c>
      <c r="M353" s="7"/>
      <c r="N353" s="7">
        <f>VLOOKUP(J353,[1]Sheet1!$C:$D,2,FALSE)</f>
        <v>2902</v>
      </c>
      <c r="O353" s="7">
        <f>VLOOKUP(J353,[2]Desa!$A:$D,4,FALSE)</f>
        <v>253</v>
      </c>
      <c r="P353" s="7">
        <f>VLOOKUP(J353,[3]Sheet1!$D:$F,3,FALSE)</f>
        <v>23</v>
      </c>
      <c r="Q353" s="7"/>
      <c r="R353" s="7"/>
      <c r="S353" s="12">
        <v>-8.5218018008549006</v>
      </c>
      <c r="T353" s="12">
        <v>116.13442436422</v>
      </c>
      <c r="U353" s="7"/>
      <c r="V353" s="50">
        <f>Table13678[[#This Row],[PAGU SEMULA]]-Table13678[[#This Row],[PAGU ANGGARAN]]</f>
        <v>-169260000</v>
      </c>
      <c r="W353" s="50">
        <f>Table13678[[#This Row],[PAGU SEMULA]]-Table13678[[#This Row],[PAGU ANGGARAN]]</f>
        <v>-169260000</v>
      </c>
      <c r="X353" t="s">
        <v>984</v>
      </c>
    </row>
    <row r="354" spans="3:24" hidden="1">
      <c r="C354" s="7" t="s">
        <v>29</v>
      </c>
      <c r="D354" s="7" t="s">
        <v>30</v>
      </c>
      <c r="E354" s="7" t="s">
        <v>31</v>
      </c>
      <c r="F354" s="7" t="s">
        <v>32</v>
      </c>
      <c r="G354" s="7" t="s">
        <v>34</v>
      </c>
      <c r="H354" s="8">
        <v>13540800</v>
      </c>
      <c r="I354" s="10" t="s">
        <v>441</v>
      </c>
      <c r="J354" s="7" t="s">
        <v>442</v>
      </c>
      <c r="K354" s="10" t="s">
        <v>288</v>
      </c>
      <c r="L354" s="7" t="s">
        <v>289</v>
      </c>
      <c r="M354" s="7"/>
      <c r="N354" s="7">
        <f>VLOOKUP(J354,[1]Sheet1!$C:$D,2,FALSE)</f>
        <v>2902</v>
      </c>
      <c r="O354" s="7">
        <f>VLOOKUP(J354,[2]Desa!$A:$D,4,FALSE)</f>
        <v>253</v>
      </c>
      <c r="P354" s="7">
        <f>VLOOKUP(J354,[3]Sheet1!$D:$F,3,FALSE)</f>
        <v>23</v>
      </c>
      <c r="Q354" s="7"/>
      <c r="R354" s="7"/>
      <c r="S354" s="12">
        <v>-8.5218018008549006</v>
      </c>
      <c r="T354" s="12">
        <v>116.13442436422</v>
      </c>
      <c r="U354" s="7"/>
      <c r="V354" s="50">
        <f>Table13678[[#This Row],[PAGU SEMULA]]-Table13678[[#This Row],[PAGU ANGGARAN]]</f>
        <v>-13540800</v>
      </c>
      <c r="W354" s="50">
        <f>Table13678[[#This Row],[PAGU SEMULA]]-Table13678[[#This Row],[PAGU ANGGARAN]]</f>
        <v>-13540800</v>
      </c>
      <c r="X354" t="s">
        <v>984</v>
      </c>
    </row>
    <row r="355" spans="3:24" hidden="1">
      <c r="C355" s="7" t="s">
        <v>35</v>
      </c>
      <c r="D355" s="7" t="s">
        <v>36</v>
      </c>
      <c r="E355" s="7" t="s">
        <v>37</v>
      </c>
      <c r="F355" s="7" t="s">
        <v>38</v>
      </c>
      <c r="G355" s="7" t="s">
        <v>39</v>
      </c>
      <c r="H355" s="15">
        <v>75000000</v>
      </c>
      <c r="I355" s="10" t="s">
        <v>441</v>
      </c>
      <c r="J355" s="7" t="s">
        <v>442</v>
      </c>
      <c r="K355" s="10" t="s">
        <v>288</v>
      </c>
      <c r="L355" s="7" t="s">
        <v>289</v>
      </c>
      <c r="M355" s="7"/>
      <c r="N355" s="7">
        <f>VLOOKUP(J355,[1]Sheet1!$C:$D,2,FALSE)</f>
        <v>2902</v>
      </c>
      <c r="O355" s="7">
        <f>VLOOKUP(J355,[2]Desa!$A:$D,4,FALSE)</f>
        <v>253</v>
      </c>
      <c r="P355" s="7">
        <f>VLOOKUP(J355,[3]Sheet1!$D:$F,3,FALSE)</f>
        <v>23</v>
      </c>
      <c r="Q355" s="7"/>
      <c r="R355" s="7"/>
      <c r="S355" s="12">
        <v>-8.5218018008549006</v>
      </c>
      <c r="T355" s="12">
        <v>116.13442436422</v>
      </c>
      <c r="U355" s="7"/>
      <c r="V355" s="50">
        <f>Table13678[[#This Row],[PAGU SEMULA]]-Table13678[[#This Row],[PAGU ANGGARAN]]</f>
        <v>-75000000</v>
      </c>
      <c r="W355" s="50">
        <f>Table13678[[#This Row],[PAGU SEMULA]]-Table13678[[#This Row],[PAGU ANGGARAN]]</f>
        <v>-75000000</v>
      </c>
      <c r="X355" t="s">
        <v>984</v>
      </c>
    </row>
    <row r="356" spans="3:24" hidden="1">
      <c r="C356" s="7" t="s">
        <v>35</v>
      </c>
      <c r="D356" s="7" t="s">
        <v>156</v>
      </c>
      <c r="E356" s="7" t="s">
        <v>252</v>
      </c>
      <c r="F356" s="7" t="s">
        <v>253</v>
      </c>
      <c r="G356" s="7" t="s">
        <v>443</v>
      </c>
      <c r="H356" s="15">
        <v>10000000</v>
      </c>
      <c r="I356" s="10" t="s">
        <v>441</v>
      </c>
      <c r="J356" s="7" t="s">
        <v>442</v>
      </c>
      <c r="K356" s="10" t="s">
        <v>288</v>
      </c>
      <c r="L356" s="7" t="s">
        <v>289</v>
      </c>
      <c r="M356" s="7"/>
      <c r="N356" s="7">
        <f>VLOOKUP(J356,[1]Sheet1!$C:$D,2,FALSE)</f>
        <v>2902</v>
      </c>
      <c r="O356" s="7">
        <f>VLOOKUP(J356,[2]Desa!$A:$D,4,FALSE)</f>
        <v>253</v>
      </c>
      <c r="P356" s="7">
        <f>VLOOKUP(J356,[3]Sheet1!$D:$F,3,FALSE)</f>
        <v>23</v>
      </c>
      <c r="Q356" s="7"/>
      <c r="R356" s="7"/>
      <c r="S356" s="12">
        <v>-8.5218018008549006</v>
      </c>
      <c r="T356" s="12">
        <v>116.13442436422</v>
      </c>
      <c r="U356" s="7"/>
      <c r="V356" s="50">
        <f>Table13678[[#This Row],[PAGU SEMULA]]-Table13678[[#This Row],[PAGU ANGGARAN]]</f>
        <v>-10000000</v>
      </c>
      <c r="W356" s="50">
        <f>Table13678[[#This Row],[PAGU SEMULA]]-Table13678[[#This Row],[PAGU ANGGARAN]]</f>
        <v>-10000000</v>
      </c>
      <c r="X356" t="s">
        <v>986</v>
      </c>
    </row>
    <row r="357" spans="3:24" hidden="1">
      <c r="C357" s="7" t="s">
        <v>35</v>
      </c>
      <c r="D357" s="7" t="s">
        <v>156</v>
      </c>
      <c r="E357" s="7" t="s">
        <v>252</v>
      </c>
      <c r="F357" s="7" t="s">
        <v>253</v>
      </c>
      <c r="G357" s="7" t="s">
        <v>444</v>
      </c>
      <c r="H357" s="15">
        <v>10000000</v>
      </c>
      <c r="I357" s="10" t="s">
        <v>441</v>
      </c>
      <c r="J357" s="7" t="s">
        <v>442</v>
      </c>
      <c r="K357" s="10" t="s">
        <v>288</v>
      </c>
      <c r="L357" s="7" t="s">
        <v>289</v>
      </c>
      <c r="M357" s="7"/>
      <c r="N357" s="7">
        <f>VLOOKUP(J357,[1]Sheet1!$C:$D,2,FALSE)</f>
        <v>2902</v>
      </c>
      <c r="O357" s="7">
        <f>VLOOKUP(J357,[2]Desa!$A:$D,4,FALSE)</f>
        <v>253</v>
      </c>
      <c r="P357" s="7">
        <f>VLOOKUP(J357,[3]Sheet1!$D:$F,3,FALSE)</f>
        <v>23</v>
      </c>
      <c r="Q357" s="7"/>
      <c r="R357" s="7"/>
      <c r="S357" s="12">
        <v>-8.5218018008549006</v>
      </c>
      <c r="T357" s="12">
        <v>116.13442436422</v>
      </c>
      <c r="U357" s="7"/>
      <c r="V357" s="50">
        <f>Table13678[[#This Row],[PAGU SEMULA]]-Table13678[[#This Row],[PAGU ANGGARAN]]</f>
        <v>-10000000</v>
      </c>
      <c r="W357" s="50">
        <f>Table13678[[#This Row],[PAGU SEMULA]]-Table13678[[#This Row],[PAGU ANGGARAN]]</f>
        <v>-10000000</v>
      </c>
      <c r="X357" t="s">
        <v>986</v>
      </c>
    </row>
    <row r="358" spans="3:24" hidden="1">
      <c r="C358" s="7" t="s">
        <v>35</v>
      </c>
      <c r="D358" s="7" t="s">
        <v>156</v>
      </c>
      <c r="E358" s="7" t="s">
        <v>252</v>
      </c>
      <c r="F358" s="7" t="s">
        <v>253</v>
      </c>
      <c r="G358" s="7" t="s">
        <v>445</v>
      </c>
      <c r="H358" s="15">
        <v>305500000</v>
      </c>
      <c r="I358" s="10" t="s">
        <v>441</v>
      </c>
      <c r="J358" s="7" t="s">
        <v>442</v>
      </c>
      <c r="K358" s="10" t="s">
        <v>288</v>
      </c>
      <c r="L358" s="7" t="s">
        <v>289</v>
      </c>
      <c r="M358" s="7"/>
      <c r="N358" s="7">
        <f>VLOOKUP(J358,[1]Sheet1!$C:$D,2,FALSE)</f>
        <v>2902</v>
      </c>
      <c r="O358" s="7">
        <f>VLOOKUP(J358,[2]Desa!$A:$D,4,FALSE)</f>
        <v>253</v>
      </c>
      <c r="P358" s="7">
        <f>VLOOKUP(J358,[3]Sheet1!$D:$F,3,FALSE)</f>
        <v>23</v>
      </c>
      <c r="Q358" s="7"/>
      <c r="R358" s="7"/>
      <c r="S358" s="12">
        <v>-8.5218018008549006</v>
      </c>
      <c r="T358" s="12">
        <v>116.13442436422</v>
      </c>
      <c r="U358" s="7"/>
      <c r="V358" s="50">
        <f>Table13678[[#This Row],[PAGU SEMULA]]-Table13678[[#This Row],[PAGU ANGGARAN]]</f>
        <v>-305500000</v>
      </c>
      <c r="W358" s="50">
        <f>Table13678[[#This Row],[PAGU SEMULA]]-Table13678[[#This Row],[PAGU ANGGARAN]]</f>
        <v>-305500000</v>
      </c>
      <c r="X358" t="s">
        <v>986</v>
      </c>
    </row>
    <row r="359" spans="3:24" hidden="1">
      <c r="C359" s="7" t="s">
        <v>35</v>
      </c>
      <c r="D359" s="7" t="s">
        <v>156</v>
      </c>
      <c r="E359" s="7" t="s">
        <v>157</v>
      </c>
      <c r="F359" s="7" t="s">
        <v>158</v>
      </c>
      <c r="G359" s="7" t="s">
        <v>446</v>
      </c>
      <c r="H359" s="15">
        <v>10000000</v>
      </c>
      <c r="I359" s="10" t="s">
        <v>441</v>
      </c>
      <c r="J359" s="7" t="s">
        <v>442</v>
      </c>
      <c r="K359" s="10" t="s">
        <v>288</v>
      </c>
      <c r="L359" s="7" t="s">
        <v>289</v>
      </c>
      <c r="M359" s="7"/>
      <c r="N359" s="7">
        <f>VLOOKUP(J359,[1]Sheet1!$C:$D,2,FALSE)</f>
        <v>2902</v>
      </c>
      <c r="O359" s="7">
        <f>VLOOKUP(J359,[2]Desa!$A:$D,4,FALSE)</f>
        <v>253</v>
      </c>
      <c r="P359" s="7">
        <f>VLOOKUP(J359,[3]Sheet1!$D:$F,3,FALSE)</f>
        <v>23</v>
      </c>
      <c r="Q359" s="7"/>
      <c r="R359" s="7"/>
      <c r="S359" s="12">
        <v>-8.5218018008549006</v>
      </c>
      <c r="T359" s="12">
        <v>116.13442436422</v>
      </c>
      <c r="U359" s="7"/>
      <c r="V359" s="50">
        <f>Table13678[[#This Row],[PAGU SEMULA]]-Table13678[[#This Row],[PAGU ANGGARAN]]</f>
        <v>-10000000</v>
      </c>
      <c r="W359" s="50">
        <f>Table13678[[#This Row],[PAGU SEMULA]]-Table13678[[#This Row],[PAGU ANGGARAN]]</f>
        <v>-10000000</v>
      </c>
      <c r="X359" t="s">
        <v>986</v>
      </c>
    </row>
    <row r="360" spans="3:24" hidden="1">
      <c r="C360" s="7" t="s">
        <v>35</v>
      </c>
      <c r="D360" s="7" t="s">
        <v>156</v>
      </c>
      <c r="E360" s="7" t="s">
        <v>157</v>
      </c>
      <c r="F360" s="7" t="s">
        <v>158</v>
      </c>
      <c r="G360" s="7" t="s">
        <v>447</v>
      </c>
      <c r="H360" s="15">
        <v>10000000</v>
      </c>
      <c r="I360" s="10" t="s">
        <v>441</v>
      </c>
      <c r="J360" s="7" t="s">
        <v>442</v>
      </c>
      <c r="K360" s="10" t="s">
        <v>288</v>
      </c>
      <c r="L360" s="7" t="s">
        <v>289</v>
      </c>
      <c r="M360" s="7"/>
      <c r="N360" s="7">
        <f>VLOOKUP(J360,[1]Sheet1!$C:$D,2,FALSE)</f>
        <v>2902</v>
      </c>
      <c r="O360" s="7">
        <f>VLOOKUP(J360,[2]Desa!$A:$D,4,FALSE)</f>
        <v>253</v>
      </c>
      <c r="P360" s="7">
        <f>VLOOKUP(J360,[3]Sheet1!$D:$F,3,FALSE)</f>
        <v>23</v>
      </c>
      <c r="Q360" s="7"/>
      <c r="R360" s="7"/>
      <c r="S360" s="12">
        <v>-8.5218018008549006</v>
      </c>
      <c r="T360" s="12">
        <v>116.13442436422</v>
      </c>
      <c r="U360" s="7"/>
      <c r="V360" s="50">
        <f>Table13678[[#This Row],[PAGU SEMULA]]-Table13678[[#This Row],[PAGU ANGGARAN]]</f>
        <v>-10000000</v>
      </c>
      <c r="W360" s="50">
        <f>Table13678[[#This Row],[PAGU SEMULA]]-Table13678[[#This Row],[PAGU ANGGARAN]]</f>
        <v>-10000000</v>
      </c>
      <c r="X360" t="s">
        <v>986</v>
      </c>
    </row>
    <row r="361" spans="3:24" hidden="1">
      <c r="C361" s="7" t="s">
        <v>35</v>
      </c>
      <c r="D361" s="7" t="s">
        <v>156</v>
      </c>
      <c r="E361" s="7" t="s">
        <v>157</v>
      </c>
      <c r="F361" s="7" t="s">
        <v>158</v>
      </c>
      <c r="G361" s="7" t="s">
        <v>448</v>
      </c>
      <c r="H361" s="15">
        <v>305500000</v>
      </c>
      <c r="I361" s="10" t="s">
        <v>441</v>
      </c>
      <c r="J361" s="7" t="s">
        <v>442</v>
      </c>
      <c r="K361" s="10" t="s">
        <v>288</v>
      </c>
      <c r="L361" s="7" t="s">
        <v>289</v>
      </c>
      <c r="M361" s="7"/>
      <c r="N361" s="7">
        <f>VLOOKUP(J361,[1]Sheet1!$C:$D,2,FALSE)</f>
        <v>2902</v>
      </c>
      <c r="O361" s="7">
        <f>VLOOKUP(J361,[2]Desa!$A:$D,4,FALSE)</f>
        <v>253</v>
      </c>
      <c r="P361" s="7">
        <f>VLOOKUP(J361,[3]Sheet1!$D:$F,3,FALSE)</f>
        <v>23</v>
      </c>
      <c r="Q361" s="7"/>
      <c r="R361" s="7"/>
      <c r="S361" s="12">
        <v>-8.5218018008549006</v>
      </c>
      <c r="T361" s="12">
        <v>116.13442436422</v>
      </c>
      <c r="U361" s="7"/>
      <c r="V361" s="50">
        <f>Table13678[[#This Row],[PAGU SEMULA]]-Table13678[[#This Row],[PAGU ANGGARAN]]</f>
        <v>-305500000</v>
      </c>
      <c r="W361" s="50">
        <f>Table13678[[#This Row],[PAGU SEMULA]]-Table13678[[#This Row],[PAGU ANGGARAN]]</f>
        <v>-305500000</v>
      </c>
      <c r="X361" t="s">
        <v>986</v>
      </c>
    </row>
    <row r="362" spans="3:24" hidden="1">
      <c r="C362" s="7" t="s">
        <v>68</v>
      </c>
      <c r="D362" s="7" t="s">
        <v>277</v>
      </c>
      <c r="E362" s="7" t="s">
        <v>278</v>
      </c>
      <c r="F362" s="7" t="s">
        <v>279</v>
      </c>
      <c r="G362" s="16" t="s">
        <v>950</v>
      </c>
      <c r="H362" s="8">
        <v>30000000</v>
      </c>
      <c r="I362" s="10" t="s">
        <v>441</v>
      </c>
      <c r="J362" s="7" t="s">
        <v>442</v>
      </c>
      <c r="K362" s="10" t="s">
        <v>288</v>
      </c>
      <c r="L362" s="7" t="s">
        <v>289</v>
      </c>
      <c r="M362" s="7"/>
      <c r="N362" s="7">
        <f>VLOOKUP(J362,[1]Sheet1!$C:$D,2,FALSE)</f>
        <v>2902</v>
      </c>
      <c r="O362" s="7">
        <f>VLOOKUP(J362,[2]Desa!$A:$D,4,FALSE)</f>
        <v>253</v>
      </c>
      <c r="P362" s="7">
        <f>VLOOKUP(J362,[3]Sheet1!$D:$F,3,FALSE)</f>
        <v>23</v>
      </c>
      <c r="Q362" s="7"/>
      <c r="R362" s="7"/>
      <c r="S362" s="12">
        <v>-8.5218018008549006</v>
      </c>
      <c r="T362" s="12">
        <v>116.13442436422</v>
      </c>
      <c r="U362" s="7"/>
      <c r="V362" s="50">
        <f>Table13678[[#This Row],[PAGU SEMULA]]-Table13678[[#This Row],[PAGU ANGGARAN]]</f>
        <v>-30000000</v>
      </c>
      <c r="W362" s="50">
        <f>Table13678[[#This Row],[PAGU SEMULA]]-Table13678[[#This Row],[PAGU ANGGARAN]]</f>
        <v>-30000000</v>
      </c>
      <c r="X362" t="s">
        <v>982</v>
      </c>
    </row>
    <row r="363" spans="3:24" hidden="1">
      <c r="C363" s="7" t="s">
        <v>68</v>
      </c>
      <c r="D363" s="7" t="s">
        <v>69</v>
      </c>
      <c r="E363" s="7" t="s">
        <v>70</v>
      </c>
      <c r="F363" s="7" t="s">
        <v>71</v>
      </c>
      <c r="G363" s="7" t="s">
        <v>72</v>
      </c>
      <c r="H363" s="8">
        <v>29958000</v>
      </c>
      <c r="I363" s="10" t="s">
        <v>441</v>
      </c>
      <c r="J363" s="7" t="s">
        <v>442</v>
      </c>
      <c r="K363" s="10" t="s">
        <v>288</v>
      </c>
      <c r="L363" s="7" t="s">
        <v>289</v>
      </c>
      <c r="M363" s="7"/>
      <c r="N363" s="7">
        <f>VLOOKUP(J363,[1]Sheet1!$C:$D,2,FALSE)</f>
        <v>2902</v>
      </c>
      <c r="O363" s="7">
        <f>VLOOKUP(J363,[2]Desa!$A:$D,4,FALSE)</f>
        <v>253</v>
      </c>
      <c r="P363" s="7">
        <f>VLOOKUP(J363,[3]Sheet1!$D:$F,3,FALSE)</f>
        <v>23</v>
      </c>
      <c r="Q363" s="7"/>
      <c r="R363" s="7"/>
      <c r="S363" s="12">
        <v>-8.5218018008549006</v>
      </c>
      <c r="T363" s="12">
        <v>116.13442436422</v>
      </c>
      <c r="U363" s="7"/>
      <c r="V363" s="50">
        <f>Table13678[[#This Row],[PAGU SEMULA]]-Table13678[[#This Row],[PAGU ANGGARAN]]</f>
        <v>-29958000</v>
      </c>
      <c r="W363" s="50">
        <f>Table13678[[#This Row],[PAGU SEMULA]]-Table13678[[#This Row],[PAGU ANGGARAN]]</f>
        <v>-29958000</v>
      </c>
      <c r="X363" t="s">
        <v>982</v>
      </c>
    </row>
    <row r="364" spans="3:24" hidden="1">
      <c r="C364" s="7" t="s">
        <v>20</v>
      </c>
      <c r="D364" s="7" t="s">
        <v>104</v>
      </c>
      <c r="E364" s="7" t="s">
        <v>105</v>
      </c>
      <c r="F364" s="7" t="s">
        <v>169</v>
      </c>
      <c r="G364" s="71" t="s">
        <v>449</v>
      </c>
      <c r="H364" s="15">
        <v>428645000</v>
      </c>
      <c r="I364" s="10" t="s">
        <v>450</v>
      </c>
      <c r="J364" s="7" t="s">
        <v>451</v>
      </c>
      <c r="K364" s="10" t="s">
        <v>142</v>
      </c>
      <c r="L364" s="7" t="s">
        <v>143</v>
      </c>
      <c r="M364" s="7"/>
      <c r="N364" s="7">
        <f>VLOOKUP(J364,[1]Sheet1!$C:$D,2,FALSE)</f>
        <v>7937</v>
      </c>
      <c r="O364" s="7">
        <f>VLOOKUP(J364,[2]Desa!$A:$D,4,FALSE)</f>
        <v>253</v>
      </c>
      <c r="P364" s="7">
        <f>VLOOKUP(J364,[3]Sheet1!$D:$F,3,FALSE)</f>
        <v>45</v>
      </c>
      <c r="Q364" s="7"/>
      <c r="R364" s="7"/>
      <c r="S364" s="12">
        <v>-8.6401521933286407</v>
      </c>
      <c r="T364" s="12">
        <v>116.13949186607201</v>
      </c>
      <c r="U364" s="7"/>
      <c r="V364" s="50">
        <f>Table13678[[#This Row],[PAGU SEMULA]]-Table13678[[#This Row],[PAGU ANGGARAN]]</f>
        <v>-428645000</v>
      </c>
      <c r="W364" s="50">
        <f>Table13678[[#This Row],[PAGU SEMULA]]-Table13678[[#This Row],[PAGU ANGGARAN]]</f>
        <v>-428645000</v>
      </c>
      <c r="X364" t="s">
        <v>984</v>
      </c>
    </row>
    <row r="365" spans="3:24" hidden="1">
      <c r="C365" s="7" t="s">
        <v>20</v>
      </c>
      <c r="D365" s="7" t="s">
        <v>104</v>
      </c>
      <c r="E365" s="7" t="s">
        <v>105</v>
      </c>
      <c r="F365" s="7" t="s">
        <v>106</v>
      </c>
      <c r="G365" s="72" t="s">
        <v>452</v>
      </c>
      <c r="H365" s="20">
        <v>298750000</v>
      </c>
      <c r="I365" s="10" t="s">
        <v>450</v>
      </c>
      <c r="J365" s="7" t="s">
        <v>451</v>
      </c>
      <c r="K365" s="10" t="s">
        <v>142</v>
      </c>
      <c r="L365" s="7" t="s">
        <v>143</v>
      </c>
      <c r="M365" s="7"/>
      <c r="N365" s="7">
        <f>VLOOKUP(J365,[1]Sheet1!$C:$D,2,FALSE)</f>
        <v>7937</v>
      </c>
      <c r="O365" s="7">
        <f>VLOOKUP(J365,[2]Desa!$A:$D,4,FALSE)</f>
        <v>253</v>
      </c>
      <c r="P365" s="7">
        <f>VLOOKUP(J365,[3]Sheet1!$D:$F,3,FALSE)</f>
        <v>45</v>
      </c>
      <c r="Q365" s="7"/>
      <c r="R365" s="7"/>
      <c r="S365" s="12">
        <v>-8.6401521933286407</v>
      </c>
      <c r="T365" s="12">
        <v>116.13949186607201</v>
      </c>
      <c r="U365" s="7"/>
      <c r="V365" s="50">
        <f>Table13678[[#This Row],[PAGU SEMULA]]-Table13678[[#This Row],[PAGU ANGGARAN]]</f>
        <v>-298750000</v>
      </c>
      <c r="W365" s="50">
        <f>Table13678[[#This Row],[PAGU SEMULA]]-Table13678[[#This Row],[PAGU ANGGARAN]]</f>
        <v>-298750000</v>
      </c>
      <c r="X365" t="s">
        <v>984</v>
      </c>
    </row>
    <row r="366" spans="3:24" hidden="1">
      <c r="C366" s="7" t="s">
        <v>29</v>
      </c>
      <c r="D366" s="7" t="s">
        <v>30</v>
      </c>
      <c r="E366" s="7" t="s">
        <v>31</v>
      </c>
      <c r="F366" s="7" t="s">
        <v>32</v>
      </c>
      <c r="G366" s="7" t="s">
        <v>33</v>
      </c>
      <c r="H366" s="8">
        <v>281400000</v>
      </c>
      <c r="I366" s="10" t="s">
        <v>450</v>
      </c>
      <c r="J366" s="7" t="s">
        <v>451</v>
      </c>
      <c r="K366" s="10" t="s">
        <v>142</v>
      </c>
      <c r="L366" s="7" t="s">
        <v>143</v>
      </c>
      <c r="M366" s="7"/>
      <c r="N366" s="7">
        <f>VLOOKUP(J366,[1]Sheet1!$C:$D,2,FALSE)</f>
        <v>7937</v>
      </c>
      <c r="O366" s="7">
        <f>VLOOKUP(J366,[2]Desa!$A:$D,4,FALSE)</f>
        <v>253</v>
      </c>
      <c r="P366" s="7">
        <f>VLOOKUP(J366,[3]Sheet1!$D:$F,3,FALSE)</f>
        <v>45</v>
      </c>
      <c r="Q366" s="7"/>
      <c r="R366" s="7"/>
      <c r="S366" s="12">
        <v>-8.6401521933286407</v>
      </c>
      <c r="T366" s="12">
        <v>116.13949186607201</v>
      </c>
      <c r="U366" s="7"/>
      <c r="V366" s="50">
        <f>Table13678[[#This Row],[PAGU SEMULA]]-Table13678[[#This Row],[PAGU ANGGARAN]]</f>
        <v>-281400000</v>
      </c>
      <c r="W366" s="50">
        <f>Table13678[[#This Row],[PAGU SEMULA]]-Table13678[[#This Row],[PAGU ANGGARAN]]</f>
        <v>-281400000</v>
      </c>
      <c r="X366" t="s">
        <v>984</v>
      </c>
    </row>
    <row r="367" spans="3:24" hidden="1">
      <c r="C367" s="7" t="s">
        <v>29</v>
      </c>
      <c r="D367" s="7" t="s">
        <v>30</v>
      </c>
      <c r="E367" s="7" t="s">
        <v>31</v>
      </c>
      <c r="F367" s="7" t="s">
        <v>32</v>
      </c>
      <c r="G367" s="7" t="s">
        <v>34</v>
      </c>
      <c r="H367" s="8">
        <v>22512000</v>
      </c>
      <c r="I367" s="10" t="s">
        <v>450</v>
      </c>
      <c r="J367" s="7" t="s">
        <v>451</v>
      </c>
      <c r="K367" s="10" t="s">
        <v>142</v>
      </c>
      <c r="L367" s="7" t="s">
        <v>143</v>
      </c>
      <c r="M367" s="7"/>
      <c r="N367" s="7">
        <f>VLOOKUP(J367,[1]Sheet1!$C:$D,2,FALSE)</f>
        <v>7937</v>
      </c>
      <c r="O367" s="7">
        <f>VLOOKUP(J367,[2]Desa!$A:$D,4,FALSE)</f>
        <v>253</v>
      </c>
      <c r="P367" s="7">
        <f>VLOOKUP(J367,[3]Sheet1!$D:$F,3,FALSE)</f>
        <v>45</v>
      </c>
      <c r="Q367" s="7"/>
      <c r="R367" s="7"/>
      <c r="S367" s="12">
        <v>-8.6401521933286407</v>
      </c>
      <c r="T367" s="12">
        <v>116.13949186607201</v>
      </c>
      <c r="U367" s="7"/>
      <c r="V367" s="50">
        <f>Table13678[[#This Row],[PAGU SEMULA]]-Table13678[[#This Row],[PAGU ANGGARAN]]</f>
        <v>-22512000</v>
      </c>
      <c r="W367" s="50">
        <f>Table13678[[#This Row],[PAGU SEMULA]]-Table13678[[#This Row],[PAGU ANGGARAN]]</f>
        <v>-22512000</v>
      </c>
      <c r="X367" t="s">
        <v>984</v>
      </c>
    </row>
    <row r="368" spans="3:24" hidden="1">
      <c r="C368" s="7" t="s">
        <v>35</v>
      </c>
      <c r="D368" s="7" t="s">
        <v>36</v>
      </c>
      <c r="E368" s="7" t="s">
        <v>37</v>
      </c>
      <c r="F368" s="7" t="s">
        <v>38</v>
      </c>
      <c r="G368" s="7" t="s">
        <v>39</v>
      </c>
      <c r="H368" s="15">
        <v>75000000</v>
      </c>
      <c r="I368" s="10" t="s">
        <v>450</v>
      </c>
      <c r="J368" s="7" t="s">
        <v>451</v>
      </c>
      <c r="K368" s="10" t="s">
        <v>142</v>
      </c>
      <c r="L368" s="7" t="s">
        <v>143</v>
      </c>
      <c r="M368" s="7"/>
      <c r="N368" s="7">
        <f>VLOOKUP(J368,[1]Sheet1!$C:$D,2,FALSE)</f>
        <v>7937</v>
      </c>
      <c r="O368" s="7">
        <f>VLOOKUP(J368,[2]Desa!$A:$D,4,FALSE)</f>
        <v>253</v>
      </c>
      <c r="P368" s="7">
        <f>VLOOKUP(J368,[3]Sheet1!$D:$F,3,FALSE)</f>
        <v>45</v>
      </c>
      <c r="Q368" s="7"/>
      <c r="R368" s="7"/>
      <c r="S368" s="12">
        <v>-8.6401521933286407</v>
      </c>
      <c r="T368" s="12">
        <v>116.13949186607201</v>
      </c>
      <c r="U368" s="7"/>
      <c r="V368" s="50">
        <f>Table13678[[#This Row],[PAGU SEMULA]]-Table13678[[#This Row],[PAGU ANGGARAN]]</f>
        <v>-75000000</v>
      </c>
      <c r="W368" s="50">
        <f>Table13678[[#This Row],[PAGU SEMULA]]-Table13678[[#This Row],[PAGU ANGGARAN]]</f>
        <v>-75000000</v>
      </c>
      <c r="X368" t="s">
        <v>984</v>
      </c>
    </row>
    <row r="369" spans="3:24" hidden="1">
      <c r="C369" s="7" t="s">
        <v>35</v>
      </c>
      <c r="D369" s="7" t="s">
        <v>156</v>
      </c>
      <c r="E369" s="7" t="s">
        <v>157</v>
      </c>
      <c r="F369" s="7" t="s">
        <v>158</v>
      </c>
      <c r="G369" s="7" t="s">
        <v>453</v>
      </c>
      <c r="H369" s="15">
        <v>0</v>
      </c>
      <c r="I369" s="10" t="s">
        <v>450</v>
      </c>
      <c r="J369" s="7" t="s">
        <v>451</v>
      </c>
      <c r="K369" s="10" t="s">
        <v>142</v>
      </c>
      <c r="L369" s="7" t="s">
        <v>143</v>
      </c>
      <c r="M369" s="7"/>
      <c r="N369" s="7">
        <f>VLOOKUP(J369,[1]Sheet1!$C:$D,2,FALSE)</f>
        <v>7937</v>
      </c>
      <c r="O369" s="7">
        <f>VLOOKUP(J369,[2]Desa!$A:$D,4,FALSE)</f>
        <v>253</v>
      </c>
      <c r="P369" s="7">
        <f>VLOOKUP(J369,[3]Sheet1!$D:$F,3,FALSE)</f>
        <v>45</v>
      </c>
      <c r="Q369" s="7"/>
      <c r="R369" s="7"/>
      <c r="S369" s="12">
        <v>-8.6401521933286407</v>
      </c>
      <c r="T369" s="12">
        <v>116.13949186607201</v>
      </c>
      <c r="U369" s="7"/>
      <c r="V369" s="50">
        <f>Table13678[[#This Row],[PAGU SEMULA]]-Table13678[[#This Row],[PAGU ANGGARAN]]</f>
        <v>0</v>
      </c>
      <c r="W369" s="50">
        <f>Table13678[[#This Row],[PAGU SEMULA]]-Table13678[[#This Row],[PAGU ANGGARAN]]</f>
        <v>0</v>
      </c>
      <c r="X369" t="s">
        <v>986</v>
      </c>
    </row>
    <row r="370" spans="3:24" hidden="1">
      <c r="C370" s="7" t="s">
        <v>68</v>
      </c>
      <c r="D370" s="7" t="s">
        <v>69</v>
      </c>
      <c r="E370" s="7" t="s">
        <v>70</v>
      </c>
      <c r="F370" s="7" t="s">
        <v>71</v>
      </c>
      <c r="G370" s="7" t="s">
        <v>72</v>
      </c>
      <c r="H370" s="8">
        <v>98151000</v>
      </c>
      <c r="I370" s="10" t="s">
        <v>450</v>
      </c>
      <c r="J370" s="7" t="s">
        <v>451</v>
      </c>
      <c r="K370" s="10" t="s">
        <v>142</v>
      </c>
      <c r="L370" s="7" t="s">
        <v>143</v>
      </c>
      <c r="M370" s="7"/>
      <c r="N370" s="7">
        <f>VLOOKUP(J370,[1]Sheet1!$C:$D,2,FALSE)</f>
        <v>7937</v>
      </c>
      <c r="O370" s="7">
        <f>VLOOKUP(J370,[2]Desa!$A:$D,4,FALSE)</f>
        <v>253</v>
      </c>
      <c r="P370" s="7">
        <f>VLOOKUP(J370,[3]Sheet1!$D:$F,3,FALSE)</f>
        <v>45</v>
      </c>
      <c r="Q370" s="7"/>
      <c r="R370" s="7"/>
      <c r="S370" s="12">
        <v>-8.6401521933286407</v>
      </c>
      <c r="T370" s="12">
        <v>116.13949186607201</v>
      </c>
      <c r="U370" s="7"/>
      <c r="V370" s="50">
        <f>Table13678[[#This Row],[PAGU SEMULA]]-Table13678[[#This Row],[PAGU ANGGARAN]]</f>
        <v>-98151000</v>
      </c>
      <c r="W370" s="50">
        <f>Table13678[[#This Row],[PAGU SEMULA]]-Table13678[[#This Row],[PAGU ANGGARAN]]</f>
        <v>-98151000</v>
      </c>
      <c r="X370" t="s">
        <v>982</v>
      </c>
    </row>
    <row r="371" spans="3:24" hidden="1">
      <c r="C371" s="7" t="s">
        <v>259</v>
      </c>
      <c r="D371" s="7" t="s">
        <v>260</v>
      </c>
      <c r="E371" s="7" t="s">
        <v>261</v>
      </c>
      <c r="F371" s="7" t="s">
        <v>262</v>
      </c>
      <c r="G371" s="7" t="s">
        <v>263</v>
      </c>
      <c r="H371" s="8">
        <v>200000000</v>
      </c>
      <c r="I371" s="10" t="s">
        <v>450</v>
      </c>
      <c r="J371" s="7" t="s">
        <v>451</v>
      </c>
      <c r="K371" s="10" t="s">
        <v>142</v>
      </c>
      <c r="L371" s="7" t="s">
        <v>143</v>
      </c>
      <c r="M371" s="7"/>
      <c r="N371" s="7">
        <f>VLOOKUP(J371,[1]Sheet1!$C:$D,2,FALSE)</f>
        <v>7937</v>
      </c>
      <c r="O371" s="7">
        <f>VLOOKUP(J371,[2]Desa!$A:$D,4,FALSE)</f>
        <v>253</v>
      </c>
      <c r="P371" s="7">
        <f>VLOOKUP(J371,[3]Sheet1!$D:$F,3,FALSE)</f>
        <v>45</v>
      </c>
      <c r="Q371" s="7"/>
      <c r="R371" s="7"/>
      <c r="S371" s="12">
        <v>-8.6401521933286407</v>
      </c>
      <c r="T371" s="12">
        <v>116.13949186607201</v>
      </c>
      <c r="U371" s="7"/>
      <c r="V371" s="50">
        <f>Table13678[[#This Row],[PAGU SEMULA]]-Table13678[[#This Row],[PAGU ANGGARAN]]</f>
        <v>-200000000</v>
      </c>
      <c r="W371" s="50">
        <f>Table13678[[#This Row],[PAGU SEMULA]]-Table13678[[#This Row],[PAGU ANGGARAN]]</f>
        <v>-200000000</v>
      </c>
      <c r="X371" t="s">
        <v>984</v>
      </c>
    </row>
    <row r="372" spans="3:24" hidden="1">
      <c r="C372" s="7" t="s">
        <v>264</v>
      </c>
      <c r="D372" s="7" t="s">
        <v>61</v>
      </c>
      <c r="E372" s="7" t="s">
        <v>265</v>
      </c>
      <c r="F372" s="7" t="s">
        <v>266</v>
      </c>
      <c r="G372" s="7" t="s">
        <v>267</v>
      </c>
      <c r="H372" s="8">
        <v>40000000</v>
      </c>
      <c r="I372" s="10" t="s">
        <v>450</v>
      </c>
      <c r="J372" s="7" t="s">
        <v>451</v>
      </c>
      <c r="K372" s="10" t="s">
        <v>142</v>
      </c>
      <c r="L372" s="7" t="s">
        <v>143</v>
      </c>
      <c r="M372" s="7"/>
      <c r="N372" s="7">
        <f>VLOOKUP(J372,[1]Sheet1!$C:$D,2,FALSE)</f>
        <v>7937</v>
      </c>
      <c r="O372" s="7">
        <f>VLOOKUP(J372,[2]Desa!$A:$D,4,FALSE)</f>
        <v>253</v>
      </c>
      <c r="P372" s="7">
        <f>VLOOKUP(J372,[3]Sheet1!$D:$F,3,FALSE)</f>
        <v>45</v>
      </c>
      <c r="Q372" s="7"/>
      <c r="R372" s="7"/>
      <c r="S372" s="12">
        <v>-8.6401521933286407</v>
      </c>
      <c r="T372" s="12">
        <v>116.13949186607201</v>
      </c>
      <c r="U372" s="7"/>
      <c r="V372" s="50">
        <f>Table13678[[#This Row],[PAGU SEMULA]]-Table13678[[#This Row],[PAGU ANGGARAN]]</f>
        <v>-40000000</v>
      </c>
      <c r="W372" s="50">
        <f>Table13678[[#This Row],[PAGU SEMULA]]-Table13678[[#This Row],[PAGU ANGGARAN]]</f>
        <v>-40000000</v>
      </c>
      <c r="X372" t="s">
        <v>987</v>
      </c>
    </row>
    <row r="373" spans="3:24" hidden="1">
      <c r="C373" s="7" t="s">
        <v>51</v>
      </c>
      <c r="D373" s="7" t="s">
        <v>52</v>
      </c>
      <c r="E373" s="7" t="s">
        <v>53</v>
      </c>
      <c r="F373" s="7" t="s">
        <v>54</v>
      </c>
      <c r="G373" s="7" t="s">
        <v>73</v>
      </c>
      <c r="H373" s="8">
        <v>189090000</v>
      </c>
      <c r="I373" s="10" t="s">
        <v>450</v>
      </c>
      <c r="J373" s="7" t="s">
        <v>451</v>
      </c>
      <c r="K373" s="10" t="s">
        <v>142</v>
      </c>
      <c r="L373" s="7" t="s">
        <v>143</v>
      </c>
      <c r="M373" s="7"/>
      <c r="N373" s="7">
        <f>VLOOKUP(J373,[1]Sheet1!$C:$D,2,FALSE)</f>
        <v>7937</v>
      </c>
      <c r="O373" s="7">
        <f>VLOOKUP(J373,[2]Desa!$A:$D,4,FALSE)</f>
        <v>253</v>
      </c>
      <c r="P373" s="7">
        <f>VLOOKUP(J373,[3]Sheet1!$D:$F,3,FALSE)</f>
        <v>45</v>
      </c>
      <c r="Q373" s="7"/>
      <c r="R373" s="7"/>
      <c r="S373" s="12">
        <v>-8.6401521933286407</v>
      </c>
      <c r="T373" s="12">
        <v>116.13949186607201</v>
      </c>
      <c r="U373" s="7"/>
      <c r="V373" s="50">
        <f>Table13678[[#This Row],[PAGU SEMULA]]-Table13678[[#This Row],[PAGU ANGGARAN]]</f>
        <v>-189090000</v>
      </c>
      <c r="W373" s="50">
        <f>Table13678[[#This Row],[PAGU SEMULA]]-Table13678[[#This Row],[PAGU ANGGARAN]]</f>
        <v>-189090000</v>
      </c>
      <c r="X373" t="s">
        <v>986</v>
      </c>
    </row>
    <row r="374" spans="3:24" hidden="1">
      <c r="C374" s="7" t="s">
        <v>51</v>
      </c>
      <c r="D374" s="7" t="s">
        <v>52</v>
      </c>
      <c r="E374" s="7" t="s">
        <v>53</v>
      </c>
      <c r="F374" s="7" t="s">
        <v>54</v>
      </c>
      <c r="G374" s="7" t="s">
        <v>73</v>
      </c>
      <c r="H374" s="8">
        <v>189090000</v>
      </c>
      <c r="I374" s="10" t="s">
        <v>450</v>
      </c>
      <c r="J374" s="7" t="s">
        <v>451</v>
      </c>
      <c r="K374" s="10" t="s">
        <v>142</v>
      </c>
      <c r="L374" s="7" t="s">
        <v>143</v>
      </c>
      <c r="M374" s="7"/>
      <c r="N374" s="7">
        <f>VLOOKUP(J374,[1]Sheet1!$C:$D,2,FALSE)</f>
        <v>7937</v>
      </c>
      <c r="O374" s="7">
        <f>VLOOKUP(J374,[2]Desa!$A:$D,4,FALSE)</f>
        <v>253</v>
      </c>
      <c r="P374" s="7">
        <f>VLOOKUP(J374,[3]Sheet1!$D:$F,3,FALSE)</f>
        <v>45</v>
      </c>
      <c r="Q374" s="7"/>
      <c r="R374" s="7"/>
      <c r="S374" s="12">
        <v>-8.6401521933286407</v>
      </c>
      <c r="T374" s="12">
        <v>116.13949186607201</v>
      </c>
      <c r="U374" s="7"/>
      <c r="V374" s="50">
        <f>Table13678[[#This Row],[PAGU SEMULA]]-Table13678[[#This Row],[PAGU ANGGARAN]]</f>
        <v>-189090000</v>
      </c>
      <c r="W374" s="50">
        <f>Table13678[[#This Row],[PAGU SEMULA]]-Table13678[[#This Row],[PAGU ANGGARAN]]</f>
        <v>-189090000</v>
      </c>
      <c r="X374" t="s">
        <v>986</v>
      </c>
    </row>
    <row r="375" spans="3:24" hidden="1">
      <c r="C375" s="7" t="s">
        <v>51</v>
      </c>
      <c r="D375" s="7" t="s">
        <v>52</v>
      </c>
      <c r="E375" s="7" t="s">
        <v>53</v>
      </c>
      <c r="F375" s="7" t="s">
        <v>54</v>
      </c>
      <c r="G375" s="7" t="s">
        <v>73</v>
      </c>
      <c r="H375" s="8">
        <v>94545000</v>
      </c>
      <c r="I375" s="10" t="s">
        <v>450</v>
      </c>
      <c r="J375" s="7" t="s">
        <v>451</v>
      </c>
      <c r="K375" s="10" t="s">
        <v>142</v>
      </c>
      <c r="L375" s="7" t="s">
        <v>143</v>
      </c>
      <c r="M375" s="7"/>
      <c r="N375" s="7">
        <f>VLOOKUP(J375,[1]Sheet1!$C:$D,2,FALSE)</f>
        <v>7937</v>
      </c>
      <c r="O375" s="7">
        <f>VLOOKUP(J375,[2]Desa!$A:$D,4,FALSE)</f>
        <v>253</v>
      </c>
      <c r="P375" s="7">
        <f>VLOOKUP(J375,[3]Sheet1!$D:$F,3,FALSE)</f>
        <v>45</v>
      </c>
      <c r="Q375" s="7"/>
      <c r="R375" s="7"/>
      <c r="S375" s="12">
        <v>-8.6401521933286407</v>
      </c>
      <c r="T375" s="12">
        <v>116.13949186607201</v>
      </c>
      <c r="U375" s="7"/>
      <c r="V375" s="50">
        <f>Table13678[[#This Row],[PAGU SEMULA]]-Table13678[[#This Row],[PAGU ANGGARAN]]</f>
        <v>-94545000</v>
      </c>
      <c r="W375" s="50">
        <f>Table13678[[#This Row],[PAGU SEMULA]]-Table13678[[#This Row],[PAGU ANGGARAN]]</f>
        <v>-94545000</v>
      </c>
      <c r="X375" t="s">
        <v>986</v>
      </c>
    </row>
    <row r="376" spans="3:24" hidden="1">
      <c r="C376" s="7" t="s">
        <v>394</v>
      </c>
      <c r="D376" s="7" t="s">
        <v>89</v>
      </c>
      <c r="E376" s="7" t="s">
        <v>454</v>
      </c>
      <c r="F376" s="7" t="s">
        <v>455</v>
      </c>
      <c r="G376" s="7" t="s">
        <v>456</v>
      </c>
      <c r="H376" s="8">
        <v>132750000</v>
      </c>
      <c r="I376" s="10" t="s">
        <v>450</v>
      </c>
      <c r="J376" s="7" t="s">
        <v>451</v>
      </c>
      <c r="K376" s="10" t="s">
        <v>142</v>
      </c>
      <c r="L376" s="7" t="s">
        <v>143</v>
      </c>
      <c r="M376" s="7"/>
      <c r="N376" s="7">
        <f>VLOOKUP(J376,[1]Sheet1!$C:$D,2,FALSE)</f>
        <v>7937</v>
      </c>
      <c r="O376" s="7">
        <f>VLOOKUP(J376,[2]Desa!$A:$D,4,FALSE)</f>
        <v>253</v>
      </c>
      <c r="P376" s="7">
        <f>VLOOKUP(J376,[3]Sheet1!$D:$F,3,FALSE)</f>
        <v>45</v>
      </c>
      <c r="Q376" s="7"/>
      <c r="R376" s="7"/>
      <c r="S376" s="12">
        <v>-8.6401521933286407</v>
      </c>
      <c r="T376" s="12">
        <v>116.13949186607201</v>
      </c>
      <c r="U376" s="7"/>
      <c r="V376" s="50">
        <f>Table13678[[#This Row],[PAGU SEMULA]]-Table13678[[#This Row],[PAGU ANGGARAN]]</f>
        <v>-132750000</v>
      </c>
      <c r="W376" s="50">
        <f>Table13678[[#This Row],[PAGU SEMULA]]-Table13678[[#This Row],[PAGU ANGGARAN]]</f>
        <v>-132750000</v>
      </c>
      <c r="X376" t="s">
        <v>982</v>
      </c>
    </row>
    <row r="377" spans="3:24" hidden="1">
      <c r="C377" s="7" t="s">
        <v>29</v>
      </c>
      <c r="D377" s="7" t="s">
        <v>30</v>
      </c>
      <c r="E377" s="7" t="s">
        <v>31</v>
      </c>
      <c r="F377" s="7" t="s">
        <v>32</v>
      </c>
      <c r="G377" s="7" t="s">
        <v>33</v>
      </c>
      <c r="H377" s="8">
        <v>244440000</v>
      </c>
      <c r="I377" s="10" t="s">
        <v>457</v>
      </c>
      <c r="J377" s="7" t="s">
        <v>458</v>
      </c>
      <c r="K377" s="10" t="s">
        <v>58</v>
      </c>
      <c r="L377" s="7" t="s">
        <v>59</v>
      </c>
      <c r="M377" s="7"/>
      <c r="N377" s="7">
        <f>VLOOKUP(J377,[1]Sheet1!$C:$D,2,FALSE)</f>
        <v>5100</v>
      </c>
      <c r="O377" s="7">
        <f>VLOOKUP(J377,[2]Desa!$A:$D,4,FALSE)</f>
        <v>199</v>
      </c>
      <c r="P377" s="7">
        <f>VLOOKUP(J377,[3]Sheet1!$D:$F,3,FALSE)</f>
        <v>46</v>
      </c>
      <c r="Q377" s="7"/>
      <c r="R377" s="7"/>
      <c r="S377" s="12">
        <v>-8.5947645330261597</v>
      </c>
      <c r="T377" s="12">
        <v>116.17515157782201</v>
      </c>
      <c r="U377" s="7"/>
      <c r="V377" s="50">
        <f>Table13678[[#This Row],[PAGU SEMULA]]-Table13678[[#This Row],[PAGU ANGGARAN]]</f>
        <v>-244440000</v>
      </c>
      <c r="W377" s="50">
        <f>Table13678[[#This Row],[PAGU SEMULA]]-Table13678[[#This Row],[PAGU ANGGARAN]]</f>
        <v>-244440000</v>
      </c>
      <c r="X377" t="s">
        <v>984</v>
      </c>
    </row>
    <row r="378" spans="3:24" hidden="1">
      <c r="C378" s="7" t="s">
        <v>29</v>
      </c>
      <c r="D378" s="7" t="s">
        <v>30</v>
      </c>
      <c r="E378" s="7" t="s">
        <v>31</v>
      </c>
      <c r="F378" s="7" t="s">
        <v>32</v>
      </c>
      <c r="G378" s="7" t="s">
        <v>34</v>
      </c>
      <c r="H378" s="8">
        <v>19555200</v>
      </c>
      <c r="I378" s="10" t="s">
        <v>457</v>
      </c>
      <c r="J378" s="7" t="s">
        <v>458</v>
      </c>
      <c r="K378" s="10" t="s">
        <v>58</v>
      </c>
      <c r="L378" s="7" t="s">
        <v>59</v>
      </c>
      <c r="M378" s="7"/>
      <c r="N378" s="7">
        <f>VLOOKUP(J378,[1]Sheet1!$C:$D,2,FALSE)</f>
        <v>5100</v>
      </c>
      <c r="O378" s="7">
        <f>VLOOKUP(J378,[2]Desa!$A:$D,4,FALSE)</f>
        <v>199</v>
      </c>
      <c r="P378" s="7">
        <f>VLOOKUP(J378,[3]Sheet1!$D:$F,3,FALSE)</f>
        <v>46</v>
      </c>
      <c r="Q378" s="7"/>
      <c r="R378" s="7"/>
      <c r="S378" s="12">
        <v>-8.5947645330261597</v>
      </c>
      <c r="T378" s="12">
        <v>116.17515157782201</v>
      </c>
      <c r="U378" s="7"/>
      <c r="V378" s="50">
        <f>Table13678[[#This Row],[PAGU SEMULA]]-Table13678[[#This Row],[PAGU ANGGARAN]]</f>
        <v>-19555200</v>
      </c>
      <c r="W378" s="50">
        <f>Table13678[[#This Row],[PAGU SEMULA]]-Table13678[[#This Row],[PAGU ANGGARAN]]</f>
        <v>-19555200</v>
      </c>
      <c r="X378" t="s">
        <v>984</v>
      </c>
    </row>
    <row r="379" spans="3:24" hidden="1">
      <c r="C379" s="7" t="s">
        <v>35</v>
      </c>
      <c r="D379" s="7" t="s">
        <v>36</v>
      </c>
      <c r="E379" s="7" t="s">
        <v>37</v>
      </c>
      <c r="F379" s="7" t="s">
        <v>38</v>
      </c>
      <c r="G379" s="7" t="s">
        <v>39</v>
      </c>
      <c r="H379" s="67">
        <f>75000000+(5.4%*75000000)</f>
        <v>79050000</v>
      </c>
      <c r="I379" s="10" t="s">
        <v>457</v>
      </c>
      <c r="J379" s="7" t="s">
        <v>458</v>
      </c>
      <c r="K379" s="10" t="s">
        <v>58</v>
      </c>
      <c r="L379" s="7" t="s">
        <v>59</v>
      </c>
      <c r="M379" s="7"/>
      <c r="N379" s="7">
        <f>VLOOKUP(J379,[1]Sheet1!$C:$D,2,FALSE)</f>
        <v>5100</v>
      </c>
      <c r="O379" s="7">
        <f>VLOOKUP(J379,[2]Desa!$A:$D,4,FALSE)</f>
        <v>199</v>
      </c>
      <c r="P379" s="7">
        <f>VLOOKUP(J379,[3]Sheet1!$D:$F,3,FALSE)</f>
        <v>46</v>
      </c>
      <c r="Q379" s="7"/>
      <c r="R379" s="7"/>
      <c r="S379" s="12">
        <v>-8.5947645330261597</v>
      </c>
      <c r="T379" s="12">
        <v>116.17515157782201</v>
      </c>
      <c r="U379" s="7"/>
      <c r="V379" s="50">
        <f>Table13678[[#This Row],[PAGU SEMULA]]-Table13678[[#This Row],[PAGU ANGGARAN]]</f>
        <v>-79050000</v>
      </c>
      <c r="W379" s="50">
        <f>Table13678[[#This Row],[PAGU SEMULA]]-Table13678[[#This Row],[PAGU ANGGARAN]]</f>
        <v>-79050000</v>
      </c>
      <c r="X379" t="s">
        <v>984</v>
      </c>
    </row>
    <row r="380" spans="3:24" hidden="1">
      <c r="C380" s="7" t="s">
        <v>35</v>
      </c>
      <c r="D380" s="7" t="s">
        <v>156</v>
      </c>
      <c r="E380" s="7" t="s">
        <v>252</v>
      </c>
      <c r="F380" s="7" t="s">
        <v>253</v>
      </c>
      <c r="G380" s="7" t="s">
        <v>276</v>
      </c>
      <c r="H380" s="60">
        <v>200000000</v>
      </c>
      <c r="I380" s="10" t="s">
        <v>457</v>
      </c>
      <c r="J380" s="7" t="s">
        <v>458</v>
      </c>
      <c r="K380" s="10" t="s">
        <v>58</v>
      </c>
      <c r="L380" s="7" t="s">
        <v>59</v>
      </c>
      <c r="M380" s="7"/>
      <c r="N380" s="7">
        <f>VLOOKUP(J380,[1]Sheet1!$C:$D,2,FALSE)</f>
        <v>5100</v>
      </c>
      <c r="O380" s="7">
        <f>VLOOKUP(J380,[2]Desa!$A:$D,4,FALSE)</f>
        <v>199</v>
      </c>
      <c r="P380" s="7">
        <f>VLOOKUP(J380,[3]Sheet1!$D:$F,3,FALSE)</f>
        <v>46</v>
      </c>
      <c r="Q380" s="7"/>
      <c r="R380" s="7"/>
      <c r="S380" s="12">
        <v>-8.5947645330261597</v>
      </c>
      <c r="T380" s="12">
        <v>116.17515157782201</v>
      </c>
      <c r="U380" s="63">
        <v>207700000</v>
      </c>
      <c r="V380" s="57">
        <f>Table13678[[#This Row],[PAGU SEMULA]]-Table13678[[#This Row],[PAGU ANGGARAN]]</f>
        <v>7700000</v>
      </c>
      <c r="W380" s="50">
        <f>Table13678[[#This Row],[PAGU SEMULA]]-Table13678[[#This Row],[PAGU ANGGARAN]]</f>
        <v>7700000</v>
      </c>
      <c r="X380" t="s">
        <v>986</v>
      </c>
    </row>
    <row r="381" spans="3:24" hidden="1">
      <c r="C381" s="7" t="s">
        <v>35</v>
      </c>
      <c r="D381" s="7" t="s">
        <v>52</v>
      </c>
      <c r="E381" s="7" t="s">
        <v>95</v>
      </c>
      <c r="F381" s="7" t="s">
        <v>96</v>
      </c>
      <c r="G381" s="7" t="s">
        <v>459</v>
      </c>
      <c r="H381" s="60">
        <v>200000000</v>
      </c>
      <c r="I381" s="10" t="s">
        <v>457</v>
      </c>
      <c r="J381" s="7" t="s">
        <v>458</v>
      </c>
      <c r="K381" s="10" t="s">
        <v>58</v>
      </c>
      <c r="L381" s="7" t="s">
        <v>59</v>
      </c>
      <c r="M381" s="7"/>
      <c r="N381" s="7">
        <f>VLOOKUP(J381,[1]Sheet1!$C:$D,2,FALSE)</f>
        <v>5100</v>
      </c>
      <c r="O381" s="7">
        <f>VLOOKUP(J381,[2]Desa!$A:$D,4,FALSE)</f>
        <v>199</v>
      </c>
      <c r="P381" s="7">
        <f>VLOOKUP(J381,[3]Sheet1!$D:$F,3,FALSE)</f>
        <v>46</v>
      </c>
      <c r="Q381" s="7"/>
      <c r="R381" s="7"/>
      <c r="S381" s="12">
        <v>-8.5947645330261597</v>
      </c>
      <c r="T381" s="12">
        <v>116.17515157782201</v>
      </c>
      <c r="U381" s="63">
        <v>203000000</v>
      </c>
      <c r="V381" s="57">
        <f>Table13678[[#This Row],[PAGU SEMULA]]-Table13678[[#This Row],[PAGU ANGGARAN]]</f>
        <v>3000000</v>
      </c>
      <c r="W381" s="50">
        <f>Table13678[[#This Row],[PAGU SEMULA]]-Table13678[[#This Row],[PAGU ANGGARAN]]</f>
        <v>3000000</v>
      </c>
      <c r="X381" t="s">
        <v>986</v>
      </c>
    </row>
    <row r="382" spans="3:24" hidden="1">
      <c r="C382" s="7" t="s">
        <v>35</v>
      </c>
      <c r="D382" s="7" t="s">
        <v>65</v>
      </c>
      <c r="E382" s="7" t="s">
        <v>66</v>
      </c>
      <c r="F382" s="7" t="s">
        <v>322</v>
      </c>
      <c r="G382" s="7" t="s">
        <v>322</v>
      </c>
      <c r="H382" s="15">
        <v>68302000</v>
      </c>
      <c r="I382" s="10" t="s">
        <v>457</v>
      </c>
      <c r="J382" s="7" t="s">
        <v>458</v>
      </c>
      <c r="K382" s="10" t="s">
        <v>58</v>
      </c>
      <c r="L382" s="7" t="s">
        <v>59</v>
      </c>
      <c r="M382" s="7"/>
      <c r="N382" s="7">
        <f>VLOOKUP(J382,[1]Sheet1!$C:$D,2,FALSE)</f>
        <v>5100</v>
      </c>
      <c r="O382" s="7">
        <f>VLOOKUP(J382,[2]Desa!$A:$D,4,FALSE)</f>
        <v>199</v>
      </c>
      <c r="P382" s="7">
        <f>VLOOKUP(J382,[3]Sheet1!$D:$F,3,FALSE)</f>
        <v>46</v>
      </c>
      <c r="Q382" s="7"/>
      <c r="R382" s="7"/>
      <c r="S382" s="12">
        <v>-8.5947645330261597</v>
      </c>
      <c r="T382" s="12">
        <v>116.17515157782201</v>
      </c>
      <c r="U382" s="7"/>
      <c r="V382" s="50">
        <f>Table13678[[#This Row],[PAGU SEMULA]]-Table13678[[#This Row],[PAGU ANGGARAN]]</f>
        <v>-68302000</v>
      </c>
      <c r="W382" s="50">
        <f>Table13678[[#This Row],[PAGU SEMULA]]-Table13678[[#This Row],[PAGU ANGGARAN]]</f>
        <v>-68302000</v>
      </c>
      <c r="X382" t="s">
        <v>986</v>
      </c>
    </row>
    <row r="383" spans="3:24" hidden="1">
      <c r="C383" s="7" t="s">
        <v>51</v>
      </c>
      <c r="D383" s="7" t="s">
        <v>52</v>
      </c>
      <c r="E383" s="7" t="s">
        <v>53</v>
      </c>
      <c r="F383" s="7" t="s">
        <v>54</v>
      </c>
      <c r="G383" s="7" t="s">
        <v>73</v>
      </c>
      <c r="H383" s="8">
        <v>94545000</v>
      </c>
      <c r="I383" s="10" t="s">
        <v>457</v>
      </c>
      <c r="J383" s="7" t="s">
        <v>458</v>
      </c>
      <c r="K383" s="10" t="s">
        <v>58</v>
      </c>
      <c r="L383" s="7" t="s">
        <v>59</v>
      </c>
      <c r="M383" s="7"/>
      <c r="N383" s="7">
        <f>VLOOKUP(J383,[1]Sheet1!$C:$D,2,FALSE)</f>
        <v>5100</v>
      </c>
      <c r="O383" s="7">
        <f>VLOOKUP(J383,[2]Desa!$A:$D,4,FALSE)</f>
        <v>199</v>
      </c>
      <c r="P383" s="7">
        <f>VLOOKUP(J383,[3]Sheet1!$D:$F,3,FALSE)</f>
        <v>46</v>
      </c>
      <c r="Q383" s="7"/>
      <c r="R383" s="7"/>
      <c r="S383" s="12">
        <v>-8.5947645330261597</v>
      </c>
      <c r="T383" s="12">
        <v>116.17515157782201</v>
      </c>
      <c r="U383" s="7"/>
      <c r="V383" s="50">
        <f>Table13678[[#This Row],[PAGU SEMULA]]-Table13678[[#This Row],[PAGU ANGGARAN]]</f>
        <v>-94545000</v>
      </c>
      <c r="W383" s="50">
        <f>Table13678[[#This Row],[PAGU SEMULA]]-Table13678[[#This Row],[PAGU ANGGARAN]]</f>
        <v>-94545000</v>
      </c>
      <c r="X383" t="s">
        <v>986</v>
      </c>
    </row>
    <row r="384" spans="3:24" hidden="1">
      <c r="C384" s="29" t="s">
        <v>962</v>
      </c>
      <c r="D384" s="29"/>
      <c r="E384" s="29"/>
      <c r="F384" s="29"/>
      <c r="G384" s="7" t="s">
        <v>39</v>
      </c>
      <c r="H384" s="8">
        <v>100000000</v>
      </c>
      <c r="I384" s="10" t="s">
        <v>457</v>
      </c>
      <c r="J384" s="7" t="s">
        <v>458</v>
      </c>
      <c r="K384" s="10" t="s">
        <v>58</v>
      </c>
      <c r="L384" s="7" t="s">
        <v>59</v>
      </c>
      <c r="M384" s="29"/>
      <c r="N384" s="29">
        <f>VLOOKUP(J384,[1]Sheet1!$C:$D,2,FALSE)</f>
        <v>5100</v>
      </c>
      <c r="O384" s="29">
        <f>VLOOKUP(J384,[2]Desa!$A:$D,4,FALSE)</f>
        <v>199</v>
      </c>
      <c r="P384" s="29">
        <f>VLOOKUP(J384,[3]Sheet1!$D:$F,3,FALSE)</f>
        <v>46</v>
      </c>
      <c r="Q384" s="29"/>
      <c r="R384" s="35"/>
      <c r="S384" s="36"/>
      <c r="T384" s="32"/>
      <c r="U384" s="25">
        <v>0</v>
      </c>
      <c r="V384" s="54">
        <f>Table13678[[#This Row],[PAGU SEMULA]]-Table13678[[#This Row],[PAGU ANGGARAN]]</f>
        <v>-100000000</v>
      </c>
      <c r="W384" s="54">
        <f>Table13678[[#This Row],[PAGU SEMULA]]-Table13678[[#This Row],[PAGU ANGGARAN]]</f>
        <v>-100000000</v>
      </c>
      <c r="X384" s="70" t="s">
        <v>984</v>
      </c>
    </row>
    <row r="385" spans="1:24" hidden="1">
      <c r="C385" s="7" t="s">
        <v>394</v>
      </c>
      <c r="D385" s="7" t="s">
        <v>89</v>
      </c>
      <c r="E385" s="7" t="s">
        <v>454</v>
      </c>
      <c r="F385" s="7" t="s">
        <v>460</v>
      </c>
      <c r="G385" s="7" t="s">
        <v>461</v>
      </c>
      <c r="H385" s="79">
        <v>0</v>
      </c>
      <c r="I385" s="10" t="s">
        <v>457</v>
      </c>
      <c r="J385" s="7" t="s">
        <v>458</v>
      </c>
      <c r="K385" s="10" t="s">
        <v>58</v>
      </c>
      <c r="L385" s="7" t="s">
        <v>59</v>
      </c>
      <c r="M385" s="7"/>
      <c r="N385" s="7">
        <f>VLOOKUP(J385,[1]Sheet1!$C:$D,2,FALSE)</f>
        <v>5100</v>
      </c>
      <c r="O385" s="7">
        <f>VLOOKUP(J385,[2]Desa!$A:$D,4,FALSE)</f>
        <v>199</v>
      </c>
      <c r="P385" s="7">
        <f>VLOOKUP(J385,[3]Sheet1!$D:$F,3,FALSE)</f>
        <v>46</v>
      </c>
      <c r="Q385" s="7"/>
      <c r="R385" s="7"/>
      <c r="S385" s="12">
        <v>-8.5947645330261597</v>
      </c>
      <c r="T385" s="12">
        <v>116.17515157782201</v>
      </c>
      <c r="U385" s="7"/>
      <c r="V385" s="50">
        <f>Table13678[[#This Row],[PAGU SEMULA]]-Table13678[[#This Row],[PAGU ANGGARAN]]</f>
        <v>0</v>
      </c>
      <c r="W385" s="50">
        <f>Table13678[[#This Row],[PAGU SEMULA]]-Table13678[[#This Row],[PAGU ANGGARAN]]</f>
        <v>0</v>
      </c>
      <c r="X385" t="s">
        <v>982</v>
      </c>
    </row>
    <row r="386" spans="1:24" hidden="1">
      <c r="C386" s="7" t="s">
        <v>60</v>
      </c>
      <c r="D386" s="7" t="s">
        <v>61</v>
      </c>
      <c r="E386" s="7" t="s">
        <v>62</v>
      </c>
      <c r="F386" s="7" t="s">
        <v>63</v>
      </c>
      <c r="G386" s="71" t="s">
        <v>64</v>
      </c>
      <c r="H386" s="15">
        <v>0</v>
      </c>
      <c r="I386" s="10" t="s">
        <v>462</v>
      </c>
      <c r="J386" s="7" t="s">
        <v>463</v>
      </c>
      <c r="K386" s="10" t="s">
        <v>27</v>
      </c>
      <c r="L386" s="7" t="s">
        <v>28</v>
      </c>
      <c r="M386" s="7"/>
      <c r="N386" s="7">
        <f>VLOOKUP(J386,[1]Sheet1!$C:$D,2,FALSE)</f>
        <v>8911</v>
      </c>
      <c r="O386" s="7">
        <f>VLOOKUP(J386,[2]Desa!$A:$D,4,FALSE)</f>
        <v>177</v>
      </c>
      <c r="P386" s="7">
        <f>VLOOKUP(J386,[3]Sheet1!$D:$F,3,FALSE)</f>
        <v>42</v>
      </c>
      <c r="Q386" s="7"/>
      <c r="R386" s="7"/>
      <c r="S386" s="12">
        <v>-8.68854242854799</v>
      </c>
      <c r="T386" s="12">
        <v>116.124508363681</v>
      </c>
      <c r="U386" s="7"/>
      <c r="V386" s="50">
        <f>Table13678[[#This Row],[PAGU SEMULA]]-Table13678[[#This Row],[PAGU ANGGARAN]]</f>
        <v>0</v>
      </c>
      <c r="W386" s="50">
        <f>Table13678[[#This Row],[PAGU SEMULA]]-Table13678[[#This Row],[PAGU ANGGARAN]]</f>
        <v>0</v>
      </c>
      <c r="X386" t="s">
        <v>987</v>
      </c>
    </row>
    <row r="387" spans="1:24" hidden="1">
      <c r="C387" s="7" t="s">
        <v>35</v>
      </c>
      <c r="D387" s="7" t="s">
        <v>36</v>
      </c>
      <c r="E387" s="7" t="s">
        <v>37</v>
      </c>
      <c r="F387" s="7" t="s">
        <v>38</v>
      </c>
      <c r="G387" s="7" t="s">
        <v>39</v>
      </c>
      <c r="H387" s="15">
        <v>75000000</v>
      </c>
      <c r="I387" s="10" t="s">
        <v>462</v>
      </c>
      <c r="J387" s="7" t="s">
        <v>463</v>
      </c>
      <c r="K387" s="10" t="s">
        <v>27</v>
      </c>
      <c r="L387" s="7" t="s">
        <v>28</v>
      </c>
      <c r="M387" s="7"/>
      <c r="N387" s="7">
        <f>VLOOKUP(J387,[1]Sheet1!$C:$D,2,FALSE)</f>
        <v>8911</v>
      </c>
      <c r="O387" s="7">
        <f>VLOOKUP(J387,[2]Desa!$A:$D,4,FALSE)</f>
        <v>177</v>
      </c>
      <c r="P387" s="7">
        <f>VLOOKUP(J387,[3]Sheet1!$D:$F,3,FALSE)</f>
        <v>42</v>
      </c>
      <c r="Q387" s="7"/>
      <c r="R387" s="7"/>
      <c r="S387" s="12">
        <v>-8.68854242854799</v>
      </c>
      <c r="T387" s="12">
        <v>116.124508363681</v>
      </c>
      <c r="U387" s="7"/>
      <c r="V387" s="50">
        <f>Table13678[[#This Row],[PAGU SEMULA]]-Table13678[[#This Row],[PAGU ANGGARAN]]</f>
        <v>-75000000</v>
      </c>
      <c r="W387" s="50">
        <f>Table13678[[#This Row],[PAGU SEMULA]]-Table13678[[#This Row],[PAGU ANGGARAN]]</f>
        <v>-75000000</v>
      </c>
      <c r="X387" t="s">
        <v>984</v>
      </c>
    </row>
    <row r="388" spans="1:24" hidden="1">
      <c r="C388" s="7" t="s">
        <v>35</v>
      </c>
      <c r="D388" s="7" t="s">
        <v>36</v>
      </c>
      <c r="E388" s="7" t="s">
        <v>37</v>
      </c>
      <c r="F388" s="7" t="s">
        <v>40</v>
      </c>
      <c r="G388" s="7" t="s">
        <v>464</v>
      </c>
      <c r="H388" s="15">
        <v>45000000</v>
      </c>
      <c r="I388" s="10" t="s">
        <v>462</v>
      </c>
      <c r="J388" s="7" t="s">
        <v>463</v>
      </c>
      <c r="K388" s="10" t="s">
        <v>27</v>
      </c>
      <c r="L388" s="7" t="s">
        <v>28</v>
      </c>
      <c r="M388" s="7"/>
      <c r="N388" s="7">
        <f>VLOOKUP(J388,[1]Sheet1!$C:$D,2,FALSE)</f>
        <v>8911</v>
      </c>
      <c r="O388" s="7">
        <f>VLOOKUP(J388,[2]Desa!$A:$D,4,FALSE)</f>
        <v>177</v>
      </c>
      <c r="P388" s="7">
        <f>VLOOKUP(J388,[3]Sheet1!$D:$F,3,FALSE)</f>
        <v>42</v>
      </c>
      <c r="Q388" s="7"/>
      <c r="R388" s="7"/>
      <c r="S388" s="12">
        <v>-8.68854242854799</v>
      </c>
      <c r="T388" s="12">
        <v>116.124508363681</v>
      </c>
      <c r="U388" s="7"/>
      <c r="V388" s="50">
        <f>Table13678[[#This Row],[PAGU SEMULA]]-Table13678[[#This Row],[PAGU ANGGARAN]]</f>
        <v>-45000000</v>
      </c>
      <c r="W388" s="50">
        <f>Table13678[[#This Row],[PAGU SEMULA]]-Table13678[[#This Row],[PAGU ANGGARAN]]</f>
        <v>-45000000</v>
      </c>
      <c r="X388" t="s">
        <v>986</v>
      </c>
    </row>
    <row r="389" spans="1:24" hidden="1">
      <c r="C389" s="7" t="s">
        <v>35</v>
      </c>
      <c r="D389" s="7" t="s">
        <v>255</v>
      </c>
      <c r="E389" s="7" t="s">
        <v>256</v>
      </c>
      <c r="F389" s="7" t="s">
        <v>257</v>
      </c>
      <c r="G389" s="7" t="s">
        <v>465</v>
      </c>
      <c r="H389" s="15">
        <v>1000000000</v>
      </c>
      <c r="I389" s="10" t="s">
        <v>462</v>
      </c>
      <c r="J389" s="7" t="s">
        <v>463</v>
      </c>
      <c r="K389" s="10" t="s">
        <v>27</v>
      </c>
      <c r="L389" s="7" t="s">
        <v>28</v>
      </c>
      <c r="M389" s="7"/>
      <c r="N389" s="7">
        <f>VLOOKUP(J389,[1]Sheet1!$C:$D,2,FALSE)</f>
        <v>8911</v>
      </c>
      <c r="O389" s="7">
        <f>VLOOKUP(J389,[2]Desa!$A:$D,4,FALSE)</f>
        <v>177</v>
      </c>
      <c r="P389" s="7">
        <f>VLOOKUP(J389,[3]Sheet1!$D:$F,3,FALSE)</f>
        <v>42</v>
      </c>
      <c r="Q389" s="7"/>
      <c r="R389" s="7"/>
      <c r="S389" s="12">
        <v>-8.68854242854799</v>
      </c>
      <c r="T389" s="12">
        <v>116.124508363681</v>
      </c>
      <c r="U389" s="7"/>
      <c r="V389" s="50">
        <f>Table13678[[#This Row],[PAGU SEMULA]]-Table13678[[#This Row],[PAGU ANGGARAN]]</f>
        <v>-1000000000</v>
      </c>
      <c r="W389" s="50">
        <f>Table13678[[#This Row],[PAGU SEMULA]]-Table13678[[#This Row],[PAGU ANGGARAN]]</f>
        <v>-1000000000</v>
      </c>
      <c r="X389" t="s">
        <v>986</v>
      </c>
    </row>
    <row r="390" spans="1:24" hidden="1">
      <c r="C390" s="7" t="s">
        <v>35</v>
      </c>
      <c r="D390" s="7" t="s">
        <v>255</v>
      </c>
      <c r="E390" s="7" t="s">
        <v>256</v>
      </c>
      <c r="F390" s="7" t="s">
        <v>257</v>
      </c>
      <c r="G390" s="7" t="s">
        <v>466</v>
      </c>
      <c r="H390" s="15">
        <v>2700000000</v>
      </c>
      <c r="I390" s="10" t="s">
        <v>462</v>
      </c>
      <c r="J390" s="7" t="s">
        <v>463</v>
      </c>
      <c r="K390" s="10" t="s">
        <v>27</v>
      </c>
      <c r="L390" s="7" t="s">
        <v>28</v>
      </c>
      <c r="M390" s="7"/>
      <c r="N390" s="7">
        <f>VLOOKUP(J390,[1]Sheet1!$C:$D,2,FALSE)</f>
        <v>8911</v>
      </c>
      <c r="O390" s="7">
        <f>VLOOKUP(J390,[2]Desa!$A:$D,4,FALSE)</f>
        <v>177</v>
      </c>
      <c r="P390" s="7">
        <f>VLOOKUP(J390,[3]Sheet1!$D:$F,3,FALSE)</f>
        <v>42</v>
      </c>
      <c r="Q390" s="7"/>
      <c r="R390" s="7"/>
      <c r="S390" s="12">
        <v>-8.68854242854799</v>
      </c>
      <c r="T390" s="12">
        <v>116.124508363681</v>
      </c>
      <c r="U390" s="7"/>
      <c r="V390" s="50">
        <f>Table13678[[#This Row],[PAGU SEMULA]]-Table13678[[#This Row],[PAGU ANGGARAN]]</f>
        <v>-2700000000</v>
      </c>
      <c r="W390" s="50">
        <f>Table13678[[#This Row],[PAGU SEMULA]]-Table13678[[#This Row],[PAGU ANGGARAN]]</f>
        <v>-2700000000</v>
      </c>
      <c r="X390" t="s">
        <v>986</v>
      </c>
    </row>
    <row r="391" spans="1:24" hidden="1">
      <c r="C391" s="7" t="s">
        <v>35</v>
      </c>
      <c r="D391" s="7" t="s">
        <v>65</v>
      </c>
      <c r="E391" s="7" t="s">
        <v>66</v>
      </c>
      <c r="F391" s="7" t="s">
        <v>322</v>
      </c>
      <c r="G391" s="7" t="s">
        <v>322</v>
      </c>
      <c r="H391" s="15">
        <v>34151000</v>
      </c>
      <c r="I391" s="10" t="s">
        <v>462</v>
      </c>
      <c r="J391" s="7" t="s">
        <v>463</v>
      </c>
      <c r="K391" s="10" t="s">
        <v>27</v>
      </c>
      <c r="L391" s="7" t="s">
        <v>28</v>
      </c>
      <c r="M391" s="7"/>
      <c r="N391" s="7">
        <f>VLOOKUP(J391,[1]Sheet1!$C:$D,2,FALSE)</f>
        <v>8911</v>
      </c>
      <c r="O391" s="7">
        <f>VLOOKUP(J391,[2]Desa!$A:$D,4,FALSE)</f>
        <v>177</v>
      </c>
      <c r="P391" s="7">
        <f>VLOOKUP(J391,[3]Sheet1!$D:$F,3,FALSE)</f>
        <v>42</v>
      </c>
      <c r="Q391" s="7"/>
      <c r="R391" s="7"/>
      <c r="S391" s="12">
        <v>-8.68854242854799</v>
      </c>
      <c r="T391" s="12">
        <v>116.124508363681</v>
      </c>
      <c r="U391" s="7"/>
      <c r="V391" s="50">
        <f>Table13678[[#This Row],[PAGU SEMULA]]-Table13678[[#This Row],[PAGU ANGGARAN]]</f>
        <v>-34151000</v>
      </c>
      <c r="W391" s="50">
        <f>Table13678[[#This Row],[PAGU SEMULA]]-Table13678[[#This Row],[PAGU ANGGARAN]]</f>
        <v>-34151000</v>
      </c>
      <c r="X391" t="s">
        <v>986</v>
      </c>
    </row>
    <row r="392" spans="1:24" hidden="1">
      <c r="C392" s="7" t="s">
        <v>35</v>
      </c>
      <c r="D392" s="7" t="s">
        <v>65</v>
      </c>
      <c r="E392" s="7" t="s">
        <v>66</v>
      </c>
      <c r="F392" s="7" t="s">
        <v>322</v>
      </c>
      <c r="G392" s="7" t="s">
        <v>322</v>
      </c>
      <c r="H392" s="15">
        <v>85377500</v>
      </c>
      <c r="I392" s="10" t="s">
        <v>462</v>
      </c>
      <c r="J392" s="7" t="s">
        <v>463</v>
      </c>
      <c r="K392" s="10" t="s">
        <v>27</v>
      </c>
      <c r="L392" s="7" t="s">
        <v>28</v>
      </c>
      <c r="M392" s="7"/>
      <c r="N392" s="7">
        <f>VLOOKUP(J392,[1]Sheet1!$C:$D,2,FALSE)</f>
        <v>8911</v>
      </c>
      <c r="O392" s="7">
        <f>VLOOKUP(J392,[2]Desa!$A:$D,4,FALSE)</f>
        <v>177</v>
      </c>
      <c r="P392" s="7">
        <f>VLOOKUP(J392,[3]Sheet1!$D:$F,3,FALSE)</f>
        <v>42</v>
      </c>
      <c r="Q392" s="7"/>
      <c r="R392" s="7"/>
      <c r="S392" s="12">
        <v>-8.68854242854799</v>
      </c>
      <c r="T392" s="12">
        <v>116.124508363681</v>
      </c>
      <c r="U392" s="7"/>
      <c r="V392" s="50">
        <f>Table13678[[#This Row],[PAGU SEMULA]]-Table13678[[#This Row],[PAGU ANGGARAN]]</f>
        <v>-85377500</v>
      </c>
      <c r="W392" s="50">
        <f>Table13678[[#This Row],[PAGU SEMULA]]-Table13678[[#This Row],[PAGU ANGGARAN]]</f>
        <v>-85377500</v>
      </c>
      <c r="X392" t="s">
        <v>986</v>
      </c>
    </row>
    <row r="393" spans="1:24" hidden="1">
      <c r="C393" s="7" t="s">
        <v>35</v>
      </c>
      <c r="D393" s="7" t="s">
        <v>65</v>
      </c>
      <c r="E393" s="7" t="s">
        <v>66</v>
      </c>
      <c r="F393" s="7" t="s">
        <v>93</v>
      </c>
      <c r="G393" s="7" t="s">
        <v>467</v>
      </c>
      <c r="H393" s="17">
        <v>589252000</v>
      </c>
      <c r="I393" s="10" t="s">
        <v>462</v>
      </c>
      <c r="J393" s="7" t="s">
        <v>463</v>
      </c>
      <c r="K393" s="10" t="s">
        <v>27</v>
      </c>
      <c r="L393" s="7" t="s">
        <v>28</v>
      </c>
      <c r="M393" s="7"/>
      <c r="N393" s="7">
        <f>VLOOKUP(J393,[1]Sheet1!$C:$D,2,FALSE)</f>
        <v>8911</v>
      </c>
      <c r="O393" s="7">
        <f>VLOOKUP(J393,[2]Desa!$A:$D,4,FALSE)</f>
        <v>177</v>
      </c>
      <c r="P393" s="7">
        <f>VLOOKUP(J393,[3]Sheet1!$D:$F,3,FALSE)</f>
        <v>42</v>
      </c>
      <c r="Q393" s="7"/>
      <c r="R393" s="7"/>
      <c r="S393" s="12">
        <v>-8.68854242854799</v>
      </c>
      <c r="T393" s="12">
        <v>116.124508363681</v>
      </c>
      <c r="U393" s="7"/>
      <c r="V393" s="50">
        <f>Table13678[[#This Row],[PAGU SEMULA]]-Table13678[[#This Row],[PAGU ANGGARAN]]</f>
        <v>-589252000</v>
      </c>
      <c r="W393" s="50">
        <f>Table13678[[#This Row],[PAGU SEMULA]]-Table13678[[#This Row],[PAGU ANGGARAN]]</f>
        <v>-589252000</v>
      </c>
      <c r="X393" t="s">
        <v>986</v>
      </c>
    </row>
    <row r="394" spans="1:24" hidden="1">
      <c r="C394" s="7" t="s">
        <v>35</v>
      </c>
      <c r="D394" s="7" t="s">
        <v>52</v>
      </c>
      <c r="E394" s="7" t="s">
        <v>95</v>
      </c>
      <c r="F394" s="7" t="s">
        <v>96</v>
      </c>
      <c r="G394" s="7" t="s">
        <v>459</v>
      </c>
      <c r="H394" s="17">
        <v>96750000</v>
      </c>
      <c r="I394" s="10" t="s">
        <v>462</v>
      </c>
      <c r="J394" s="7" t="s">
        <v>463</v>
      </c>
      <c r="K394" s="10" t="s">
        <v>27</v>
      </c>
      <c r="L394" s="7" t="s">
        <v>28</v>
      </c>
      <c r="M394" s="7"/>
      <c r="N394" s="7">
        <f>VLOOKUP(J394,[1]Sheet1!$C:$D,2,FALSE)</f>
        <v>8911</v>
      </c>
      <c r="O394" s="7">
        <f>VLOOKUP(J394,[2]Desa!$A:$D,4,FALSE)</f>
        <v>177</v>
      </c>
      <c r="P394" s="7">
        <f>VLOOKUP(J394,[3]Sheet1!$D:$F,3,FALSE)</f>
        <v>42</v>
      </c>
      <c r="Q394" s="7"/>
      <c r="R394" s="7"/>
      <c r="S394" s="12">
        <v>-8.68854242854799</v>
      </c>
      <c r="T394" s="12">
        <v>116.124508363681</v>
      </c>
      <c r="U394" s="7"/>
      <c r="V394" s="50">
        <f>Table13678[[#This Row],[PAGU SEMULA]]-Table13678[[#This Row],[PAGU ANGGARAN]]</f>
        <v>-96750000</v>
      </c>
      <c r="W394" s="50">
        <f>Table13678[[#This Row],[PAGU SEMULA]]-Table13678[[#This Row],[PAGU ANGGARAN]]</f>
        <v>-96750000</v>
      </c>
      <c r="X394" t="s">
        <v>986</v>
      </c>
    </row>
    <row r="395" spans="1:24" hidden="1">
      <c r="C395" s="7" t="s">
        <v>35</v>
      </c>
      <c r="D395" s="7" t="s">
        <v>52</v>
      </c>
      <c r="E395" s="7" t="s">
        <v>95</v>
      </c>
      <c r="F395" s="7" t="s">
        <v>96</v>
      </c>
      <c r="G395" s="7" t="s">
        <v>468</v>
      </c>
      <c r="H395" s="17">
        <v>193500000</v>
      </c>
      <c r="I395" s="10" t="s">
        <v>462</v>
      </c>
      <c r="J395" s="7" t="s">
        <v>463</v>
      </c>
      <c r="K395" s="10" t="s">
        <v>27</v>
      </c>
      <c r="L395" s="7" t="s">
        <v>28</v>
      </c>
      <c r="M395" s="7"/>
      <c r="N395" s="7">
        <f>VLOOKUP(J395,[1]Sheet1!$C:$D,2,FALSE)</f>
        <v>8911</v>
      </c>
      <c r="O395" s="7">
        <f>VLOOKUP(J395,[2]Desa!$A:$D,4,FALSE)</f>
        <v>177</v>
      </c>
      <c r="P395" s="7">
        <f>VLOOKUP(J395,[3]Sheet1!$D:$F,3,FALSE)</f>
        <v>42</v>
      </c>
      <c r="Q395" s="7"/>
      <c r="R395" s="7"/>
      <c r="S395" s="12">
        <v>-8.68854242854799</v>
      </c>
      <c r="T395" s="12">
        <v>116.124508363681</v>
      </c>
      <c r="U395" s="7"/>
      <c r="V395" s="50">
        <f>Table13678[[#This Row],[PAGU SEMULA]]-Table13678[[#This Row],[PAGU ANGGARAN]]</f>
        <v>-193500000</v>
      </c>
      <c r="W395" s="50">
        <f>Table13678[[#This Row],[PAGU SEMULA]]-Table13678[[#This Row],[PAGU ANGGARAN]]</f>
        <v>-193500000</v>
      </c>
      <c r="X395" t="s">
        <v>986</v>
      </c>
    </row>
    <row r="396" spans="1:24" hidden="1">
      <c r="A396" s="2"/>
      <c r="B396" s="2"/>
      <c r="C396" s="7" t="s">
        <v>35</v>
      </c>
      <c r="D396" s="7" t="s">
        <v>156</v>
      </c>
      <c r="E396" s="7" t="s">
        <v>252</v>
      </c>
      <c r="F396" s="7" t="s">
        <v>253</v>
      </c>
      <c r="G396" s="7" t="s">
        <v>469</v>
      </c>
      <c r="H396" s="17">
        <v>430000000</v>
      </c>
      <c r="I396" s="10" t="s">
        <v>462</v>
      </c>
      <c r="J396" s="7" t="s">
        <v>463</v>
      </c>
      <c r="K396" s="10" t="s">
        <v>27</v>
      </c>
      <c r="L396" s="7" t="s">
        <v>28</v>
      </c>
      <c r="M396" s="7"/>
      <c r="N396" s="7">
        <f>VLOOKUP(J396,[1]Sheet1!$C:$D,2,FALSE)</f>
        <v>8911</v>
      </c>
      <c r="O396" s="7">
        <f>VLOOKUP(J396,[2]Desa!$A:$D,4,FALSE)</f>
        <v>177</v>
      </c>
      <c r="P396" s="7">
        <f>VLOOKUP(J396,[3]Sheet1!$D:$F,3,FALSE)</f>
        <v>42</v>
      </c>
      <c r="Q396" s="7"/>
      <c r="R396" s="7"/>
      <c r="S396" s="12">
        <v>-8.68854242854799</v>
      </c>
      <c r="T396" s="12">
        <v>116.124508363681</v>
      </c>
      <c r="U396" s="7"/>
      <c r="V396" s="50">
        <f>Table13678[[#This Row],[PAGU SEMULA]]-Table13678[[#This Row],[PAGU ANGGARAN]]</f>
        <v>-430000000</v>
      </c>
      <c r="W396" s="50">
        <f>Table13678[[#This Row],[PAGU SEMULA]]-Table13678[[#This Row],[PAGU ANGGARAN]]</f>
        <v>-430000000</v>
      </c>
      <c r="X396" t="s">
        <v>986</v>
      </c>
    </row>
    <row r="397" spans="1:24" hidden="1">
      <c r="C397" s="7" t="s">
        <v>68</v>
      </c>
      <c r="D397" s="7" t="s">
        <v>69</v>
      </c>
      <c r="E397" s="7" t="s">
        <v>70</v>
      </c>
      <c r="F397" s="7" t="s">
        <v>71</v>
      </c>
      <c r="G397" s="7" t="s">
        <v>125</v>
      </c>
      <c r="H397" s="8">
        <v>100000000</v>
      </c>
      <c r="I397" s="10" t="s">
        <v>462</v>
      </c>
      <c r="J397" s="7" t="s">
        <v>463</v>
      </c>
      <c r="K397" s="10" t="s">
        <v>27</v>
      </c>
      <c r="L397" s="7" t="s">
        <v>28</v>
      </c>
      <c r="M397" s="7"/>
      <c r="N397" s="7">
        <f>VLOOKUP(J397,[1]Sheet1!$C:$D,2,FALSE)</f>
        <v>8911</v>
      </c>
      <c r="O397" s="7">
        <f>VLOOKUP(J397,[2]Desa!$A:$D,4,FALSE)</f>
        <v>177</v>
      </c>
      <c r="P397" s="7">
        <f>VLOOKUP(J397,[3]Sheet1!$D:$F,3,FALSE)</f>
        <v>42</v>
      </c>
      <c r="Q397" s="7"/>
      <c r="R397" s="7"/>
      <c r="S397" s="12">
        <v>-8.68854242854799</v>
      </c>
      <c r="T397" s="12">
        <v>116.124508363681</v>
      </c>
      <c r="U397" s="7"/>
      <c r="V397" s="50">
        <f>Table13678[[#This Row],[PAGU SEMULA]]-Table13678[[#This Row],[PAGU ANGGARAN]]</f>
        <v>-100000000</v>
      </c>
      <c r="W397" s="50">
        <f>Table13678[[#This Row],[PAGU SEMULA]]-Table13678[[#This Row],[PAGU ANGGARAN]]</f>
        <v>-100000000</v>
      </c>
      <c r="X397" t="s">
        <v>982</v>
      </c>
    </row>
    <row r="398" spans="1:24" hidden="1">
      <c r="C398" s="7" t="s">
        <v>51</v>
      </c>
      <c r="D398" s="7" t="s">
        <v>52</v>
      </c>
      <c r="E398" s="7" t="s">
        <v>53</v>
      </c>
      <c r="F398" s="7" t="s">
        <v>54</v>
      </c>
      <c r="G398" s="7" t="s">
        <v>55</v>
      </c>
      <c r="H398" s="8">
        <v>189090000</v>
      </c>
      <c r="I398" s="10" t="s">
        <v>462</v>
      </c>
      <c r="J398" s="7" t="s">
        <v>463</v>
      </c>
      <c r="K398" s="10" t="s">
        <v>27</v>
      </c>
      <c r="L398" s="7" t="s">
        <v>28</v>
      </c>
      <c r="M398" s="7"/>
      <c r="N398" s="7">
        <f>VLOOKUP(J398,[1]Sheet1!$C:$D,2,FALSE)</f>
        <v>8911</v>
      </c>
      <c r="O398" s="7">
        <f>VLOOKUP(J398,[2]Desa!$A:$D,4,FALSE)</f>
        <v>177</v>
      </c>
      <c r="P398" s="7">
        <f>VLOOKUP(J398,[3]Sheet1!$D:$F,3,FALSE)</f>
        <v>42</v>
      </c>
      <c r="Q398" s="7"/>
      <c r="R398" s="7"/>
      <c r="S398" s="12">
        <v>-8.68854242854799</v>
      </c>
      <c r="T398" s="12">
        <v>116.124508363681</v>
      </c>
      <c r="U398" s="7"/>
      <c r="V398" s="50">
        <f>Table13678[[#This Row],[PAGU SEMULA]]-Table13678[[#This Row],[PAGU ANGGARAN]]</f>
        <v>-189090000</v>
      </c>
      <c r="W398" s="50">
        <f>Table13678[[#This Row],[PAGU SEMULA]]-Table13678[[#This Row],[PAGU ANGGARAN]]</f>
        <v>-189090000</v>
      </c>
      <c r="X398" t="s">
        <v>986</v>
      </c>
    </row>
    <row r="399" spans="1:24" hidden="1">
      <c r="C399" s="7" t="s">
        <v>51</v>
      </c>
      <c r="D399" s="7" t="s">
        <v>52</v>
      </c>
      <c r="E399" s="7" t="s">
        <v>53</v>
      </c>
      <c r="F399" s="7" t="s">
        <v>54</v>
      </c>
      <c r="G399" s="7" t="s">
        <v>55</v>
      </c>
      <c r="H399" s="8">
        <v>189090000</v>
      </c>
      <c r="I399" s="10" t="s">
        <v>462</v>
      </c>
      <c r="J399" s="7" t="s">
        <v>463</v>
      </c>
      <c r="K399" s="10" t="s">
        <v>27</v>
      </c>
      <c r="L399" s="7" t="s">
        <v>28</v>
      </c>
      <c r="M399" s="7"/>
      <c r="N399" s="7">
        <f>VLOOKUP(J399,[1]Sheet1!$C:$D,2,FALSE)</f>
        <v>8911</v>
      </c>
      <c r="O399" s="7">
        <f>VLOOKUP(J399,[2]Desa!$A:$D,4,FALSE)</f>
        <v>177</v>
      </c>
      <c r="P399" s="7">
        <f>VLOOKUP(J399,[3]Sheet1!$D:$F,3,FALSE)</f>
        <v>42</v>
      </c>
      <c r="Q399" s="7"/>
      <c r="R399" s="7"/>
      <c r="S399" s="12">
        <v>-8.68854242854799</v>
      </c>
      <c r="T399" s="12">
        <v>116.124508363681</v>
      </c>
      <c r="U399" s="7"/>
      <c r="V399" s="50">
        <f>Table13678[[#This Row],[PAGU SEMULA]]-Table13678[[#This Row],[PAGU ANGGARAN]]</f>
        <v>-189090000</v>
      </c>
      <c r="W399" s="50">
        <f>Table13678[[#This Row],[PAGU SEMULA]]-Table13678[[#This Row],[PAGU ANGGARAN]]</f>
        <v>-189090000</v>
      </c>
      <c r="X399" t="s">
        <v>986</v>
      </c>
    </row>
    <row r="400" spans="1:24" hidden="1">
      <c r="C400" s="7" t="s">
        <v>51</v>
      </c>
      <c r="D400" s="7" t="s">
        <v>156</v>
      </c>
      <c r="E400" s="7" t="s">
        <v>372</v>
      </c>
      <c r="F400" s="7" t="s">
        <v>373</v>
      </c>
      <c r="G400" s="7" t="s">
        <v>374</v>
      </c>
      <c r="H400" s="8">
        <v>189000000</v>
      </c>
      <c r="I400" s="10" t="s">
        <v>462</v>
      </c>
      <c r="J400" s="7" t="s">
        <v>463</v>
      </c>
      <c r="K400" s="10" t="s">
        <v>27</v>
      </c>
      <c r="L400" s="7" t="s">
        <v>28</v>
      </c>
      <c r="M400" s="7"/>
      <c r="N400" s="7">
        <f>VLOOKUP(J400,[1]Sheet1!$C:$D,2,FALSE)</f>
        <v>8911</v>
      </c>
      <c r="O400" s="7">
        <f>VLOOKUP(J400,[2]Desa!$A:$D,4,FALSE)</f>
        <v>177</v>
      </c>
      <c r="P400" s="7">
        <f>VLOOKUP(J400,[3]Sheet1!$D:$F,3,FALSE)</f>
        <v>42</v>
      </c>
      <c r="Q400" s="7"/>
      <c r="R400" s="7"/>
      <c r="S400" s="12">
        <v>-8.68854242854799</v>
      </c>
      <c r="T400" s="12">
        <v>116.124508363681</v>
      </c>
      <c r="U400" s="7"/>
      <c r="V400" s="50">
        <f>Table13678[[#This Row],[PAGU SEMULA]]-Table13678[[#This Row],[PAGU ANGGARAN]]</f>
        <v>-189000000</v>
      </c>
      <c r="W400" s="50">
        <f>Table13678[[#This Row],[PAGU SEMULA]]-Table13678[[#This Row],[PAGU ANGGARAN]]</f>
        <v>-189000000</v>
      </c>
      <c r="X400" t="s">
        <v>986</v>
      </c>
    </row>
    <row r="401" spans="3:24" hidden="1">
      <c r="C401" s="7" t="s">
        <v>387</v>
      </c>
      <c r="D401" s="7" t="s">
        <v>100</v>
      </c>
      <c r="E401" s="7" t="s">
        <v>388</v>
      </c>
      <c r="F401" s="7" t="s">
        <v>102</v>
      </c>
      <c r="G401" s="7" t="s">
        <v>470</v>
      </c>
      <c r="H401" s="8">
        <v>75000000</v>
      </c>
      <c r="I401" s="10" t="s">
        <v>462</v>
      </c>
      <c r="J401" s="7" t="s">
        <v>463</v>
      </c>
      <c r="K401" s="10" t="s">
        <v>27</v>
      </c>
      <c r="L401" s="7" t="s">
        <v>28</v>
      </c>
      <c r="M401" s="7"/>
      <c r="N401" s="7">
        <f>VLOOKUP(J401,[1]Sheet1!$C:$D,2,FALSE)</f>
        <v>8911</v>
      </c>
      <c r="O401" s="7">
        <f>VLOOKUP(J401,[2]Desa!$A:$D,4,FALSE)</f>
        <v>177</v>
      </c>
      <c r="P401" s="7">
        <f>VLOOKUP(J401,[3]Sheet1!$D:$F,3,FALSE)</f>
        <v>42</v>
      </c>
      <c r="Q401" s="7"/>
      <c r="R401" s="7"/>
      <c r="S401" s="12">
        <v>-8.68854242854799</v>
      </c>
      <c r="T401" s="12">
        <v>116.124508363681</v>
      </c>
      <c r="U401" s="7"/>
      <c r="V401" s="50">
        <f>Table13678[[#This Row],[PAGU SEMULA]]-Table13678[[#This Row],[PAGU ANGGARAN]]</f>
        <v>-75000000</v>
      </c>
      <c r="W401" s="50">
        <f>Table13678[[#This Row],[PAGU SEMULA]]-Table13678[[#This Row],[PAGU ANGGARAN]]</f>
        <v>-75000000</v>
      </c>
      <c r="X401" t="s">
        <v>987</v>
      </c>
    </row>
    <row r="402" spans="3:24" hidden="1">
      <c r="C402" s="7" t="s">
        <v>60</v>
      </c>
      <c r="D402" s="7" t="s">
        <v>61</v>
      </c>
      <c r="E402" s="7" t="s">
        <v>62</v>
      </c>
      <c r="F402" s="7" t="s">
        <v>63</v>
      </c>
      <c r="G402" s="71" t="s">
        <v>251</v>
      </c>
      <c r="H402" s="15">
        <v>46950000</v>
      </c>
      <c r="I402" s="10" t="s">
        <v>471</v>
      </c>
      <c r="J402" s="7" t="s">
        <v>472</v>
      </c>
      <c r="K402" s="10" t="s">
        <v>27</v>
      </c>
      <c r="L402" s="7" t="s">
        <v>28</v>
      </c>
      <c r="M402" s="7"/>
      <c r="N402" s="7">
        <f>VLOOKUP(J402,[1]Sheet1!$C:$D,2,FALSE)</f>
        <v>7039</v>
      </c>
      <c r="O402" s="7">
        <f>VLOOKUP(J402,[2]Desa!$A:$D,4,FALSE)</f>
        <v>87</v>
      </c>
      <c r="P402" s="7">
        <f>VLOOKUP(J402,[3]Sheet1!$D:$F,3,FALSE)</f>
        <v>22</v>
      </c>
      <c r="Q402" s="7"/>
      <c r="R402" s="7"/>
      <c r="S402" s="12">
        <v>-8.67894620730093</v>
      </c>
      <c r="T402" s="12">
        <v>116.124028451716</v>
      </c>
      <c r="U402" s="7"/>
      <c r="V402" s="50">
        <f>Table13678[[#This Row],[PAGU SEMULA]]-Table13678[[#This Row],[PAGU ANGGARAN]]</f>
        <v>-46950000</v>
      </c>
      <c r="W402" s="50">
        <f>Table13678[[#This Row],[PAGU SEMULA]]-Table13678[[#This Row],[PAGU ANGGARAN]]</f>
        <v>-46950000</v>
      </c>
      <c r="X402" t="s">
        <v>987</v>
      </c>
    </row>
    <row r="403" spans="3:24" hidden="1">
      <c r="C403" s="7" t="s">
        <v>198</v>
      </c>
      <c r="D403" s="7" t="s">
        <v>473</v>
      </c>
      <c r="E403" s="7" t="s">
        <v>474</v>
      </c>
      <c r="F403" s="7" t="s">
        <v>475</v>
      </c>
      <c r="G403" s="7" t="s">
        <v>476</v>
      </c>
      <c r="H403" s="8">
        <v>75750000</v>
      </c>
      <c r="I403" s="10" t="s">
        <v>471</v>
      </c>
      <c r="J403" s="7" t="s">
        <v>472</v>
      </c>
      <c r="K403" s="10" t="s">
        <v>27</v>
      </c>
      <c r="L403" s="7" t="s">
        <v>28</v>
      </c>
      <c r="M403" s="7"/>
      <c r="N403" s="7">
        <f>VLOOKUP(J403,[1]Sheet1!$C:$D,2,FALSE)</f>
        <v>7039</v>
      </c>
      <c r="O403" s="7">
        <f>VLOOKUP(J403,[2]Desa!$A:$D,4,FALSE)</f>
        <v>87</v>
      </c>
      <c r="P403" s="7">
        <f>VLOOKUP(J403,[3]Sheet1!$D:$F,3,FALSE)</f>
        <v>22</v>
      </c>
      <c r="Q403" s="7"/>
      <c r="R403" s="7"/>
      <c r="S403" s="12">
        <v>-8.67894620730093</v>
      </c>
      <c r="T403" s="12">
        <v>116.124028451716</v>
      </c>
      <c r="U403" s="7"/>
      <c r="V403" s="50">
        <f>Table13678[[#This Row],[PAGU SEMULA]]-Table13678[[#This Row],[PAGU ANGGARAN]]</f>
        <v>-75750000</v>
      </c>
      <c r="W403" s="50">
        <f>Table13678[[#This Row],[PAGU SEMULA]]-Table13678[[#This Row],[PAGU ANGGARAN]]</f>
        <v>-75750000</v>
      </c>
      <c r="X403" t="s">
        <v>982</v>
      </c>
    </row>
    <row r="404" spans="3:24" hidden="1">
      <c r="C404" s="7" t="s">
        <v>35</v>
      </c>
      <c r="D404" s="7" t="s">
        <v>36</v>
      </c>
      <c r="E404" s="7" t="s">
        <v>37</v>
      </c>
      <c r="F404" s="7" t="s">
        <v>38</v>
      </c>
      <c r="G404" s="7" t="s">
        <v>39</v>
      </c>
      <c r="H404" s="15">
        <v>75000000</v>
      </c>
      <c r="I404" s="10" t="s">
        <v>471</v>
      </c>
      <c r="J404" s="7" t="s">
        <v>472</v>
      </c>
      <c r="K404" s="10" t="s">
        <v>27</v>
      </c>
      <c r="L404" s="7" t="s">
        <v>28</v>
      </c>
      <c r="M404" s="7"/>
      <c r="N404" s="7">
        <f>VLOOKUP(J404,[1]Sheet1!$C:$D,2,FALSE)</f>
        <v>7039</v>
      </c>
      <c r="O404" s="7">
        <f>VLOOKUP(J404,[2]Desa!$A:$D,4,FALSE)</f>
        <v>87</v>
      </c>
      <c r="P404" s="7">
        <f>VLOOKUP(J404,[3]Sheet1!$D:$F,3,FALSE)</f>
        <v>22</v>
      </c>
      <c r="Q404" s="7"/>
      <c r="R404" s="7"/>
      <c r="S404" s="12">
        <v>-8.67894620730093</v>
      </c>
      <c r="T404" s="12">
        <v>116.124028451716</v>
      </c>
      <c r="U404" s="7"/>
      <c r="V404" s="50">
        <f>Table13678[[#This Row],[PAGU SEMULA]]-Table13678[[#This Row],[PAGU ANGGARAN]]</f>
        <v>-75000000</v>
      </c>
      <c r="W404" s="50">
        <f>Table13678[[#This Row],[PAGU SEMULA]]-Table13678[[#This Row],[PAGU ANGGARAN]]</f>
        <v>-75000000</v>
      </c>
      <c r="X404" t="s">
        <v>984</v>
      </c>
    </row>
    <row r="405" spans="3:24" hidden="1">
      <c r="C405" s="7" t="s">
        <v>35</v>
      </c>
      <c r="D405" s="7" t="s">
        <v>52</v>
      </c>
      <c r="E405" s="7" t="s">
        <v>95</v>
      </c>
      <c r="F405" s="7" t="s">
        <v>96</v>
      </c>
      <c r="G405" s="7" t="s">
        <v>41</v>
      </c>
      <c r="H405" s="17">
        <v>193500000</v>
      </c>
      <c r="I405" s="10" t="s">
        <v>471</v>
      </c>
      <c r="J405" s="7" t="s">
        <v>472</v>
      </c>
      <c r="K405" s="10" t="s">
        <v>27</v>
      </c>
      <c r="L405" s="7" t="s">
        <v>28</v>
      </c>
      <c r="M405" s="7"/>
      <c r="N405" s="7">
        <f>VLOOKUP(J405,[1]Sheet1!$C:$D,2,FALSE)</f>
        <v>7039</v>
      </c>
      <c r="O405" s="7">
        <f>VLOOKUP(J405,[2]Desa!$A:$D,4,FALSE)</f>
        <v>87</v>
      </c>
      <c r="P405" s="7">
        <f>VLOOKUP(J405,[3]Sheet1!$D:$F,3,FALSE)</f>
        <v>22</v>
      </c>
      <c r="Q405" s="7"/>
      <c r="R405" s="7"/>
      <c r="S405" s="12">
        <v>-8.67894620730093</v>
      </c>
      <c r="T405" s="12">
        <v>116.124028451716</v>
      </c>
      <c r="U405" s="7"/>
      <c r="V405" s="50">
        <f>Table13678[[#This Row],[PAGU SEMULA]]-Table13678[[#This Row],[PAGU ANGGARAN]]</f>
        <v>-193500000</v>
      </c>
      <c r="W405" s="50">
        <f>Table13678[[#This Row],[PAGU SEMULA]]-Table13678[[#This Row],[PAGU ANGGARAN]]</f>
        <v>-193500000</v>
      </c>
      <c r="X405" t="s">
        <v>986</v>
      </c>
    </row>
    <row r="406" spans="3:24" hidden="1">
      <c r="C406" s="7" t="s">
        <v>35</v>
      </c>
      <c r="D406" s="7" t="s">
        <v>52</v>
      </c>
      <c r="E406" s="7" t="s">
        <v>95</v>
      </c>
      <c r="F406" s="7" t="s">
        <v>96</v>
      </c>
      <c r="G406" s="7" t="s">
        <v>477</v>
      </c>
      <c r="H406" s="17">
        <v>193500000</v>
      </c>
      <c r="I406" s="10" t="s">
        <v>471</v>
      </c>
      <c r="J406" s="7" t="s">
        <v>472</v>
      </c>
      <c r="K406" s="10" t="s">
        <v>27</v>
      </c>
      <c r="L406" s="7" t="s">
        <v>28</v>
      </c>
      <c r="M406" s="7"/>
      <c r="N406" s="7">
        <f>VLOOKUP(J406,[1]Sheet1!$C:$D,2,FALSE)</f>
        <v>7039</v>
      </c>
      <c r="O406" s="7">
        <f>VLOOKUP(J406,[2]Desa!$A:$D,4,FALSE)</f>
        <v>87</v>
      </c>
      <c r="P406" s="7">
        <f>VLOOKUP(J406,[3]Sheet1!$D:$F,3,FALSE)</f>
        <v>22</v>
      </c>
      <c r="Q406" s="7"/>
      <c r="R406" s="7"/>
      <c r="S406" s="12">
        <v>-8.67894620730093</v>
      </c>
      <c r="T406" s="12">
        <v>116.124028451716</v>
      </c>
      <c r="U406" s="7"/>
      <c r="V406" s="50">
        <f>Table13678[[#This Row],[PAGU SEMULA]]-Table13678[[#This Row],[PAGU ANGGARAN]]</f>
        <v>-193500000</v>
      </c>
      <c r="W406" s="50">
        <f>Table13678[[#This Row],[PAGU SEMULA]]-Table13678[[#This Row],[PAGU ANGGARAN]]</f>
        <v>-193500000</v>
      </c>
      <c r="X406" t="s">
        <v>986</v>
      </c>
    </row>
    <row r="407" spans="3:24" hidden="1">
      <c r="C407" s="7" t="s">
        <v>46</v>
      </c>
      <c r="D407" s="7" t="s">
        <v>47</v>
      </c>
      <c r="E407" s="7" t="s">
        <v>48</v>
      </c>
      <c r="F407" s="7" t="s">
        <v>49</v>
      </c>
      <c r="G407" s="7" t="s">
        <v>371</v>
      </c>
      <c r="H407" s="8">
        <v>30774000</v>
      </c>
      <c r="I407" s="10" t="s">
        <v>471</v>
      </c>
      <c r="J407" s="7" t="s">
        <v>472</v>
      </c>
      <c r="K407" s="10" t="s">
        <v>27</v>
      </c>
      <c r="L407" s="7" t="s">
        <v>28</v>
      </c>
      <c r="M407" s="7"/>
      <c r="N407" s="7">
        <f>VLOOKUP(J407,[1]Sheet1!$C:$D,2,FALSE)</f>
        <v>7039</v>
      </c>
      <c r="O407" s="7">
        <f>VLOOKUP(J407,[2]Desa!$A:$D,4,FALSE)</f>
        <v>87</v>
      </c>
      <c r="P407" s="7">
        <f>VLOOKUP(J407,[3]Sheet1!$D:$F,3,FALSE)</f>
        <v>22</v>
      </c>
      <c r="Q407" s="7"/>
      <c r="R407" s="7"/>
      <c r="S407" s="12">
        <v>-8.67894620730093</v>
      </c>
      <c r="T407" s="12">
        <v>116.124028451716</v>
      </c>
      <c r="U407" s="7"/>
      <c r="V407" s="50">
        <f>Table13678[[#This Row],[PAGU SEMULA]]-Table13678[[#This Row],[PAGU ANGGARAN]]</f>
        <v>-30774000</v>
      </c>
      <c r="W407" s="50">
        <f>Table13678[[#This Row],[PAGU SEMULA]]-Table13678[[#This Row],[PAGU ANGGARAN]]</f>
        <v>-30774000</v>
      </c>
      <c r="X407" t="s">
        <v>987</v>
      </c>
    </row>
    <row r="408" spans="3:24" hidden="1">
      <c r="C408" s="7" t="s">
        <v>51</v>
      </c>
      <c r="D408" s="7" t="s">
        <v>52</v>
      </c>
      <c r="E408" s="7" t="s">
        <v>53</v>
      </c>
      <c r="F408" s="7" t="s">
        <v>54</v>
      </c>
      <c r="G408" s="7" t="s">
        <v>55</v>
      </c>
      <c r="H408" s="8">
        <v>189090000</v>
      </c>
      <c r="I408" s="10" t="s">
        <v>471</v>
      </c>
      <c r="J408" s="7" t="s">
        <v>472</v>
      </c>
      <c r="K408" s="10" t="s">
        <v>27</v>
      </c>
      <c r="L408" s="7" t="s">
        <v>28</v>
      </c>
      <c r="M408" s="7"/>
      <c r="N408" s="7">
        <f>VLOOKUP(J408,[1]Sheet1!$C:$D,2,FALSE)</f>
        <v>7039</v>
      </c>
      <c r="O408" s="7">
        <f>VLOOKUP(J408,[2]Desa!$A:$D,4,FALSE)</f>
        <v>87</v>
      </c>
      <c r="P408" s="7">
        <f>VLOOKUP(J408,[3]Sheet1!$D:$F,3,FALSE)</f>
        <v>22</v>
      </c>
      <c r="Q408" s="7"/>
      <c r="R408" s="7"/>
      <c r="S408" s="12">
        <v>-8.67894620730093</v>
      </c>
      <c r="T408" s="12">
        <v>116.124028451716</v>
      </c>
      <c r="U408" s="7"/>
      <c r="V408" s="50">
        <f>Table13678[[#This Row],[PAGU SEMULA]]-Table13678[[#This Row],[PAGU ANGGARAN]]</f>
        <v>-189090000</v>
      </c>
      <c r="W408" s="50">
        <f>Table13678[[#This Row],[PAGU SEMULA]]-Table13678[[#This Row],[PAGU ANGGARAN]]</f>
        <v>-189090000</v>
      </c>
      <c r="X408" t="s">
        <v>986</v>
      </c>
    </row>
    <row r="409" spans="3:24" hidden="1">
      <c r="C409" s="7" t="s">
        <v>51</v>
      </c>
      <c r="D409" s="7" t="s">
        <v>52</v>
      </c>
      <c r="E409" s="7" t="s">
        <v>53</v>
      </c>
      <c r="F409" s="7" t="s">
        <v>54</v>
      </c>
      <c r="G409" s="7" t="s">
        <v>55</v>
      </c>
      <c r="H409" s="8">
        <v>189090000</v>
      </c>
      <c r="I409" s="10" t="s">
        <v>471</v>
      </c>
      <c r="J409" s="7" t="s">
        <v>472</v>
      </c>
      <c r="K409" s="10" t="s">
        <v>27</v>
      </c>
      <c r="L409" s="7" t="s">
        <v>28</v>
      </c>
      <c r="M409" s="7"/>
      <c r="N409" s="7">
        <f>VLOOKUP(J409,[1]Sheet1!$C:$D,2,FALSE)</f>
        <v>7039</v>
      </c>
      <c r="O409" s="7">
        <f>VLOOKUP(J409,[2]Desa!$A:$D,4,FALSE)</f>
        <v>87</v>
      </c>
      <c r="P409" s="7">
        <f>VLOOKUP(J409,[3]Sheet1!$D:$F,3,FALSE)</f>
        <v>22</v>
      </c>
      <c r="Q409" s="7"/>
      <c r="R409" s="7"/>
      <c r="S409" s="12">
        <v>-8.67894620730093</v>
      </c>
      <c r="T409" s="12">
        <v>116.124028451716</v>
      </c>
      <c r="U409" s="7"/>
      <c r="V409" s="50">
        <f>Table13678[[#This Row],[PAGU SEMULA]]-Table13678[[#This Row],[PAGU ANGGARAN]]</f>
        <v>-189090000</v>
      </c>
      <c r="W409" s="50">
        <f>Table13678[[#This Row],[PAGU SEMULA]]-Table13678[[#This Row],[PAGU ANGGARAN]]</f>
        <v>-189090000</v>
      </c>
      <c r="X409" t="s">
        <v>986</v>
      </c>
    </row>
    <row r="410" spans="3:24" hidden="1">
      <c r="C410" s="7" t="s">
        <v>29</v>
      </c>
      <c r="D410" s="7" t="s">
        <v>30</v>
      </c>
      <c r="E410" s="7" t="s">
        <v>31</v>
      </c>
      <c r="F410" s="7" t="s">
        <v>32</v>
      </c>
      <c r="G410" s="7" t="s">
        <v>33</v>
      </c>
      <c r="H410" s="8">
        <v>105000000</v>
      </c>
      <c r="I410" s="10" t="s">
        <v>478</v>
      </c>
      <c r="J410" s="7" t="s">
        <v>479</v>
      </c>
      <c r="K410" s="10" t="s">
        <v>196</v>
      </c>
      <c r="L410" s="7" t="s">
        <v>197</v>
      </c>
      <c r="M410" s="7"/>
      <c r="N410" s="7">
        <f>VLOOKUP(J410,[1]Sheet1!$C:$D,2,FALSE)</f>
        <v>1531</v>
      </c>
      <c r="O410" s="7">
        <f>VLOOKUP(J410,[2]Desa!$A:$D,4,FALSE)</f>
        <v>53</v>
      </c>
      <c r="P410" s="7">
        <f>VLOOKUP(J410,[3]Sheet1!$D:$F,3,FALSE)</f>
        <v>11</v>
      </c>
      <c r="Q410" s="7"/>
      <c r="R410" s="7"/>
      <c r="S410" s="12">
        <v>-8.7451993492556301</v>
      </c>
      <c r="T410" s="12">
        <v>115.920020602661</v>
      </c>
      <c r="U410" s="7"/>
      <c r="V410" s="50">
        <f>Table13678[[#This Row],[PAGU SEMULA]]-Table13678[[#This Row],[PAGU ANGGARAN]]</f>
        <v>-105000000</v>
      </c>
      <c r="W410" s="50">
        <f>Table13678[[#This Row],[PAGU SEMULA]]-Table13678[[#This Row],[PAGU ANGGARAN]]</f>
        <v>-105000000</v>
      </c>
      <c r="X410" t="s">
        <v>984</v>
      </c>
    </row>
    <row r="411" spans="3:24" hidden="1">
      <c r="C411" s="7" t="s">
        <v>29</v>
      </c>
      <c r="D411" s="7" t="s">
        <v>30</v>
      </c>
      <c r="E411" s="7" t="s">
        <v>31</v>
      </c>
      <c r="F411" s="7" t="s">
        <v>32</v>
      </c>
      <c r="G411" s="7" t="s">
        <v>34</v>
      </c>
      <c r="H411" s="8">
        <v>8400000</v>
      </c>
      <c r="I411" s="10" t="s">
        <v>478</v>
      </c>
      <c r="J411" s="7" t="s">
        <v>479</v>
      </c>
      <c r="K411" s="10" t="s">
        <v>196</v>
      </c>
      <c r="L411" s="7" t="s">
        <v>197</v>
      </c>
      <c r="M411" s="7"/>
      <c r="N411" s="7">
        <f>VLOOKUP(J411,[1]Sheet1!$C:$D,2,FALSE)</f>
        <v>1531</v>
      </c>
      <c r="O411" s="7">
        <f>VLOOKUP(J411,[2]Desa!$A:$D,4,FALSE)</f>
        <v>53</v>
      </c>
      <c r="P411" s="7">
        <f>VLOOKUP(J411,[3]Sheet1!$D:$F,3,FALSE)</f>
        <v>11</v>
      </c>
      <c r="Q411" s="7"/>
      <c r="R411" s="7"/>
      <c r="S411" s="12">
        <v>-8.7451993492556301</v>
      </c>
      <c r="T411" s="12">
        <v>115.920020602661</v>
      </c>
      <c r="U411" s="7"/>
      <c r="V411" s="50">
        <f>Table13678[[#This Row],[PAGU SEMULA]]-Table13678[[#This Row],[PAGU ANGGARAN]]</f>
        <v>-8400000</v>
      </c>
      <c r="W411" s="50">
        <f>Table13678[[#This Row],[PAGU SEMULA]]-Table13678[[#This Row],[PAGU ANGGARAN]]</f>
        <v>-8400000</v>
      </c>
      <c r="X411" t="s">
        <v>984</v>
      </c>
    </row>
    <row r="412" spans="3:24" hidden="1">
      <c r="C412" s="7" t="s">
        <v>245</v>
      </c>
      <c r="D412" s="7" t="s">
        <v>246</v>
      </c>
      <c r="E412" s="7" t="s">
        <v>247</v>
      </c>
      <c r="F412" s="7" t="s">
        <v>248</v>
      </c>
      <c r="G412" s="7" t="s">
        <v>480</v>
      </c>
      <c r="H412" s="8">
        <v>18094500</v>
      </c>
      <c r="I412" s="10" t="s">
        <v>478</v>
      </c>
      <c r="J412" s="7" t="s">
        <v>479</v>
      </c>
      <c r="K412" s="10" t="s">
        <v>196</v>
      </c>
      <c r="L412" s="7" t="s">
        <v>197</v>
      </c>
      <c r="M412" s="7"/>
      <c r="N412" s="7">
        <f>VLOOKUP(J412,[1]Sheet1!$C:$D,2,FALSE)</f>
        <v>1531</v>
      </c>
      <c r="O412" s="7">
        <f>VLOOKUP(J412,[2]Desa!$A:$D,4,FALSE)</f>
        <v>53</v>
      </c>
      <c r="P412" s="7">
        <f>VLOOKUP(J412,[3]Sheet1!$D:$F,3,FALSE)</f>
        <v>11</v>
      </c>
      <c r="Q412" s="7"/>
      <c r="R412" s="7"/>
      <c r="S412" s="12">
        <v>-8.7451993492556301</v>
      </c>
      <c r="T412" s="12">
        <v>115.920020602661</v>
      </c>
      <c r="U412" s="7"/>
      <c r="V412" s="50">
        <f>Table13678[[#This Row],[PAGU SEMULA]]-Table13678[[#This Row],[PAGU ANGGARAN]]</f>
        <v>-18094500</v>
      </c>
      <c r="W412" s="50">
        <f>Table13678[[#This Row],[PAGU SEMULA]]-Table13678[[#This Row],[PAGU ANGGARAN]]</f>
        <v>-18094500</v>
      </c>
      <c r="X412" t="s">
        <v>987</v>
      </c>
    </row>
    <row r="413" spans="3:24" hidden="1">
      <c r="C413" s="7" t="s">
        <v>198</v>
      </c>
      <c r="D413" s="7" t="s">
        <v>199</v>
      </c>
      <c r="E413" s="7" t="s">
        <v>200</v>
      </c>
      <c r="F413" s="7" t="s">
        <v>201</v>
      </c>
      <c r="G413" s="7" t="s">
        <v>481</v>
      </c>
      <c r="H413" s="8">
        <v>43945000</v>
      </c>
      <c r="I413" s="10" t="s">
        <v>478</v>
      </c>
      <c r="J413" s="7" t="s">
        <v>479</v>
      </c>
      <c r="K413" s="10" t="s">
        <v>196</v>
      </c>
      <c r="L413" s="7" t="s">
        <v>197</v>
      </c>
      <c r="M413" s="7"/>
      <c r="N413" s="7">
        <f>VLOOKUP(J413,[1]Sheet1!$C:$D,2,FALSE)</f>
        <v>1531</v>
      </c>
      <c r="O413" s="7">
        <f>VLOOKUP(J413,[2]Desa!$A:$D,4,FALSE)</f>
        <v>53</v>
      </c>
      <c r="P413" s="7">
        <f>VLOOKUP(J413,[3]Sheet1!$D:$F,3,FALSE)</f>
        <v>11</v>
      </c>
      <c r="Q413" s="7"/>
      <c r="R413" s="7"/>
      <c r="S413" s="12">
        <v>-8.7451993492556301</v>
      </c>
      <c r="T413" s="12">
        <v>115.920020602661</v>
      </c>
      <c r="U413" s="7"/>
      <c r="V413" s="50">
        <f>Table13678[[#This Row],[PAGU SEMULA]]-Table13678[[#This Row],[PAGU ANGGARAN]]</f>
        <v>-43945000</v>
      </c>
      <c r="W413" s="50">
        <f>Table13678[[#This Row],[PAGU SEMULA]]-Table13678[[#This Row],[PAGU ANGGARAN]]</f>
        <v>-43945000</v>
      </c>
      <c r="X413" t="s">
        <v>982</v>
      </c>
    </row>
    <row r="414" spans="3:24" hidden="1">
      <c r="C414" s="7" t="s">
        <v>110</v>
      </c>
      <c r="D414" s="7" t="s">
        <v>291</v>
      </c>
      <c r="E414" s="7" t="s">
        <v>292</v>
      </c>
      <c r="F414" s="7" t="s">
        <v>293</v>
      </c>
      <c r="G414" s="71" t="s">
        <v>294</v>
      </c>
      <c r="H414" s="8">
        <v>198350000</v>
      </c>
      <c r="I414" s="10" t="s">
        <v>478</v>
      </c>
      <c r="J414" s="7" t="s">
        <v>479</v>
      </c>
      <c r="K414" s="10" t="s">
        <v>196</v>
      </c>
      <c r="L414" s="7" t="s">
        <v>197</v>
      </c>
      <c r="M414" s="7"/>
      <c r="N414" s="7">
        <f>VLOOKUP(J414,[1]Sheet1!$C:$D,2,FALSE)</f>
        <v>1531</v>
      </c>
      <c r="O414" s="7">
        <f>VLOOKUP(J414,[2]Desa!$A:$D,4,FALSE)</f>
        <v>53</v>
      </c>
      <c r="P414" s="7">
        <f>VLOOKUP(J414,[3]Sheet1!$D:$F,3,FALSE)</f>
        <v>11</v>
      </c>
      <c r="Q414" s="7"/>
      <c r="R414" s="7"/>
      <c r="S414" s="12">
        <v>-8.7451993492556301</v>
      </c>
      <c r="T414" s="12">
        <v>115.920020602661</v>
      </c>
      <c r="U414" s="7"/>
      <c r="V414" s="50">
        <f>Table13678[[#This Row],[PAGU SEMULA]]-Table13678[[#This Row],[PAGU ANGGARAN]]</f>
        <v>-198350000</v>
      </c>
      <c r="W414" s="50">
        <f>Table13678[[#This Row],[PAGU SEMULA]]-Table13678[[#This Row],[PAGU ANGGARAN]]</f>
        <v>-198350000</v>
      </c>
      <c r="X414" t="s">
        <v>982</v>
      </c>
    </row>
    <row r="415" spans="3:24" hidden="1">
      <c r="C415" s="7" t="s">
        <v>35</v>
      </c>
      <c r="D415" s="7" t="s">
        <v>36</v>
      </c>
      <c r="E415" s="7" t="s">
        <v>37</v>
      </c>
      <c r="F415" s="7" t="s">
        <v>38</v>
      </c>
      <c r="G415" s="7" t="s">
        <v>39</v>
      </c>
      <c r="H415" s="15">
        <v>105000000</v>
      </c>
      <c r="I415" s="10" t="s">
        <v>478</v>
      </c>
      <c r="J415" s="7" t="s">
        <v>479</v>
      </c>
      <c r="K415" s="10" t="s">
        <v>196</v>
      </c>
      <c r="L415" s="7" t="s">
        <v>197</v>
      </c>
      <c r="M415" s="7"/>
      <c r="N415" s="7">
        <f>VLOOKUP(J415,[1]Sheet1!$C:$D,2,FALSE)</f>
        <v>1531</v>
      </c>
      <c r="O415" s="7">
        <f>VLOOKUP(J415,[2]Desa!$A:$D,4,FALSE)</f>
        <v>53</v>
      </c>
      <c r="P415" s="7">
        <f>VLOOKUP(J415,[3]Sheet1!$D:$F,3,FALSE)</f>
        <v>11</v>
      </c>
      <c r="Q415" s="7"/>
      <c r="R415" s="7"/>
      <c r="S415" s="12">
        <v>-8.7451993492556301</v>
      </c>
      <c r="T415" s="12">
        <v>115.920020602661</v>
      </c>
      <c r="U415" s="7"/>
      <c r="V415" s="50">
        <f>Table13678[[#This Row],[PAGU SEMULA]]-Table13678[[#This Row],[PAGU ANGGARAN]]</f>
        <v>-105000000</v>
      </c>
      <c r="W415" s="50">
        <f>Table13678[[#This Row],[PAGU SEMULA]]-Table13678[[#This Row],[PAGU ANGGARAN]]</f>
        <v>-105000000</v>
      </c>
      <c r="X415" t="s">
        <v>984</v>
      </c>
    </row>
    <row r="416" spans="3:24" hidden="1">
      <c r="C416" s="7" t="s">
        <v>35</v>
      </c>
      <c r="D416" s="7" t="s">
        <v>212</v>
      </c>
      <c r="E416" s="7" t="s">
        <v>213</v>
      </c>
      <c r="F416" s="7" t="s">
        <v>214</v>
      </c>
      <c r="G416" s="7" t="s">
        <v>482</v>
      </c>
      <c r="H416" s="17">
        <v>776362500</v>
      </c>
      <c r="I416" s="10" t="s">
        <v>478</v>
      </c>
      <c r="J416" s="7" t="s">
        <v>479</v>
      </c>
      <c r="K416" s="10" t="s">
        <v>196</v>
      </c>
      <c r="L416" s="7" t="s">
        <v>197</v>
      </c>
      <c r="M416" s="7"/>
      <c r="N416" s="7">
        <f>VLOOKUP(J416,[1]Sheet1!$C:$D,2,FALSE)</f>
        <v>1531</v>
      </c>
      <c r="O416" s="7">
        <f>VLOOKUP(J416,[2]Desa!$A:$D,4,FALSE)</f>
        <v>53</v>
      </c>
      <c r="P416" s="7">
        <f>VLOOKUP(J416,[3]Sheet1!$D:$F,3,FALSE)</f>
        <v>11</v>
      </c>
      <c r="Q416" s="7"/>
      <c r="R416" s="7"/>
      <c r="S416" s="12">
        <v>-8.7451993492556301</v>
      </c>
      <c r="T416" s="12">
        <v>115.920020602661</v>
      </c>
      <c r="U416" s="7"/>
      <c r="V416" s="50">
        <f>Table13678[[#This Row],[PAGU SEMULA]]-Table13678[[#This Row],[PAGU ANGGARAN]]</f>
        <v>-776362500</v>
      </c>
      <c r="W416" s="50">
        <f>Table13678[[#This Row],[PAGU SEMULA]]-Table13678[[#This Row],[PAGU ANGGARAN]]</f>
        <v>-776362500</v>
      </c>
      <c r="X416" t="s">
        <v>986</v>
      </c>
    </row>
    <row r="417" spans="3:24" hidden="1">
      <c r="C417" s="7" t="s">
        <v>35</v>
      </c>
      <c r="D417" s="7" t="s">
        <v>52</v>
      </c>
      <c r="E417" s="7" t="s">
        <v>95</v>
      </c>
      <c r="F417" s="7" t="s">
        <v>96</v>
      </c>
      <c r="G417" s="7" t="s">
        <v>41</v>
      </c>
      <c r="H417" s="17">
        <v>387000000</v>
      </c>
      <c r="I417" s="10" t="s">
        <v>478</v>
      </c>
      <c r="J417" s="7" t="s">
        <v>479</v>
      </c>
      <c r="K417" s="10" t="s">
        <v>196</v>
      </c>
      <c r="L417" s="7" t="s">
        <v>197</v>
      </c>
      <c r="M417" s="7"/>
      <c r="N417" s="7">
        <f>VLOOKUP(J417,[1]Sheet1!$C:$D,2,FALSE)</f>
        <v>1531</v>
      </c>
      <c r="O417" s="7">
        <f>VLOOKUP(J417,[2]Desa!$A:$D,4,FALSE)</f>
        <v>53</v>
      </c>
      <c r="P417" s="7">
        <f>VLOOKUP(J417,[3]Sheet1!$D:$F,3,FALSE)</f>
        <v>11</v>
      </c>
      <c r="Q417" s="7"/>
      <c r="R417" s="7"/>
      <c r="S417" s="12">
        <v>-8.7451993492556301</v>
      </c>
      <c r="T417" s="12">
        <v>115.920020602661</v>
      </c>
      <c r="U417" s="7"/>
      <c r="V417" s="50">
        <f>Table13678[[#This Row],[PAGU SEMULA]]-Table13678[[#This Row],[PAGU ANGGARAN]]</f>
        <v>-387000000</v>
      </c>
      <c r="W417" s="50">
        <f>Table13678[[#This Row],[PAGU SEMULA]]-Table13678[[#This Row],[PAGU ANGGARAN]]</f>
        <v>-387000000</v>
      </c>
      <c r="X417" t="s">
        <v>986</v>
      </c>
    </row>
    <row r="418" spans="3:24" hidden="1">
      <c r="C418" s="7" t="s">
        <v>46</v>
      </c>
      <c r="D418" s="7" t="s">
        <v>47</v>
      </c>
      <c r="E418" s="7" t="s">
        <v>48</v>
      </c>
      <c r="F418" s="7" t="s">
        <v>203</v>
      </c>
      <c r="G418" s="71" t="s">
        <v>204</v>
      </c>
      <c r="H418" s="8">
        <v>94220000</v>
      </c>
      <c r="I418" s="10" t="s">
        <v>478</v>
      </c>
      <c r="J418" s="7" t="s">
        <v>479</v>
      </c>
      <c r="K418" s="10" t="s">
        <v>196</v>
      </c>
      <c r="L418" s="7" t="s">
        <v>197</v>
      </c>
      <c r="M418" s="7"/>
      <c r="N418" s="7">
        <f>VLOOKUP(J418,[1]Sheet1!$C:$D,2,FALSE)</f>
        <v>1531</v>
      </c>
      <c r="O418" s="7">
        <f>VLOOKUP(J418,[2]Desa!$A:$D,4,FALSE)</f>
        <v>53</v>
      </c>
      <c r="P418" s="7">
        <f>VLOOKUP(J418,[3]Sheet1!$D:$F,3,FALSE)</f>
        <v>11</v>
      </c>
      <c r="Q418" s="7"/>
      <c r="R418" s="7"/>
      <c r="S418" s="12">
        <v>-8.7451993492556301</v>
      </c>
      <c r="T418" s="12">
        <v>115.920020602661</v>
      </c>
      <c r="U418" s="7"/>
      <c r="V418" s="50">
        <f>Table13678[[#This Row],[PAGU SEMULA]]-Table13678[[#This Row],[PAGU ANGGARAN]]</f>
        <v>-94220000</v>
      </c>
      <c r="W418" s="50">
        <f>Table13678[[#This Row],[PAGU SEMULA]]-Table13678[[#This Row],[PAGU ANGGARAN]]</f>
        <v>-94220000</v>
      </c>
      <c r="X418" t="s">
        <v>987</v>
      </c>
    </row>
    <row r="419" spans="3:24" hidden="1">
      <c r="C419" s="7" t="s">
        <v>46</v>
      </c>
      <c r="D419" s="7" t="s">
        <v>47</v>
      </c>
      <c r="E419" s="7" t="s">
        <v>48</v>
      </c>
      <c r="F419" s="7" t="s">
        <v>282</v>
      </c>
      <c r="G419" s="7" t="s">
        <v>283</v>
      </c>
      <c r="H419" s="8">
        <v>99000000</v>
      </c>
      <c r="I419" s="10" t="s">
        <v>478</v>
      </c>
      <c r="J419" s="7" t="s">
        <v>479</v>
      </c>
      <c r="K419" s="10" t="s">
        <v>196</v>
      </c>
      <c r="L419" s="7" t="s">
        <v>197</v>
      </c>
      <c r="M419" s="7"/>
      <c r="N419" s="7">
        <f>VLOOKUP(J419,[1]Sheet1!$C:$D,2,FALSE)</f>
        <v>1531</v>
      </c>
      <c r="O419" s="7">
        <f>VLOOKUP(J419,[2]Desa!$A:$D,4,FALSE)</f>
        <v>53</v>
      </c>
      <c r="P419" s="7">
        <f>VLOOKUP(J419,[3]Sheet1!$D:$F,3,FALSE)</f>
        <v>11</v>
      </c>
      <c r="Q419" s="7"/>
      <c r="R419" s="7"/>
      <c r="S419" s="12">
        <v>-8.7451993492556301</v>
      </c>
      <c r="T419" s="12">
        <v>115.920020602661</v>
      </c>
      <c r="U419" s="7"/>
      <c r="V419" s="50">
        <f>Table13678[[#This Row],[PAGU SEMULA]]-Table13678[[#This Row],[PAGU ANGGARAN]]</f>
        <v>-99000000</v>
      </c>
      <c r="W419" s="50">
        <f>Table13678[[#This Row],[PAGU SEMULA]]-Table13678[[#This Row],[PAGU ANGGARAN]]</f>
        <v>-99000000</v>
      </c>
      <c r="X419" t="s">
        <v>987</v>
      </c>
    </row>
    <row r="420" spans="3:24" hidden="1">
      <c r="C420" s="7" t="s">
        <v>46</v>
      </c>
      <c r="D420" s="7" t="s">
        <v>100</v>
      </c>
      <c r="E420" s="7" t="s">
        <v>101</v>
      </c>
      <c r="F420" s="7" t="s">
        <v>102</v>
      </c>
      <c r="G420" s="7" t="s">
        <v>483</v>
      </c>
      <c r="H420" s="8">
        <v>199582500</v>
      </c>
      <c r="I420" s="10" t="s">
        <v>478</v>
      </c>
      <c r="J420" s="7" t="s">
        <v>479</v>
      </c>
      <c r="K420" s="10" t="s">
        <v>196</v>
      </c>
      <c r="L420" s="7" t="s">
        <v>197</v>
      </c>
      <c r="M420" s="7"/>
      <c r="N420" s="7">
        <f>VLOOKUP(J420,[1]Sheet1!$C:$D,2,FALSE)</f>
        <v>1531</v>
      </c>
      <c r="O420" s="7">
        <f>VLOOKUP(J420,[2]Desa!$A:$D,4,FALSE)</f>
        <v>53</v>
      </c>
      <c r="P420" s="7">
        <f>VLOOKUP(J420,[3]Sheet1!$D:$F,3,FALSE)</f>
        <v>11</v>
      </c>
      <c r="Q420" s="7"/>
      <c r="R420" s="7"/>
      <c r="S420" s="12">
        <v>-8.7451993492556301</v>
      </c>
      <c r="T420" s="12">
        <v>115.920020602661</v>
      </c>
      <c r="U420" s="7"/>
      <c r="V420" s="50">
        <f>Table13678[[#This Row],[PAGU SEMULA]]-Table13678[[#This Row],[PAGU ANGGARAN]]</f>
        <v>-199582500</v>
      </c>
      <c r="W420" s="50">
        <f>Table13678[[#This Row],[PAGU SEMULA]]-Table13678[[#This Row],[PAGU ANGGARAN]]</f>
        <v>-199582500</v>
      </c>
      <c r="X420" t="s">
        <v>987</v>
      </c>
    </row>
    <row r="421" spans="3:24" hidden="1">
      <c r="C421" s="7" t="s">
        <v>29</v>
      </c>
      <c r="D421" s="7" t="s">
        <v>30</v>
      </c>
      <c r="E421" s="7" t="s">
        <v>31</v>
      </c>
      <c r="F421" s="7" t="s">
        <v>32</v>
      </c>
      <c r="G421" s="7" t="s">
        <v>33</v>
      </c>
      <c r="H421" s="8">
        <v>293160000</v>
      </c>
      <c r="I421" s="10" t="s">
        <v>484</v>
      </c>
      <c r="J421" s="7" t="s">
        <v>485</v>
      </c>
      <c r="K421" s="10" t="s">
        <v>167</v>
      </c>
      <c r="L421" s="7" t="s">
        <v>168</v>
      </c>
      <c r="M421" s="7"/>
      <c r="N421" s="7">
        <f>VLOOKUP(J421,[1]Sheet1!$C:$D,2,FALSE)</f>
        <v>3045</v>
      </c>
      <c r="O421" s="7">
        <f>VLOOKUP(J421,[2]Desa!$A:$D,4,FALSE)</f>
        <v>112</v>
      </c>
      <c r="P421" s="7">
        <f>VLOOKUP(J421,[3]Sheet1!$D:$F,3,FALSE)</f>
        <v>25</v>
      </c>
      <c r="Q421" s="7"/>
      <c r="R421" s="7"/>
      <c r="S421" s="12">
        <v>-8.5341018791342904</v>
      </c>
      <c r="T421" s="12">
        <v>116.168047935516</v>
      </c>
      <c r="U421" s="7"/>
      <c r="V421" s="50">
        <f>Table13678[[#This Row],[PAGU SEMULA]]-Table13678[[#This Row],[PAGU ANGGARAN]]</f>
        <v>-293160000</v>
      </c>
      <c r="W421" s="50">
        <f>Table13678[[#This Row],[PAGU SEMULA]]-Table13678[[#This Row],[PAGU ANGGARAN]]</f>
        <v>-293160000</v>
      </c>
      <c r="X421" t="s">
        <v>984</v>
      </c>
    </row>
    <row r="422" spans="3:24" hidden="1">
      <c r="C422" s="7" t="s">
        <v>29</v>
      </c>
      <c r="D422" s="7" t="s">
        <v>30</v>
      </c>
      <c r="E422" s="7" t="s">
        <v>31</v>
      </c>
      <c r="F422" s="7" t="s">
        <v>32</v>
      </c>
      <c r="G422" s="7" t="s">
        <v>34</v>
      </c>
      <c r="H422" s="8">
        <v>23452800</v>
      </c>
      <c r="I422" s="10" t="s">
        <v>484</v>
      </c>
      <c r="J422" s="7" t="s">
        <v>485</v>
      </c>
      <c r="K422" s="10" t="s">
        <v>167</v>
      </c>
      <c r="L422" s="7" t="s">
        <v>168</v>
      </c>
      <c r="M422" s="7"/>
      <c r="N422" s="7">
        <f>VLOOKUP(J422,[1]Sheet1!$C:$D,2,FALSE)</f>
        <v>3045</v>
      </c>
      <c r="O422" s="7">
        <f>VLOOKUP(J422,[2]Desa!$A:$D,4,FALSE)</f>
        <v>112</v>
      </c>
      <c r="P422" s="7">
        <f>VLOOKUP(J422,[3]Sheet1!$D:$F,3,FALSE)</f>
        <v>25</v>
      </c>
      <c r="Q422" s="7"/>
      <c r="R422" s="7"/>
      <c r="S422" s="12">
        <v>-8.5341018791342904</v>
      </c>
      <c r="T422" s="12">
        <v>116.168047935516</v>
      </c>
      <c r="U422" s="7"/>
      <c r="V422" s="50">
        <f>Table13678[[#This Row],[PAGU SEMULA]]-Table13678[[#This Row],[PAGU ANGGARAN]]</f>
        <v>-23452800</v>
      </c>
      <c r="W422" s="50">
        <f>Table13678[[#This Row],[PAGU SEMULA]]-Table13678[[#This Row],[PAGU ANGGARAN]]</f>
        <v>-23452800</v>
      </c>
      <c r="X422" t="s">
        <v>984</v>
      </c>
    </row>
    <row r="423" spans="3:24" hidden="1">
      <c r="C423" s="7" t="s">
        <v>84</v>
      </c>
      <c r="D423" s="7" t="s">
        <v>85</v>
      </c>
      <c r="E423" s="7" t="s">
        <v>86</v>
      </c>
      <c r="F423" s="7" t="s">
        <v>87</v>
      </c>
      <c r="G423" s="7" t="s">
        <v>486</v>
      </c>
      <c r="H423" s="8">
        <v>449140000</v>
      </c>
      <c r="I423" s="10" t="s">
        <v>484</v>
      </c>
      <c r="J423" s="7" t="s">
        <v>485</v>
      </c>
      <c r="K423" s="10" t="s">
        <v>167</v>
      </c>
      <c r="L423" s="7" t="s">
        <v>168</v>
      </c>
      <c r="M423" s="7"/>
      <c r="N423" s="7">
        <f>VLOOKUP(J423,[1]Sheet1!$C:$D,2,FALSE)</f>
        <v>3045</v>
      </c>
      <c r="O423" s="7">
        <f>VLOOKUP(J423,[2]Desa!$A:$D,4,FALSE)</f>
        <v>112</v>
      </c>
      <c r="P423" s="7">
        <f>VLOOKUP(J423,[3]Sheet1!$D:$F,3,FALSE)</f>
        <v>25</v>
      </c>
      <c r="Q423" s="7"/>
      <c r="R423" s="7"/>
      <c r="S423" s="12">
        <v>-8.5341018791342904</v>
      </c>
      <c r="T423" s="12">
        <v>116.168047935516</v>
      </c>
      <c r="U423" s="7"/>
      <c r="V423" s="50">
        <f>Table13678[[#This Row],[PAGU SEMULA]]-Table13678[[#This Row],[PAGU ANGGARAN]]</f>
        <v>-449140000</v>
      </c>
      <c r="W423" s="50">
        <f>Table13678[[#This Row],[PAGU SEMULA]]-Table13678[[#This Row],[PAGU ANGGARAN]]</f>
        <v>-449140000</v>
      </c>
      <c r="X423" t="s">
        <v>982</v>
      </c>
    </row>
    <row r="424" spans="3:24" hidden="1">
      <c r="C424" s="73" t="s">
        <v>962</v>
      </c>
      <c r="D424" s="29"/>
      <c r="E424" s="29"/>
      <c r="F424" s="29"/>
      <c r="G424" s="7" t="s">
        <v>39</v>
      </c>
      <c r="H424" s="8">
        <v>175000000</v>
      </c>
      <c r="I424" s="10" t="s">
        <v>484</v>
      </c>
      <c r="J424" s="7" t="s">
        <v>485</v>
      </c>
      <c r="K424" s="10" t="s">
        <v>167</v>
      </c>
      <c r="L424" s="7" t="s">
        <v>168</v>
      </c>
      <c r="M424" s="29"/>
      <c r="N424" s="29">
        <f>VLOOKUP(J424,[1]Sheet1!$C:$D,2,FALSE)</f>
        <v>3045</v>
      </c>
      <c r="O424" s="29">
        <f>VLOOKUP(J424,[2]Desa!$A:$D,4,FALSE)</f>
        <v>112</v>
      </c>
      <c r="P424" s="29">
        <f>VLOOKUP(J424,[3]Sheet1!$D:$F,3,FALSE)</f>
        <v>25</v>
      </c>
      <c r="Q424" s="29"/>
      <c r="R424" s="35"/>
      <c r="S424" s="36"/>
      <c r="T424" s="32"/>
      <c r="U424" s="25">
        <v>0</v>
      </c>
      <c r="V424" s="54">
        <f>Table13678[[#This Row],[PAGU SEMULA]]-Table13678[[#This Row],[PAGU ANGGARAN]]</f>
        <v>-175000000</v>
      </c>
      <c r="W424" s="54">
        <f>Table13678[[#This Row],[PAGU SEMULA]]-Table13678[[#This Row],[PAGU ANGGARAN]]</f>
        <v>-175000000</v>
      </c>
      <c r="X424" s="70" t="s">
        <v>984</v>
      </c>
    </row>
    <row r="425" spans="3:24" hidden="1">
      <c r="C425" s="7" t="s">
        <v>35</v>
      </c>
      <c r="D425" s="7" t="s">
        <v>36</v>
      </c>
      <c r="E425" s="7" t="s">
        <v>37</v>
      </c>
      <c r="F425" s="7" t="s">
        <v>38</v>
      </c>
      <c r="G425" s="7" t="s">
        <v>39</v>
      </c>
      <c r="H425" s="61">
        <v>0</v>
      </c>
      <c r="I425" s="10" t="s">
        <v>484</v>
      </c>
      <c r="J425" s="7" t="s">
        <v>485</v>
      </c>
      <c r="K425" s="10" t="s">
        <v>167</v>
      </c>
      <c r="L425" s="7" t="s">
        <v>168</v>
      </c>
      <c r="M425" s="7"/>
      <c r="N425" s="7">
        <f>VLOOKUP(J425,[1]Sheet1!$C:$D,2,FALSE)</f>
        <v>3045</v>
      </c>
      <c r="O425" s="7">
        <f>VLOOKUP(J425,[2]Desa!$A:$D,4,FALSE)</f>
        <v>112</v>
      </c>
      <c r="P425" s="7">
        <f>VLOOKUP(J425,[3]Sheet1!$D:$F,3,FALSE)</f>
        <v>25</v>
      </c>
      <c r="Q425" s="7"/>
      <c r="R425" s="7"/>
      <c r="S425" s="12">
        <v>-8.5341018791342904</v>
      </c>
      <c r="T425" s="12">
        <v>116.168047935516</v>
      </c>
      <c r="U425" s="63">
        <v>75000000</v>
      </c>
      <c r="V425" s="57">
        <f>Table13678[[#This Row],[PAGU SEMULA]]-Table13678[[#This Row],[PAGU ANGGARAN]]</f>
        <v>75000000</v>
      </c>
      <c r="W425" s="50">
        <f>Table13678[[#This Row],[PAGU SEMULA]]-Table13678[[#This Row],[PAGU ANGGARAN]]</f>
        <v>75000000</v>
      </c>
      <c r="X425" t="s">
        <v>984</v>
      </c>
    </row>
    <row r="426" spans="3:24" hidden="1">
      <c r="C426" s="7" t="s">
        <v>35</v>
      </c>
      <c r="D426" s="7" t="s">
        <v>36</v>
      </c>
      <c r="E426" s="7" t="s">
        <v>37</v>
      </c>
      <c r="F426" s="7" t="s">
        <v>38</v>
      </c>
      <c r="G426" s="7" t="s">
        <v>39</v>
      </c>
      <c r="H426" s="68">
        <f>75000000+(5.4%*75000000)</f>
        <v>79050000</v>
      </c>
      <c r="I426" s="10" t="s">
        <v>484</v>
      </c>
      <c r="J426" s="7" t="s">
        <v>485</v>
      </c>
      <c r="K426" s="10" t="s">
        <v>167</v>
      </c>
      <c r="L426" s="7" t="s">
        <v>168</v>
      </c>
      <c r="M426" s="7"/>
      <c r="N426" s="7">
        <f>VLOOKUP(J426,[1]Sheet1!$C:$D,2,FALSE)</f>
        <v>3045</v>
      </c>
      <c r="O426" s="7">
        <f>VLOOKUP(J426,[2]Desa!$A:$D,4,FALSE)</f>
        <v>112</v>
      </c>
      <c r="P426" s="7">
        <f>VLOOKUP(J426,[3]Sheet1!$D:$F,3,FALSE)</f>
        <v>25</v>
      </c>
      <c r="Q426" s="7"/>
      <c r="R426" s="7"/>
      <c r="S426" s="12">
        <v>-8.5341018791342904</v>
      </c>
      <c r="T426" s="12">
        <v>116.168047935516</v>
      </c>
      <c r="U426" s="64">
        <v>175000000</v>
      </c>
      <c r="V426" s="57">
        <f>Table13678[[#This Row],[PAGU SEMULA]]-Table13678[[#This Row],[PAGU ANGGARAN]]</f>
        <v>95950000</v>
      </c>
      <c r="W426" s="50">
        <f>Table13678[[#This Row],[PAGU SEMULA]]-Table13678[[#This Row],[PAGU ANGGARAN]]</f>
        <v>95950000</v>
      </c>
      <c r="X426" t="s">
        <v>984</v>
      </c>
    </row>
    <row r="427" spans="3:24" hidden="1">
      <c r="C427" s="7" t="s">
        <v>29</v>
      </c>
      <c r="D427" s="7" t="s">
        <v>30</v>
      </c>
      <c r="E427" s="7" t="s">
        <v>31</v>
      </c>
      <c r="F427" s="7" t="s">
        <v>32</v>
      </c>
      <c r="G427" s="7" t="s">
        <v>33</v>
      </c>
      <c r="H427" s="8">
        <v>218400000</v>
      </c>
      <c r="I427" s="10" t="s">
        <v>487</v>
      </c>
      <c r="J427" s="7" t="s">
        <v>488</v>
      </c>
      <c r="K427" s="10" t="s">
        <v>235</v>
      </c>
      <c r="L427" s="7" t="s">
        <v>236</v>
      </c>
      <c r="M427" s="7"/>
      <c r="N427" s="7">
        <f>VLOOKUP(J427,[1]Sheet1!$C:$D,2,FALSE)</f>
        <v>4702</v>
      </c>
      <c r="O427" s="7">
        <f>VLOOKUP(J427,[2]Desa!$A:$D,4,FALSE)</f>
        <v>251</v>
      </c>
      <c r="P427" s="7">
        <f>VLOOKUP(J427,[3]Sheet1!$D:$F,3,FALSE)</f>
        <v>36</v>
      </c>
      <c r="Q427" s="7"/>
      <c r="R427" s="7"/>
      <c r="S427" s="12">
        <v>-8.7126574656728302</v>
      </c>
      <c r="T427" s="12">
        <v>116.177257023745</v>
      </c>
      <c r="U427" s="7"/>
      <c r="V427" s="50">
        <f>Table13678[[#This Row],[PAGU SEMULA]]-Table13678[[#This Row],[PAGU ANGGARAN]]</f>
        <v>-218400000</v>
      </c>
      <c r="W427" s="50">
        <f>Table13678[[#This Row],[PAGU SEMULA]]-Table13678[[#This Row],[PAGU ANGGARAN]]</f>
        <v>-218400000</v>
      </c>
      <c r="X427" t="s">
        <v>984</v>
      </c>
    </row>
    <row r="428" spans="3:24" hidden="1">
      <c r="C428" s="7" t="s">
        <v>29</v>
      </c>
      <c r="D428" s="7" t="s">
        <v>30</v>
      </c>
      <c r="E428" s="7" t="s">
        <v>31</v>
      </c>
      <c r="F428" s="7" t="s">
        <v>32</v>
      </c>
      <c r="G428" s="7" t="s">
        <v>34</v>
      </c>
      <c r="H428" s="8">
        <v>17472000</v>
      </c>
      <c r="I428" s="10" t="s">
        <v>487</v>
      </c>
      <c r="J428" s="7" t="s">
        <v>488</v>
      </c>
      <c r="K428" s="10" t="s">
        <v>235</v>
      </c>
      <c r="L428" s="7" t="s">
        <v>236</v>
      </c>
      <c r="M428" s="7"/>
      <c r="N428" s="7">
        <f>VLOOKUP(J428,[1]Sheet1!$C:$D,2,FALSE)</f>
        <v>4702</v>
      </c>
      <c r="O428" s="7">
        <f>VLOOKUP(J428,[2]Desa!$A:$D,4,FALSE)</f>
        <v>251</v>
      </c>
      <c r="P428" s="7">
        <f>VLOOKUP(J428,[3]Sheet1!$D:$F,3,FALSE)</f>
        <v>36</v>
      </c>
      <c r="Q428" s="7"/>
      <c r="R428" s="7"/>
      <c r="S428" s="12">
        <v>-8.7126574656728302</v>
      </c>
      <c r="T428" s="12">
        <v>116.177257023745</v>
      </c>
      <c r="U428" s="7"/>
      <c r="V428" s="50">
        <f>Table13678[[#This Row],[PAGU SEMULA]]-Table13678[[#This Row],[PAGU ANGGARAN]]</f>
        <v>-17472000</v>
      </c>
      <c r="W428" s="50">
        <f>Table13678[[#This Row],[PAGU SEMULA]]-Table13678[[#This Row],[PAGU ANGGARAN]]</f>
        <v>-17472000</v>
      </c>
      <c r="X428" t="s">
        <v>984</v>
      </c>
    </row>
    <row r="429" spans="3:24" hidden="1">
      <c r="C429" s="7" t="s">
        <v>84</v>
      </c>
      <c r="D429" s="7" t="s">
        <v>85</v>
      </c>
      <c r="E429" s="7" t="s">
        <v>86</v>
      </c>
      <c r="F429" s="7" t="s">
        <v>87</v>
      </c>
      <c r="G429" s="7" t="s">
        <v>229</v>
      </c>
      <c r="H429" s="8">
        <v>68250000</v>
      </c>
      <c r="I429" s="10" t="s">
        <v>487</v>
      </c>
      <c r="J429" s="7" t="s">
        <v>488</v>
      </c>
      <c r="K429" s="10" t="s">
        <v>235</v>
      </c>
      <c r="L429" s="7" t="s">
        <v>236</v>
      </c>
      <c r="M429" s="7"/>
      <c r="N429" s="7">
        <f>VLOOKUP(J429,[1]Sheet1!$C:$D,2,FALSE)</f>
        <v>4702</v>
      </c>
      <c r="O429" s="7">
        <f>VLOOKUP(J429,[2]Desa!$A:$D,4,FALSE)</f>
        <v>251</v>
      </c>
      <c r="P429" s="7">
        <f>VLOOKUP(J429,[3]Sheet1!$D:$F,3,FALSE)</f>
        <v>36</v>
      </c>
      <c r="Q429" s="7"/>
      <c r="R429" s="7"/>
      <c r="S429" s="12">
        <v>-8.7126574656728302</v>
      </c>
      <c r="T429" s="12">
        <v>116.177257023745</v>
      </c>
      <c r="U429" s="7"/>
      <c r="V429" s="50">
        <f>Table13678[[#This Row],[PAGU SEMULA]]-Table13678[[#This Row],[PAGU ANGGARAN]]</f>
        <v>-68250000</v>
      </c>
      <c r="W429" s="50">
        <f>Table13678[[#This Row],[PAGU SEMULA]]-Table13678[[#This Row],[PAGU ANGGARAN]]</f>
        <v>-68250000</v>
      </c>
      <c r="X429" t="s">
        <v>982</v>
      </c>
    </row>
    <row r="430" spans="3:24" hidden="1">
      <c r="C430" s="7" t="s">
        <v>84</v>
      </c>
      <c r="D430" s="7" t="s">
        <v>89</v>
      </c>
      <c r="E430" s="7" t="s">
        <v>90</v>
      </c>
      <c r="F430" s="7" t="s">
        <v>91</v>
      </c>
      <c r="G430" s="7" t="s">
        <v>231</v>
      </c>
      <c r="H430" s="8">
        <v>68250000</v>
      </c>
      <c r="I430" s="10" t="s">
        <v>487</v>
      </c>
      <c r="J430" s="7" t="s">
        <v>488</v>
      </c>
      <c r="K430" s="10" t="s">
        <v>235</v>
      </c>
      <c r="L430" s="7" t="s">
        <v>236</v>
      </c>
      <c r="M430" s="7"/>
      <c r="N430" s="7">
        <f>VLOOKUP(J430,[1]Sheet1!$C:$D,2,FALSE)</f>
        <v>4702</v>
      </c>
      <c r="O430" s="7">
        <f>VLOOKUP(J430,[2]Desa!$A:$D,4,FALSE)</f>
        <v>251</v>
      </c>
      <c r="P430" s="7">
        <f>VLOOKUP(J430,[3]Sheet1!$D:$F,3,FALSE)</f>
        <v>36</v>
      </c>
      <c r="Q430" s="7"/>
      <c r="R430" s="7"/>
      <c r="S430" s="12">
        <v>-8.7126574656728302</v>
      </c>
      <c r="T430" s="12">
        <v>116.177257023745</v>
      </c>
      <c r="U430" s="7"/>
      <c r="V430" s="50">
        <f>Table13678[[#This Row],[PAGU SEMULA]]-Table13678[[#This Row],[PAGU ANGGARAN]]</f>
        <v>-68250000</v>
      </c>
      <c r="W430" s="50">
        <f>Table13678[[#This Row],[PAGU SEMULA]]-Table13678[[#This Row],[PAGU ANGGARAN]]</f>
        <v>-68250000</v>
      </c>
      <c r="X430" t="s">
        <v>982</v>
      </c>
    </row>
    <row r="431" spans="3:24" hidden="1">
      <c r="C431" s="7" t="s">
        <v>151</v>
      </c>
      <c r="D431" s="7" t="s">
        <v>152</v>
      </c>
      <c r="E431" s="7" t="s">
        <v>153</v>
      </c>
      <c r="F431" s="7" t="s">
        <v>154</v>
      </c>
      <c r="G431" s="7" t="s">
        <v>155</v>
      </c>
      <c r="H431" s="8">
        <v>130000000</v>
      </c>
      <c r="I431" s="10" t="s">
        <v>487</v>
      </c>
      <c r="J431" s="7" t="s">
        <v>488</v>
      </c>
      <c r="K431" s="10" t="s">
        <v>235</v>
      </c>
      <c r="L431" s="7" t="s">
        <v>236</v>
      </c>
      <c r="M431" s="7"/>
      <c r="N431" s="7">
        <f>VLOOKUP(J431,[1]Sheet1!$C:$D,2,FALSE)</f>
        <v>4702</v>
      </c>
      <c r="O431" s="7">
        <f>VLOOKUP(J431,[2]Desa!$A:$D,4,FALSE)</f>
        <v>251</v>
      </c>
      <c r="P431" s="7">
        <f>VLOOKUP(J431,[3]Sheet1!$D:$F,3,FALSE)</f>
        <v>36</v>
      </c>
      <c r="Q431" s="7"/>
      <c r="R431" s="7"/>
      <c r="S431" s="12">
        <v>-8.7126574656728302</v>
      </c>
      <c r="T431" s="12">
        <v>116.177257023745</v>
      </c>
      <c r="U431" s="7"/>
      <c r="V431" s="50">
        <f>Table13678[[#This Row],[PAGU SEMULA]]-Table13678[[#This Row],[PAGU ANGGARAN]]</f>
        <v>-130000000</v>
      </c>
      <c r="W431" s="50">
        <f>Table13678[[#This Row],[PAGU SEMULA]]-Table13678[[#This Row],[PAGU ANGGARAN]]</f>
        <v>-130000000</v>
      </c>
      <c r="X431" t="s">
        <v>987</v>
      </c>
    </row>
    <row r="432" spans="3:24" hidden="1">
      <c r="C432" s="7" t="s">
        <v>35</v>
      </c>
      <c r="D432" s="7" t="s">
        <v>36</v>
      </c>
      <c r="E432" s="7" t="s">
        <v>37</v>
      </c>
      <c r="F432" s="7" t="s">
        <v>38</v>
      </c>
      <c r="G432" s="7" t="s">
        <v>39</v>
      </c>
      <c r="H432" s="15">
        <v>75000000</v>
      </c>
      <c r="I432" s="10" t="s">
        <v>487</v>
      </c>
      <c r="J432" s="7" t="s">
        <v>488</v>
      </c>
      <c r="K432" s="10" t="s">
        <v>235</v>
      </c>
      <c r="L432" s="7" t="s">
        <v>236</v>
      </c>
      <c r="M432" s="7"/>
      <c r="N432" s="7">
        <f>VLOOKUP(J432,[1]Sheet1!$C:$D,2,FALSE)</f>
        <v>4702</v>
      </c>
      <c r="O432" s="7">
        <f>VLOOKUP(J432,[2]Desa!$A:$D,4,FALSE)</f>
        <v>251</v>
      </c>
      <c r="P432" s="7">
        <f>VLOOKUP(J432,[3]Sheet1!$D:$F,3,FALSE)</f>
        <v>36</v>
      </c>
      <c r="Q432" s="7"/>
      <c r="R432" s="7"/>
      <c r="S432" s="12">
        <v>-8.7126574656728302</v>
      </c>
      <c r="T432" s="12">
        <v>116.177257023745</v>
      </c>
      <c r="U432" s="7"/>
      <c r="V432" s="50">
        <f>Table13678[[#This Row],[PAGU SEMULA]]-Table13678[[#This Row],[PAGU ANGGARAN]]</f>
        <v>-75000000</v>
      </c>
      <c r="W432" s="50">
        <f>Table13678[[#This Row],[PAGU SEMULA]]-Table13678[[#This Row],[PAGU ANGGARAN]]</f>
        <v>-75000000</v>
      </c>
      <c r="X432" t="s">
        <v>984</v>
      </c>
    </row>
    <row r="433" spans="3:24" hidden="1">
      <c r="C433" s="7" t="s">
        <v>35</v>
      </c>
      <c r="D433" s="7" t="s">
        <v>42</v>
      </c>
      <c r="E433" s="7" t="s">
        <v>43</v>
      </c>
      <c r="F433" s="7" t="s">
        <v>44</v>
      </c>
      <c r="G433" s="7" t="s">
        <v>489</v>
      </c>
      <c r="H433" s="15">
        <v>90000000</v>
      </c>
      <c r="I433" s="10" t="s">
        <v>487</v>
      </c>
      <c r="J433" s="7" t="s">
        <v>488</v>
      </c>
      <c r="K433" s="10" t="s">
        <v>235</v>
      </c>
      <c r="L433" s="7" t="s">
        <v>236</v>
      </c>
      <c r="M433" s="7"/>
      <c r="N433" s="7">
        <f>VLOOKUP(J433,[1]Sheet1!$C:$D,2,FALSE)</f>
        <v>4702</v>
      </c>
      <c r="O433" s="7">
        <f>VLOOKUP(J433,[2]Desa!$A:$D,4,FALSE)</f>
        <v>251</v>
      </c>
      <c r="P433" s="7">
        <f>VLOOKUP(J433,[3]Sheet1!$D:$F,3,FALSE)</f>
        <v>36</v>
      </c>
      <c r="Q433" s="7"/>
      <c r="R433" s="7"/>
      <c r="S433" s="12">
        <v>-8.7126574656728302</v>
      </c>
      <c r="T433" s="12">
        <v>116.177257023745</v>
      </c>
      <c r="U433" s="7"/>
      <c r="V433" s="50">
        <f>Table13678[[#This Row],[PAGU SEMULA]]-Table13678[[#This Row],[PAGU ANGGARAN]]</f>
        <v>-90000000</v>
      </c>
      <c r="W433" s="50">
        <f>Table13678[[#This Row],[PAGU SEMULA]]-Table13678[[#This Row],[PAGU ANGGARAN]]</f>
        <v>-90000000</v>
      </c>
      <c r="X433" t="s">
        <v>986</v>
      </c>
    </row>
    <row r="434" spans="3:24" hidden="1">
      <c r="C434" s="7" t="s">
        <v>51</v>
      </c>
      <c r="D434" s="7" t="s">
        <v>52</v>
      </c>
      <c r="E434" s="7" t="s">
        <v>53</v>
      </c>
      <c r="F434" s="7" t="s">
        <v>54</v>
      </c>
      <c r="G434" s="7" t="s">
        <v>73</v>
      </c>
      <c r="H434" s="8">
        <v>198640000</v>
      </c>
      <c r="I434" s="10" t="s">
        <v>487</v>
      </c>
      <c r="J434" s="7" t="s">
        <v>488</v>
      </c>
      <c r="K434" s="10" t="s">
        <v>235</v>
      </c>
      <c r="L434" s="7" t="s">
        <v>236</v>
      </c>
      <c r="M434" s="7"/>
      <c r="N434" s="7">
        <f>VLOOKUP(J434,[1]Sheet1!$C:$D,2,FALSE)</f>
        <v>4702</v>
      </c>
      <c r="O434" s="7">
        <f>VLOOKUP(J434,[2]Desa!$A:$D,4,FALSE)</f>
        <v>251</v>
      </c>
      <c r="P434" s="7">
        <f>VLOOKUP(J434,[3]Sheet1!$D:$F,3,FALSE)</f>
        <v>36</v>
      </c>
      <c r="Q434" s="7"/>
      <c r="R434" s="7"/>
      <c r="S434" s="12">
        <v>-8.7126574656728302</v>
      </c>
      <c r="T434" s="12">
        <v>116.177257023745</v>
      </c>
      <c r="U434" s="7"/>
      <c r="V434" s="50">
        <f>Table13678[[#This Row],[PAGU SEMULA]]-Table13678[[#This Row],[PAGU ANGGARAN]]</f>
        <v>-198640000</v>
      </c>
      <c r="W434" s="50">
        <f>Table13678[[#This Row],[PAGU SEMULA]]-Table13678[[#This Row],[PAGU ANGGARAN]]</f>
        <v>-198640000</v>
      </c>
      <c r="X434" t="s">
        <v>986</v>
      </c>
    </row>
    <row r="435" spans="3:24" hidden="1">
      <c r="C435" s="7" t="s">
        <v>51</v>
      </c>
      <c r="D435" s="7" t="s">
        <v>52</v>
      </c>
      <c r="E435" s="7" t="s">
        <v>53</v>
      </c>
      <c r="F435" s="7" t="s">
        <v>54</v>
      </c>
      <c r="G435" s="7" t="s">
        <v>73</v>
      </c>
      <c r="H435" s="8">
        <v>189090000</v>
      </c>
      <c r="I435" s="10" t="s">
        <v>487</v>
      </c>
      <c r="J435" s="7" t="s">
        <v>488</v>
      </c>
      <c r="K435" s="10" t="s">
        <v>235</v>
      </c>
      <c r="L435" s="7" t="s">
        <v>236</v>
      </c>
      <c r="M435" s="7"/>
      <c r="N435" s="7">
        <f>VLOOKUP(J435,[1]Sheet1!$C:$D,2,FALSE)</f>
        <v>4702</v>
      </c>
      <c r="O435" s="7">
        <f>VLOOKUP(J435,[2]Desa!$A:$D,4,FALSE)</f>
        <v>251</v>
      </c>
      <c r="P435" s="7">
        <f>VLOOKUP(J435,[3]Sheet1!$D:$F,3,FALSE)</f>
        <v>36</v>
      </c>
      <c r="Q435" s="7"/>
      <c r="R435" s="7"/>
      <c r="S435" s="12">
        <v>-8.7126574656728302</v>
      </c>
      <c r="T435" s="12">
        <v>116.177257023745</v>
      </c>
      <c r="U435" s="7"/>
      <c r="V435" s="50">
        <f>Table13678[[#This Row],[PAGU SEMULA]]-Table13678[[#This Row],[PAGU ANGGARAN]]</f>
        <v>-189090000</v>
      </c>
      <c r="W435" s="50">
        <f>Table13678[[#This Row],[PAGU SEMULA]]-Table13678[[#This Row],[PAGU ANGGARAN]]</f>
        <v>-189090000</v>
      </c>
      <c r="X435" t="s">
        <v>986</v>
      </c>
    </row>
    <row r="436" spans="3:24" hidden="1">
      <c r="C436" s="7" t="s">
        <v>51</v>
      </c>
      <c r="D436" s="7" t="s">
        <v>52</v>
      </c>
      <c r="E436" s="7" t="s">
        <v>53</v>
      </c>
      <c r="F436" s="7" t="s">
        <v>54</v>
      </c>
      <c r="G436" s="7" t="s">
        <v>73</v>
      </c>
      <c r="H436" s="8">
        <v>189090000</v>
      </c>
      <c r="I436" s="10" t="s">
        <v>487</v>
      </c>
      <c r="J436" s="7" t="s">
        <v>488</v>
      </c>
      <c r="K436" s="10" t="s">
        <v>235</v>
      </c>
      <c r="L436" s="7" t="s">
        <v>236</v>
      </c>
      <c r="M436" s="7"/>
      <c r="N436" s="7">
        <f>VLOOKUP(J436,[1]Sheet1!$C:$D,2,FALSE)</f>
        <v>4702</v>
      </c>
      <c r="O436" s="7">
        <f>VLOOKUP(J436,[2]Desa!$A:$D,4,FALSE)</f>
        <v>251</v>
      </c>
      <c r="P436" s="7">
        <f>VLOOKUP(J436,[3]Sheet1!$D:$F,3,FALSE)</f>
        <v>36</v>
      </c>
      <c r="Q436" s="7"/>
      <c r="R436" s="7"/>
      <c r="S436" s="12">
        <v>-8.7126574656728302</v>
      </c>
      <c r="T436" s="12">
        <v>116.177257023745</v>
      </c>
      <c r="U436" s="7"/>
      <c r="V436" s="50">
        <f>Table13678[[#This Row],[PAGU SEMULA]]-Table13678[[#This Row],[PAGU ANGGARAN]]</f>
        <v>-189090000</v>
      </c>
      <c r="W436" s="50">
        <f>Table13678[[#This Row],[PAGU SEMULA]]-Table13678[[#This Row],[PAGU ANGGARAN]]</f>
        <v>-189090000</v>
      </c>
      <c r="X436" t="s">
        <v>986</v>
      </c>
    </row>
    <row r="437" spans="3:24" hidden="1">
      <c r="C437" s="7" t="s">
        <v>29</v>
      </c>
      <c r="D437" s="7" t="s">
        <v>30</v>
      </c>
      <c r="E437" s="7" t="s">
        <v>31</v>
      </c>
      <c r="F437" s="7" t="s">
        <v>32</v>
      </c>
      <c r="G437" s="7" t="s">
        <v>33</v>
      </c>
      <c r="H437" s="8">
        <v>267540000</v>
      </c>
      <c r="I437" s="10" t="s">
        <v>490</v>
      </c>
      <c r="J437" s="7" t="s">
        <v>491</v>
      </c>
      <c r="K437" s="10" t="s">
        <v>27</v>
      </c>
      <c r="L437" s="7" t="s">
        <v>28</v>
      </c>
      <c r="M437" s="7"/>
      <c r="N437" s="7">
        <f>VLOOKUP(J437,[1]Sheet1!$C:$D,2,FALSE)</f>
        <v>3638</v>
      </c>
      <c r="O437" s="7">
        <f>VLOOKUP(J437,[2]Desa!$A:$D,4,FALSE)</f>
        <v>138</v>
      </c>
      <c r="P437" s="7">
        <f>VLOOKUP(J437,[3]Sheet1!$D:$F,3,FALSE)</f>
        <v>27</v>
      </c>
      <c r="Q437" s="7"/>
      <c r="R437" s="7"/>
      <c r="S437" s="12">
        <v>-8.6947952972741103</v>
      </c>
      <c r="T437" s="12">
        <v>116.121799877716</v>
      </c>
      <c r="U437" s="7"/>
      <c r="V437" s="50">
        <f>Table13678[[#This Row],[PAGU SEMULA]]-Table13678[[#This Row],[PAGU ANGGARAN]]</f>
        <v>-267540000</v>
      </c>
      <c r="W437" s="50">
        <f>Table13678[[#This Row],[PAGU SEMULA]]-Table13678[[#This Row],[PAGU ANGGARAN]]</f>
        <v>-267540000</v>
      </c>
      <c r="X437" t="s">
        <v>984</v>
      </c>
    </row>
    <row r="438" spans="3:24" hidden="1">
      <c r="C438" s="7" t="s">
        <v>29</v>
      </c>
      <c r="D438" s="7" t="s">
        <v>30</v>
      </c>
      <c r="E438" s="7" t="s">
        <v>31</v>
      </c>
      <c r="F438" s="7" t="s">
        <v>32</v>
      </c>
      <c r="G438" s="7" t="s">
        <v>34</v>
      </c>
      <c r="H438" s="8">
        <v>21403200</v>
      </c>
      <c r="I438" s="10" t="s">
        <v>490</v>
      </c>
      <c r="J438" s="7" t="s">
        <v>491</v>
      </c>
      <c r="K438" s="10" t="s">
        <v>27</v>
      </c>
      <c r="L438" s="7" t="s">
        <v>28</v>
      </c>
      <c r="M438" s="7"/>
      <c r="N438" s="7">
        <f>VLOOKUP(J438,[1]Sheet1!$C:$D,2,FALSE)</f>
        <v>3638</v>
      </c>
      <c r="O438" s="7">
        <f>VLOOKUP(J438,[2]Desa!$A:$D,4,FALSE)</f>
        <v>138</v>
      </c>
      <c r="P438" s="7">
        <f>VLOOKUP(J438,[3]Sheet1!$D:$F,3,FALSE)</f>
        <v>27</v>
      </c>
      <c r="Q438" s="7"/>
      <c r="R438" s="7"/>
      <c r="S438" s="12">
        <v>-8.6947952972741103</v>
      </c>
      <c r="T438" s="12">
        <v>116.121799877716</v>
      </c>
      <c r="U438" s="7"/>
      <c r="V438" s="50">
        <f>Table13678[[#This Row],[PAGU SEMULA]]-Table13678[[#This Row],[PAGU ANGGARAN]]</f>
        <v>-21403200</v>
      </c>
      <c r="W438" s="50">
        <f>Table13678[[#This Row],[PAGU SEMULA]]-Table13678[[#This Row],[PAGU ANGGARAN]]</f>
        <v>-21403200</v>
      </c>
      <c r="X438" t="s">
        <v>984</v>
      </c>
    </row>
    <row r="439" spans="3:24" hidden="1">
      <c r="C439" s="7" t="s">
        <v>492</v>
      </c>
      <c r="D439" s="7" t="s">
        <v>493</v>
      </c>
      <c r="E439" s="7" t="s">
        <v>494</v>
      </c>
      <c r="F439" s="7" t="s">
        <v>495</v>
      </c>
      <c r="G439" s="7" t="s">
        <v>496</v>
      </c>
      <c r="H439" s="8">
        <v>199800000</v>
      </c>
      <c r="I439" s="10" t="s">
        <v>490</v>
      </c>
      <c r="J439" s="7" t="s">
        <v>491</v>
      </c>
      <c r="K439" s="10" t="s">
        <v>27</v>
      </c>
      <c r="L439" s="7" t="s">
        <v>28</v>
      </c>
      <c r="M439" s="7"/>
      <c r="N439" s="7">
        <f>VLOOKUP(J439,[1]Sheet1!$C:$D,2,FALSE)</f>
        <v>3638</v>
      </c>
      <c r="O439" s="7">
        <f>VLOOKUP(J439,[2]Desa!$A:$D,4,FALSE)</f>
        <v>138</v>
      </c>
      <c r="P439" s="7">
        <f>VLOOKUP(J439,[3]Sheet1!$D:$F,3,FALSE)</f>
        <v>27</v>
      </c>
      <c r="Q439" s="7"/>
      <c r="R439" s="7"/>
      <c r="S439" s="12">
        <v>-8.6947952972741103</v>
      </c>
      <c r="T439" s="12">
        <v>116.121799877716</v>
      </c>
      <c r="U439" s="7"/>
      <c r="V439" s="50">
        <f>Table13678[[#This Row],[PAGU SEMULA]]-Table13678[[#This Row],[PAGU ANGGARAN]]</f>
        <v>-199800000</v>
      </c>
      <c r="W439" s="50">
        <f>Table13678[[#This Row],[PAGU SEMULA]]-Table13678[[#This Row],[PAGU ANGGARAN]]</f>
        <v>-199800000</v>
      </c>
      <c r="X439" t="s">
        <v>987</v>
      </c>
    </row>
    <row r="440" spans="3:24" hidden="1">
      <c r="C440" s="7" t="s">
        <v>35</v>
      </c>
      <c r="D440" s="7" t="s">
        <v>36</v>
      </c>
      <c r="E440" s="7" t="s">
        <v>37</v>
      </c>
      <c r="F440" s="7" t="s">
        <v>38</v>
      </c>
      <c r="G440" s="7" t="s">
        <v>39</v>
      </c>
      <c r="H440" s="15">
        <v>75000000</v>
      </c>
      <c r="I440" s="10" t="s">
        <v>490</v>
      </c>
      <c r="J440" s="7" t="s">
        <v>491</v>
      </c>
      <c r="K440" s="10" t="s">
        <v>27</v>
      </c>
      <c r="L440" s="7" t="s">
        <v>28</v>
      </c>
      <c r="M440" s="7"/>
      <c r="N440" s="7">
        <f>VLOOKUP(J440,[1]Sheet1!$C:$D,2,FALSE)</f>
        <v>3638</v>
      </c>
      <c r="O440" s="7">
        <f>VLOOKUP(J440,[2]Desa!$A:$D,4,FALSE)</f>
        <v>138</v>
      </c>
      <c r="P440" s="7">
        <f>VLOOKUP(J440,[3]Sheet1!$D:$F,3,FALSE)</f>
        <v>27</v>
      </c>
      <c r="Q440" s="7"/>
      <c r="R440" s="7"/>
      <c r="S440" s="12">
        <v>-8.6947952972741103</v>
      </c>
      <c r="T440" s="12">
        <v>116.121799877716</v>
      </c>
      <c r="U440" s="7"/>
      <c r="V440" s="50">
        <f>Table13678[[#This Row],[PAGU SEMULA]]-Table13678[[#This Row],[PAGU ANGGARAN]]</f>
        <v>-75000000</v>
      </c>
      <c r="W440" s="50">
        <f>Table13678[[#This Row],[PAGU SEMULA]]-Table13678[[#This Row],[PAGU ANGGARAN]]</f>
        <v>-75000000</v>
      </c>
      <c r="X440" t="s">
        <v>984</v>
      </c>
    </row>
    <row r="441" spans="3:24" hidden="1">
      <c r="C441" s="7" t="s">
        <v>35</v>
      </c>
      <c r="D441" s="7" t="s">
        <v>156</v>
      </c>
      <c r="E441" s="7" t="s">
        <v>157</v>
      </c>
      <c r="F441" s="7" t="s">
        <v>158</v>
      </c>
      <c r="G441" s="7" t="s">
        <v>497</v>
      </c>
      <c r="H441" s="15">
        <v>0</v>
      </c>
      <c r="I441" s="10" t="s">
        <v>490</v>
      </c>
      <c r="J441" s="7" t="s">
        <v>491</v>
      </c>
      <c r="K441" s="10" t="s">
        <v>27</v>
      </c>
      <c r="L441" s="7" t="s">
        <v>28</v>
      </c>
      <c r="M441" s="7"/>
      <c r="N441" s="7">
        <f>VLOOKUP(J441,[1]Sheet1!$C:$D,2,FALSE)</f>
        <v>3638</v>
      </c>
      <c r="O441" s="7">
        <f>VLOOKUP(J441,[2]Desa!$A:$D,4,FALSE)</f>
        <v>138</v>
      </c>
      <c r="P441" s="7">
        <f>VLOOKUP(J441,[3]Sheet1!$D:$F,3,FALSE)</f>
        <v>27</v>
      </c>
      <c r="Q441" s="7"/>
      <c r="R441" s="7"/>
      <c r="S441" s="12">
        <v>-8.6947952972741103</v>
      </c>
      <c r="T441" s="12">
        <v>116.121799877716</v>
      </c>
      <c r="U441" s="7"/>
      <c r="V441" s="50">
        <f>Table13678[[#This Row],[PAGU SEMULA]]-Table13678[[#This Row],[PAGU ANGGARAN]]</f>
        <v>0</v>
      </c>
      <c r="W441" s="50">
        <f>Table13678[[#This Row],[PAGU SEMULA]]-Table13678[[#This Row],[PAGU ANGGARAN]]</f>
        <v>0</v>
      </c>
      <c r="X441" t="s">
        <v>986</v>
      </c>
    </row>
    <row r="442" spans="3:24" hidden="1">
      <c r="C442" s="7" t="s">
        <v>35</v>
      </c>
      <c r="D442" s="7" t="s">
        <v>52</v>
      </c>
      <c r="E442" s="7" t="s">
        <v>95</v>
      </c>
      <c r="F442" s="7" t="s">
        <v>96</v>
      </c>
      <c r="G442" s="7" t="s">
        <v>498</v>
      </c>
      <c r="H442" s="17">
        <v>96750000</v>
      </c>
      <c r="I442" s="10" t="s">
        <v>490</v>
      </c>
      <c r="J442" s="7" t="s">
        <v>491</v>
      </c>
      <c r="K442" s="10" t="s">
        <v>27</v>
      </c>
      <c r="L442" s="7" t="s">
        <v>28</v>
      </c>
      <c r="M442" s="7"/>
      <c r="N442" s="7">
        <f>VLOOKUP(J442,[1]Sheet1!$C:$D,2,FALSE)</f>
        <v>3638</v>
      </c>
      <c r="O442" s="7">
        <f>VLOOKUP(J442,[2]Desa!$A:$D,4,FALSE)</f>
        <v>138</v>
      </c>
      <c r="P442" s="7">
        <f>VLOOKUP(J442,[3]Sheet1!$D:$F,3,FALSE)</f>
        <v>27</v>
      </c>
      <c r="Q442" s="7"/>
      <c r="R442" s="7"/>
      <c r="S442" s="12">
        <v>-8.6947952972741103</v>
      </c>
      <c r="T442" s="12">
        <v>116.121799877716</v>
      </c>
      <c r="U442" s="7"/>
      <c r="V442" s="50">
        <f>Table13678[[#This Row],[PAGU SEMULA]]-Table13678[[#This Row],[PAGU ANGGARAN]]</f>
        <v>-96750000</v>
      </c>
      <c r="W442" s="50">
        <f>Table13678[[#This Row],[PAGU SEMULA]]-Table13678[[#This Row],[PAGU ANGGARAN]]</f>
        <v>-96750000</v>
      </c>
      <c r="X442" t="s">
        <v>986</v>
      </c>
    </row>
    <row r="443" spans="3:24" hidden="1">
      <c r="C443" s="7" t="s">
        <v>35</v>
      </c>
      <c r="D443" s="7" t="s">
        <v>52</v>
      </c>
      <c r="E443" s="7" t="s">
        <v>95</v>
      </c>
      <c r="F443" s="7" t="s">
        <v>96</v>
      </c>
      <c r="G443" s="7" t="s">
        <v>499</v>
      </c>
      <c r="H443" s="17">
        <v>96750000</v>
      </c>
      <c r="I443" s="10" t="s">
        <v>490</v>
      </c>
      <c r="J443" s="7" t="s">
        <v>491</v>
      </c>
      <c r="K443" s="10" t="s">
        <v>27</v>
      </c>
      <c r="L443" s="7" t="s">
        <v>28</v>
      </c>
      <c r="M443" s="7"/>
      <c r="N443" s="7">
        <f>VLOOKUP(J443,[1]Sheet1!$C:$D,2,FALSE)</f>
        <v>3638</v>
      </c>
      <c r="O443" s="7">
        <f>VLOOKUP(J443,[2]Desa!$A:$D,4,FALSE)</f>
        <v>138</v>
      </c>
      <c r="P443" s="7">
        <f>VLOOKUP(J443,[3]Sheet1!$D:$F,3,FALSE)</f>
        <v>27</v>
      </c>
      <c r="Q443" s="7"/>
      <c r="R443" s="7"/>
      <c r="S443" s="12">
        <v>-8.6947952972741103</v>
      </c>
      <c r="T443" s="12">
        <v>116.121799877716</v>
      </c>
      <c r="U443" s="7"/>
      <c r="V443" s="50">
        <f>Table13678[[#This Row],[PAGU SEMULA]]-Table13678[[#This Row],[PAGU ANGGARAN]]</f>
        <v>-96750000</v>
      </c>
      <c r="W443" s="50">
        <f>Table13678[[#This Row],[PAGU SEMULA]]-Table13678[[#This Row],[PAGU ANGGARAN]]</f>
        <v>-96750000</v>
      </c>
      <c r="X443" t="s">
        <v>986</v>
      </c>
    </row>
    <row r="444" spans="3:24" hidden="1">
      <c r="C444" s="7" t="s">
        <v>35</v>
      </c>
      <c r="D444" s="7" t="s">
        <v>52</v>
      </c>
      <c r="E444" s="7" t="s">
        <v>95</v>
      </c>
      <c r="F444" s="7" t="s">
        <v>96</v>
      </c>
      <c r="G444" s="7" t="s">
        <v>41</v>
      </c>
      <c r="H444" s="17">
        <v>376250000</v>
      </c>
      <c r="I444" s="10" t="s">
        <v>490</v>
      </c>
      <c r="J444" s="7" t="s">
        <v>491</v>
      </c>
      <c r="K444" s="10" t="s">
        <v>27</v>
      </c>
      <c r="L444" s="7" t="s">
        <v>28</v>
      </c>
      <c r="M444" s="7"/>
      <c r="N444" s="7">
        <f>VLOOKUP(J444,[1]Sheet1!$C:$D,2,FALSE)</f>
        <v>3638</v>
      </c>
      <c r="O444" s="7">
        <f>VLOOKUP(J444,[2]Desa!$A:$D,4,FALSE)</f>
        <v>138</v>
      </c>
      <c r="P444" s="7">
        <f>VLOOKUP(J444,[3]Sheet1!$D:$F,3,FALSE)</f>
        <v>27</v>
      </c>
      <c r="Q444" s="7"/>
      <c r="R444" s="7"/>
      <c r="S444" s="12">
        <v>-8.6947952972741103</v>
      </c>
      <c r="T444" s="12">
        <v>116.121799877716</v>
      </c>
      <c r="U444" s="7"/>
      <c r="V444" s="50">
        <f>Table13678[[#This Row],[PAGU SEMULA]]-Table13678[[#This Row],[PAGU ANGGARAN]]</f>
        <v>-376250000</v>
      </c>
      <c r="W444" s="50">
        <f>Table13678[[#This Row],[PAGU SEMULA]]-Table13678[[#This Row],[PAGU ANGGARAN]]</f>
        <v>-376250000</v>
      </c>
      <c r="X444" t="s">
        <v>986</v>
      </c>
    </row>
    <row r="445" spans="3:24" hidden="1">
      <c r="C445" s="7" t="s">
        <v>29</v>
      </c>
      <c r="D445" s="7" t="s">
        <v>30</v>
      </c>
      <c r="E445" s="7" t="s">
        <v>31</v>
      </c>
      <c r="F445" s="7" t="s">
        <v>32</v>
      </c>
      <c r="G445" s="7" t="s">
        <v>33</v>
      </c>
      <c r="H445" s="8">
        <v>777840000</v>
      </c>
      <c r="I445" s="10" t="s">
        <v>500</v>
      </c>
      <c r="J445" s="7" t="s">
        <v>501</v>
      </c>
      <c r="K445" s="10" t="s">
        <v>58</v>
      </c>
      <c r="L445" s="7" t="s">
        <v>59</v>
      </c>
      <c r="M445" s="7"/>
      <c r="N445" s="7">
        <f>VLOOKUP(J445,[1]Sheet1!$C:$D,2,FALSE)</f>
        <v>7017</v>
      </c>
      <c r="O445" s="7">
        <f>VLOOKUP(J445,[2]Desa!$A:$D,4,FALSE)</f>
        <v>129</v>
      </c>
      <c r="P445" s="7">
        <f>VLOOKUP(J445,[3]Sheet1!$D:$F,3,FALSE)</f>
        <v>35</v>
      </c>
      <c r="Q445" s="7"/>
      <c r="R445" s="7"/>
      <c r="S445" s="12">
        <v>-8.5926335982209601</v>
      </c>
      <c r="T445" s="12">
        <v>116.235890535519</v>
      </c>
      <c r="U445" s="7"/>
      <c r="V445" s="50">
        <f>Table13678[[#This Row],[PAGU SEMULA]]-Table13678[[#This Row],[PAGU ANGGARAN]]</f>
        <v>-777840000</v>
      </c>
      <c r="W445" s="50">
        <f>Table13678[[#This Row],[PAGU SEMULA]]-Table13678[[#This Row],[PAGU ANGGARAN]]</f>
        <v>-777840000</v>
      </c>
      <c r="X445" t="s">
        <v>984</v>
      </c>
    </row>
    <row r="446" spans="3:24" hidden="1">
      <c r="C446" s="7" t="s">
        <v>29</v>
      </c>
      <c r="D446" s="7" t="s">
        <v>30</v>
      </c>
      <c r="E446" s="7" t="s">
        <v>31</v>
      </c>
      <c r="F446" s="7" t="s">
        <v>32</v>
      </c>
      <c r="G446" s="7" t="s">
        <v>34</v>
      </c>
      <c r="H446" s="8">
        <v>62227200</v>
      </c>
      <c r="I446" s="10" t="s">
        <v>500</v>
      </c>
      <c r="J446" s="7" t="s">
        <v>501</v>
      </c>
      <c r="K446" s="10" t="s">
        <v>58</v>
      </c>
      <c r="L446" s="7" t="s">
        <v>59</v>
      </c>
      <c r="M446" s="7"/>
      <c r="N446" s="7">
        <f>VLOOKUP(J446,[1]Sheet1!$C:$D,2,FALSE)</f>
        <v>7017</v>
      </c>
      <c r="O446" s="7">
        <f>VLOOKUP(J446,[2]Desa!$A:$D,4,FALSE)</f>
        <v>129</v>
      </c>
      <c r="P446" s="7">
        <f>VLOOKUP(J446,[3]Sheet1!$D:$F,3,FALSE)</f>
        <v>35</v>
      </c>
      <c r="Q446" s="7"/>
      <c r="R446" s="7"/>
      <c r="S446" s="12">
        <v>-8.5926335982209601</v>
      </c>
      <c r="T446" s="12">
        <v>116.235890535519</v>
      </c>
      <c r="U446" s="7"/>
      <c r="V446" s="50">
        <f>Table13678[[#This Row],[PAGU SEMULA]]-Table13678[[#This Row],[PAGU ANGGARAN]]</f>
        <v>-62227200</v>
      </c>
      <c r="W446" s="50">
        <f>Table13678[[#This Row],[PAGU SEMULA]]-Table13678[[#This Row],[PAGU ANGGARAN]]</f>
        <v>-62227200</v>
      </c>
      <c r="X446" t="s">
        <v>984</v>
      </c>
    </row>
    <row r="447" spans="3:24" hidden="1">
      <c r="C447" s="7" t="s">
        <v>35</v>
      </c>
      <c r="D447" s="7" t="s">
        <v>36</v>
      </c>
      <c r="E447" s="7" t="s">
        <v>37</v>
      </c>
      <c r="F447" s="7" t="s">
        <v>38</v>
      </c>
      <c r="G447" s="7" t="s">
        <v>39</v>
      </c>
      <c r="H447" s="15">
        <v>75000000</v>
      </c>
      <c r="I447" s="10" t="s">
        <v>500</v>
      </c>
      <c r="J447" s="7" t="s">
        <v>501</v>
      </c>
      <c r="K447" s="10" t="s">
        <v>58</v>
      </c>
      <c r="L447" s="7" t="s">
        <v>59</v>
      </c>
      <c r="M447" s="7"/>
      <c r="N447" s="7">
        <f>VLOOKUP(J447,[1]Sheet1!$C:$D,2,FALSE)</f>
        <v>7017</v>
      </c>
      <c r="O447" s="7">
        <f>VLOOKUP(J447,[2]Desa!$A:$D,4,FALSE)</f>
        <v>129</v>
      </c>
      <c r="P447" s="7">
        <f>VLOOKUP(J447,[3]Sheet1!$D:$F,3,FALSE)</f>
        <v>35</v>
      </c>
      <c r="Q447" s="7"/>
      <c r="R447" s="7"/>
      <c r="S447" s="12">
        <v>-8.5926335982209601</v>
      </c>
      <c r="T447" s="12">
        <v>116.235890535519</v>
      </c>
      <c r="U447" s="7"/>
      <c r="V447" s="50">
        <f>Table13678[[#This Row],[PAGU SEMULA]]-Table13678[[#This Row],[PAGU ANGGARAN]]</f>
        <v>-75000000</v>
      </c>
      <c r="W447" s="50">
        <f>Table13678[[#This Row],[PAGU SEMULA]]-Table13678[[#This Row],[PAGU ANGGARAN]]</f>
        <v>-75000000</v>
      </c>
      <c r="X447" t="s">
        <v>984</v>
      </c>
    </row>
    <row r="448" spans="3:24" hidden="1">
      <c r="C448" s="7" t="s">
        <v>35</v>
      </c>
      <c r="D448" s="7" t="s">
        <v>156</v>
      </c>
      <c r="E448" s="7" t="s">
        <v>157</v>
      </c>
      <c r="F448" s="7" t="s">
        <v>158</v>
      </c>
      <c r="G448" s="7" t="s">
        <v>502</v>
      </c>
      <c r="H448" s="17">
        <v>215000000</v>
      </c>
      <c r="I448" s="10" t="s">
        <v>500</v>
      </c>
      <c r="J448" s="7" t="s">
        <v>501</v>
      </c>
      <c r="K448" s="10" t="s">
        <v>58</v>
      </c>
      <c r="L448" s="7" t="s">
        <v>59</v>
      </c>
      <c r="M448" s="7"/>
      <c r="N448" s="7">
        <f>VLOOKUP(J448,[1]Sheet1!$C:$D,2,FALSE)</f>
        <v>7017</v>
      </c>
      <c r="O448" s="7">
        <f>VLOOKUP(J448,[2]Desa!$A:$D,4,FALSE)</f>
        <v>129</v>
      </c>
      <c r="P448" s="7">
        <f>VLOOKUP(J448,[3]Sheet1!$D:$F,3,FALSE)</f>
        <v>35</v>
      </c>
      <c r="Q448" s="7"/>
      <c r="R448" s="7"/>
      <c r="S448" s="12">
        <v>-8.5926335982209601</v>
      </c>
      <c r="T448" s="12">
        <v>116.235890535519</v>
      </c>
      <c r="U448" s="7"/>
      <c r="V448" s="50">
        <f>Table13678[[#This Row],[PAGU SEMULA]]-Table13678[[#This Row],[PAGU ANGGARAN]]</f>
        <v>-215000000</v>
      </c>
      <c r="W448" s="50">
        <f>Table13678[[#This Row],[PAGU SEMULA]]-Table13678[[#This Row],[PAGU ANGGARAN]]</f>
        <v>-215000000</v>
      </c>
      <c r="X448" t="s">
        <v>986</v>
      </c>
    </row>
    <row r="449" spans="3:24" hidden="1">
      <c r="C449" s="7" t="s">
        <v>35</v>
      </c>
      <c r="D449" s="7" t="s">
        <v>354</v>
      </c>
      <c r="E449" s="7" t="s">
        <v>355</v>
      </c>
      <c r="F449" s="7" t="s">
        <v>356</v>
      </c>
      <c r="G449" s="7" t="s">
        <v>503</v>
      </c>
      <c r="H449" s="15">
        <v>380000000</v>
      </c>
      <c r="I449" s="10" t="s">
        <v>500</v>
      </c>
      <c r="J449" s="7" t="s">
        <v>501</v>
      </c>
      <c r="K449" s="10" t="s">
        <v>58</v>
      </c>
      <c r="L449" s="7" t="s">
        <v>59</v>
      </c>
      <c r="M449" s="7"/>
      <c r="N449" s="7">
        <f>VLOOKUP(J449,[1]Sheet1!$C:$D,2,FALSE)</f>
        <v>7017</v>
      </c>
      <c r="O449" s="7">
        <f>VLOOKUP(J449,[2]Desa!$A:$D,4,FALSE)</f>
        <v>129</v>
      </c>
      <c r="P449" s="7">
        <f>VLOOKUP(J449,[3]Sheet1!$D:$F,3,FALSE)</f>
        <v>35</v>
      </c>
      <c r="Q449" s="7"/>
      <c r="R449" s="7"/>
      <c r="S449" s="12">
        <v>-8.5926335982209601</v>
      </c>
      <c r="T449" s="12">
        <v>116.235890535519</v>
      </c>
      <c r="U449" s="7"/>
      <c r="V449" s="50">
        <f>Table13678[[#This Row],[PAGU SEMULA]]-Table13678[[#This Row],[PAGU ANGGARAN]]</f>
        <v>-380000000</v>
      </c>
      <c r="W449" s="50">
        <f>Table13678[[#This Row],[PAGU SEMULA]]-Table13678[[#This Row],[PAGU ANGGARAN]]</f>
        <v>-380000000</v>
      </c>
      <c r="X449" t="s">
        <v>986</v>
      </c>
    </row>
    <row r="450" spans="3:24" hidden="1">
      <c r="C450" s="7" t="s">
        <v>35</v>
      </c>
      <c r="D450" s="7" t="s">
        <v>52</v>
      </c>
      <c r="E450" s="7" t="s">
        <v>95</v>
      </c>
      <c r="F450" s="7" t="s">
        <v>96</v>
      </c>
      <c r="G450" s="7" t="s">
        <v>97</v>
      </c>
      <c r="H450" s="17">
        <v>48375000</v>
      </c>
      <c r="I450" s="10" t="s">
        <v>500</v>
      </c>
      <c r="J450" s="7" t="s">
        <v>501</v>
      </c>
      <c r="K450" s="10" t="s">
        <v>58</v>
      </c>
      <c r="L450" s="7" t="s">
        <v>59</v>
      </c>
      <c r="M450" s="7"/>
      <c r="N450" s="7">
        <f>VLOOKUP(J450,[1]Sheet1!$C:$D,2,FALSE)</f>
        <v>7017</v>
      </c>
      <c r="O450" s="7">
        <f>VLOOKUP(J450,[2]Desa!$A:$D,4,FALSE)</f>
        <v>129</v>
      </c>
      <c r="P450" s="7">
        <f>VLOOKUP(J450,[3]Sheet1!$D:$F,3,FALSE)</f>
        <v>35</v>
      </c>
      <c r="Q450" s="7"/>
      <c r="R450" s="7"/>
      <c r="S450" s="12">
        <v>-8.5926335982209601</v>
      </c>
      <c r="T450" s="12">
        <v>116.235890535519</v>
      </c>
      <c r="U450" s="7"/>
      <c r="V450" s="50">
        <f>Table13678[[#This Row],[PAGU SEMULA]]-Table13678[[#This Row],[PAGU ANGGARAN]]</f>
        <v>-48375000</v>
      </c>
      <c r="W450" s="50">
        <f>Table13678[[#This Row],[PAGU SEMULA]]-Table13678[[#This Row],[PAGU ANGGARAN]]</f>
        <v>-48375000</v>
      </c>
      <c r="X450" t="s">
        <v>986</v>
      </c>
    </row>
    <row r="451" spans="3:24" hidden="1">
      <c r="C451" s="7" t="s">
        <v>35</v>
      </c>
      <c r="D451" s="7" t="s">
        <v>156</v>
      </c>
      <c r="E451" s="7" t="s">
        <v>157</v>
      </c>
      <c r="F451" s="7" t="s">
        <v>158</v>
      </c>
      <c r="G451" s="7" t="s">
        <v>504</v>
      </c>
      <c r="H451" s="15">
        <v>0</v>
      </c>
      <c r="I451" s="10" t="s">
        <v>500</v>
      </c>
      <c r="J451" s="7" t="s">
        <v>501</v>
      </c>
      <c r="K451" s="10" t="s">
        <v>58</v>
      </c>
      <c r="L451" s="7" t="s">
        <v>59</v>
      </c>
      <c r="M451" s="7"/>
      <c r="N451" s="7">
        <f>VLOOKUP(J451,[1]Sheet1!$C:$D,2,FALSE)</f>
        <v>7017</v>
      </c>
      <c r="O451" s="7">
        <f>VLOOKUP(J451,[2]Desa!$A:$D,4,FALSE)</f>
        <v>129</v>
      </c>
      <c r="P451" s="7">
        <f>VLOOKUP(J451,[3]Sheet1!$D:$F,3,FALSE)</f>
        <v>35</v>
      </c>
      <c r="Q451" s="7"/>
      <c r="R451" s="7"/>
      <c r="S451" s="12">
        <v>-8.5926335982209601</v>
      </c>
      <c r="T451" s="12">
        <v>116.235890535519</v>
      </c>
      <c r="U451" s="7"/>
      <c r="V451" s="50">
        <f>Table13678[[#This Row],[PAGU SEMULA]]-Table13678[[#This Row],[PAGU ANGGARAN]]</f>
        <v>0</v>
      </c>
      <c r="W451" s="50">
        <f>Table13678[[#This Row],[PAGU SEMULA]]-Table13678[[#This Row],[PAGU ANGGARAN]]</f>
        <v>0</v>
      </c>
      <c r="X451" t="s">
        <v>986</v>
      </c>
    </row>
    <row r="452" spans="3:24" hidden="1">
      <c r="C452" s="7" t="s">
        <v>29</v>
      </c>
      <c r="D452" s="7" t="s">
        <v>30</v>
      </c>
      <c r="E452" s="7" t="s">
        <v>31</v>
      </c>
      <c r="F452" s="7" t="s">
        <v>32</v>
      </c>
      <c r="G452" s="7" t="s">
        <v>33</v>
      </c>
      <c r="H452" s="8">
        <v>68880000</v>
      </c>
      <c r="I452" s="10" t="s">
        <v>505</v>
      </c>
      <c r="J452" s="7" t="s">
        <v>506</v>
      </c>
      <c r="K452" s="10" t="s">
        <v>167</v>
      </c>
      <c r="L452" s="7" t="s">
        <v>168</v>
      </c>
      <c r="M452" s="7"/>
      <c r="N452" s="7">
        <f>VLOOKUP(J452,[1]Sheet1!$C:$D,2,FALSE)</f>
        <v>1920</v>
      </c>
      <c r="O452" s="7">
        <f>VLOOKUP(J452,[2]Desa!$A:$D,4,FALSE)</f>
        <v>94</v>
      </c>
      <c r="P452" s="7">
        <f>VLOOKUP(J452,[3]Sheet1!$D:$F,3,FALSE)</f>
        <v>10</v>
      </c>
      <c r="Q452" s="7"/>
      <c r="R452" s="7"/>
      <c r="S452" s="12">
        <v>-8.5826436002061399</v>
      </c>
      <c r="T452" s="12">
        <v>116.166818966214</v>
      </c>
      <c r="U452" s="7"/>
      <c r="V452" s="50">
        <f>Table13678[[#This Row],[PAGU SEMULA]]-Table13678[[#This Row],[PAGU ANGGARAN]]</f>
        <v>-68880000</v>
      </c>
      <c r="W452" s="50">
        <f>Table13678[[#This Row],[PAGU SEMULA]]-Table13678[[#This Row],[PAGU ANGGARAN]]</f>
        <v>-68880000</v>
      </c>
      <c r="X452" t="s">
        <v>984</v>
      </c>
    </row>
    <row r="453" spans="3:24" hidden="1">
      <c r="C453" s="7" t="s">
        <v>29</v>
      </c>
      <c r="D453" s="7" t="s">
        <v>30</v>
      </c>
      <c r="E453" s="7" t="s">
        <v>31</v>
      </c>
      <c r="F453" s="7" t="s">
        <v>32</v>
      </c>
      <c r="G453" s="7" t="s">
        <v>34</v>
      </c>
      <c r="H453" s="8">
        <v>5510400</v>
      </c>
      <c r="I453" s="10" t="s">
        <v>505</v>
      </c>
      <c r="J453" s="7" t="s">
        <v>506</v>
      </c>
      <c r="K453" s="10" t="s">
        <v>167</v>
      </c>
      <c r="L453" s="7" t="s">
        <v>168</v>
      </c>
      <c r="M453" s="7"/>
      <c r="N453" s="7">
        <f>VLOOKUP(J453,[1]Sheet1!$C:$D,2,FALSE)</f>
        <v>1920</v>
      </c>
      <c r="O453" s="7">
        <f>VLOOKUP(J453,[2]Desa!$A:$D,4,FALSE)</f>
        <v>94</v>
      </c>
      <c r="P453" s="7">
        <f>VLOOKUP(J453,[3]Sheet1!$D:$F,3,FALSE)</f>
        <v>10</v>
      </c>
      <c r="Q453" s="7"/>
      <c r="R453" s="7"/>
      <c r="S453" s="12">
        <v>-8.5826436002061399</v>
      </c>
      <c r="T453" s="12">
        <v>116.166818966214</v>
      </c>
      <c r="U453" s="7"/>
      <c r="V453" s="50">
        <f>Table13678[[#This Row],[PAGU SEMULA]]-Table13678[[#This Row],[PAGU ANGGARAN]]</f>
        <v>-5510400</v>
      </c>
      <c r="W453" s="50">
        <f>Table13678[[#This Row],[PAGU SEMULA]]-Table13678[[#This Row],[PAGU ANGGARAN]]</f>
        <v>-5510400</v>
      </c>
      <c r="X453" t="s">
        <v>984</v>
      </c>
    </row>
    <row r="454" spans="3:24" hidden="1">
      <c r="C454" s="7" t="s">
        <v>35</v>
      </c>
      <c r="D454" s="7" t="s">
        <v>36</v>
      </c>
      <c r="E454" s="7" t="s">
        <v>37</v>
      </c>
      <c r="F454" s="7" t="s">
        <v>38</v>
      </c>
      <c r="G454" s="7" t="s">
        <v>39</v>
      </c>
      <c r="H454" s="15">
        <v>75000000</v>
      </c>
      <c r="I454" s="10" t="s">
        <v>505</v>
      </c>
      <c r="J454" s="7" t="s">
        <v>506</v>
      </c>
      <c r="K454" s="10" t="s">
        <v>167</v>
      </c>
      <c r="L454" s="7" t="s">
        <v>168</v>
      </c>
      <c r="M454" s="7"/>
      <c r="N454" s="7">
        <f>VLOOKUP(J454,[1]Sheet1!$C:$D,2,FALSE)</f>
        <v>1920</v>
      </c>
      <c r="O454" s="7">
        <f>VLOOKUP(J454,[2]Desa!$A:$D,4,FALSE)</f>
        <v>94</v>
      </c>
      <c r="P454" s="7">
        <f>VLOOKUP(J454,[3]Sheet1!$D:$F,3,FALSE)</f>
        <v>10</v>
      </c>
      <c r="Q454" s="7"/>
      <c r="R454" s="7"/>
      <c r="S454" s="12">
        <v>-8.5826436002061399</v>
      </c>
      <c r="T454" s="12">
        <v>116.166818966214</v>
      </c>
      <c r="U454" s="7"/>
      <c r="V454" s="50">
        <f>Table13678[[#This Row],[PAGU SEMULA]]-Table13678[[#This Row],[PAGU ANGGARAN]]</f>
        <v>-75000000</v>
      </c>
      <c r="W454" s="50">
        <f>Table13678[[#This Row],[PAGU SEMULA]]-Table13678[[#This Row],[PAGU ANGGARAN]]</f>
        <v>-75000000</v>
      </c>
      <c r="X454" t="s">
        <v>984</v>
      </c>
    </row>
    <row r="455" spans="3:24" hidden="1">
      <c r="C455" s="7" t="s">
        <v>35</v>
      </c>
      <c r="D455" s="7" t="s">
        <v>156</v>
      </c>
      <c r="E455" s="7" t="s">
        <v>252</v>
      </c>
      <c r="F455" s="7" t="s">
        <v>253</v>
      </c>
      <c r="G455" s="7" t="s">
        <v>276</v>
      </c>
      <c r="H455" s="17">
        <v>200000000</v>
      </c>
      <c r="I455" s="10" t="s">
        <v>505</v>
      </c>
      <c r="J455" s="7" t="s">
        <v>506</v>
      </c>
      <c r="K455" s="10" t="s">
        <v>167</v>
      </c>
      <c r="L455" s="7" t="s">
        <v>168</v>
      </c>
      <c r="M455" s="7"/>
      <c r="N455" s="7">
        <f>VLOOKUP(J455,[1]Sheet1!$C:$D,2,FALSE)</f>
        <v>1920</v>
      </c>
      <c r="O455" s="7">
        <f>VLOOKUP(J455,[2]Desa!$A:$D,4,FALSE)</f>
        <v>94</v>
      </c>
      <c r="P455" s="7">
        <f>VLOOKUP(J455,[3]Sheet1!$D:$F,3,FALSE)</f>
        <v>10</v>
      </c>
      <c r="Q455" s="7"/>
      <c r="R455" s="7"/>
      <c r="S455" s="12">
        <v>-8.5826436002061399</v>
      </c>
      <c r="T455" s="12">
        <v>116.166818966214</v>
      </c>
      <c r="U455" s="7"/>
      <c r="V455" s="50">
        <f>Table13678[[#This Row],[PAGU SEMULA]]-Table13678[[#This Row],[PAGU ANGGARAN]]</f>
        <v>-200000000</v>
      </c>
      <c r="W455" s="50">
        <f>Table13678[[#This Row],[PAGU SEMULA]]-Table13678[[#This Row],[PAGU ANGGARAN]]</f>
        <v>-200000000</v>
      </c>
      <c r="X455" t="s">
        <v>986</v>
      </c>
    </row>
    <row r="456" spans="3:24" hidden="1">
      <c r="C456" s="7" t="s">
        <v>35</v>
      </c>
      <c r="D456" s="7" t="s">
        <v>65</v>
      </c>
      <c r="E456" s="7" t="s">
        <v>66</v>
      </c>
      <c r="F456" s="7" t="s">
        <v>93</v>
      </c>
      <c r="G456" s="7" t="s">
        <v>507</v>
      </c>
      <c r="H456" s="15">
        <v>10000000</v>
      </c>
      <c r="I456" s="10" t="s">
        <v>505</v>
      </c>
      <c r="J456" s="7" t="s">
        <v>506</v>
      </c>
      <c r="K456" s="10" t="s">
        <v>167</v>
      </c>
      <c r="L456" s="7" t="s">
        <v>168</v>
      </c>
      <c r="M456" s="7"/>
      <c r="N456" s="7">
        <f>VLOOKUP(J456,[1]Sheet1!$C:$D,2,FALSE)</f>
        <v>1920</v>
      </c>
      <c r="O456" s="7">
        <f>VLOOKUP(J456,[2]Desa!$A:$D,4,FALSE)</f>
        <v>94</v>
      </c>
      <c r="P456" s="7">
        <f>VLOOKUP(J456,[3]Sheet1!$D:$F,3,FALSE)</f>
        <v>10</v>
      </c>
      <c r="Q456" s="7"/>
      <c r="R456" s="7"/>
      <c r="S456" s="12">
        <v>-8.5826436002061399</v>
      </c>
      <c r="T456" s="12">
        <v>116.166818966214</v>
      </c>
      <c r="U456" s="7"/>
      <c r="V456" s="50">
        <f>Table13678[[#This Row],[PAGU SEMULA]]-Table13678[[#This Row],[PAGU ANGGARAN]]</f>
        <v>-10000000</v>
      </c>
      <c r="W456" s="50">
        <f>Table13678[[#This Row],[PAGU SEMULA]]-Table13678[[#This Row],[PAGU ANGGARAN]]</f>
        <v>-10000000</v>
      </c>
      <c r="X456" t="s">
        <v>986</v>
      </c>
    </row>
    <row r="457" spans="3:24" hidden="1">
      <c r="C457" s="7" t="s">
        <v>35</v>
      </c>
      <c r="D457" s="7" t="s">
        <v>65</v>
      </c>
      <c r="E457" s="7" t="s">
        <v>66</v>
      </c>
      <c r="F457" s="7" t="s">
        <v>93</v>
      </c>
      <c r="G457" s="7" t="s">
        <v>508</v>
      </c>
      <c r="H457" s="15">
        <v>10000000</v>
      </c>
      <c r="I457" s="10" t="s">
        <v>505</v>
      </c>
      <c r="J457" s="7" t="s">
        <v>506</v>
      </c>
      <c r="K457" s="10" t="s">
        <v>167</v>
      </c>
      <c r="L457" s="7" t="s">
        <v>168</v>
      </c>
      <c r="M457" s="7"/>
      <c r="N457" s="7">
        <f>VLOOKUP(J457,[1]Sheet1!$C:$D,2,FALSE)</f>
        <v>1920</v>
      </c>
      <c r="O457" s="7">
        <f>VLOOKUP(J457,[2]Desa!$A:$D,4,FALSE)</f>
        <v>94</v>
      </c>
      <c r="P457" s="7">
        <f>VLOOKUP(J457,[3]Sheet1!$D:$F,3,FALSE)</f>
        <v>10</v>
      </c>
      <c r="Q457" s="7"/>
      <c r="R457" s="7"/>
      <c r="S457" s="12">
        <v>-8.5826436002061399</v>
      </c>
      <c r="T457" s="12">
        <v>116.166818966214</v>
      </c>
      <c r="U457" s="7"/>
      <c r="V457" s="50">
        <f>Table13678[[#This Row],[PAGU SEMULA]]-Table13678[[#This Row],[PAGU ANGGARAN]]</f>
        <v>-10000000</v>
      </c>
      <c r="W457" s="50">
        <f>Table13678[[#This Row],[PAGU SEMULA]]-Table13678[[#This Row],[PAGU ANGGARAN]]</f>
        <v>-10000000</v>
      </c>
      <c r="X457" t="s">
        <v>986</v>
      </c>
    </row>
    <row r="458" spans="3:24" hidden="1">
      <c r="C458" s="7" t="s">
        <v>35</v>
      </c>
      <c r="D458" s="7" t="s">
        <v>65</v>
      </c>
      <c r="E458" s="7" t="s">
        <v>66</v>
      </c>
      <c r="F458" s="7" t="s">
        <v>93</v>
      </c>
      <c r="G458" s="7" t="s">
        <v>509</v>
      </c>
      <c r="H458" s="15">
        <v>400000000</v>
      </c>
      <c r="I458" s="10" t="s">
        <v>505</v>
      </c>
      <c r="J458" s="7" t="s">
        <v>506</v>
      </c>
      <c r="K458" s="10" t="s">
        <v>167</v>
      </c>
      <c r="L458" s="7" t="s">
        <v>168</v>
      </c>
      <c r="M458" s="7"/>
      <c r="N458" s="7">
        <f>VLOOKUP(J458,[1]Sheet1!$C:$D,2,FALSE)</f>
        <v>1920</v>
      </c>
      <c r="O458" s="7">
        <f>VLOOKUP(J458,[2]Desa!$A:$D,4,FALSE)</f>
        <v>94</v>
      </c>
      <c r="P458" s="7">
        <f>VLOOKUP(J458,[3]Sheet1!$D:$F,3,FALSE)</f>
        <v>10</v>
      </c>
      <c r="Q458" s="7"/>
      <c r="R458" s="7"/>
      <c r="S458" s="12">
        <v>-8.5826436002061399</v>
      </c>
      <c r="T458" s="12">
        <v>116.166818966214</v>
      </c>
      <c r="U458" s="7"/>
      <c r="V458" s="50">
        <f>Table13678[[#This Row],[PAGU SEMULA]]-Table13678[[#This Row],[PAGU ANGGARAN]]</f>
        <v>-400000000</v>
      </c>
      <c r="W458" s="50">
        <f>Table13678[[#This Row],[PAGU SEMULA]]-Table13678[[#This Row],[PAGU ANGGARAN]]</f>
        <v>-400000000</v>
      </c>
      <c r="X458" t="s">
        <v>986</v>
      </c>
    </row>
    <row r="459" spans="3:24" hidden="1">
      <c r="C459" s="7" t="s">
        <v>68</v>
      </c>
      <c r="D459" s="7" t="s">
        <v>69</v>
      </c>
      <c r="E459" s="7" t="s">
        <v>70</v>
      </c>
      <c r="F459" s="7" t="s">
        <v>71</v>
      </c>
      <c r="G459" s="7" t="s">
        <v>72</v>
      </c>
      <c r="H459" s="8">
        <v>30825500</v>
      </c>
      <c r="I459" s="10" t="s">
        <v>505</v>
      </c>
      <c r="J459" s="7" t="s">
        <v>506</v>
      </c>
      <c r="K459" s="10" t="s">
        <v>167</v>
      </c>
      <c r="L459" s="7" t="s">
        <v>168</v>
      </c>
      <c r="M459" s="7"/>
      <c r="N459" s="7">
        <f>VLOOKUP(J459,[1]Sheet1!$C:$D,2,FALSE)</f>
        <v>1920</v>
      </c>
      <c r="O459" s="7">
        <f>VLOOKUP(J459,[2]Desa!$A:$D,4,FALSE)</f>
        <v>94</v>
      </c>
      <c r="P459" s="7">
        <f>VLOOKUP(J459,[3]Sheet1!$D:$F,3,FALSE)</f>
        <v>10</v>
      </c>
      <c r="Q459" s="7"/>
      <c r="R459" s="7"/>
      <c r="S459" s="12">
        <v>-8.5826436002061399</v>
      </c>
      <c r="T459" s="12">
        <v>116.166818966214</v>
      </c>
      <c r="U459" s="7"/>
      <c r="V459" s="50">
        <f>Table13678[[#This Row],[PAGU SEMULA]]-Table13678[[#This Row],[PAGU ANGGARAN]]</f>
        <v>-30825500</v>
      </c>
      <c r="W459" s="50">
        <f>Table13678[[#This Row],[PAGU SEMULA]]-Table13678[[#This Row],[PAGU ANGGARAN]]</f>
        <v>-30825500</v>
      </c>
      <c r="X459" t="s">
        <v>982</v>
      </c>
    </row>
    <row r="460" spans="3:24" hidden="1">
      <c r="C460" s="7" t="s">
        <v>68</v>
      </c>
      <c r="D460" s="7" t="s">
        <v>431</v>
      </c>
      <c r="E460" s="7" t="s">
        <v>432</v>
      </c>
      <c r="F460" s="7" t="s">
        <v>948</v>
      </c>
      <c r="G460" s="7" t="s">
        <v>433</v>
      </c>
      <c r="H460" s="8">
        <v>175998000</v>
      </c>
      <c r="I460" s="10" t="s">
        <v>505</v>
      </c>
      <c r="J460" s="7" t="s">
        <v>506</v>
      </c>
      <c r="K460" s="10" t="s">
        <v>167</v>
      </c>
      <c r="L460" s="7" t="s">
        <v>168</v>
      </c>
      <c r="M460" s="7"/>
      <c r="N460" s="7">
        <f>VLOOKUP(J460,[1]Sheet1!$C:$D,2,FALSE)</f>
        <v>1920</v>
      </c>
      <c r="O460" s="7">
        <f>VLOOKUP(J460,[2]Desa!$A:$D,4,FALSE)</f>
        <v>94</v>
      </c>
      <c r="P460" s="7">
        <f>VLOOKUP(J460,[3]Sheet1!$D:$F,3,FALSE)</f>
        <v>10</v>
      </c>
      <c r="Q460" s="7"/>
      <c r="R460" s="7"/>
      <c r="S460" s="12">
        <v>-8.5826436002061399</v>
      </c>
      <c r="T460" s="12">
        <v>116.166818966214</v>
      </c>
      <c r="U460" s="7"/>
      <c r="V460" s="50">
        <f>Table13678[[#This Row],[PAGU SEMULA]]-Table13678[[#This Row],[PAGU ANGGARAN]]</f>
        <v>-175998000</v>
      </c>
      <c r="W460" s="50">
        <f>Table13678[[#This Row],[PAGU SEMULA]]-Table13678[[#This Row],[PAGU ANGGARAN]]</f>
        <v>-175998000</v>
      </c>
      <c r="X460" t="s">
        <v>982</v>
      </c>
    </row>
    <row r="461" spans="3:24" hidden="1">
      <c r="C461" s="7" t="s">
        <v>46</v>
      </c>
      <c r="D461" s="7" t="s">
        <v>122</v>
      </c>
      <c r="E461" s="7" t="s">
        <v>123</v>
      </c>
      <c r="F461" s="7" t="s">
        <v>949</v>
      </c>
      <c r="G461" s="71" t="s">
        <v>125</v>
      </c>
      <c r="H461" s="8">
        <v>29837200</v>
      </c>
      <c r="I461" s="10" t="s">
        <v>505</v>
      </c>
      <c r="J461" s="7" t="s">
        <v>506</v>
      </c>
      <c r="K461" s="10" t="s">
        <v>167</v>
      </c>
      <c r="L461" s="7" t="s">
        <v>168</v>
      </c>
      <c r="M461" s="7"/>
      <c r="N461" s="7">
        <f>VLOOKUP(J461,[1]Sheet1!$C:$D,2,FALSE)</f>
        <v>1920</v>
      </c>
      <c r="O461" s="7">
        <f>VLOOKUP(J461,[2]Desa!$A:$D,4,FALSE)</f>
        <v>94</v>
      </c>
      <c r="P461" s="7">
        <f>VLOOKUP(J461,[3]Sheet1!$D:$F,3,FALSE)</f>
        <v>10</v>
      </c>
      <c r="Q461" s="7"/>
      <c r="R461" s="7"/>
      <c r="S461" s="12">
        <v>-8.5826436002061399</v>
      </c>
      <c r="T461" s="12">
        <v>116.166818966214</v>
      </c>
      <c r="U461" s="7"/>
      <c r="V461" s="50">
        <f>Table13678[[#This Row],[PAGU SEMULA]]-Table13678[[#This Row],[PAGU ANGGARAN]]</f>
        <v>-29837200</v>
      </c>
      <c r="W461" s="50">
        <f>Table13678[[#This Row],[PAGU SEMULA]]-Table13678[[#This Row],[PAGU ANGGARAN]]</f>
        <v>-29837200</v>
      </c>
      <c r="X461" t="s">
        <v>987</v>
      </c>
    </row>
    <row r="462" spans="3:24" hidden="1">
      <c r="C462" s="7" t="s">
        <v>46</v>
      </c>
      <c r="D462" s="7" t="s">
        <v>122</v>
      </c>
      <c r="E462" s="7" t="s">
        <v>123</v>
      </c>
      <c r="F462" s="7" t="s">
        <v>124</v>
      </c>
      <c r="G462" s="7" t="s">
        <v>369</v>
      </c>
      <c r="H462" s="8">
        <v>37500000</v>
      </c>
      <c r="I462" s="10" t="s">
        <v>505</v>
      </c>
      <c r="J462" s="7" t="s">
        <v>506</v>
      </c>
      <c r="K462" s="10" t="s">
        <v>167</v>
      </c>
      <c r="L462" s="7" t="s">
        <v>168</v>
      </c>
      <c r="M462" s="7"/>
      <c r="N462" s="7">
        <f>VLOOKUP(J462,[1]Sheet1!$C:$D,2,FALSE)</f>
        <v>1920</v>
      </c>
      <c r="O462" s="7">
        <f>VLOOKUP(J462,[2]Desa!$A:$D,4,FALSE)</f>
        <v>94</v>
      </c>
      <c r="P462" s="7">
        <f>VLOOKUP(J462,[3]Sheet1!$D:$F,3,FALSE)</f>
        <v>10</v>
      </c>
      <c r="Q462" s="7"/>
      <c r="R462" s="7"/>
      <c r="S462" s="12">
        <v>-8.5826436002061399</v>
      </c>
      <c r="T462" s="12">
        <v>116.166818966214</v>
      </c>
      <c r="U462" s="7"/>
      <c r="V462" s="50">
        <f>Table13678[[#This Row],[PAGU SEMULA]]-Table13678[[#This Row],[PAGU ANGGARAN]]</f>
        <v>-37500000</v>
      </c>
      <c r="W462" s="50">
        <f>Table13678[[#This Row],[PAGU SEMULA]]-Table13678[[#This Row],[PAGU ANGGARAN]]</f>
        <v>-37500000</v>
      </c>
      <c r="X462" t="s">
        <v>987</v>
      </c>
    </row>
    <row r="463" spans="3:24" hidden="1">
      <c r="C463" s="7" t="s">
        <v>264</v>
      </c>
      <c r="D463" s="7" t="s">
        <v>61</v>
      </c>
      <c r="E463" s="7" t="s">
        <v>265</v>
      </c>
      <c r="F463" s="7" t="s">
        <v>266</v>
      </c>
      <c r="G463" s="7" t="s">
        <v>267</v>
      </c>
      <c r="H463" s="8">
        <v>40000000</v>
      </c>
      <c r="I463" s="10" t="s">
        <v>505</v>
      </c>
      <c r="J463" s="7" t="s">
        <v>506</v>
      </c>
      <c r="K463" s="10" t="s">
        <v>167</v>
      </c>
      <c r="L463" s="7" t="s">
        <v>168</v>
      </c>
      <c r="M463" s="7"/>
      <c r="N463" s="7">
        <f>VLOOKUP(J463,[1]Sheet1!$C:$D,2,FALSE)</f>
        <v>1920</v>
      </c>
      <c r="O463" s="7">
        <f>VLOOKUP(J463,[2]Desa!$A:$D,4,FALSE)</f>
        <v>94</v>
      </c>
      <c r="P463" s="7">
        <f>VLOOKUP(J463,[3]Sheet1!$D:$F,3,FALSE)</f>
        <v>10</v>
      </c>
      <c r="Q463" s="7"/>
      <c r="R463" s="7"/>
      <c r="S463" s="12">
        <v>-8.5826436002061399</v>
      </c>
      <c r="T463" s="12">
        <v>116.166818966214</v>
      </c>
      <c r="U463" s="7"/>
      <c r="V463" s="50">
        <f>Table13678[[#This Row],[PAGU SEMULA]]-Table13678[[#This Row],[PAGU ANGGARAN]]</f>
        <v>-40000000</v>
      </c>
      <c r="W463" s="50">
        <f>Table13678[[#This Row],[PAGU SEMULA]]-Table13678[[#This Row],[PAGU ANGGARAN]]</f>
        <v>-40000000</v>
      </c>
      <c r="X463" t="s">
        <v>987</v>
      </c>
    </row>
    <row r="464" spans="3:24" hidden="1">
      <c r="C464" s="7" t="s">
        <v>29</v>
      </c>
      <c r="D464" s="7" t="s">
        <v>30</v>
      </c>
      <c r="E464" s="7" t="s">
        <v>31</v>
      </c>
      <c r="F464" s="7" t="s">
        <v>32</v>
      </c>
      <c r="G464" s="7" t="s">
        <v>33</v>
      </c>
      <c r="H464" s="8">
        <v>191100000</v>
      </c>
      <c r="I464" s="10" t="s">
        <v>510</v>
      </c>
      <c r="J464" s="7" t="s">
        <v>511</v>
      </c>
      <c r="K464" s="10" t="s">
        <v>288</v>
      </c>
      <c r="L464" s="7" t="s">
        <v>289</v>
      </c>
      <c r="M464" s="7"/>
      <c r="N464" s="7">
        <f>VLOOKUP(J464,[1]Sheet1!$C:$D,2,FALSE)</f>
        <v>2989</v>
      </c>
      <c r="O464" s="7">
        <f>VLOOKUP(J464,[2]Desa!$A:$D,4,FALSE)</f>
        <v>141</v>
      </c>
      <c r="P464" s="7">
        <f>VLOOKUP(J464,[3]Sheet1!$D:$F,3,FALSE)</f>
        <v>13</v>
      </c>
      <c r="Q464" s="7"/>
      <c r="R464" s="7"/>
      <c r="S464" s="12">
        <v>-8.5313468689397691</v>
      </c>
      <c r="T464" s="12">
        <v>116.122545579563</v>
      </c>
      <c r="U464" s="7"/>
      <c r="V464" s="50">
        <f>Table13678[[#This Row],[PAGU SEMULA]]-Table13678[[#This Row],[PAGU ANGGARAN]]</f>
        <v>-191100000</v>
      </c>
      <c r="W464" s="50">
        <f>Table13678[[#This Row],[PAGU SEMULA]]-Table13678[[#This Row],[PAGU ANGGARAN]]</f>
        <v>-191100000</v>
      </c>
      <c r="X464" t="s">
        <v>984</v>
      </c>
    </row>
    <row r="465" spans="3:24" hidden="1">
      <c r="C465" s="7" t="s">
        <v>29</v>
      </c>
      <c r="D465" s="7" t="s">
        <v>30</v>
      </c>
      <c r="E465" s="7" t="s">
        <v>31</v>
      </c>
      <c r="F465" s="7" t="s">
        <v>32</v>
      </c>
      <c r="G465" s="7" t="s">
        <v>34</v>
      </c>
      <c r="H465" s="8">
        <v>15288000</v>
      </c>
      <c r="I465" s="10" t="s">
        <v>510</v>
      </c>
      <c r="J465" s="7" t="s">
        <v>511</v>
      </c>
      <c r="K465" s="10" t="s">
        <v>288</v>
      </c>
      <c r="L465" s="7" t="s">
        <v>289</v>
      </c>
      <c r="M465" s="7"/>
      <c r="N465" s="7">
        <f>VLOOKUP(J465,[1]Sheet1!$C:$D,2,FALSE)</f>
        <v>2989</v>
      </c>
      <c r="O465" s="7">
        <f>VLOOKUP(J465,[2]Desa!$A:$D,4,FALSE)</f>
        <v>141</v>
      </c>
      <c r="P465" s="7">
        <f>VLOOKUP(J465,[3]Sheet1!$D:$F,3,FALSE)</f>
        <v>13</v>
      </c>
      <c r="Q465" s="7"/>
      <c r="R465" s="7"/>
      <c r="S465" s="12">
        <v>-8.5313468689397691</v>
      </c>
      <c r="T465" s="12">
        <v>116.122545579563</v>
      </c>
      <c r="U465" s="7"/>
      <c r="V465" s="50">
        <f>Table13678[[#This Row],[PAGU SEMULA]]-Table13678[[#This Row],[PAGU ANGGARAN]]</f>
        <v>-15288000</v>
      </c>
      <c r="W465" s="50">
        <f>Table13678[[#This Row],[PAGU SEMULA]]-Table13678[[#This Row],[PAGU ANGGARAN]]</f>
        <v>-15288000</v>
      </c>
      <c r="X465" t="s">
        <v>984</v>
      </c>
    </row>
    <row r="466" spans="3:24" hidden="1">
      <c r="C466" s="7" t="s">
        <v>35</v>
      </c>
      <c r="D466" s="7" t="s">
        <v>36</v>
      </c>
      <c r="E466" s="7" t="s">
        <v>37</v>
      </c>
      <c r="F466" s="7" t="s">
        <v>38</v>
      </c>
      <c r="G466" s="7" t="s">
        <v>39</v>
      </c>
      <c r="H466" s="15">
        <v>75000000</v>
      </c>
      <c r="I466" s="10" t="s">
        <v>510</v>
      </c>
      <c r="J466" s="7" t="s">
        <v>511</v>
      </c>
      <c r="K466" s="10" t="s">
        <v>288</v>
      </c>
      <c r="L466" s="7" t="s">
        <v>289</v>
      </c>
      <c r="M466" s="7"/>
      <c r="N466" s="7">
        <f>VLOOKUP(J466,[1]Sheet1!$C:$D,2,FALSE)</f>
        <v>2989</v>
      </c>
      <c r="O466" s="7">
        <f>VLOOKUP(J466,[2]Desa!$A:$D,4,FALSE)</f>
        <v>141</v>
      </c>
      <c r="P466" s="7">
        <f>VLOOKUP(J466,[3]Sheet1!$D:$F,3,FALSE)</f>
        <v>13</v>
      </c>
      <c r="Q466" s="7"/>
      <c r="R466" s="7"/>
      <c r="S466" s="12">
        <v>-8.5313468689397691</v>
      </c>
      <c r="T466" s="12">
        <v>116.122545579563</v>
      </c>
      <c r="U466" s="7"/>
      <c r="V466" s="50">
        <f>Table13678[[#This Row],[PAGU SEMULA]]-Table13678[[#This Row],[PAGU ANGGARAN]]</f>
        <v>-75000000</v>
      </c>
      <c r="W466" s="50">
        <f>Table13678[[#This Row],[PAGU SEMULA]]-Table13678[[#This Row],[PAGU ANGGARAN]]</f>
        <v>-75000000</v>
      </c>
      <c r="X466" t="s">
        <v>984</v>
      </c>
    </row>
    <row r="467" spans="3:24" hidden="1">
      <c r="C467" s="7" t="s">
        <v>35</v>
      </c>
      <c r="D467" s="7" t="s">
        <v>65</v>
      </c>
      <c r="E467" s="7" t="s">
        <v>66</v>
      </c>
      <c r="F467" s="7" t="s">
        <v>93</v>
      </c>
      <c r="G467" s="7" t="s">
        <v>309</v>
      </c>
      <c r="H467" s="17">
        <v>430000000</v>
      </c>
      <c r="I467" s="10" t="s">
        <v>510</v>
      </c>
      <c r="J467" s="7" t="s">
        <v>511</v>
      </c>
      <c r="K467" s="10" t="s">
        <v>288</v>
      </c>
      <c r="L467" s="7" t="s">
        <v>289</v>
      </c>
      <c r="M467" s="7"/>
      <c r="N467" s="7">
        <f>VLOOKUP(J467,[1]Sheet1!$C:$D,2,FALSE)</f>
        <v>2989</v>
      </c>
      <c r="O467" s="7">
        <f>VLOOKUP(J467,[2]Desa!$A:$D,4,FALSE)</f>
        <v>141</v>
      </c>
      <c r="P467" s="7">
        <f>VLOOKUP(J467,[3]Sheet1!$D:$F,3,FALSE)</f>
        <v>13</v>
      </c>
      <c r="Q467" s="7"/>
      <c r="R467" s="7"/>
      <c r="S467" s="12">
        <v>-8.5313468689397691</v>
      </c>
      <c r="T467" s="12">
        <v>116.122545579563</v>
      </c>
      <c r="U467" s="7"/>
      <c r="V467" s="50">
        <f>Table13678[[#This Row],[PAGU SEMULA]]-Table13678[[#This Row],[PAGU ANGGARAN]]</f>
        <v>-430000000</v>
      </c>
      <c r="W467" s="50">
        <f>Table13678[[#This Row],[PAGU SEMULA]]-Table13678[[#This Row],[PAGU ANGGARAN]]</f>
        <v>-430000000</v>
      </c>
      <c r="X467" t="s">
        <v>986</v>
      </c>
    </row>
    <row r="468" spans="3:24" hidden="1">
      <c r="C468" s="7" t="s">
        <v>35</v>
      </c>
      <c r="D468" s="7" t="s">
        <v>65</v>
      </c>
      <c r="E468" s="7" t="s">
        <v>66</v>
      </c>
      <c r="F468" s="7" t="s">
        <v>67</v>
      </c>
      <c r="G468" s="7" t="s">
        <v>364</v>
      </c>
      <c r="H468" s="15">
        <v>75000000</v>
      </c>
      <c r="I468" s="10" t="s">
        <v>510</v>
      </c>
      <c r="J468" s="7" t="s">
        <v>511</v>
      </c>
      <c r="K468" s="10" t="s">
        <v>288</v>
      </c>
      <c r="L468" s="7" t="s">
        <v>289</v>
      </c>
      <c r="M468" s="7"/>
      <c r="N468" s="7">
        <f>VLOOKUP(J468,[1]Sheet1!$C:$D,2,FALSE)</f>
        <v>2989</v>
      </c>
      <c r="O468" s="7">
        <f>VLOOKUP(J468,[2]Desa!$A:$D,4,FALSE)</f>
        <v>141</v>
      </c>
      <c r="P468" s="7">
        <f>VLOOKUP(J468,[3]Sheet1!$D:$F,3,FALSE)</f>
        <v>13</v>
      </c>
      <c r="Q468" s="7"/>
      <c r="R468" s="7"/>
      <c r="S468" s="12">
        <v>-8.5313468689397691</v>
      </c>
      <c r="T468" s="12">
        <v>116.122545579563</v>
      </c>
      <c r="U468" s="7"/>
      <c r="V468" s="50">
        <f>Table13678[[#This Row],[PAGU SEMULA]]-Table13678[[#This Row],[PAGU ANGGARAN]]</f>
        <v>-75000000</v>
      </c>
      <c r="W468" s="50">
        <f>Table13678[[#This Row],[PAGU SEMULA]]-Table13678[[#This Row],[PAGU ANGGARAN]]</f>
        <v>-75000000</v>
      </c>
      <c r="X468" t="s">
        <v>986</v>
      </c>
    </row>
    <row r="469" spans="3:24" hidden="1">
      <c r="C469" s="7" t="s">
        <v>35</v>
      </c>
      <c r="D469" s="7" t="s">
        <v>52</v>
      </c>
      <c r="E469" s="7" t="s">
        <v>95</v>
      </c>
      <c r="F469" s="7" t="s">
        <v>96</v>
      </c>
      <c r="G469" s="7" t="s">
        <v>98</v>
      </c>
      <c r="H469" s="17">
        <v>48375000</v>
      </c>
      <c r="I469" s="10" t="s">
        <v>510</v>
      </c>
      <c r="J469" s="7" t="s">
        <v>511</v>
      </c>
      <c r="K469" s="10" t="s">
        <v>288</v>
      </c>
      <c r="L469" s="7" t="s">
        <v>289</v>
      </c>
      <c r="M469" s="7"/>
      <c r="N469" s="7">
        <f>VLOOKUP(J469,[1]Sheet1!$C:$D,2,FALSE)</f>
        <v>2989</v>
      </c>
      <c r="O469" s="7">
        <f>VLOOKUP(J469,[2]Desa!$A:$D,4,FALSE)</f>
        <v>141</v>
      </c>
      <c r="P469" s="7">
        <f>VLOOKUP(J469,[3]Sheet1!$D:$F,3,FALSE)</f>
        <v>13</v>
      </c>
      <c r="Q469" s="7"/>
      <c r="R469" s="7"/>
      <c r="S469" s="12">
        <v>-8.5313468689397691</v>
      </c>
      <c r="T469" s="12">
        <v>116.122545579563</v>
      </c>
      <c r="U469" s="7"/>
      <c r="V469" s="50">
        <f>Table13678[[#This Row],[PAGU SEMULA]]-Table13678[[#This Row],[PAGU ANGGARAN]]</f>
        <v>-48375000</v>
      </c>
      <c r="W469" s="50">
        <f>Table13678[[#This Row],[PAGU SEMULA]]-Table13678[[#This Row],[PAGU ANGGARAN]]</f>
        <v>-48375000</v>
      </c>
      <c r="X469" t="s">
        <v>986</v>
      </c>
    </row>
    <row r="470" spans="3:24" hidden="1">
      <c r="C470" s="7" t="s">
        <v>35</v>
      </c>
      <c r="D470" s="7" t="s">
        <v>52</v>
      </c>
      <c r="E470" s="7" t="s">
        <v>95</v>
      </c>
      <c r="F470" s="7" t="s">
        <v>96</v>
      </c>
      <c r="G470" s="7" t="s">
        <v>409</v>
      </c>
      <c r="H470" s="17">
        <v>96750000</v>
      </c>
      <c r="I470" s="10" t="s">
        <v>510</v>
      </c>
      <c r="J470" s="7" t="s">
        <v>511</v>
      </c>
      <c r="K470" s="10" t="s">
        <v>288</v>
      </c>
      <c r="L470" s="7" t="s">
        <v>289</v>
      </c>
      <c r="M470" s="7"/>
      <c r="N470" s="7">
        <f>VLOOKUP(J470,[1]Sheet1!$C:$D,2,FALSE)</f>
        <v>2989</v>
      </c>
      <c r="O470" s="7">
        <f>VLOOKUP(J470,[2]Desa!$A:$D,4,FALSE)</f>
        <v>141</v>
      </c>
      <c r="P470" s="7">
        <f>VLOOKUP(J470,[3]Sheet1!$D:$F,3,FALSE)</f>
        <v>13</v>
      </c>
      <c r="Q470" s="7"/>
      <c r="R470" s="7"/>
      <c r="S470" s="12">
        <v>-8.5313468689397691</v>
      </c>
      <c r="T470" s="12">
        <v>116.122545579563</v>
      </c>
      <c r="U470" s="7"/>
      <c r="V470" s="50">
        <f>Table13678[[#This Row],[PAGU SEMULA]]-Table13678[[#This Row],[PAGU ANGGARAN]]</f>
        <v>-96750000</v>
      </c>
      <c r="W470" s="50">
        <f>Table13678[[#This Row],[PAGU SEMULA]]-Table13678[[#This Row],[PAGU ANGGARAN]]</f>
        <v>-96750000</v>
      </c>
      <c r="X470" t="s">
        <v>986</v>
      </c>
    </row>
    <row r="471" spans="3:24" hidden="1">
      <c r="C471" s="7" t="s">
        <v>35</v>
      </c>
      <c r="D471" s="7" t="s">
        <v>52</v>
      </c>
      <c r="E471" s="7" t="s">
        <v>95</v>
      </c>
      <c r="F471" s="7" t="s">
        <v>96</v>
      </c>
      <c r="G471" s="7" t="s">
        <v>99</v>
      </c>
      <c r="H471" s="17">
        <v>96750000</v>
      </c>
      <c r="I471" s="10" t="s">
        <v>510</v>
      </c>
      <c r="J471" s="7" t="s">
        <v>511</v>
      </c>
      <c r="K471" s="10" t="s">
        <v>288</v>
      </c>
      <c r="L471" s="7" t="s">
        <v>289</v>
      </c>
      <c r="M471" s="7"/>
      <c r="N471" s="7">
        <f>VLOOKUP(J471,[1]Sheet1!$C:$D,2,FALSE)</f>
        <v>2989</v>
      </c>
      <c r="O471" s="7">
        <f>VLOOKUP(J471,[2]Desa!$A:$D,4,FALSE)</f>
        <v>141</v>
      </c>
      <c r="P471" s="7">
        <f>VLOOKUP(J471,[3]Sheet1!$D:$F,3,FALSE)</f>
        <v>13</v>
      </c>
      <c r="Q471" s="7"/>
      <c r="R471" s="7"/>
      <c r="S471" s="12">
        <v>-8.5313468689397691</v>
      </c>
      <c r="T471" s="12">
        <v>116.122545579563</v>
      </c>
      <c r="U471" s="7"/>
      <c r="V471" s="50">
        <f>Table13678[[#This Row],[PAGU SEMULA]]-Table13678[[#This Row],[PAGU ANGGARAN]]</f>
        <v>-96750000</v>
      </c>
      <c r="W471" s="50">
        <f>Table13678[[#This Row],[PAGU SEMULA]]-Table13678[[#This Row],[PAGU ANGGARAN]]</f>
        <v>-96750000</v>
      </c>
      <c r="X471" t="s">
        <v>986</v>
      </c>
    </row>
    <row r="472" spans="3:24" hidden="1">
      <c r="C472" s="7" t="s">
        <v>51</v>
      </c>
      <c r="D472" s="7" t="s">
        <v>52</v>
      </c>
      <c r="E472" s="7" t="s">
        <v>53</v>
      </c>
      <c r="F472" s="7" t="s">
        <v>54</v>
      </c>
      <c r="G472" s="7" t="s">
        <v>55</v>
      </c>
      <c r="H472" s="8">
        <v>189090000</v>
      </c>
      <c r="I472" s="10" t="s">
        <v>510</v>
      </c>
      <c r="J472" s="7" t="s">
        <v>511</v>
      </c>
      <c r="K472" s="10" t="s">
        <v>288</v>
      </c>
      <c r="L472" s="7" t="s">
        <v>289</v>
      </c>
      <c r="M472" s="7"/>
      <c r="N472" s="7">
        <f>VLOOKUP(J472,[1]Sheet1!$C:$D,2,FALSE)</f>
        <v>2989</v>
      </c>
      <c r="O472" s="7">
        <f>VLOOKUP(J472,[2]Desa!$A:$D,4,FALSE)</f>
        <v>141</v>
      </c>
      <c r="P472" s="7">
        <f>VLOOKUP(J472,[3]Sheet1!$D:$F,3,FALSE)</f>
        <v>13</v>
      </c>
      <c r="Q472" s="7"/>
      <c r="R472" s="7"/>
      <c r="S472" s="12">
        <v>-8.5313468689397691</v>
      </c>
      <c r="T472" s="12">
        <v>116.122545579563</v>
      </c>
      <c r="U472" s="7"/>
      <c r="V472" s="50">
        <f>Table13678[[#This Row],[PAGU SEMULA]]-Table13678[[#This Row],[PAGU ANGGARAN]]</f>
        <v>-189090000</v>
      </c>
      <c r="W472" s="50">
        <f>Table13678[[#This Row],[PAGU SEMULA]]-Table13678[[#This Row],[PAGU ANGGARAN]]</f>
        <v>-189090000</v>
      </c>
      <c r="X472" t="s">
        <v>986</v>
      </c>
    </row>
    <row r="473" spans="3:24" hidden="1">
      <c r="C473" s="7" t="s">
        <v>51</v>
      </c>
      <c r="D473" s="7" t="s">
        <v>52</v>
      </c>
      <c r="E473" s="7" t="s">
        <v>53</v>
      </c>
      <c r="F473" s="7" t="s">
        <v>54</v>
      </c>
      <c r="G473" s="7" t="s">
        <v>73</v>
      </c>
      <c r="H473" s="8">
        <v>189090000</v>
      </c>
      <c r="I473" s="10" t="s">
        <v>510</v>
      </c>
      <c r="J473" s="7" t="s">
        <v>511</v>
      </c>
      <c r="K473" s="10" t="s">
        <v>288</v>
      </c>
      <c r="L473" s="7" t="s">
        <v>289</v>
      </c>
      <c r="M473" s="7"/>
      <c r="N473" s="7">
        <f>VLOOKUP(J473,[1]Sheet1!$C:$D,2,FALSE)</f>
        <v>2989</v>
      </c>
      <c r="O473" s="7">
        <f>VLOOKUP(J473,[2]Desa!$A:$D,4,FALSE)</f>
        <v>141</v>
      </c>
      <c r="P473" s="7">
        <f>VLOOKUP(J473,[3]Sheet1!$D:$F,3,FALSE)</f>
        <v>13</v>
      </c>
      <c r="Q473" s="7"/>
      <c r="R473" s="7"/>
      <c r="S473" s="12">
        <v>-8.5313468689397691</v>
      </c>
      <c r="T473" s="12">
        <v>116.122545579563</v>
      </c>
      <c r="U473" s="7"/>
      <c r="V473" s="50">
        <f>Table13678[[#This Row],[PAGU SEMULA]]-Table13678[[#This Row],[PAGU ANGGARAN]]</f>
        <v>-189090000</v>
      </c>
      <c r="W473" s="50">
        <f>Table13678[[#This Row],[PAGU SEMULA]]-Table13678[[#This Row],[PAGU ANGGARAN]]</f>
        <v>-189090000</v>
      </c>
      <c r="X473" t="s">
        <v>986</v>
      </c>
    </row>
    <row r="474" spans="3:24" hidden="1">
      <c r="C474" s="7" t="s">
        <v>29</v>
      </c>
      <c r="D474" s="7" t="s">
        <v>30</v>
      </c>
      <c r="E474" s="7" t="s">
        <v>31</v>
      </c>
      <c r="F474" s="7" t="s">
        <v>32</v>
      </c>
      <c r="G474" s="7" t="s">
        <v>33</v>
      </c>
      <c r="H474" s="8">
        <v>617400000</v>
      </c>
      <c r="I474" s="10" t="s">
        <v>512</v>
      </c>
      <c r="J474" s="7" t="s">
        <v>289</v>
      </c>
      <c r="K474" s="10" t="s">
        <v>288</v>
      </c>
      <c r="L474" s="7" t="s">
        <v>289</v>
      </c>
      <c r="M474" s="7"/>
      <c r="N474" s="7">
        <f>VLOOKUP(J474,[1]Sheet1!$C:$D,2,FALSE)</f>
        <v>10258</v>
      </c>
      <c r="O474" s="7">
        <f>VLOOKUP(J474,[2]Desa!$A:$D,4,FALSE)</f>
        <v>216</v>
      </c>
      <c r="P474" s="7">
        <f>VLOOKUP(J474,[3]Sheet1!$D:$F,3,FALSE)</f>
        <v>32</v>
      </c>
      <c r="Q474" s="7"/>
      <c r="R474" s="7"/>
      <c r="S474" s="12">
        <v>-8.5409316747914801</v>
      </c>
      <c r="T474" s="12">
        <v>116.101301510249</v>
      </c>
      <c r="U474" s="7"/>
      <c r="V474" s="50">
        <f>Table13678[[#This Row],[PAGU SEMULA]]-Table13678[[#This Row],[PAGU ANGGARAN]]</f>
        <v>-617400000</v>
      </c>
      <c r="W474" s="50">
        <f>Table13678[[#This Row],[PAGU SEMULA]]-Table13678[[#This Row],[PAGU ANGGARAN]]</f>
        <v>-617400000</v>
      </c>
      <c r="X474" t="s">
        <v>984</v>
      </c>
    </row>
    <row r="475" spans="3:24" hidden="1">
      <c r="C475" s="7" t="s">
        <v>29</v>
      </c>
      <c r="D475" s="7" t="s">
        <v>30</v>
      </c>
      <c r="E475" s="7" t="s">
        <v>31</v>
      </c>
      <c r="F475" s="7" t="s">
        <v>32</v>
      </c>
      <c r="G475" s="7" t="s">
        <v>34</v>
      </c>
      <c r="H475" s="8">
        <v>49392000</v>
      </c>
      <c r="I475" s="10" t="s">
        <v>512</v>
      </c>
      <c r="J475" s="7" t="s">
        <v>289</v>
      </c>
      <c r="K475" s="10" t="s">
        <v>288</v>
      </c>
      <c r="L475" s="7" t="s">
        <v>289</v>
      </c>
      <c r="M475" s="7"/>
      <c r="N475" s="7">
        <f>VLOOKUP(J475,[1]Sheet1!$C:$D,2,FALSE)</f>
        <v>10258</v>
      </c>
      <c r="O475" s="7">
        <f>VLOOKUP(J475,[2]Desa!$A:$D,4,FALSE)</f>
        <v>216</v>
      </c>
      <c r="P475" s="7">
        <f>VLOOKUP(J475,[3]Sheet1!$D:$F,3,FALSE)</f>
        <v>32</v>
      </c>
      <c r="Q475" s="7"/>
      <c r="R475" s="7"/>
      <c r="S475" s="12">
        <v>-8.5409316747914801</v>
      </c>
      <c r="T475" s="12">
        <v>116.101301510249</v>
      </c>
      <c r="U475" s="7"/>
      <c r="V475" s="50">
        <f>Table13678[[#This Row],[PAGU SEMULA]]-Table13678[[#This Row],[PAGU ANGGARAN]]</f>
        <v>-49392000</v>
      </c>
      <c r="W475" s="50">
        <f>Table13678[[#This Row],[PAGU SEMULA]]-Table13678[[#This Row],[PAGU ANGGARAN]]</f>
        <v>-49392000</v>
      </c>
      <c r="X475" t="s">
        <v>984</v>
      </c>
    </row>
    <row r="476" spans="3:24" hidden="1">
      <c r="C476" s="7" t="s">
        <v>84</v>
      </c>
      <c r="D476" s="7" t="s">
        <v>89</v>
      </c>
      <c r="E476" s="7" t="s">
        <v>90</v>
      </c>
      <c r="F476" s="7" t="s">
        <v>513</v>
      </c>
      <c r="G476" s="7" t="s">
        <v>514</v>
      </c>
      <c r="H476" s="8">
        <v>50003570</v>
      </c>
      <c r="I476" s="10" t="s">
        <v>512</v>
      </c>
      <c r="J476" s="7" t="s">
        <v>289</v>
      </c>
      <c r="K476" s="10" t="s">
        <v>288</v>
      </c>
      <c r="L476" s="7" t="s">
        <v>289</v>
      </c>
      <c r="M476" s="7"/>
      <c r="N476" s="7">
        <f>VLOOKUP(J476,[1]Sheet1!$C:$D,2,FALSE)</f>
        <v>10258</v>
      </c>
      <c r="O476" s="7">
        <f>VLOOKUP(J476,[2]Desa!$A:$D,4,FALSE)</f>
        <v>216</v>
      </c>
      <c r="P476" s="7">
        <f>VLOOKUP(J476,[3]Sheet1!$D:$F,3,FALSE)</f>
        <v>32</v>
      </c>
      <c r="Q476" s="7"/>
      <c r="R476" s="7"/>
      <c r="S476" s="12">
        <v>-8.5409316747914801</v>
      </c>
      <c r="T476" s="12">
        <v>116.101301510249</v>
      </c>
      <c r="U476" s="7"/>
      <c r="V476" s="50">
        <f>Table13678[[#This Row],[PAGU SEMULA]]-Table13678[[#This Row],[PAGU ANGGARAN]]</f>
        <v>-50003570</v>
      </c>
      <c r="W476" s="50">
        <f>Table13678[[#This Row],[PAGU SEMULA]]-Table13678[[#This Row],[PAGU ANGGARAN]]</f>
        <v>-50003570</v>
      </c>
      <c r="X476" t="s">
        <v>982</v>
      </c>
    </row>
    <row r="477" spans="3:24" hidden="1">
      <c r="C477" s="7" t="s">
        <v>110</v>
      </c>
      <c r="D477" s="7" t="s">
        <v>111</v>
      </c>
      <c r="E477" s="7" t="s">
        <v>112</v>
      </c>
      <c r="F477" s="7" t="s">
        <v>113</v>
      </c>
      <c r="G477" s="71" t="s">
        <v>515</v>
      </c>
      <c r="H477" s="8">
        <v>23950000</v>
      </c>
      <c r="I477" s="10" t="s">
        <v>512</v>
      </c>
      <c r="J477" s="7" t="s">
        <v>289</v>
      </c>
      <c r="K477" s="10" t="s">
        <v>288</v>
      </c>
      <c r="L477" s="7" t="s">
        <v>289</v>
      </c>
      <c r="M477" s="7"/>
      <c r="N477" s="7">
        <f>VLOOKUP(J477,[1]Sheet1!$C:$D,2,FALSE)</f>
        <v>10258</v>
      </c>
      <c r="O477" s="7">
        <f>VLOOKUP(J477,[2]Desa!$A:$D,4,FALSE)</f>
        <v>216</v>
      </c>
      <c r="P477" s="7">
        <f>VLOOKUP(J477,[3]Sheet1!$D:$F,3,FALSE)</f>
        <v>32</v>
      </c>
      <c r="Q477" s="7"/>
      <c r="R477" s="7"/>
      <c r="S477" s="12">
        <v>-8.5409316747914801</v>
      </c>
      <c r="T477" s="12">
        <v>116.101301510249</v>
      </c>
      <c r="U477" s="7"/>
      <c r="V477" s="50">
        <f>Table13678[[#This Row],[PAGU SEMULA]]-Table13678[[#This Row],[PAGU ANGGARAN]]</f>
        <v>-23950000</v>
      </c>
      <c r="W477" s="50">
        <f>Table13678[[#This Row],[PAGU SEMULA]]-Table13678[[#This Row],[PAGU ANGGARAN]]</f>
        <v>-23950000</v>
      </c>
      <c r="X477" t="s">
        <v>982</v>
      </c>
    </row>
    <row r="478" spans="3:24" hidden="1">
      <c r="C478" s="7" t="s">
        <v>35</v>
      </c>
      <c r="D478" s="7" t="s">
        <v>36</v>
      </c>
      <c r="E478" s="7" t="s">
        <v>37</v>
      </c>
      <c r="F478" s="7" t="s">
        <v>38</v>
      </c>
      <c r="G478" s="7" t="s">
        <v>39</v>
      </c>
      <c r="H478" s="15">
        <v>75000000</v>
      </c>
      <c r="I478" s="10" t="s">
        <v>512</v>
      </c>
      <c r="J478" s="7" t="s">
        <v>289</v>
      </c>
      <c r="K478" s="10" t="s">
        <v>288</v>
      </c>
      <c r="L478" s="7" t="s">
        <v>289</v>
      </c>
      <c r="M478" s="7"/>
      <c r="N478" s="7">
        <f>VLOOKUP(J478,[1]Sheet1!$C:$D,2,FALSE)</f>
        <v>10258</v>
      </c>
      <c r="O478" s="7">
        <f>VLOOKUP(J478,[2]Desa!$A:$D,4,FALSE)</f>
        <v>216</v>
      </c>
      <c r="P478" s="7">
        <f>VLOOKUP(J478,[3]Sheet1!$D:$F,3,FALSE)</f>
        <v>32</v>
      </c>
      <c r="Q478" s="7"/>
      <c r="R478" s="7"/>
      <c r="S478" s="12">
        <v>-8.5409316747914801</v>
      </c>
      <c r="T478" s="12">
        <v>116.101301510249</v>
      </c>
      <c r="U478" s="7"/>
      <c r="V478" s="50">
        <f>Table13678[[#This Row],[PAGU SEMULA]]-Table13678[[#This Row],[PAGU ANGGARAN]]</f>
        <v>-75000000</v>
      </c>
      <c r="W478" s="50">
        <f>Table13678[[#This Row],[PAGU SEMULA]]-Table13678[[#This Row],[PAGU ANGGARAN]]</f>
        <v>-75000000</v>
      </c>
      <c r="X478" t="s">
        <v>984</v>
      </c>
    </row>
    <row r="479" spans="3:24" hidden="1">
      <c r="C479" s="7" t="s">
        <v>35</v>
      </c>
      <c r="D479" s="7" t="s">
        <v>36</v>
      </c>
      <c r="E479" s="7" t="s">
        <v>37</v>
      </c>
      <c r="F479" s="7" t="s">
        <v>40</v>
      </c>
      <c r="G479" s="7" t="s">
        <v>516</v>
      </c>
      <c r="H479" s="15">
        <v>45000000</v>
      </c>
      <c r="I479" s="10" t="s">
        <v>512</v>
      </c>
      <c r="J479" s="7" t="s">
        <v>289</v>
      </c>
      <c r="K479" s="10" t="s">
        <v>288</v>
      </c>
      <c r="L479" s="7" t="s">
        <v>289</v>
      </c>
      <c r="M479" s="7"/>
      <c r="N479" s="7">
        <f>VLOOKUP(J479,[1]Sheet1!$C:$D,2,FALSE)</f>
        <v>10258</v>
      </c>
      <c r="O479" s="7">
        <f>VLOOKUP(J479,[2]Desa!$A:$D,4,FALSE)</f>
        <v>216</v>
      </c>
      <c r="P479" s="7">
        <f>VLOOKUP(J479,[3]Sheet1!$D:$F,3,FALSE)</f>
        <v>32</v>
      </c>
      <c r="Q479" s="7"/>
      <c r="R479" s="7"/>
      <c r="S479" s="12">
        <v>-8.5409316747914801</v>
      </c>
      <c r="T479" s="12">
        <v>116.101301510249</v>
      </c>
      <c r="U479" s="7"/>
      <c r="V479" s="50">
        <f>Table13678[[#This Row],[PAGU SEMULA]]-Table13678[[#This Row],[PAGU ANGGARAN]]</f>
        <v>-45000000</v>
      </c>
      <c r="W479" s="50">
        <f>Table13678[[#This Row],[PAGU SEMULA]]-Table13678[[#This Row],[PAGU ANGGARAN]]</f>
        <v>-45000000</v>
      </c>
      <c r="X479" t="s">
        <v>986</v>
      </c>
    </row>
    <row r="480" spans="3:24" hidden="1">
      <c r="C480" s="7" t="s">
        <v>35</v>
      </c>
      <c r="D480" s="7" t="s">
        <v>36</v>
      </c>
      <c r="E480" s="7" t="s">
        <v>37</v>
      </c>
      <c r="F480" s="7" t="s">
        <v>40</v>
      </c>
      <c r="G480" s="7" t="s">
        <v>98</v>
      </c>
      <c r="H480" s="17">
        <v>580500000</v>
      </c>
      <c r="I480" s="10" t="s">
        <v>512</v>
      </c>
      <c r="J480" s="7" t="s">
        <v>289</v>
      </c>
      <c r="K480" s="10" t="s">
        <v>288</v>
      </c>
      <c r="L480" s="7" t="s">
        <v>289</v>
      </c>
      <c r="M480" s="7"/>
      <c r="N480" s="7">
        <f>VLOOKUP(J480,[1]Sheet1!$C:$D,2,FALSE)</f>
        <v>10258</v>
      </c>
      <c r="O480" s="7">
        <f>VLOOKUP(J480,[2]Desa!$A:$D,4,FALSE)</f>
        <v>216</v>
      </c>
      <c r="P480" s="7">
        <f>VLOOKUP(J480,[3]Sheet1!$D:$F,3,FALSE)</f>
        <v>32</v>
      </c>
      <c r="Q480" s="7"/>
      <c r="R480" s="7"/>
      <c r="S480" s="12">
        <v>-8.5409316747914801</v>
      </c>
      <c r="T480" s="12">
        <v>116.101301510249</v>
      </c>
      <c r="U480" s="7"/>
      <c r="V480" s="50">
        <f>Table13678[[#This Row],[PAGU SEMULA]]-Table13678[[#This Row],[PAGU ANGGARAN]]</f>
        <v>-580500000</v>
      </c>
      <c r="W480" s="50">
        <f>Table13678[[#This Row],[PAGU SEMULA]]-Table13678[[#This Row],[PAGU ANGGARAN]]</f>
        <v>-580500000</v>
      </c>
      <c r="X480" t="s">
        <v>986</v>
      </c>
    </row>
    <row r="481" spans="3:24" hidden="1">
      <c r="C481" s="7" t="s">
        <v>35</v>
      </c>
      <c r="D481" s="7" t="s">
        <v>255</v>
      </c>
      <c r="E481" s="7" t="s">
        <v>256</v>
      </c>
      <c r="F481" s="7" t="s">
        <v>257</v>
      </c>
      <c r="G481" s="7" t="s">
        <v>517</v>
      </c>
      <c r="H481" s="15">
        <v>70000000</v>
      </c>
      <c r="I481" s="10" t="s">
        <v>512</v>
      </c>
      <c r="J481" s="7" t="s">
        <v>289</v>
      </c>
      <c r="K481" s="10" t="s">
        <v>288</v>
      </c>
      <c r="L481" s="7" t="s">
        <v>289</v>
      </c>
      <c r="M481" s="7"/>
      <c r="N481" s="7">
        <f>VLOOKUP(J481,[1]Sheet1!$C:$D,2,FALSE)</f>
        <v>10258</v>
      </c>
      <c r="O481" s="7">
        <f>VLOOKUP(J481,[2]Desa!$A:$D,4,FALSE)</f>
        <v>216</v>
      </c>
      <c r="P481" s="7">
        <f>VLOOKUP(J481,[3]Sheet1!$D:$F,3,FALSE)</f>
        <v>32</v>
      </c>
      <c r="Q481" s="7"/>
      <c r="R481" s="7"/>
      <c r="S481" s="12">
        <v>-8.5409316747914801</v>
      </c>
      <c r="T481" s="12">
        <v>116.101301510249</v>
      </c>
      <c r="U481" s="7"/>
      <c r="V481" s="50">
        <f>Table13678[[#This Row],[PAGU SEMULA]]-Table13678[[#This Row],[PAGU ANGGARAN]]</f>
        <v>-70000000</v>
      </c>
      <c r="W481" s="50">
        <f>Table13678[[#This Row],[PAGU SEMULA]]-Table13678[[#This Row],[PAGU ANGGARAN]]</f>
        <v>-70000000</v>
      </c>
      <c r="X481" t="s">
        <v>986</v>
      </c>
    </row>
    <row r="482" spans="3:24" hidden="1">
      <c r="C482" s="7" t="s">
        <v>35</v>
      </c>
      <c r="D482" s="7" t="s">
        <v>255</v>
      </c>
      <c r="E482" s="7" t="s">
        <v>256</v>
      </c>
      <c r="F482" s="7" t="s">
        <v>257</v>
      </c>
      <c r="G482" s="7" t="s">
        <v>518</v>
      </c>
      <c r="H482" s="15">
        <v>90000000</v>
      </c>
      <c r="I482" s="10" t="s">
        <v>512</v>
      </c>
      <c r="J482" s="7" t="s">
        <v>289</v>
      </c>
      <c r="K482" s="10" t="s">
        <v>288</v>
      </c>
      <c r="L482" s="7" t="s">
        <v>289</v>
      </c>
      <c r="M482" s="7"/>
      <c r="N482" s="7">
        <f>VLOOKUP(J482,[1]Sheet1!$C:$D,2,FALSE)</f>
        <v>10258</v>
      </c>
      <c r="O482" s="7">
        <f>VLOOKUP(J482,[2]Desa!$A:$D,4,FALSE)</f>
        <v>216</v>
      </c>
      <c r="P482" s="7">
        <f>VLOOKUP(J482,[3]Sheet1!$D:$F,3,FALSE)</f>
        <v>32</v>
      </c>
      <c r="Q482" s="7"/>
      <c r="R482" s="7"/>
      <c r="S482" s="12">
        <v>-8.5409316747914801</v>
      </c>
      <c r="T482" s="12">
        <v>116.101301510249</v>
      </c>
      <c r="U482" s="7"/>
      <c r="V482" s="50">
        <f>Table13678[[#This Row],[PAGU SEMULA]]-Table13678[[#This Row],[PAGU ANGGARAN]]</f>
        <v>-90000000</v>
      </c>
      <c r="W482" s="50">
        <f>Table13678[[#This Row],[PAGU SEMULA]]-Table13678[[#This Row],[PAGU ANGGARAN]]</f>
        <v>-90000000</v>
      </c>
      <c r="X482" t="s">
        <v>986</v>
      </c>
    </row>
    <row r="483" spans="3:24" hidden="1">
      <c r="C483" s="7" t="s">
        <v>35</v>
      </c>
      <c r="D483" s="7" t="s">
        <v>65</v>
      </c>
      <c r="E483" s="7" t="s">
        <v>66</v>
      </c>
      <c r="F483" s="7" t="s">
        <v>322</v>
      </c>
      <c r="G483" s="7" t="s">
        <v>322</v>
      </c>
      <c r="H483" s="15">
        <v>34151000</v>
      </c>
      <c r="I483" s="10" t="s">
        <v>512</v>
      </c>
      <c r="J483" s="7" t="s">
        <v>289</v>
      </c>
      <c r="K483" s="10" t="s">
        <v>207</v>
      </c>
      <c r="L483" s="7" t="s">
        <v>289</v>
      </c>
      <c r="M483" s="7"/>
      <c r="N483" s="7">
        <f>VLOOKUP(J483,[1]Sheet1!$C:$D,2,FALSE)</f>
        <v>10258</v>
      </c>
      <c r="O483" s="7">
        <f>VLOOKUP(J483,[2]Desa!$A:$D,4,FALSE)</f>
        <v>216</v>
      </c>
      <c r="P483" s="7">
        <f>VLOOKUP(J483,[3]Sheet1!$D:$F,3,FALSE)</f>
        <v>32</v>
      </c>
      <c r="Q483" s="7"/>
      <c r="R483" s="7"/>
      <c r="S483" s="12">
        <v>-8.5409316747914801</v>
      </c>
      <c r="T483" s="12">
        <v>116.101301510249</v>
      </c>
      <c r="U483" s="7"/>
      <c r="V483" s="50">
        <f>Table13678[[#This Row],[PAGU SEMULA]]-Table13678[[#This Row],[PAGU ANGGARAN]]</f>
        <v>-34151000</v>
      </c>
      <c r="W483" s="50">
        <f>Table13678[[#This Row],[PAGU SEMULA]]-Table13678[[#This Row],[PAGU ANGGARAN]]</f>
        <v>-34151000</v>
      </c>
      <c r="X483" t="s">
        <v>986</v>
      </c>
    </row>
    <row r="484" spans="3:24" hidden="1">
      <c r="C484" s="7" t="s">
        <v>68</v>
      </c>
      <c r="D484" s="7" t="s">
        <v>118</v>
      </c>
      <c r="E484" s="7" t="s">
        <v>119</v>
      </c>
      <c r="F484" s="7" t="s">
        <v>120</v>
      </c>
      <c r="G484" s="7" t="s">
        <v>72</v>
      </c>
      <c r="H484" s="8">
        <v>19800000</v>
      </c>
      <c r="I484" s="10" t="s">
        <v>512</v>
      </c>
      <c r="J484" s="7" t="s">
        <v>289</v>
      </c>
      <c r="K484" s="10" t="s">
        <v>288</v>
      </c>
      <c r="L484" s="7" t="s">
        <v>289</v>
      </c>
      <c r="M484" s="7"/>
      <c r="N484" s="7">
        <f>VLOOKUP(J484,[1]Sheet1!$C:$D,2,FALSE)</f>
        <v>10258</v>
      </c>
      <c r="O484" s="7">
        <f>VLOOKUP(J484,[2]Desa!$A:$D,4,FALSE)</f>
        <v>216</v>
      </c>
      <c r="P484" s="7">
        <f>VLOOKUP(J484,[3]Sheet1!$D:$F,3,FALSE)</f>
        <v>32</v>
      </c>
      <c r="Q484" s="7"/>
      <c r="R484" s="7"/>
      <c r="S484" s="12">
        <v>-8.5409316747914801</v>
      </c>
      <c r="T484" s="12">
        <v>116.101301510249</v>
      </c>
      <c r="U484" s="7"/>
      <c r="V484" s="50">
        <f>Table13678[[#This Row],[PAGU SEMULA]]-Table13678[[#This Row],[PAGU ANGGARAN]]</f>
        <v>-19800000</v>
      </c>
      <c r="W484" s="50">
        <f>Table13678[[#This Row],[PAGU SEMULA]]-Table13678[[#This Row],[PAGU ANGGARAN]]</f>
        <v>-19800000</v>
      </c>
      <c r="X484" t="s">
        <v>982</v>
      </c>
    </row>
    <row r="485" spans="3:24" hidden="1">
      <c r="C485" s="7" t="s">
        <v>68</v>
      </c>
      <c r="D485" s="7" t="s">
        <v>118</v>
      </c>
      <c r="E485" s="7" t="s">
        <v>119</v>
      </c>
      <c r="F485" s="7" t="s">
        <v>120</v>
      </c>
      <c r="G485" s="7" t="s">
        <v>519</v>
      </c>
      <c r="H485" s="8">
        <v>40000000</v>
      </c>
      <c r="I485" s="10" t="s">
        <v>512</v>
      </c>
      <c r="J485" s="7" t="s">
        <v>289</v>
      </c>
      <c r="K485" s="10" t="s">
        <v>288</v>
      </c>
      <c r="L485" s="7" t="s">
        <v>289</v>
      </c>
      <c r="M485" s="7"/>
      <c r="N485" s="7">
        <f>VLOOKUP(J485,[1]Sheet1!$C:$D,2,FALSE)</f>
        <v>10258</v>
      </c>
      <c r="O485" s="7">
        <f>VLOOKUP(J485,[2]Desa!$A:$D,4,FALSE)</f>
        <v>216</v>
      </c>
      <c r="P485" s="7">
        <f>VLOOKUP(J485,[3]Sheet1!$D:$F,3,FALSE)</f>
        <v>32</v>
      </c>
      <c r="Q485" s="7"/>
      <c r="R485" s="7"/>
      <c r="S485" s="12">
        <v>-8.5409316747914801</v>
      </c>
      <c r="T485" s="12">
        <v>116.101301510249</v>
      </c>
      <c r="U485" s="7"/>
      <c r="V485" s="50">
        <f>Table13678[[#This Row],[PAGU SEMULA]]-Table13678[[#This Row],[PAGU ANGGARAN]]</f>
        <v>-40000000</v>
      </c>
      <c r="W485" s="50">
        <f>Table13678[[#This Row],[PAGU SEMULA]]-Table13678[[#This Row],[PAGU ANGGARAN]]</f>
        <v>-40000000</v>
      </c>
      <c r="X485" t="s">
        <v>982</v>
      </c>
    </row>
    <row r="486" spans="3:24" hidden="1">
      <c r="C486" s="7" t="s">
        <v>68</v>
      </c>
      <c r="D486" s="7" t="s">
        <v>118</v>
      </c>
      <c r="E486" s="7" t="s">
        <v>119</v>
      </c>
      <c r="F486" s="7" t="s">
        <v>120</v>
      </c>
      <c r="G486" s="7" t="s">
        <v>520</v>
      </c>
      <c r="H486" s="8">
        <v>20406000</v>
      </c>
      <c r="I486" s="10" t="s">
        <v>512</v>
      </c>
      <c r="J486" s="7" t="s">
        <v>289</v>
      </c>
      <c r="K486" s="10" t="s">
        <v>288</v>
      </c>
      <c r="L486" s="7" t="s">
        <v>289</v>
      </c>
      <c r="M486" s="7"/>
      <c r="N486" s="7">
        <f>VLOOKUP(J486,[1]Sheet1!$C:$D,2,FALSE)</f>
        <v>10258</v>
      </c>
      <c r="O486" s="7">
        <f>VLOOKUP(J486,[2]Desa!$A:$D,4,FALSE)</f>
        <v>216</v>
      </c>
      <c r="P486" s="7">
        <f>VLOOKUP(J486,[3]Sheet1!$D:$F,3,FALSE)</f>
        <v>32</v>
      </c>
      <c r="Q486" s="7"/>
      <c r="R486" s="7"/>
      <c r="S486" s="12">
        <v>-8.5409316747914801</v>
      </c>
      <c r="T486" s="12">
        <v>116.101301510249</v>
      </c>
      <c r="U486" s="7"/>
      <c r="V486" s="50">
        <f>Table13678[[#This Row],[PAGU SEMULA]]-Table13678[[#This Row],[PAGU ANGGARAN]]</f>
        <v>-20406000</v>
      </c>
      <c r="W486" s="50">
        <f>Table13678[[#This Row],[PAGU SEMULA]]-Table13678[[#This Row],[PAGU ANGGARAN]]</f>
        <v>-20406000</v>
      </c>
      <c r="X486" t="s">
        <v>982</v>
      </c>
    </row>
    <row r="487" spans="3:24" hidden="1">
      <c r="C487" s="7" t="s">
        <v>68</v>
      </c>
      <c r="D487" s="7" t="s">
        <v>118</v>
      </c>
      <c r="E487" s="7" t="s">
        <v>119</v>
      </c>
      <c r="F487" s="7" t="s">
        <v>120</v>
      </c>
      <c r="G487" s="7" t="s">
        <v>521</v>
      </c>
      <c r="H487" s="8">
        <v>30000000</v>
      </c>
      <c r="I487" s="10" t="s">
        <v>512</v>
      </c>
      <c r="J487" s="7" t="s">
        <v>289</v>
      </c>
      <c r="K487" s="10" t="s">
        <v>288</v>
      </c>
      <c r="L487" s="7" t="s">
        <v>289</v>
      </c>
      <c r="M487" s="7"/>
      <c r="N487" s="7">
        <f>VLOOKUP(J487,[1]Sheet1!$C:$D,2,FALSE)</f>
        <v>10258</v>
      </c>
      <c r="O487" s="7">
        <f>VLOOKUP(J487,[2]Desa!$A:$D,4,FALSE)</f>
        <v>216</v>
      </c>
      <c r="P487" s="7">
        <f>VLOOKUP(J487,[3]Sheet1!$D:$F,3,FALSE)</f>
        <v>32</v>
      </c>
      <c r="Q487" s="7"/>
      <c r="R487" s="7"/>
      <c r="S487" s="12">
        <v>-8.5409316747914801</v>
      </c>
      <c r="T487" s="12">
        <v>116.101301510249</v>
      </c>
      <c r="U487" s="7"/>
      <c r="V487" s="50">
        <f>Table13678[[#This Row],[PAGU SEMULA]]-Table13678[[#This Row],[PAGU ANGGARAN]]</f>
        <v>-30000000</v>
      </c>
      <c r="W487" s="50">
        <f>Table13678[[#This Row],[PAGU SEMULA]]-Table13678[[#This Row],[PAGU ANGGARAN]]</f>
        <v>-30000000</v>
      </c>
      <c r="X487" t="s">
        <v>982</v>
      </c>
    </row>
    <row r="488" spans="3:24" hidden="1">
      <c r="C488" s="7" t="s">
        <v>46</v>
      </c>
      <c r="D488" s="7" t="s">
        <v>122</v>
      </c>
      <c r="E488" s="7" t="s">
        <v>123</v>
      </c>
      <c r="F488" s="7" t="s">
        <v>124</v>
      </c>
      <c r="G488" s="71" t="s">
        <v>125</v>
      </c>
      <c r="H488" s="8">
        <v>0</v>
      </c>
      <c r="I488" s="10" t="s">
        <v>512</v>
      </c>
      <c r="J488" s="7" t="s">
        <v>289</v>
      </c>
      <c r="K488" s="10" t="s">
        <v>288</v>
      </c>
      <c r="L488" s="7" t="s">
        <v>289</v>
      </c>
      <c r="M488" s="7"/>
      <c r="N488" s="7">
        <f>VLOOKUP(J488,[1]Sheet1!$C:$D,2,FALSE)</f>
        <v>10258</v>
      </c>
      <c r="O488" s="7">
        <f>VLOOKUP(J488,[2]Desa!$A:$D,4,FALSE)</f>
        <v>216</v>
      </c>
      <c r="P488" s="7">
        <f>VLOOKUP(J488,[3]Sheet1!$D:$F,3,FALSE)</f>
        <v>32</v>
      </c>
      <c r="Q488" s="7"/>
      <c r="R488" s="7"/>
      <c r="S488" s="12">
        <v>-8.5409316747914801</v>
      </c>
      <c r="T488" s="12">
        <v>116.101301510249</v>
      </c>
      <c r="U488" s="7"/>
      <c r="V488" s="50">
        <f>Table13678[[#This Row],[PAGU SEMULA]]-Table13678[[#This Row],[PAGU ANGGARAN]]</f>
        <v>0</v>
      </c>
      <c r="W488" s="50">
        <f>Table13678[[#This Row],[PAGU SEMULA]]-Table13678[[#This Row],[PAGU ANGGARAN]]</f>
        <v>0</v>
      </c>
      <c r="X488" t="s">
        <v>987</v>
      </c>
    </row>
    <row r="489" spans="3:24" hidden="1">
      <c r="C489" s="7" t="s">
        <v>51</v>
      </c>
      <c r="D489" s="7" t="s">
        <v>52</v>
      </c>
      <c r="E489" s="7" t="s">
        <v>53</v>
      </c>
      <c r="F489" s="7" t="s">
        <v>54</v>
      </c>
      <c r="G489" s="7" t="s">
        <v>55</v>
      </c>
      <c r="H489" s="8">
        <v>380090000</v>
      </c>
      <c r="I489" s="10" t="s">
        <v>512</v>
      </c>
      <c r="J489" s="7" t="s">
        <v>289</v>
      </c>
      <c r="K489" s="10" t="s">
        <v>288</v>
      </c>
      <c r="L489" s="7" t="s">
        <v>289</v>
      </c>
      <c r="M489" s="7"/>
      <c r="N489" s="7">
        <f>VLOOKUP(J489,[1]Sheet1!$C:$D,2,FALSE)</f>
        <v>10258</v>
      </c>
      <c r="O489" s="7">
        <f>VLOOKUP(J489,[2]Desa!$A:$D,4,FALSE)</f>
        <v>216</v>
      </c>
      <c r="P489" s="7">
        <f>VLOOKUP(J489,[3]Sheet1!$D:$F,3,FALSE)</f>
        <v>32</v>
      </c>
      <c r="Q489" s="7"/>
      <c r="R489" s="7"/>
      <c r="S489" s="12">
        <v>-8.5409316747914801</v>
      </c>
      <c r="T489" s="12">
        <v>116.101301510249</v>
      </c>
      <c r="U489" s="7"/>
      <c r="V489" s="50">
        <f>Table13678[[#This Row],[PAGU SEMULA]]-Table13678[[#This Row],[PAGU ANGGARAN]]</f>
        <v>-380090000</v>
      </c>
      <c r="W489" s="50">
        <f>Table13678[[#This Row],[PAGU SEMULA]]-Table13678[[#This Row],[PAGU ANGGARAN]]</f>
        <v>-380090000</v>
      </c>
      <c r="X489" t="s">
        <v>986</v>
      </c>
    </row>
    <row r="490" spans="3:24" hidden="1">
      <c r="C490" s="7" t="s">
        <v>51</v>
      </c>
      <c r="D490" s="7" t="s">
        <v>52</v>
      </c>
      <c r="E490" s="7" t="s">
        <v>53</v>
      </c>
      <c r="F490" s="7" t="s">
        <v>54</v>
      </c>
      <c r="G490" s="7" t="s">
        <v>73</v>
      </c>
      <c r="H490" s="8">
        <v>142295000</v>
      </c>
      <c r="I490" s="10" t="s">
        <v>512</v>
      </c>
      <c r="J490" s="7" t="s">
        <v>289</v>
      </c>
      <c r="K490" s="10" t="s">
        <v>288</v>
      </c>
      <c r="L490" s="7" t="s">
        <v>289</v>
      </c>
      <c r="M490" s="7"/>
      <c r="N490" s="7">
        <f>VLOOKUP(J490,[1]Sheet1!$C:$D,2,FALSE)</f>
        <v>10258</v>
      </c>
      <c r="O490" s="7">
        <f>VLOOKUP(J490,[2]Desa!$A:$D,4,FALSE)</f>
        <v>216</v>
      </c>
      <c r="P490" s="7">
        <f>VLOOKUP(J490,[3]Sheet1!$D:$F,3,FALSE)</f>
        <v>32</v>
      </c>
      <c r="Q490" s="7"/>
      <c r="R490" s="7"/>
      <c r="S490" s="12">
        <v>-8.5409316747914801</v>
      </c>
      <c r="T490" s="12">
        <v>116.101301510249</v>
      </c>
      <c r="U490" s="7"/>
      <c r="V490" s="50">
        <f>Table13678[[#This Row],[PAGU SEMULA]]-Table13678[[#This Row],[PAGU ANGGARAN]]</f>
        <v>-142295000</v>
      </c>
      <c r="W490" s="50">
        <f>Table13678[[#This Row],[PAGU SEMULA]]-Table13678[[#This Row],[PAGU ANGGARAN]]</f>
        <v>-142295000</v>
      </c>
      <c r="X490" t="s">
        <v>986</v>
      </c>
    </row>
    <row r="491" spans="3:24" hidden="1">
      <c r="C491" s="7" t="s">
        <v>51</v>
      </c>
      <c r="D491" s="7" t="s">
        <v>52</v>
      </c>
      <c r="E491" s="7" t="s">
        <v>53</v>
      </c>
      <c r="F491" s="7" t="s">
        <v>54</v>
      </c>
      <c r="G491" s="7" t="s">
        <v>73</v>
      </c>
      <c r="H491" s="8">
        <v>142295000</v>
      </c>
      <c r="I491" s="10" t="s">
        <v>512</v>
      </c>
      <c r="J491" s="7" t="s">
        <v>289</v>
      </c>
      <c r="K491" s="10" t="s">
        <v>288</v>
      </c>
      <c r="L491" s="7" t="s">
        <v>289</v>
      </c>
      <c r="M491" s="7"/>
      <c r="N491" s="7">
        <f>VLOOKUP(J491,[1]Sheet1!$C:$D,2,FALSE)</f>
        <v>10258</v>
      </c>
      <c r="O491" s="7">
        <f>VLOOKUP(J491,[2]Desa!$A:$D,4,FALSE)</f>
        <v>216</v>
      </c>
      <c r="P491" s="7">
        <f>VLOOKUP(J491,[3]Sheet1!$D:$F,3,FALSE)</f>
        <v>32</v>
      </c>
      <c r="Q491" s="7"/>
      <c r="R491" s="7"/>
      <c r="S491" s="12">
        <v>-8.5409316747914801</v>
      </c>
      <c r="T491" s="12">
        <v>116.101301510249</v>
      </c>
      <c r="U491" s="7"/>
      <c r="V491" s="50">
        <f>Table13678[[#This Row],[PAGU SEMULA]]-Table13678[[#This Row],[PAGU ANGGARAN]]</f>
        <v>-142295000</v>
      </c>
      <c r="W491" s="50">
        <f>Table13678[[#This Row],[PAGU SEMULA]]-Table13678[[#This Row],[PAGU ANGGARAN]]</f>
        <v>-142295000</v>
      </c>
      <c r="X491" t="s">
        <v>986</v>
      </c>
    </row>
    <row r="492" spans="3:24" hidden="1">
      <c r="C492" s="7" t="s">
        <v>20</v>
      </c>
      <c r="D492" s="7" t="s">
        <v>104</v>
      </c>
      <c r="E492" s="7" t="s">
        <v>105</v>
      </c>
      <c r="F492" s="7" t="s">
        <v>169</v>
      </c>
      <c r="G492" s="71" t="s">
        <v>522</v>
      </c>
      <c r="H492" s="15">
        <v>264570000</v>
      </c>
      <c r="I492" s="10" t="s">
        <v>523</v>
      </c>
      <c r="J492" s="7" t="s">
        <v>524</v>
      </c>
      <c r="K492" s="10" t="s">
        <v>235</v>
      </c>
      <c r="L492" s="7" t="s">
        <v>236</v>
      </c>
      <c r="M492" s="7"/>
      <c r="N492" s="7">
        <f>VLOOKUP(J492,[1]Sheet1!$C:$D,2,FALSE)</f>
        <v>10620</v>
      </c>
      <c r="O492" s="7">
        <f>VLOOKUP(J492,[2]Desa!$A:$D,4,FALSE)</f>
        <v>456</v>
      </c>
      <c r="P492" s="7">
        <f>VLOOKUP(J492,[3]Sheet1!$D:$F,3,FALSE)</f>
        <v>73</v>
      </c>
      <c r="Q492" s="7"/>
      <c r="R492" s="7"/>
      <c r="S492" s="12">
        <v>-8.6581611075111002</v>
      </c>
      <c r="T492" s="12">
        <v>116.158340823744</v>
      </c>
      <c r="U492" s="7"/>
      <c r="V492" s="50">
        <f>Table13678[[#This Row],[PAGU SEMULA]]-Table13678[[#This Row],[PAGU ANGGARAN]]</f>
        <v>-264570000</v>
      </c>
      <c r="W492" s="50">
        <f>Table13678[[#This Row],[PAGU SEMULA]]-Table13678[[#This Row],[PAGU ANGGARAN]]</f>
        <v>-264570000</v>
      </c>
      <c r="X492" t="s">
        <v>984</v>
      </c>
    </row>
    <row r="493" spans="3:24" hidden="1">
      <c r="C493" s="7" t="s">
        <v>20</v>
      </c>
      <c r="D493" s="7" t="s">
        <v>104</v>
      </c>
      <c r="E493" s="7" t="s">
        <v>105</v>
      </c>
      <c r="F493" s="7" t="s">
        <v>240</v>
      </c>
      <c r="G493" s="71" t="s">
        <v>525</v>
      </c>
      <c r="H493" s="15">
        <v>77000000</v>
      </c>
      <c r="I493" s="10" t="s">
        <v>523</v>
      </c>
      <c r="J493" s="7" t="s">
        <v>524</v>
      </c>
      <c r="K493" s="10" t="s">
        <v>235</v>
      </c>
      <c r="L493" s="7" t="s">
        <v>236</v>
      </c>
      <c r="M493" s="7"/>
      <c r="N493" s="7">
        <f>VLOOKUP(J493,[1]Sheet1!$C:$D,2,FALSE)</f>
        <v>10620</v>
      </c>
      <c r="O493" s="7">
        <f>VLOOKUP(J493,[2]Desa!$A:$D,4,FALSE)</f>
        <v>456</v>
      </c>
      <c r="P493" s="7">
        <f>VLOOKUP(J493,[3]Sheet1!$D:$F,3,FALSE)</f>
        <v>73</v>
      </c>
      <c r="Q493" s="7"/>
      <c r="R493" s="7"/>
      <c r="S493" s="12">
        <v>-8.6581611075111002</v>
      </c>
      <c r="T493" s="12">
        <v>116.158340823744</v>
      </c>
      <c r="U493" s="7"/>
      <c r="V493" s="50">
        <f>Table13678[[#This Row],[PAGU SEMULA]]-Table13678[[#This Row],[PAGU ANGGARAN]]</f>
        <v>-77000000</v>
      </c>
      <c r="W493" s="50">
        <f>Table13678[[#This Row],[PAGU SEMULA]]-Table13678[[#This Row],[PAGU ANGGARAN]]</f>
        <v>-77000000</v>
      </c>
      <c r="X493" t="s">
        <v>984</v>
      </c>
    </row>
    <row r="494" spans="3:24" hidden="1">
      <c r="C494" s="7" t="s">
        <v>20</v>
      </c>
      <c r="D494" s="7" t="s">
        <v>104</v>
      </c>
      <c r="E494" s="7" t="s">
        <v>145</v>
      </c>
      <c r="F494" s="7" t="s">
        <v>146</v>
      </c>
      <c r="G494" s="71" t="s">
        <v>526</v>
      </c>
      <c r="H494" s="15">
        <v>31625000</v>
      </c>
      <c r="I494" s="10" t="s">
        <v>523</v>
      </c>
      <c r="J494" s="7" t="s">
        <v>524</v>
      </c>
      <c r="K494" s="10" t="s">
        <v>235</v>
      </c>
      <c r="L494" s="7" t="s">
        <v>236</v>
      </c>
      <c r="M494" s="7"/>
      <c r="N494" s="7">
        <f>VLOOKUP(J494,[1]Sheet1!$C:$D,2,FALSE)</f>
        <v>10620</v>
      </c>
      <c r="O494" s="7">
        <f>VLOOKUP(J494,[2]Desa!$A:$D,4,FALSE)</f>
        <v>456</v>
      </c>
      <c r="P494" s="7">
        <f>VLOOKUP(J494,[3]Sheet1!$D:$F,3,FALSE)</f>
        <v>73</v>
      </c>
      <c r="Q494" s="7"/>
      <c r="R494" s="7"/>
      <c r="S494" s="12">
        <v>-8.6581611075111002</v>
      </c>
      <c r="T494" s="12">
        <v>116.158340823744</v>
      </c>
      <c r="U494" s="7"/>
      <c r="V494" s="50">
        <f>Table13678[[#This Row],[PAGU SEMULA]]-Table13678[[#This Row],[PAGU ANGGARAN]]</f>
        <v>-31625000</v>
      </c>
      <c r="W494" s="50">
        <f>Table13678[[#This Row],[PAGU SEMULA]]-Table13678[[#This Row],[PAGU ANGGARAN]]</f>
        <v>-31625000</v>
      </c>
      <c r="X494" t="s">
        <v>984</v>
      </c>
    </row>
    <row r="495" spans="3:24" hidden="1">
      <c r="C495" s="7" t="s">
        <v>29</v>
      </c>
      <c r="D495" s="7" t="s">
        <v>30</v>
      </c>
      <c r="E495" s="7" t="s">
        <v>31</v>
      </c>
      <c r="F495" s="7" t="s">
        <v>32</v>
      </c>
      <c r="G495" s="7" t="s">
        <v>33</v>
      </c>
      <c r="H495" s="8">
        <v>297360000</v>
      </c>
      <c r="I495" s="10" t="s">
        <v>523</v>
      </c>
      <c r="J495" s="7" t="s">
        <v>524</v>
      </c>
      <c r="K495" s="10" t="s">
        <v>235</v>
      </c>
      <c r="L495" s="7" t="s">
        <v>236</v>
      </c>
      <c r="M495" s="7"/>
      <c r="N495" s="7">
        <f>VLOOKUP(J495,[1]Sheet1!$C:$D,2,FALSE)</f>
        <v>10620</v>
      </c>
      <c r="O495" s="7">
        <f>VLOOKUP(J495,[2]Desa!$A:$D,4,FALSE)</f>
        <v>456</v>
      </c>
      <c r="P495" s="7">
        <f>VLOOKUP(J495,[3]Sheet1!$D:$F,3,FALSE)</f>
        <v>73</v>
      </c>
      <c r="Q495" s="7"/>
      <c r="R495" s="7"/>
      <c r="S495" s="12">
        <v>-8.6581611075111002</v>
      </c>
      <c r="T495" s="12">
        <v>116.158340823744</v>
      </c>
      <c r="U495" s="7"/>
      <c r="V495" s="50">
        <f>Table13678[[#This Row],[PAGU SEMULA]]-Table13678[[#This Row],[PAGU ANGGARAN]]</f>
        <v>-297360000</v>
      </c>
      <c r="W495" s="50">
        <f>Table13678[[#This Row],[PAGU SEMULA]]-Table13678[[#This Row],[PAGU ANGGARAN]]</f>
        <v>-297360000</v>
      </c>
      <c r="X495" t="s">
        <v>984</v>
      </c>
    </row>
    <row r="496" spans="3:24" hidden="1">
      <c r="C496" s="7" t="s">
        <v>29</v>
      </c>
      <c r="D496" s="7" t="s">
        <v>30</v>
      </c>
      <c r="E496" s="7" t="s">
        <v>31</v>
      </c>
      <c r="F496" s="7" t="s">
        <v>32</v>
      </c>
      <c r="G496" s="7" t="s">
        <v>34</v>
      </c>
      <c r="H496" s="8">
        <v>23788800</v>
      </c>
      <c r="I496" s="10" t="s">
        <v>523</v>
      </c>
      <c r="J496" s="7" t="s">
        <v>524</v>
      </c>
      <c r="K496" s="10" t="s">
        <v>235</v>
      </c>
      <c r="L496" s="7" t="s">
        <v>236</v>
      </c>
      <c r="M496" s="7"/>
      <c r="N496" s="7">
        <f>VLOOKUP(J496,[1]Sheet1!$C:$D,2,FALSE)</f>
        <v>10620</v>
      </c>
      <c r="O496" s="7">
        <f>VLOOKUP(J496,[2]Desa!$A:$D,4,FALSE)</f>
        <v>456</v>
      </c>
      <c r="P496" s="7">
        <f>VLOOKUP(J496,[3]Sheet1!$D:$F,3,FALSE)</f>
        <v>73</v>
      </c>
      <c r="Q496" s="7"/>
      <c r="R496" s="7"/>
      <c r="S496" s="12">
        <v>-8.6581611075111002</v>
      </c>
      <c r="T496" s="12">
        <v>116.158340823744</v>
      </c>
      <c r="U496" s="7"/>
      <c r="V496" s="50">
        <f>Table13678[[#This Row],[PAGU SEMULA]]-Table13678[[#This Row],[PAGU ANGGARAN]]</f>
        <v>-23788800</v>
      </c>
      <c r="W496" s="50">
        <f>Table13678[[#This Row],[PAGU SEMULA]]-Table13678[[#This Row],[PAGU ANGGARAN]]</f>
        <v>-23788800</v>
      </c>
      <c r="X496" t="s">
        <v>984</v>
      </c>
    </row>
    <row r="497" spans="2:24" hidden="1">
      <c r="C497" s="7" t="s">
        <v>110</v>
      </c>
      <c r="D497" s="7" t="s">
        <v>178</v>
      </c>
      <c r="E497" s="7" t="s">
        <v>179</v>
      </c>
      <c r="F497" s="7" t="s">
        <v>180</v>
      </c>
      <c r="G497" s="71" t="s">
        <v>181</v>
      </c>
      <c r="H497" s="8">
        <v>0</v>
      </c>
      <c r="I497" s="10" t="s">
        <v>523</v>
      </c>
      <c r="J497" s="7" t="s">
        <v>524</v>
      </c>
      <c r="K497" s="10" t="s">
        <v>235</v>
      </c>
      <c r="L497" s="7" t="s">
        <v>236</v>
      </c>
      <c r="M497" s="7"/>
      <c r="N497" s="7">
        <f>VLOOKUP(J497,[1]Sheet1!$C:$D,2,FALSE)</f>
        <v>10620</v>
      </c>
      <c r="O497" s="7">
        <f>VLOOKUP(J497,[2]Desa!$A:$D,4,FALSE)</f>
        <v>456</v>
      </c>
      <c r="P497" s="7">
        <f>VLOOKUP(J497,[3]Sheet1!$D:$F,3,FALSE)</f>
        <v>73</v>
      </c>
      <c r="Q497" s="7"/>
      <c r="R497" s="7"/>
      <c r="S497" s="12">
        <v>-8.6581611075111002</v>
      </c>
      <c r="T497" s="12">
        <v>116.158340823744</v>
      </c>
      <c r="U497" s="7"/>
      <c r="V497" s="50">
        <f>Table13678[[#This Row],[PAGU SEMULA]]-Table13678[[#This Row],[PAGU ANGGARAN]]</f>
        <v>0</v>
      </c>
      <c r="W497" s="50">
        <f>Table13678[[#This Row],[PAGU SEMULA]]-Table13678[[#This Row],[PAGU ANGGARAN]]</f>
        <v>0</v>
      </c>
      <c r="X497" t="s">
        <v>982</v>
      </c>
    </row>
    <row r="498" spans="2:24" hidden="1">
      <c r="C498" s="7" t="s">
        <v>35</v>
      </c>
      <c r="D498" s="7" t="s">
        <v>36</v>
      </c>
      <c r="E498" s="7" t="s">
        <v>37</v>
      </c>
      <c r="F498" s="7" t="s">
        <v>38</v>
      </c>
      <c r="G498" s="7" t="s">
        <v>39</v>
      </c>
      <c r="H498" s="15">
        <v>75000000</v>
      </c>
      <c r="I498" s="10" t="s">
        <v>523</v>
      </c>
      <c r="J498" s="7" t="s">
        <v>524</v>
      </c>
      <c r="K498" s="10" t="s">
        <v>235</v>
      </c>
      <c r="L498" s="7" t="s">
        <v>236</v>
      </c>
      <c r="M498" s="7"/>
      <c r="N498" s="7">
        <f>VLOOKUP(J498,[1]Sheet1!$C:$D,2,FALSE)</f>
        <v>10620</v>
      </c>
      <c r="O498" s="7">
        <f>VLOOKUP(J498,[2]Desa!$A:$D,4,FALSE)</f>
        <v>456</v>
      </c>
      <c r="P498" s="7">
        <f>VLOOKUP(J498,[3]Sheet1!$D:$F,3,FALSE)</f>
        <v>73</v>
      </c>
      <c r="Q498" s="7"/>
      <c r="R498" s="7"/>
      <c r="S498" s="12">
        <v>-8.6581611075111002</v>
      </c>
      <c r="T498" s="12">
        <v>116.158340823744</v>
      </c>
      <c r="U498" s="7"/>
      <c r="V498" s="50">
        <f>Table13678[[#This Row],[PAGU SEMULA]]-Table13678[[#This Row],[PAGU ANGGARAN]]</f>
        <v>-75000000</v>
      </c>
      <c r="W498" s="50">
        <f>Table13678[[#This Row],[PAGU SEMULA]]-Table13678[[#This Row],[PAGU ANGGARAN]]</f>
        <v>-75000000</v>
      </c>
      <c r="X498" t="s">
        <v>984</v>
      </c>
    </row>
    <row r="499" spans="2:24" hidden="1">
      <c r="C499" s="7" t="s">
        <v>35</v>
      </c>
      <c r="D499" s="7" t="s">
        <v>42</v>
      </c>
      <c r="E499" s="7" t="s">
        <v>43</v>
      </c>
      <c r="F499" s="7" t="s">
        <v>44</v>
      </c>
      <c r="G499" s="7" t="s">
        <v>45</v>
      </c>
      <c r="H499" s="15">
        <v>90000000</v>
      </c>
      <c r="I499" s="10" t="s">
        <v>523</v>
      </c>
      <c r="J499" s="7" t="s">
        <v>524</v>
      </c>
      <c r="K499" s="10" t="s">
        <v>235</v>
      </c>
      <c r="L499" s="7" t="s">
        <v>236</v>
      </c>
      <c r="M499" s="7"/>
      <c r="N499" s="7">
        <f>VLOOKUP(J499,[1]Sheet1!$C:$D,2,FALSE)</f>
        <v>10620</v>
      </c>
      <c r="O499" s="7">
        <f>VLOOKUP(J499,[2]Desa!$A:$D,4,FALSE)</f>
        <v>456</v>
      </c>
      <c r="P499" s="7">
        <f>VLOOKUP(J499,[3]Sheet1!$D:$F,3,FALSE)</f>
        <v>73</v>
      </c>
      <c r="Q499" s="7"/>
      <c r="R499" s="7"/>
      <c r="S499" s="12">
        <v>-8.6581611075111002</v>
      </c>
      <c r="T499" s="12">
        <v>116.158340823744</v>
      </c>
      <c r="U499" s="7"/>
      <c r="V499" s="50">
        <f>Table13678[[#This Row],[PAGU SEMULA]]-Table13678[[#This Row],[PAGU ANGGARAN]]</f>
        <v>-90000000</v>
      </c>
      <c r="W499" s="50">
        <f>Table13678[[#This Row],[PAGU SEMULA]]-Table13678[[#This Row],[PAGU ANGGARAN]]</f>
        <v>-90000000</v>
      </c>
      <c r="X499" t="s">
        <v>986</v>
      </c>
    </row>
    <row r="500" spans="2:24" hidden="1">
      <c r="C500" s="7" t="s">
        <v>35</v>
      </c>
      <c r="D500" s="7" t="s">
        <v>65</v>
      </c>
      <c r="E500" s="7" t="s">
        <v>66</v>
      </c>
      <c r="F500" s="7" t="s">
        <v>322</v>
      </c>
      <c r="G500" s="7" t="s">
        <v>322</v>
      </c>
      <c r="H500" s="15">
        <v>51226500</v>
      </c>
      <c r="I500" s="10" t="s">
        <v>523</v>
      </c>
      <c r="J500" s="7" t="s">
        <v>524</v>
      </c>
      <c r="K500" s="10" t="s">
        <v>235</v>
      </c>
      <c r="L500" s="7" t="s">
        <v>236</v>
      </c>
      <c r="M500" s="7"/>
      <c r="N500" s="7">
        <f>VLOOKUP(J500,[1]Sheet1!$C:$D,2,FALSE)</f>
        <v>10620</v>
      </c>
      <c r="O500" s="7">
        <f>VLOOKUP(J500,[2]Desa!$A:$D,4,FALSE)</f>
        <v>456</v>
      </c>
      <c r="P500" s="7">
        <f>VLOOKUP(J500,[3]Sheet1!$D:$F,3,FALSE)</f>
        <v>73</v>
      </c>
      <c r="Q500" s="7"/>
      <c r="R500" s="7"/>
      <c r="S500" s="12">
        <v>-8.6581611075111002</v>
      </c>
      <c r="T500" s="12">
        <v>116.158340823744</v>
      </c>
      <c r="U500" s="7"/>
      <c r="V500" s="50">
        <f>Table13678[[#This Row],[PAGU SEMULA]]-Table13678[[#This Row],[PAGU ANGGARAN]]</f>
        <v>-51226500</v>
      </c>
      <c r="W500" s="50">
        <f>Table13678[[#This Row],[PAGU SEMULA]]-Table13678[[#This Row],[PAGU ANGGARAN]]</f>
        <v>-51226500</v>
      </c>
      <c r="X500" t="s">
        <v>986</v>
      </c>
    </row>
    <row r="501" spans="2:24" hidden="1">
      <c r="C501" s="7" t="s">
        <v>35</v>
      </c>
      <c r="D501" s="7" t="s">
        <v>52</v>
      </c>
      <c r="E501" s="7" t="s">
        <v>95</v>
      </c>
      <c r="F501" s="7" t="s">
        <v>96</v>
      </c>
      <c r="G501" s="7" t="s">
        <v>527</v>
      </c>
      <c r="H501" s="17">
        <v>169312500</v>
      </c>
      <c r="I501" s="10" t="s">
        <v>523</v>
      </c>
      <c r="J501" s="7" t="s">
        <v>524</v>
      </c>
      <c r="K501" s="10" t="s">
        <v>235</v>
      </c>
      <c r="L501" s="7" t="s">
        <v>236</v>
      </c>
      <c r="M501" s="7"/>
      <c r="N501" s="7">
        <f>VLOOKUP(J501,[1]Sheet1!$C:$D,2,FALSE)</f>
        <v>10620</v>
      </c>
      <c r="O501" s="7">
        <f>VLOOKUP(J501,[2]Desa!$A:$D,4,FALSE)</f>
        <v>456</v>
      </c>
      <c r="P501" s="7">
        <f>VLOOKUP(J501,[3]Sheet1!$D:$F,3,FALSE)</f>
        <v>73</v>
      </c>
      <c r="Q501" s="7"/>
      <c r="R501" s="7"/>
      <c r="S501" s="12">
        <v>-8.6581611075111002</v>
      </c>
      <c r="T501" s="12">
        <v>116.158340823744</v>
      </c>
      <c r="U501" s="7"/>
      <c r="V501" s="50">
        <f>Table13678[[#This Row],[PAGU SEMULA]]-Table13678[[#This Row],[PAGU ANGGARAN]]</f>
        <v>-169312500</v>
      </c>
      <c r="W501" s="50">
        <f>Table13678[[#This Row],[PAGU SEMULA]]-Table13678[[#This Row],[PAGU ANGGARAN]]</f>
        <v>-169312500</v>
      </c>
      <c r="X501" t="s">
        <v>986</v>
      </c>
    </row>
    <row r="502" spans="2:24" hidden="1">
      <c r="C502" s="7" t="s">
        <v>35</v>
      </c>
      <c r="D502" s="7" t="s">
        <v>52</v>
      </c>
      <c r="E502" s="7" t="s">
        <v>95</v>
      </c>
      <c r="F502" s="7" t="s">
        <v>96</v>
      </c>
      <c r="G502" s="7" t="s">
        <v>41</v>
      </c>
      <c r="H502" s="17">
        <v>522450000</v>
      </c>
      <c r="I502" s="10" t="s">
        <v>523</v>
      </c>
      <c r="J502" s="7" t="s">
        <v>524</v>
      </c>
      <c r="K502" s="10" t="s">
        <v>235</v>
      </c>
      <c r="L502" s="7" t="s">
        <v>236</v>
      </c>
      <c r="M502" s="7"/>
      <c r="N502" s="7">
        <f>VLOOKUP(J502,[1]Sheet1!$C:$D,2,FALSE)</f>
        <v>10620</v>
      </c>
      <c r="O502" s="7">
        <f>VLOOKUP(J502,[2]Desa!$A:$D,4,FALSE)</f>
        <v>456</v>
      </c>
      <c r="P502" s="7">
        <f>VLOOKUP(J502,[3]Sheet1!$D:$F,3,FALSE)</f>
        <v>73</v>
      </c>
      <c r="Q502" s="7"/>
      <c r="R502" s="7"/>
      <c r="S502" s="12">
        <v>-8.6581611075111002</v>
      </c>
      <c r="T502" s="12">
        <v>116.158340823744</v>
      </c>
      <c r="U502" s="7"/>
      <c r="V502" s="50">
        <f>Table13678[[#This Row],[PAGU SEMULA]]-Table13678[[#This Row],[PAGU ANGGARAN]]</f>
        <v>-522450000</v>
      </c>
      <c r="W502" s="50">
        <f>Table13678[[#This Row],[PAGU SEMULA]]-Table13678[[#This Row],[PAGU ANGGARAN]]</f>
        <v>-522450000</v>
      </c>
      <c r="X502" t="s">
        <v>986</v>
      </c>
    </row>
    <row r="503" spans="2:24" hidden="1">
      <c r="C503" s="7" t="s">
        <v>35</v>
      </c>
      <c r="D503" s="7" t="s">
        <v>52</v>
      </c>
      <c r="E503" s="7" t="s">
        <v>95</v>
      </c>
      <c r="F503" s="7" t="s">
        <v>96</v>
      </c>
      <c r="G503" s="7" t="s">
        <v>409</v>
      </c>
      <c r="H503" s="17">
        <v>96750000</v>
      </c>
      <c r="I503" s="10" t="s">
        <v>523</v>
      </c>
      <c r="J503" s="7" t="s">
        <v>524</v>
      </c>
      <c r="K503" s="10" t="s">
        <v>235</v>
      </c>
      <c r="L503" s="7" t="s">
        <v>236</v>
      </c>
      <c r="M503" s="7"/>
      <c r="N503" s="7">
        <f>VLOOKUP(J503,[1]Sheet1!$C:$D,2,FALSE)</f>
        <v>10620</v>
      </c>
      <c r="O503" s="7">
        <f>VLOOKUP(J503,[2]Desa!$A:$D,4,FALSE)</f>
        <v>456</v>
      </c>
      <c r="P503" s="7">
        <f>VLOOKUP(J503,[3]Sheet1!$D:$F,3,FALSE)</f>
        <v>73</v>
      </c>
      <c r="Q503" s="7"/>
      <c r="R503" s="7"/>
      <c r="S503" s="12">
        <v>-8.6581611075111002</v>
      </c>
      <c r="T503" s="12">
        <v>116.158340823744</v>
      </c>
      <c r="U503" s="7"/>
      <c r="V503" s="50">
        <f>Table13678[[#This Row],[PAGU SEMULA]]-Table13678[[#This Row],[PAGU ANGGARAN]]</f>
        <v>-96750000</v>
      </c>
      <c r="W503" s="50">
        <f>Table13678[[#This Row],[PAGU SEMULA]]-Table13678[[#This Row],[PAGU ANGGARAN]]</f>
        <v>-96750000</v>
      </c>
      <c r="X503" t="s">
        <v>986</v>
      </c>
    </row>
    <row r="504" spans="2:24" hidden="1">
      <c r="C504" s="7" t="s">
        <v>35</v>
      </c>
      <c r="D504" s="7" t="s">
        <v>52</v>
      </c>
      <c r="E504" s="7" t="s">
        <v>95</v>
      </c>
      <c r="F504" s="7" t="s">
        <v>96</v>
      </c>
      <c r="G504" s="7" t="s">
        <v>459</v>
      </c>
      <c r="H504" s="17">
        <v>193500000</v>
      </c>
      <c r="I504" s="10" t="s">
        <v>523</v>
      </c>
      <c r="J504" s="7" t="s">
        <v>524</v>
      </c>
      <c r="K504" s="10" t="s">
        <v>235</v>
      </c>
      <c r="L504" s="7" t="s">
        <v>236</v>
      </c>
      <c r="M504" s="7"/>
      <c r="N504" s="7">
        <f>VLOOKUP(J504,[1]Sheet1!$C:$D,2,FALSE)</f>
        <v>10620</v>
      </c>
      <c r="O504" s="7">
        <f>VLOOKUP(J504,[2]Desa!$A:$D,4,FALSE)</f>
        <v>456</v>
      </c>
      <c r="P504" s="7">
        <f>VLOOKUP(J504,[3]Sheet1!$D:$F,3,FALSE)</f>
        <v>73</v>
      </c>
      <c r="Q504" s="7"/>
      <c r="R504" s="7"/>
      <c r="S504" s="12">
        <v>-8.6581611075111002</v>
      </c>
      <c r="T504" s="12">
        <v>116.158340823744</v>
      </c>
      <c r="U504" s="7"/>
      <c r="V504" s="50">
        <f>Table13678[[#This Row],[PAGU SEMULA]]-Table13678[[#This Row],[PAGU ANGGARAN]]</f>
        <v>-193500000</v>
      </c>
      <c r="W504" s="50">
        <f>Table13678[[#This Row],[PAGU SEMULA]]-Table13678[[#This Row],[PAGU ANGGARAN]]</f>
        <v>-193500000</v>
      </c>
      <c r="X504" t="s">
        <v>986</v>
      </c>
    </row>
    <row r="505" spans="2:24" hidden="1">
      <c r="B505" t="s">
        <v>232</v>
      </c>
      <c r="C505" s="7" t="s">
        <v>68</v>
      </c>
      <c r="D505" s="7" t="s">
        <v>118</v>
      </c>
      <c r="E505" s="7" t="s">
        <v>119</v>
      </c>
      <c r="F505" s="7" t="s">
        <v>120</v>
      </c>
      <c r="G505" s="7" t="s">
        <v>528</v>
      </c>
      <c r="H505" s="8">
        <v>100698250</v>
      </c>
      <c r="I505" s="10" t="s">
        <v>523</v>
      </c>
      <c r="J505" s="7" t="s">
        <v>524</v>
      </c>
      <c r="K505" s="10" t="s">
        <v>235</v>
      </c>
      <c r="L505" s="7" t="s">
        <v>236</v>
      </c>
      <c r="M505" s="7"/>
      <c r="N505" s="7">
        <f>VLOOKUP(J505,[1]Sheet1!$C:$D,2,FALSE)</f>
        <v>10620</v>
      </c>
      <c r="O505" s="7">
        <f>VLOOKUP(J505,[2]Desa!$A:$D,4,FALSE)</f>
        <v>456</v>
      </c>
      <c r="P505" s="7">
        <f>VLOOKUP(J505,[3]Sheet1!$D:$F,3,FALSE)</f>
        <v>73</v>
      </c>
      <c r="Q505" s="7"/>
      <c r="R505" s="7"/>
      <c r="S505" s="12">
        <v>-8.6581611075111002</v>
      </c>
      <c r="T505" s="12">
        <v>116.158340823744</v>
      </c>
      <c r="U505" s="7"/>
      <c r="V505" s="50">
        <f>Table13678[[#This Row],[PAGU SEMULA]]-Table13678[[#This Row],[PAGU ANGGARAN]]</f>
        <v>-100698250</v>
      </c>
      <c r="W505" s="50">
        <f>Table13678[[#This Row],[PAGU SEMULA]]-Table13678[[#This Row],[PAGU ANGGARAN]]</f>
        <v>-100698250</v>
      </c>
      <c r="X505" t="s">
        <v>982</v>
      </c>
    </row>
    <row r="506" spans="2:24" hidden="1">
      <c r="C506" s="7" t="s">
        <v>68</v>
      </c>
      <c r="D506" s="7" t="s">
        <v>118</v>
      </c>
      <c r="E506" s="7" t="s">
        <v>119</v>
      </c>
      <c r="F506" s="7" t="s">
        <v>120</v>
      </c>
      <c r="G506" s="7" t="s">
        <v>529</v>
      </c>
      <c r="H506" s="8">
        <v>17000000</v>
      </c>
      <c r="I506" s="10" t="s">
        <v>523</v>
      </c>
      <c r="J506" s="7" t="s">
        <v>524</v>
      </c>
      <c r="K506" s="10" t="s">
        <v>235</v>
      </c>
      <c r="L506" s="7" t="s">
        <v>236</v>
      </c>
      <c r="M506" s="7"/>
      <c r="N506" s="7">
        <f>VLOOKUP(J506,[1]Sheet1!$C:$D,2,FALSE)</f>
        <v>10620</v>
      </c>
      <c r="O506" s="7">
        <f>VLOOKUP(J506,[2]Desa!$A:$D,4,FALSE)</f>
        <v>456</v>
      </c>
      <c r="P506" s="7">
        <f>VLOOKUP(J506,[3]Sheet1!$D:$F,3,FALSE)</f>
        <v>73</v>
      </c>
      <c r="Q506" s="7"/>
      <c r="R506" s="7"/>
      <c r="S506" s="12">
        <v>-8.6581611075111002</v>
      </c>
      <c r="T506" s="12">
        <v>116.158340823744</v>
      </c>
      <c r="U506" s="7"/>
      <c r="V506" s="50">
        <f>Table13678[[#This Row],[PAGU SEMULA]]-Table13678[[#This Row],[PAGU ANGGARAN]]</f>
        <v>-17000000</v>
      </c>
      <c r="W506" s="50">
        <f>Table13678[[#This Row],[PAGU SEMULA]]-Table13678[[#This Row],[PAGU ANGGARAN]]</f>
        <v>-17000000</v>
      </c>
      <c r="X506" t="s">
        <v>982</v>
      </c>
    </row>
    <row r="507" spans="2:24" hidden="1">
      <c r="C507" s="7" t="s">
        <v>29</v>
      </c>
      <c r="D507" s="7" t="s">
        <v>30</v>
      </c>
      <c r="E507" s="7" t="s">
        <v>31</v>
      </c>
      <c r="F507" s="7" t="s">
        <v>32</v>
      </c>
      <c r="G507" s="7" t="s">
        <v>33</v>
      </c>
      <c r="H507" s="8">
        <v>283500000</v>
      </c>
      <c r="I507" s="10" t="s">
        <v>530</v>
      </c>
      <c r="J507" s="7" t="s">
        <v>531</v>
      </c>
      <c r="K507" s="10" t="s">
        <v>142</v>
      </c>
      <c r="L507" s="7" t="s">
        <v>143</v>
      </c>
      <c r="M507" s="7"/>
      <c r="N507" s="7">
        <f>VLOOKUP(J507,[1]Sheet1!$C:$D,2,FALSE)</f>
        <v>6280</v>
      </c>
      <c r="O507" s="7">
        <f>VLOOKUP(J507,[2]Desa!$A:$D,4,FALSE)</f>
        <v>217</v>
      </c>
      <c r="P507" s="7">
        <f>VLOOKUP(J507,[3]Sheet1!$D:$F,3,FALSE)</f>
        <v>33</v>
      </c>
      <c r="Q507" s="7"/>
      <c r="R507" s="7"/>
      <c r="S507" s="12">
        <v>-8.6484516482710401</v>
      </c>
      <c r="T507" s="12">
        <v>116.155015371662</v>
      </c>
      <c r="U507" s="7"/>
      <c r="V507" s="50">
        <f>Table13678[[#This Row],[PAGU SEMULA]]-Table13678[[#This Row],[PAGU ANGGARAN]]</f>
        <v>-283500000</v>
      </c>
      <c r="W507" s="50">
        <f>Table13678[[#This Row],[PAGU SEMULA]]-Table13678[[#This Row],[PAGU ANGGARAN]]</f>
        <v>-283500000</v>
      </c>
      <c r="X507" t="s">
        <v>984</v>
      </c>
    </row>
    <row r="508" spans="2:24" hidden="1">
      <c r="C508" s="7" t="s">
        <v>29</v>
      </c>
      <c r="D508" s="7" t="s">
        <v>30</v>
      </c>
      <c r="E508" s="7" t="s">
        <v>31</v>
      </c>
      <c r="F508" s="7" t="s">
        <v>32</v>
      </c>
      <c r="G508" s="7" t="s">
        <v>34</v>
      </c>
      <c r="H508" s="8">
        <v>22680000</v>
      </c>
      <c r="I508" s="10" t="s">
        <v>530</v>
      </c>
      <c r="J508" s="7" t="s">
        <v>531</v>
      </c>
      <c r="K508" s="10" t="s">
        <v>142</v>
      </c>
      <c r="L508" s="7" t="s">
        <v>143</v>
      </c>
      <c r="M508" s="7"/>
      <c r="N508" s="7">
        <f>VLOOKUP(J508,[1]Sheet1!$C:$D,2,FALSE)</f>
        <v>6280</v>
      </c>
      <c r="O508" s="7">
        <f>VLOOKUP(J508,[2]Desa!$A:$D,4,FALSE)</f>
        <v>217</v>
      </c>
      <c r="P508" s="7">
        <f>VLOOKUP(J508,[3]Sheet1!$D:$F,3,FALSE)</f>
        <v>33</v>
      </c>
      <c r="Q508" s="7"/>
      <c r="R508" s="7"/>
      <c r="S508" s="12">
        <v>-8.6484516482710401</v>
      </c>
      <c r="T508" s="12">
        <v>116.155015371662</v>
      </c>
      <c r="U508" s="7"/>
      <c r="V508" s="50">
        <f>Table13678[[#This Row],[PAGU SEMULA]]-Table13678[[#This Row],[PAGU ANGGARAN]]</f>
        <v>-22680000</v>
      </c>
      <c r="W508" s="50">
        <f>Table13678[[#This Row],[PAGU SEMULA]]-Table13678[[#This Row],[PAGU ANGGARAN]]</f>
        <v>-22680000</v>
      </c>
      <c r="X508" t="s">
        <v>984</v>
      </c>
    </row>
    <row r="509" spans="2:24" hidden="1">
      <c r="C509" s="7" t="s">
        <v>84</v>
      </c>
      <c r="D509" s="7" t="s">
        <v>89</v>
      </c>
      <c r="E509" s="7" t="s">
        <v>90</v>
      </c>
      <c r="F509" s="7" t="s">
        <v>272</v>
      </c>
      <c r="G509" s="7" t="s">
        <v>436</v>
      </c>
      <c r="H509" s="8">
        <v>178250024</v>
      </c>
      <c r="I509" s="10" t="s">
        <v>530</v>
      </c>
      <c r="J509" s="7" t="s">
        <v>531</v>
      </c>
      <c r="K509" s="10" t="s">
        <v>142</v>
      </c>
      <c r="L509" s="7" t="s">
        <v>143</v>
      </c>
      <c r="M509" s="7"/>
      <c r="N509" s="7">
        <f>VLOOKUP(J509,[1]Sheet1!$C:$D,2,FALSE)</f>
        <v>6280</v>
      </c>
      <c r="O509" s="7">
        <f>VLOOKUP(J509,[2]Desa!$A:$D,4,FALSE)</f>
        <v>217</v>
      </c>
      <c r="P509" s="7">
        <f>VLOOKUP(J509,[3]Sheet1!$D:$F,3,FALSE)</f>
        <v>33</v>
      </c>
      <c r="Q509" s="7"/>
      <c r="R509" s="7"/>
      <c r="S509" s="12">
        <v>-8.6484516482710401</v>
      </c>
      <c r="T509" s="12">
        <v>116.155015371662</v>
      </c>
      <c r="U509" s="7"/>
      <c r="V509" s="50">
        <f>Table13678[[#This Row],[PAGU SEMULA]]-Table13678[[#This Row],[PAGU ANGGARAN]]</f>
        <v>-178250024</v>
      </c>
      <c r="W509" s="50">
        <f>Table13678[[#This Row],[PAGU SEMULA]]-Table13678[[#This Row],[PAGU ANGGARAN]]</f>
        <v>-178250024</v>
      </c>
      <c r="X509" t="s">
        <v>982</v>
      </c>
    </row>
    <row r="510" spans="2:24" hidden="1">
      <c r="C510" s="7" t="s">
        <v>35</v>
      </c>
      <c r="D510" s="7" t="s">
        <v>36</v>
      </c>
      <c r="E510" s="7" t="s">
        <v>37</v>
      </c>
      <c r="F510" s="7" t="s">
        <v>38</v>
      </c>
      <c r="G510" s="7" t="s">
        <v>39</v>
      </c>
      <c r="H510" s="15">
        <v>75000000</v>
      </c>
      <c r="I510" s="10" t="s">
        <v>530</v>
      </c>
      <c r="J510" s="7" t="s">
        <v>531</v>
      </c>
      <c r="K510" s="10" t="s">
        <v>142</v>
      </c>
      <c r="L510" s="7" t="s">
        <v>143</v>
      </c>
      <c r="M510" s="7"/>
      <c r="N510" s="7">
        <f>VLOOKUP(J510,[1]Sheet1!$C:$D,2,FALSE)</f>
        <v>6280</v>
      </c>
      <c r="O510" s="7">
        <f>VLOOKUP(J510,[2]Desa!$A:$D,4,FALSE)</f>
        <v>217</v>
      </c>
      <c r="P510" s="7">
        <f>VLOOKUP(J510,[3]Sheet1!$D:$F,3,FALSE)</f>
        <v>33</v>
      </c>
      <c r="Q510" s="7"/>
      <c r="R510" s="7"/>
      <c r="S510" s="12">
        <v>-8.6484516482710401</v>
      </c>
      <c r="T510" s="12">
        <v>116.155015371662</v>
      </c>
      <c r="U510" s="7"/>
      <c r="V510" s="50">
        <f>Table13678[[#This Row],[PAGU SEMULA]]-Table13678[[#This Row],[PAGU ANGGARAN]]</f>
        <v>-75000000</v>
      </c>
      <c r="W510" s="50">
        <f>Table13678[[#This Row],[PAGU SEMULA]]-Table13678[[#This Row],[PAGU ANGGARAN]]</f>
        <v>-75000000</v>
      </c>
      <c r="X510" t="s">
        <v>984</v>
      </c>
    </row>
    <row r="511" spans="2:24" hidden="1">
      <c r="C511" s="7" t="s">
        <v>35</v>
      </c>
      <c r="D511" s="7" t="s">
        <v>156</v>
      </c>
      <c r="E511" s="7" t="s">
        <v>157</v>
      </c>
      <c r="F511" s="7" t="s">
        <v>158</v>
      </c>
      <c r="G511" s="7" t="s">
        <v>532</v>
      </c>
      <c r="H511" s="15">
        <v>10000000</v>
      </c>
      <c r="I511" s="10" t="s">
        <v>530</v>
      </c>
      <c r="J511" s="7" t="s">
        <v>531</v>
      </c>
      <c r="K511" s="10" t="s">
        <v>142</v>
      </c>
      <c r="L511" s="7" t="s">
        <v>143</v>
      </c>
      <c r="M511" s="7"/>
      <c r="N511" s="7">
        <f>VLOOKUP(J511,[1]Sheet1!$C:$D,2,FALSE)</f>
        <v>6280</v>
      </c>
      <c r="O511" s="7">
        <f>VLOOKUP(J511,[2]Desa!$A:$D,4,FALSE)</f>
        <v>217</v>
      </c>
      <c r="P511" s="7">
        <f>VLOOKUP(J511,[3]Sheet1!$D:$F,3,FALSE)</f>
        <v>33</v>
      </c>
      <c r="Q511" s="7"/>
      <c r="R511" s="7"/>
      <c r="S511" s="12">
        <v>-8.6484516482710401</v>
      </c>
      <c r="T511" s="12">
        <v>116.155015371662</v>
      </c>
      <c r="U511" s="7"/>
      <c r="V511" s="50">
        <f>Table13678[[#This Row],[PAGU SEMULA]]-Table13678[[#This Row],[PAGU ANGGARAN]]</f>
        <v>-10000000</v>
      </c>
      <c r="W511" s="50">
        <f>Table13678[[#This Row],[PAGU SEMULA]]-Table13678[[#This Row],[PAGU ANGGARAN]]</f>
        <v>-10000000</v>
      </c>
      <c r="X511" t="s">
        <v>986</v>
      </c>
    </row>
    <row r="512" spans="2:24" hidden="1">
      <c r="C512" s="7" t="s">
        <v>35</v>
      </c>
      <c r="D512" s="7" t="s">
        <v>156</v>
      </c>
      <c r="E512" s="7" t="s">
        <v>157</v>
      </c>
      <c r="F512" s="7" t="s">
        <v>158</v>
      </c>
      <c r="G512" s="7" t="s">
        <v>533</v>
      </c>
      <c r="H512" s="15">
        <v>10000000</v>
      </c>
      <c r="I512" s="10" t="s">
        <v>530</v>
      </c>
      <c r="J512" s="7" t="s">
        <v>531</v>
      </c>
      <c r="K512" s="10" t="s">
        <v>142</v>
      </c>
      <c r="L512" s="7" t="s">
        <v>143</v>
      </c>
      <c r="M512" s="7"/>
      <c r="N512" s="7">
        <f>VLOOKUP(J512,[1]Sheet1!$C:$D,2,FALSE)</f>
        <v>6280</v>
      </c>
      <c r="O512" s="7">
        <f>VLOOKUP(J512,[2]Desa!$A:$D,4,FALSE)</f>
        <v>217</v>
      </c>
      <c r="P512" s="7">
        <f>VLOOKUP(J512,[3]Sheet1!$D:$F,3,FALSE)</f>
        <v>33</v>
      </c>
      <c r="Q512" s="7"/>
      <c r="R512" s="7"/>
      <c r="S512" s="12">
        <v>-8.6484516482710401</v>
      </c>
      <c r="T512" s="12">
        <v>116.155015371662</v>
      </c>
      <c r="U512" s="7"/>
      <c r="V512" s="50">
        <f>Table13678[[#This Row],[PAGU SEMULA]]-Table13678[[#This Row],[PAGU ANGGARAN]]</f>
        <v>-10000000</v>
      </c>
      <c r="W512" s="50">
        <f>Table13678[[#This Row],[PAGU SEMULA]]-Table13678[[#This Row],[PAGU ANGGARAN]]</f>
        <v>-10000000</v>
      </c>
      <c r="X512" t="s">
        <v>986</v>
      </c>
    </row>
    <row r="513" spans="3:24" hidden="1">
      <c r="C513" s="7" t="s">
        <v>35</v>
      </c>
      <c r="D513" s="7" t="s">
        <v>156</v>
      </c>
      <c r="E513" s="7" t="s">
        <v>157</v>
      </c>
      <c r="F513" s="7" t="s">
        <v>158</v>
      </c>
      <c r="G513" s="7" t="s">
        <v>534</v>
      </c>
      <c r="H513" s="15">
        <v>350000000</v>
      </c>
      <c r="I513" s="10" t="s">
        <v>530</v>
      </c>
      <c r="J513" s="7" t="s">
        <v>531</v>
      </c>
      <c r="K513" s="10" t="s">
        <v>142</v>
      </c>
      <c r="L513" s="7" t="s">
        <v>143</v>
      </c>
      <c r="M513" s="7"/>
      <c r="N513" s="7">
        <f>VLOOKUP(J513,[1]Sheet1!$C:$D,2,FALSE)</f>
        <v>6280</v>
      </c>
      <c r="O513" s="7">
        <f>VLOOKUP(J513,[2]Desa!$A:$D,4,FALSE)</f>
        <v>217</v>
      </c>
      <c r="P513" s="7">
        <f>VLOOKUP(J513,[3]Sheet1!$D:$F,3,FALSE)</f>
        <v>33</v>
      </c>
      <c r="Q513" s="7"/>
      <c r="R513" s="7"/>
      <c r="S513" s="12">
        <v>-8.6484516482710401</v>
      </c>
      <c r="T513" s="12">
        <v>116.155015371662</v>
      </c>
      <c r="U513" s="7"/>
      <c r="V513" s="50">
        <f>Table13678[[#This Row],[PAGU SEMULA]]-Table13678[[#This Row],[PAGU ANGGARAN]]</f>
        <v>-350000000</v>
      </c>
      <c r="W513" s="50">
        <f>Table13678[[#This Row],[PAGU SEMULA]]-Table13678[[#This Row],[PAGU ANGGARAN]]</f>
        <v>-350000000</v>
      </c>
      <c r="X513" t="s">
        <v>986</v>
      </c>
    </row>
    <row r="514" spans="3:24" hidden="1">
      <c r="C514" s="7" t="s">
        <v>68</v>
      </c>
      <c r="D514" s="7" t="s">
        <v>535</v>
      </c>
      <c r="E514" s="7" t="s">
        <v>536</v>
      </c>
      <c r="F514" s="7" t="s">
        <v>537</v>
      </c>
      <c r="G514" s="7" t="s">
        <v>538</v>
      </c>
      <c r="H514" s="8">
        <v>71792875</v>
      </c>
      <c r="I514" s="13" t="s">
        <v>530</v>
      </c>
      <c r="J514" s="7" t="s">
        <v>531</v>
      </c>
      <c r="K514" s="10" t="s">
        <v>235</v>
      </c>
      <c r="L514" s="7" t="s">
        <v>236</v>
      </c>
      <c r="M514" s="7"/>
      <c r="N514" s="7">
        <f>VLOOKUP(J514,[1]Sheet1!$C:$D,2,FALSE)</f>
        <v>6280</v>
      </c>
      <c r="O514" s="7">
        <f>VLOOKUP(J514,[2]Desa!$A:$D,4,FALSE)</f>
        <v>217</v>
      </c>
      <c r="P514" s="7">
        <f>VLOOKUP(J514,[3]Sheet1!$D:$F,3,FALSE)</f>
        <v>33</v>
      </c>
      <c r="Q514" s="7"/>
      <c r="R514" s="7"/>
      <c r="S514" s="12">
        <v>-8.6484516482710401</v>
      </c>
      <c r="T514" s="12">
        <v>116.155015371662</v>
      </c>
      <c r="U514" s="7"/>
      <c r="V514" s="50">
        <f>Table13678[[#This Row],[PAGU SEMULA]]-Table13678[[#This Row],[PAGU ANGGARAN]]</f>
        <v>-71792875</v>
      </c>
      <c r="W514" s="50">
        <f>Table13678[[#This Row],[PAGU SEMULA]]-Table13678[[#This Row],[PAGU ANGGARAN]]</f>
        <v>-71792875</v>
      </c>
      <c r="X514" t="s">
        <v>982</v>
      </c>
    </row>
    <row r="515" spans="3:24" hidden="1">
      <c r="C515" s="7" t="s">
        <v>29</v>
      </c>
      <c r="D515" s="7" t="s">
        <v>30</v>
      </c>
      <c r="E515" s="7" t="s">
        <v>31</v>
      </c>
      <c r="F515" s="7" t="s">
        <v>32</v>
      </c>
      <c r="G515" s="7" t="s">
        <v>33</v>
      </c>
      <c r="H515" s="8">
        <v>877380000</v>
      </c>
      <c r="I515" s="10" t="s">
        <v>539</v>
      </c>
      <c r="J515" s="7" t="s">
        <v>540</v>
      </c>
      <c r="K515" s="10" t="s">
        <v>288</v>
      </c>
      <c r="L515" s="7" t="s">
        <v>289</v>
      </c>
      <c r="M515" s="7"/>
      <c r="N515" s="7">
        <f>VLOOKUP(J515,[1]Sheet1!$C:$D,2,FALSE)</f>
        <v>8401</v>
      </c>
      <c r="O515" s="7">
        <f>VLOOKUP(J515,[2]Desa!$A:$D,4,FALSE)</f>
        <v>145</v>
      </c>
      <c r="P515" s="7">
        <f>VLOOKUP(J515,[3]Sheet1!$D:$F,3,FALSE)</f>
        <v>45</v>
      </c>
      <c r="Q515" s="7"/>
      <c r="R515" s="7"/>
      <c r="S515" s="12">
        <v>-8.5409316747914801</v>
      </c>
      <c r="T515" s="12">
        <v>116.101301510249</v>
      </c>
      <c r="U515" s="7"/>
      <c r="V515" s="50">
        <f>Table13678[[#This Row],[PAGU SEMULA]]-Table13678[[#This Row],[PAGU ANGGARAN]]</f>
        <v>-877380000</v>
      </c>
      <c r="W515" s="50">
        <f>Table13678[[#This Row],[PAGU SEMULA]]-Table13678[[#This Row],[PAGU ANGGARAN]]</f>
        <v>-877380000</v>
      </c>
      <c r="X515" t="s">
        <v>984</v>
      </c>
    </row>
    <row r="516" spans="3:24" hidden="1">
      <c r="C516" s="7" t="s">
        <v>29</v>
      </c>
      <c r="D516" s="7" t="s">
        <v>30</v>
      </c>
      <c r="E516" s="7" t="s">
        <v>31</v>
      </c>
      <c r="F516" s="7" t="s">
        <v>32</v>
      </c>
      <c r="G516" s="7" t="s">
        <v>34</v>
      </c>
      <c r="H516" s="8">
        <v>70190400</v>
      </c>
      <c r="I516" s="10" t="s">
        <v>539</v>
      </c>
      <c r="J516" s="7" t="s">
        <v>540</v>
      </c>
      <c r="K516" s="10" t="s">
        <v>288</v>
      </c>
      <c r="L516" s="7" t="s">
        <v>289</v>
      </c>
      <c r="M516" s="7"/>
      <c r="N516" s="7">
        <f>VLOOKUP(J516,[1]Sheet1!$C:$D,2,FALSE)</f>
        <v>8401</v>
      </c>
      <c r="O516" s="7">
        <f>VLOOKUP(J516,[2]Desa!$A:$D,4,FALSE)</f>
        <v>145</v>
      </c>
      <c r="P516" s="7">
        <f>VLOOKUP(J516,[3]Sheet1!$D:$F,3,FALSE)</f>
        <v>45</v>
      </c>
      <c r="Q516" s="7"/>
      <c r="R516" s="7"/>
      <c r="S516" s="12">
        <v>-8.5409316747914801</v>
      </c>
      <c r="T516" s="12">
        <v>116.101301510249</v>
      </c>
      <c r="U516" s="7"/>
      <c r="V516" s="50">
        <f>Table13678[[#This Row],[PAGU SEMULA]]-Table13678[[#This Row],[PAGU ANGGARAN]]</f>
        <v>-70190400</v>
      </c>
      <c r="W516" s="50">
        <f>Table13678[[#This Row],[PAGU SEMULA]]-Table13678[[#This Row],[PAGU ANGGARAN]]</f>
        <v>-70190400</v>
      </c>
      <c r="X516" t="s">
        <v>984</v>
      </c>
    </row>
    <row r="517" spans="3:24" hidden="1">
      <c r="C517" s="7" t="s">
        <v>60</v>
      </c>
      <c r="D517" s="7" t="s">
        <v>61</v>
      </c>
      <c r="E517" s="7" t="s">
        <v>62</v>
      </c>
      <c r="F517" s="7" t="s">
        <v>63</v>
      </c>
      <c r="G517" s="71" t="s">
        <v>251</v>
      </c>
      <c r="H517" s="15">
        <v>42000000</v>
      </c>
      <c r="I517" s="10" t="s">
        <v>539</v>
      </c>
      <c r="J517" s="7" t="s">
        <v>540</v>
      </c>
      <c r="K517" s="10" t="s">
        <v>288</v>
      </c>
      <c r="L517" s="7" t="s">
        <v>289</v>
      </c>
      <c r="M517" s="7"/>
      <c r="N517" s="7">
        <f>VLOOKUP(J517,[1]Sheet1!$C:$D,2,FALSE)</f>
        <v>8401</v>
      </c>
      <c r="O517" s="7">
        <f>VLOOKUP(J517,[2]Desa!$A:$D,4,FALSE)</f>
        <v>145</v>
      </c>
      <c r="P517" s="7">
        <f>VLOOKUP(J517,[3]Sheet1!$D:$F,3,FALSE)</f>
        <v>45</v>
      </c>
      <c r="Q517" s="7"/>
      <c r="R517" s="7"/>
      <c r="S517" s="12">
        <v>-8.5409316747914801</v>
      </c>
      <c r="T517" s="12">
        <v>116.101301510249</v>
      </c>
      <c r="U517" s="7"/>
      <c r="V517" s="50">
        <f>Table13678[[#This Row],[PAGU SEMULA]]-Table13678[[#This Row],[PAGU ANGGARAN]]</f>
        <v>-42000000</v>
      </c>
      <c r="W517" s="50">
        <f>Table13678[[#This Row],[PAGU SEMULA]]-Table13678[[#This Row],[PAGU ANGGARAN]]</f>
        <v>-42000000</v>
      </c>
      <c r="X517" t="s">
        <v>987</v>
      </c>
    </row>
    <row r="518" spans="3:24" hidden="1">
      <c r="C518" s="7" t="s">
        <v>35</v>
      </c>
      <c r="D518" s="7" t="s">
        <v>36</v>
      </c>
      <c r="E518" s="7" t="s">
        <v>37</v>
      </c>
      <c r="F518" s="7" t="s">
        <v>38</v>
      </c>
      <c r="G518" s="7" t="s">
        <v>39</v>
      </c>
      <c r="H518" s="15">
        <v>75000000</v>
      </c>
      <c r="I518" s="10" t="s">
        <v>539</v>
      </c>
      <c r="J518" s="7" t="s">
        <v>540</v>
      </c>
      <c r="K518" s="10" t="s">
        <v>288</v>
      </c>
      <c r="L518" s="7" t="s">
        <v>289</v>
      </c>
      <c r="M518" s="7"/>
      <c r="N518" s="7">
        <f>VLOOKUP(J518,[1]Sheet1!$C:$D,2,FALSE)</f>
        <v>8401</v>
      </c>
      <c r="O518" s="7">
        <f>VLOOKUP(J518,[2]Desa!$A:$D,4,FALSE)</f>
        <v>145</v>
      </c>
      <c r="P518" s="7">
        <f>VLOOKUP(J518,[3]Sheet1!$D:$F,3,FALSE)</f>
        <v>45</v>
      </c>
      <c r="Q518" s="7"/>
      <c r="R518" s="7"/>
      <c r="S518" s="12">
        <v>-8.5409316747914801</v>
      </c>
      <c r="T518" s="12">
        <v>116.101301510249</v>
      </c>
      <c r="U518" s="7"/>
      <c r="V518" s="50">
        <f>Table13678[[#This Row],[PAGU SEMULA]]-Table13678[[#This Row],[PAGU ANGGARAN]]</f>
        <v>-75000000</v>
      </c>
      <c r="W518" s="50">
        <f>Table13678[[#This Row],[PAGU SEMULA]]-Table13678[[#This Row],[PAGU ANGGARAN]]</f>
        <v>-75000000</v>
      </c>
      <c r="X518" t="s">
        <v>984</v>
      </c>
    </row>
    <row r="519" spans="3:24" hidden="1">
      <c r="C519" s="7" t="s">
        <v>35</v>
      </c>
      <c r="D519" s="7" t="s">
        <v>65</v>
      </c>
      <c r="E519" s="7" t="s">
        <v>66</v>
      </c>
      <c r="F519" s="7" t="s">
        <v>322</v>
      </c>
      <c r="G519" s="7" t="s">
        <v>322</v>
      </c>
      <c r="H519" s="15">
        <v>68302000</v>
      </c>
      <c r="I519" s="10" t="s">
        <v>539</v>
      </c>
      <c r="J519" s="7" t="s">
        <v>540</v>
      </c>
      <c r="K519" s="10" t="s">
        <v>288</v>
      </c>
      <c r="L519" s="7" t="s">
        <v>289</v>
      </c>
      <c r="M519" s="7"/>
      <c r="N519" s="7">
        <f>VLOOKUP(J519,[1]Sheet1!$C:$D,2,FALSE)</f>
        <v>8401</v>
      </c>
      <c r="O519" s="7">
        <f>VLOOKUP(J519,[2]Desa!$A:$D,4,FALSE)</f>
        <v>145</v>
      </c>
      <c r="P519" s="7">
        <f>VLOOKUP(J519,[3]Sheet1!$D:$F,3,FALSE)</f>
        <v>45</v>
      </c>
      <c r="Q519" s="7"/>
      <c r="R519" s="7"/>
      <c r="S519" s="12">
        <v>-8.5409316747914801</v>
      </c>
      <c r="T519" s="12">
        <v>116.101301510249</v>
      </c>
      <c r="U519" s="7"/>
      <c r="V519" s="50">
        <f>Table13678[[#This Row],[PAGU SEMULA]]-Table13678[[#This Row],[PAGU ANGGARAN]]</f>
        <v>-68302000</v>
      </c>
      <c r="W519" s="50">
        <f>Table13678[[#This Row],[PAGU SEMULA]]-Table13678[[#This Row],[PAGU ANGGARAN]]</f>
        <v>-68302000</v>
      </c>
      <c r="X519" t="s">
        <v>986</v>
      </c>
    </row>
    <row r="520" spans="3:24" hidden="1">
      <c r="C520" s="7" t="s">
        <v>35</v>
      </c>
      <c r="D520" s="7" t="s">
        <v>65</v>
      </c>
      <c r="E520" s="7" t="s">
        <v>66</v>
      </c>
      <c r="F520" s="7" t="s">
        <v>322</v>
      </c>
      <c r="G520" s="7" t="s">
        <v>322</v>
      </c>
      <c r="H520" s="15">
        <v>34151000</v>
      </c>
      <c r="I520" s="10" t="s">
        <v>539</v>
      </c>
      <c r="J520" s="7" t="s">
        <v>540</v>
      </c>
      <c r="K520" s="10" t="s">
        <v>288</v>
      </c>
      <c r="L520" s="7" t="s">
        <v>289</v>
      </c>
      <c r="M520" s="7"/>
      <c r="N520" s="7">
        <f>VLOOKUP(J520,[1]Sheet1!$C:$D,2,FALSE)</f>
        <v>8401</v>
      </c>
      <c r="O520" s="7">
        <f>VLOOKUP(J520,[2]Desa!$A:$D,4,FALSE)</f>
        <v>145</v>
      </c>
      <c r="P520" s="7">
        <f>VLOOKUP(J520,[3]Sheet1!$D:$F,3,FALSE)</f>
        <v>45</v>
      </c>
      <c r="Q520" s="7"/>
      <c r="R520" s="7"/>
      <c r="S520" s="12">
        <v>-8.5409316747914801</v>
      </c>
      <c r="T520" s="12">
        <v>116.101301510249</v>
      </c>
      <c r="U520" s="7"/>
      <c r="V520" s="50">
        <f>Table13678[[#This Row],[PAGU SEMULA]]-Table13678[[#This Row],[PAGU ANGGARAN]]</f>
        <v>-34151000</v>
      </c>
      <c r="W520" s="50">
        <f>Table13678[[#This Row],[PAGU SEMULA]]-Table13678[[#This Row],[PAGU ANGGARAN]]</f>
        <v>-34151000</v>
      </c>
      <c r="X520" t="s">
        <v>986</v>
      </c>
    </row>
    <row r="521" spans="3:24" hidden="1">
      <c r="C521" s="7" t="s">
        <v>68</v>
      </c>
      <c r="D521" s="7" t="s">
        <v>69</v>
      </c>
      <c r="E521" s="7" t="s">
        <v>70</v>
      </c>
      <c r="F521" s="7" t="s">
        <v>71</v>
      </c>
      <c r="G521" s="7" t="s">
        <v>541</v>
      </c>
      <c r="H521" s="8">
        <v>48811500</v>
      </c>
      <c r="I521" s="10" t="s">
        <v>539</v>
      </c>
      <c r="J521" s="7" t="s">
        <v>540</v>
      </c>
      <c r="K521" s="10" t="s">
        <v>288</v>
      </c>
      <c r="L521" s="7" t="s">
        <v>289</v>
      </c>
      <c r="M521" s="7"/>
      <c r="N521" s="7">
        <f>VLOOKUP(J521,[1]Sheet1!$C:$D,2,FALSE)</f>
        <v>8401</v>
      </c>
      <c r="O521" s="7">
        <f>VLOOKUP(J521,[2]Desa!$A:$D,4,FALSE)</f>
        <v>145</v>
      </c>
      <c r="P521" s="7">
        <f>VLOOKUP(J521,[3]Sheet1!$D:$F,3,FALSE)</f>
        <v>45</v>
      </c>
      <c r="Q521" s="7"/>
      <c r="R521" s="7"/>
      <c r="S521" s="12">
        <v>-8.5409316747914801</v>
      </c>
      <c r="T521" s="12">
        <v>116.101301510249</v>
      </c>
      <c r="U521" s="7"/>
      <c r="V521" s="50">
        <f>Table13678[[#This Row],[PAGU SEMULA]]-Table13678[[#This Row],[PAGU ANGGARAN]]</f>
        <v>-48811500</v>
      </c>
      <c r="W521" s="50">
        <f>Table13678[[#This Row],[PAGU SEMULA]]-Table13678[[#This Row],[PAGU ANGGARAN]]</f>
        <v>-48811500</v>
      </c>
      <c r="X521" t="s">
        <v>982</v>
      </c>
    </row>
    <row r="522" spans="3:24" hidden="1">
      <c r="C522" s="7" t="s">
        <v>51</v>
      </c>
      <c r="D522" s="7" t="s">
        <v>52</v>
      </c>
      <c r="E522" s="7" t="s">
        <v>53</v>
      </c>
      <c r="F522" s="7" t="s">
        <v>54</v>
      </c>
      <c r="G522" s="7" t="s">
        <v>55</v>
      </c>
      <c r="H522" s="8">
        <v>189090000</v>
      </c>
      <c r="I522" s="10" t="s">
        <v>539</v>
      </c>
      <c r="J522" s="7" t="s">
        <v>540</v>
      </c>
      <c r="K522" s="10" t="s">
        <v>288</v>
      </c>
      <c r="L522" s="7" t="s">
        <v>289</v>
      </c>
      <c r="M522" s="7"/>
      <c r="N522" s="7">
        <f>VLOOKUP(J522,[1]Sheet1!$C:$D,2,FALSE)</f>
        <v>8401</v>
      </c>
      <c r="O522" s="7">
        <f>VLOOKUP(J522,[2]Desa!$A:$D,4,FALSE)</f>
        <v>145</v>
      </c>
      <c r="P522" s="7">
        <f>VLOOKUP(J522,[3]Sheet1!$D:$F,3,FALSE)</f>
        <v>45</v>
      </c>
      <c r="Q522" s="7"/>
      <c r="R522" s="7"/>
      <c r="S522" s="12">
        <v>-8.5409316747914801</v>
      </c>
      <c r="T522" s="12">
        <v>116.101301510249</v>
      </c>
      <c r="U522" s="7"/>
      <c r="V522" s="50">
        <f>Table13678[[#This Row],[PAGU SEMULA]]-Table13678[[#This Row],[PAGU ANGGARAN]]</f>
        <v>-189090000</v>
      </c>
      <c r="W522" s="50">
        <f>Table13678[[#This Row],[PAGU SEMULA]]-Table13678[[#This Row],[PAGU ANGGARAN]]</f>
        <v>-189090000</v>
      </c>
      <c r="X522" t="s">
        <v>986</v>
      </c>
    </row>
    <row r="523" spans="3:24" hidden="1">
      <c r="C523" s="7" t="s">
        <v>29</v>
      </c>
      <c r="D523" s="7" t="s">
        <v>30</v>
      </c>
      <c r="E523" s="7" t="s">
        <v>31</v>
      </c>
      <c r="F523" s="7" t="s">
        <v>32</v>
      </c>
      <c r="G523" s="7" t="s">
        <v>33</v>
      </c>
      <c r="H523" s="8">
        <v>547260000</v>
      </c>
      <c r="I523" s="10" t="s">
        <v>542</v>
      </c>
      <c r="J523" s="7" t="s">
        <v>543</v>
      </c>
      <c r="K523" s="10" t="s">
        <v>414</v>
      </c>
      <c r="L523" s="7" t="s">
        <v>415</v>
      </c>
      <c r="M523" s="7"/>
      <c r="N523" s="7">
        <f>VLOOKUP(J523,[1]Sheet1!$C:$D,2,FALSE)</f>
        <v>7134</v>
      </c>
      <c r="O523" s="7">
        <f>VLOOKUP(J523,[2]Desa!$A:$D,4,FALSE)</f>
        <v>283</v>
      </c>
      <c r="P523" s="7">
        <f>VLOOKUP(J523,[3]Sheet1!$D:$F,3,FALSE)</f>
        <v>69</v>
      </c>
      <c r="Q523" s="7"/>
      <c r="R523" s="7"/>
      <c r="S523" s="12">
        <v>-8.6995190866265109</v>
      </c>
      <c r="T523" s="12">
        <v>116.103942106703</v>
      </c>
      <c r="U523" s="7"/>
      <c r="V523" s="50">
        <f>Table13678[[#This Row],[PAGU SEMULA]]-Table13678[[#This Row],[PAGU ANGGARAN]]</f>
        <v>-547260000</v>
      </c>
      <c r="W523" s="50">
        <f>Table13678[[#This Row],[PAGU SEMULA]]-Table13678[[#This Row],[PAGU ANGGARAN]]</f>
        <v>-547260000</v>
      </c>
      <c r="X523" t="s">
        <v>984</v>
      </c>
    </row>
    <row r="524" spans="3:24" hidden="1">
      <c r="C524" s="7" t="s">
        <v>29</v>
      </c>
      <c r="D524" s="7" t="s">
        <v>30</v>
      </c>
      <c r="E524" s="7" t="s">
        <v>31</v>
      </c>
      <c r="F524" s="7" t="s">
        <v>32</v>
      </c>
      <c r="G524" s="7" t="s">
        <v>34</v>
      </c>
      <c r="H524" s="8">
        <v>43780800</v>
      </c>
      <c r="I524" s="10" t="s">
        <v>542</v>
      </c>
      <c r="J524" s="7" t="s">
        <v>543</v>
      </c>
      <c r="K524" s="10" t="s">
        <v>414</v>
      </c>
      <c r="L524" s="7" t="s">
        <v>415</v>
      </c>
      <c r="M524" s="7"/>
      <c r="N524" s="7">
        <f>VLOOKUP(J524,[1]Sheet1!$C:$D,2,FALSE)</f>
        <v>7134</v>
      </c>
      <c r="O524" s="7">
        <f>VLOOKUP(J524,[2]Desa!$A:$D,4,FALSE)</f>
        <v>283</v>
      </c>
      <c r="P524" s="7">
        <f>VLOOKUP(J524,[3]Sheet1!$D:$F,3,FALSE)</f>
        <v>69</v>
      </c>
      <c r="Q524" s="7"/>
      <c r="R524" s="7"/>
      <c r="S524" s="12">
        <v>-8.6995190866265109</v>
      </c>
      <c r="T524" s="12">
        <v>116.103942106703</v>
      </c>
      <c r="U524" s="7"/>
      <c r="V524" s="50">
        <f>Table13678[[#This Row],[PAGU SEMULA]]-Table13678[[#This Row],[PAGU ANGGARAN]]</f>
        <v>-43780800</v>
      </c>
      <c r="W524" s="50">
        <f>Table13678[[#This Row],[PAGU SEMULA]]-Table13678[[#This Row],[PAGU ANGGARAN]]</f>
        <v>-43780800</v>
      </c>
      <c r="X524" t="s">
        <v>984</v>
      </c>
    </row>
    <row r="525" spans="3:24" hidden="1">
      <c r="C525" s="7" t="s">
        <v>60</v>
      </c>
      <c r="D525" s="7" t="s">
        <v>185</v>
      </c>
      <c r="E525" s="7" t="s">
        <v>186</v>
      </c>
      <c r="F525" s="7" t="s">
        <v>187</v>
      </c>
      <c r="G525" s="71" t="s">
        <v>250</v>
      </c>
      <c r="H525" s="15">
        <v>119750000</v>
      </c>
      <c r="I525" s="10" t="s">
        <v>542</v>
      </c>
      <c r="J525" s="7" t="s">
        <v>543</v>
      </c>
      <c r="K525" s="10" t="s">
        <v>414</v>
      </c>
      <c r="L525" s="7" t="s">
        <v>415</v>
      </c>
      <c r="M525" s="7"/>
      <c r="N525" s="7">
        <f>VLOOKUP(J525,[1]Sheet1!$C:$D,2,FALSE)</f>
        <v>7134</v>
      </c>
      <c r="O525" s="7">
        <f>VLOOKUP(J525,[2]Desa!$A:$D,4,FALSE)</f>
        <v>283</v>
      </c>
      <c r="P525" s="7">
        <f>VLOOKUP(J525,[3]Sheet1!$D:$F,3,FALSE)</f>
        <v>69</v>
      </c>
      <c r="Q525" s="7"/>
      <c r="R525" s="7"/>
      <c r="S525" s="12">
        <v>-8.6995190866265109</v>
      </c>
      <c r="T525" s="12">
        <v>116.103942106703</v>
      </c>
      <c r="U525" s="7"/>
      <c r="V525" s="50">
        <f>Table13678[[#This Row],[PAGU SEMULA]]-Table13678[[#This Row],[PAGU ANGGARAN]]</f>
        <v>-119750000</v>
      </c>
      <c r="W525" s="50">
        <f>Table13678[[#This Row],[PAGU SEMULA]]-Table13678[[#This Row],[PAGU ANGGARAN]]</f>
        <v>-119750000</v>
      </c>
      <c r="X525" t="s">
        <v>987</v>
      </c>
    </row>
    <row r="526" spans="3:24" hidden="1">
      <c r="C526" s="7" t="s">
        <v>110</v>
      </c>
      <c r="D526" s="7" t="s">
        <v>178</v>
      </c>
      <c r="E526" s="7" t="s">
        <v>179</v>
      </c>
      <c r="F526" s="7" t="s">
        <v>180</v>
      </c>
      <c r="G526" s="71" t="s">
        <v>544</v>
      </c>
      <c r="H526" s="8">
        <v>16039000</v>
      </c>
      <c r="I526" s="10" t="s">
        <v>542</v>
      </c>
      <c r="J526" s="7" t="s">
        <v>543</v>
      </c>
      <c r="K526" s="10" t="s">
        <v>414</v>
      </c>
      <c r="L526" s="7" t="s">
        <v>415</v>
      </c>
      <c r="M526" s="7"/>
      <c r="N526" s="7">
        <f>VLOOKUP(J526,[1]Sheet1!$C:$D,2,FALSE)</f>
        <v>7134</v>
      </c>
      <c r="O526" s="7">
        <f>VLOOKUP(J526,[2]Desa!$A:$D,4,FALSE)</f>
        <v>283</v>
      </c>
      <c r="P526" s="7">
        <f>VLOOKUP(J526,[3]Sheet1!$D:$F,3,FALSE)</f>
        <v>69</v>
      </c>
      <c r="Q526" s="7"/>
      <c r="R526" s="7"/>
      <c r="S526" s="12">
        <v>-8.6995190866265109</v>
      </c>
      <c r="T526" s="12">
        <v>116.103942106703</v>
      </c>
      <c r="U526" s="7"/>
      <c r="V526" s="50">
        <f>Table13678[[#This Row],[PAGU SEMULA]]-Table13678[[#This Row],[PAGU ANGGARAN]]</f>
        <v>-16039000</v>
      </c>
      <c r="W526" s="50">
        <f>Table13678[[#This Row],[PAGU SEMULA]]-Table13678[[#This Row],[PAGU ANGGARAN]]</f>
        <v>-16039000</v>
      </c>
      <c r="X526" t="s">
        <v>982</v>
      </c>
    </row>
    <row r="527" spans="3:24" hidden="1">
      <c r="C527" s="7" t="s">
        <v>35</v>
      </c>
      <c r="D527" s="7" t="s">
        <v>36</v>
      </c>
      <c r="E527" s="7" t="s">
        <v>37</v>
      </c>
      <c r="F527" s="7" t="s">
        <v>38</v>
      </c>
      <c r="G527" s="7" t="s">
        <v>39</v>
      </c>
      <c r="H527" s="15">
        <v>75000000</v>
      </c>
      <c r="I527" s="10" t="s">
        <v>542</v>
      </c>
      <c r="J527" s="7" t="s">
        <v>543</v>
      </c>
      <c r="K527" s="10" t="s">
        <v>414</v>
      </c>
      <c r="L527" s="7" t="s">
        <v>415</v>
      </c>
      <c r="M527" s="7"/>
      <c r="N527" s="7">
        <f>VLOOKUP(J527,[1]Sheet1!$C:$D,2,FALSE)</f>
        <v>7134</v>
      </c>
      <c r="O527" s="7">
        <f>VLOOKUP(J527,[2]Desa!$A:$D,4,FALSE)</f>
        <v>283</v>
      </c>
      <c r="P527" s="7">
        <f>VLOOKUP(J527,[3]Sheet1!$D:$F,3,FALSE)</f>
        <v>69</v>
      </c>
      <c r="Q527" s="7"/>
      <c r="R527" s="7"/>
      <c r="S527" s="12">
        <v>-8.6995190866265109</v>
      </c>
      <c r="T527" s="12">
        <v>116.103942106703</v>
      </c>
      <c r="U527" s="7"/>
      <c r="V527" s="50">
        <f>Table13678[[#This Row],[PAGU SEMULA]]-Table13678[[#This Row],[PAGU ANGGARAN]]</f>
        <v>-75000000</v>
      </c>
      <c r="W527" s="50">
        <f>Table13678[[#This Row],[PAGU SEMULA]]-Table13678[[#This Row],[PAGU ANGGARAN]]</f>
        <v>-75000000</v>
      </c>
      <c r="X527" t="s">
        <v>984</v>
      </c>
    </row>
    <row r="528" spans="3:24" hidden="1">
      <c r="C528" s="7" t="s">
        <v>46</v>
      </c>
      <c r="D528" s="7" t="s">
        <v>122</v>
      </c>
      <c r="E528" s="7" t="s">
        <v>123</v>
      </c>
      <c r="F528" s="7" t="s">
        <v>124</v>
      </c>
      <c r="G528" s="7" t="s">
        <v>545</v>
      </c>
      <c r="H528" s="8">
        <v>30000000</v>
      </c>
      <c r="I528" s="10" t="s">
        <v>542</v>
      </c>
      <c r="J528" s="7" t="s">
        <v>543</v>
      </c>
      <c r="K528" s="10" t="s">
        <v>414</v>
      </c>
      <c r="L528" s="7" t="s">
        <v>415</v>
      </c>
      <c r="M528" s="7"/>
      <c r="N528" s="7">
        <f>VLOOKUP(J528,[1]Sheet1!$C:$D,2,FALSE)</f>
        <v>7134</v>
      </c>
      <c r="O528" s="7">
        <f>VLOOKUP(J528,[2]Desa!$A:$D,4,FALSE)</f>
        <v>283</v>
      </c>
      <c r="P528" s="7">
        <f>VLOOKUP(J528,[3]Sheet1!$D:$F,3,FALSE)</f>
        <v>69</v>
      </c>
      <c r="Q528" s="7"/>
      <c r="R528" s="7"/>
      <c r="S528" s="12">
        <v>-8.6995190866265109</v>
      </c>
      <c r="T528" s="12">
        <v>116.103942106703</v>
      </c>
      <c r="U528" s="7"/>
      <c r="V528" s="50">
        <f>Table13678[[#This Row],[PAGU SEMULA]]-Table13678[[#This Row],[PAGU ANGGARAN]]</f>
        <v>-30000000</v>
      </c>
      <c r="W528" s="50">
        <f>Table13678[[#This Row],[PAGU SEMULA]]-Table13678[[#This Row],[PAGU ANGGARAN]]</f>
        <v>-30000000</v>
      </c>
      <c r="X528" t="s">
        <v>987</v>
      </c>
    </row>
    <row r="529" spans="2:24" hidden="1">
      <c r="C529" s="7" t="s">
        <v>46</v>
      </c>
      <c r="D529" s="7" t="s">
        <v>47</v>
      </c>
      <c r="E529" s="7" t="s">
        <v>48</v>
      </c>
      <c r="F529" s="7" t="s">
        <v>49</v>
      </c>
      <c r="G529" s="7" t="s">
        <v>371</v>
      </c>
      <c r="H529" s="8">
        <v>30774000</v>
      </c>
      <c r="I529" s="10" t="s">
        <v>542</v>
      </c>
      <c r="J529" s="7" t="s">
        <v>543</v>
      </c>
      <c r="K529" s="10" t="s">
        <v>414</v>
      </c>
      <c r="L529" s="7" t="s">
        <v>415</v>
      </c>
      <c r="M529" s="7"/>
      <c r="N529" s="7">
        <f>VLOOKUP(J529,[1]Sheet1!$C:$D,2,FALSE)</f>
        <v>7134</v>
      </c>
      <c r="O529" s="7">
        <f>VLOOKUP(J529,[2]Desa!$A:$D,4,FALSE)</f>
        <v>283</v>
      </c>
      <c r="P529" s="7">
        <f>VLOOKUP(J529,[3]Sheet1!$D:$F,3,FALSE)</f>
        <v>69</v>
      </c>
      <c r="Q529" s="7"/>
      <c r="R529" s="7"/>
      <c r="S529" s="12">
        <v>-8.6995190866265109</v>
      </c>
      <c r="T529" s="12">
        <v>116.103942106703</v>
      </c>
      <c r="U529" s="7"/>
      <c r="V529" s="50">
        <f>Table13678[[#This Row],[PAGU SEMULA]]-Table13678[[#This Row],[PAGU ANGGARAN]]</f>
        <v>-30774000</v>
      </c>
      <c r="W529" s="50">
        <f>Table13678[[#This Row],[PAGU SEMULA]]-Table13678[[#This Row],[PAGU ANGGARAN]]</f>
        <v>-30774000</v>
      </c>
      <c r="X529" t="s">
        <v>987</v>
      </c>
    </row>
    <row r="530" spans="2:24" hidden="1">
      <c r="C530" s="7" t="s">
        <v>20</v>
      </c>
      <c r="D530" s="7" t="s">
        <v>21</v>
      </c>
      <c r="E530" s="7" t="s">
        <v>22</v>
      </c>
      <c r="F530" s="7" t="s">
        <v>23</v>
      </c>
      <c r="G530" s="71" t="s">
        <v>390</v>
      </c>
      <c r="H530" s="15">
        <v>82500000</v>
      </c>
      <c r="I530" s="10" t="s">
        <v>542</v>
      </c>
      <c r="J530" s="7" t="s">
        <v>543</v>
      </c>
      <c r="K530" s="10" t="s">
        <v>414</v>
      </c>
      <c r="L530" s="7" t="s">
        <v>415</v>
      </c>
      <c r="M530" s="7"/>
      <c r="N530" s="7">
        <f>VLOOKUP(J530,[1]Sheet1!$C:$D,2,FALSE)</f>
        <v>7134</v>
      </c>
      <c r="O530" s="7">
        <f>VLOOKUP(J530,[2]Desa!$A:$D,4,FALSE)</f>
        <v>283</v>
      </c>
      <c r="P530" s="7">
        <f>VLOOKUP(J530,[3]Sheet1!$D:$F,3,FALSE)</f>
        <v>69</v>
      </c>
      <c r="Q530" s="7"/>
      <c r="R530" s="7"/>
      <c r="S530" s="12">
        <v>-8.6995190866265109</v>
      </c>
      <c r="T530" s="12">
        <v>116.103942106703</v>
      </c>
      <c r="U530" s="7"/>
      <c r="V530" s="50">
        <f>Table13678[[#This Row],[PAGU SEMULA]]-Table13678[[#This Row],[PAGU ANGGARAN]]</f>
        <v>-82500000</v>
      </c>
      <c r="W530" s="50">
        <f>Table13678[[#This Row],[PAGU SEMULA]]-Table13678[[#This Row],[PAGU ANGGARAN]]</f>
        <v>-82500000</v>
      </c>
      <c r="X530" t="s">
        <v>984</v>
      </c>
    </row>
    <row r="531" spans="2:24" hidden="1">
      <c r="C531" s="7" t="s">
        <v>546</v>
      </c>
      <c r="D531" s="7" t="s">
        <v>75</v>
      </c>
      <c r="E531" s="7" t="s">
        <v>547</v>
      </c>
      <c r="F531" s="7" t="s">
        <v>548</v>
      </c>
      <c r="G531" s="7" t="s">
        <v>549</v>
      </c>
      <c r="H531" s="8">
        <v>101520000</v>
      </c>
      <c r="I531" s="10" t="s">
        <v>542</v>
      </c>
      <c r="J531" s="7" t="s">
        <v>543</v>
      </c>
      <c r="K531" s="10" t="s">
        <v>414</v>
      </c>
      <c r="L531" s="7" t="s">
        <v>415</v>
      </c>
      <c r="M531" s="7"/>
      <c r="N531" s="7">
        <f>VLOOKUP(J531,[1]Sheet1!$C:$D,2,FALSE)</f>
        <v>7134</v>
      </c>
      <c r="O531" s="7">
        <f>VLOOKUP(J531,[2]Desa!$A:$D,4,FALSE)</f>
        <v>283</v>
      </c>
      <c r="P531" s="7">
        <f>VLOOKUP(J531,[3]Sheet1!$D:$F,3,FALSE)</f>
        <v>69</v>
      </c>
      <c r="Q531" s="7"/>
      <c r="R531" s="7"/>
      <c r="S531" s="12">
        <v>-8.6995190866265109</v>
      </c>
      <c r="T531" s="12">
        <v>116.103942106703</v>
      </c>
      <c r="U531" s="7"/>
      <c r="V531" s="50">
        <f>Table13678[[#This Row],[PAGU SEMULA]]-Table13678[[#This Row],[PAGU ANGGARAN]]</f>
        <v>-101520000</v>
      </c>
      <c r="W531" s="50">
        <f>Table13678[[#This Row],[PAGU SEMULA]]-Table13678[[#This Row],[PAGU ANGGARAN]]</f>
        <v>-101520000</v>
      </c>
      <c r="X531" t="s">
        <v>982</v>
      </c>
    </row>
    <row r="532" spans="2:24" hidden="1">
      <c r="C532" s="7" t="s">
        <v>20</v>
      </c>
      <c r="D532" s="7" t="s">
        <v>104</v>
      </c>
      <c r="E532" s="7" t="s">
        <v>105</v>
      </c>
      <c r="F532" s="7" t="s">
        <v>126</v>
      </c>
      <c r="G532" s="71" t="s">
        <v>550</v>
      </c>
      <c r="H532" s="15">
        <v>157690000</v>
      </c>
      <c r="I532" s="10" t="s">
        <v>551</v>
      </c>
      <c r="J532" s="7" t="s">
        <v>552</v>
      </c>
      <c r="K532" s="10" t="s">
        <v>414</v>
      </c>
      <c r="L532" s="7" t="s">
        <v>415</v>
      </c>
      <c r="M532" s="7"/>
      <c r="N532" s="7">
        <f>VLOOKUP(J532,[1]Sheet1!$C:$D,2,FALSE)</f>
        <v>4624</v>
      </c>
      <c r="O532" s="7">
        <f>VLOOKUP(J532,[2]Desa!$A:$D,4,FALSE)</f>
        <v>271</v>
      </c>
      <c r="P532" s="7">
        <f>VLOOKUP(J532,[3]Sheet1!$D:$F,3,FALSE)</f>
        <v>31</v>
      </c>
      <c r="Q532" s="7"/>
      <c r="R532" s="7"/>
      <c r="S532" s="12">
        <v>-8.7055574909903495</v>
      </c>
      <c r="T532" s="12">
        <v>116.08342322866901</v>
      </c>
      <c r="U532" s="7"/>
      <c r="V532" s="50">
        <f>Table13678[[#This Row],[PAGU SEMULA]]-Table13678[[#This Row],[PAGU ANGGARAN]]</f>
        <v>-157690000</v>
      </c>
      <c r="W532" s="50">
        <f>Table13678[[#This Row],[PAGU SEMULA]]-Table13678[[#This Row],[PAGU ANGGARAN]]</f>
        <v>-157690000</v>
      </c>
      <c r="X532" t="s">
        <v>984</v>
      </c>
    </row>
    <row r="533" spans="2:24" hidden="1">
      <c r="C533" s="7" t="s">
        <v>20</v>
      </c>
      <c r="D533" s="7" t="s">
        <v>104</v>
      </c>
      <c r="E533" s="7" t="s">
        <v>105</v>
      </c>
      <c r="F533" s="7" t="s">
        <v>169</v>
      </c>
      <c r="G533" s="71" t="s">
        <v>553</v>
      </c>
      <c r="H533" s="15">
        <v>173175000</v>
      </c>
      <c r="I533" s="10" t="s">
        <v>551</v>
      </c>
      <c r="J533" s="7" t="s">
        <v>552</v>
      </c>
      <c r="K533" s="10" t="s">
        <v>414</v>
      </c>
      <c r="L533" s="7" t="s">
        <v>415</v>
      </c>
      <c r="M533" s="7"/>
      <c r="N533" s="7">
        <f>VLOOKUP(J533,[1]Sheet1!$C:$D,2,FALSE)</f>
        <v>4624</v>
      </c>
      <c r="O533" s="7">
        <f>VLOOKUP(J533,[2]Desa!$A:$D,4,FALSE)</f>
        <v>271</v>
      </c>
      <c r="P533" s="7">
        <f>VLOOKUP(J533,[3]Sheet1!$D:$F,3,FALSE)</f>
        <v>31</v>
      </c>
      <c r="Q533" s="7"/>
      <c r="R533" s="7"/>
      <c r="S533" s="12">
        <v>-8.7055574909903495</v>
      </c>
      <c r="T533" s="12">
        <v>116.08342322866901</v>
      </c>
      <c r="U533" s="7"/>
      <c r="V533" s="50">
        <f>Table13678[[#This Row],[PAGU SEMULA]]-Table13678[[#This Row],[PAGU ANGGARAN]]</f>
        <v>-173175000</v>
      </c>
      <c r="W533" s="50">
        <f>Table13678[[#This Row],[PAGU SEMULA]]-Table13678[[#This Row],[PAGU ANGGARAN]]</f>
        <v>-173175000</v>
      </c>
      <c r="X533" t="s">
        <v>984</v>
      </c>
    </row>
    <row r="534" spans="2:24" hidden="1">
      <c r="C534" s="7" t="s">
        <v>20</v>
      </c>
      <c r="D534" s="7" t="s">
        <v>21</v>
      </c>
      <c r="E534" s="7" t="s">
        <v>22</v>
      </c>
      <c r="F534" s="7" t="s">
        <v>23</v>
      </c>
      <c r="G534" s="71" t="s">
        <v>554</v>
      </c>
      <c r="H534" s="15">
        <v>82500000</v>
      </c>
      <c r="I534" s="10" t="s">
        <v>551</v>
      </c>
      <c r="J534" s="7" t="s">
        <v>552</v>
      </c>
      <c r="K534" s="10" t="s">
        <v>414</v>
      </c>
      <c r="L534" s="7" t="s">
        <v>415</v>
      </c>
      <c r="M534" s="7"/>
      <c r="N534" s="7">
        <f>VLOOKUP(J534,[1]Sheet1!$C:$D,2,FALSE)</f>
        <v>4624</v>
      </c>
      <c r="O534" s="7">
        <f>VLOOKUP(J534,[2]Desa!$A:$D,4,FALSE)</f>
        <v>271</v>
      </c>
      <c r="P534" s="7">
        <f>VLOOKUP(J534,[3]Sheet1!$D:$F,3,FALSE)</f>
        <v>31</v>
      </c>
      <c r="Q534" s="7"/>
      <c r="R534" s="7"/>
      <c r="S534" s="12">
        <v>-8.7055574909903495</v>
      </c>
      <c r="T534" s="12">
        <v>116.08342322866901</v>
      </c>
      <c r="U534" s="7"/>
      <c r="V534" s="50">
        <f>Table13678[[#This Row],[PAGU SEMULA]]-Table13678[[#This Row],[PAGU ANGGARAN]]</f>
        <v>-82500000</v>
      </c>
      <c r="W534" s="50">
        <f>Table13678[[#This Row],[PAGU SEMULA]]-Table13678[[#This Row],[PAGU ANGGARAN]]</f>
        <v>-82500000</v>
      </c>
      <c r="X534" t="s">
        <v>984</v>
      </c>
    </row>
    <row r="535" spans="2:24" hidden="1">
      <c r="C535" s="7" t="s">
        <v>29</v>
      </c>
      <c r="D535" s="7" t="s">
        <v>30</v>
      </c>
      <c r="E535" s="7" t="s">
        <v>148</v>
      </c>
      <c r="F535" s="7" t="s">
        <v>149</v>
      </c>
      <c r="G535" s="7" t="s">
        <v>150</v>
      </c>
      <c r="H535" s="15">
        <v>1321585000</v>
      </c>
      <c r="I535" s="10" t="s">
        <v>551</v>
      </c>
      <c r="J535" s="16" t="s">
        <v>560</v>
      </c>
      <c r="K535" s="10" t="s">
        <v>414</v>
      </c>
      <c r="L535" s="7" t="s">
        <v>415</v>
      </c>
      <c r="M535" s="7"/>
      <c r="N535" s="7">
        <f>VLOOKUP(J535,[1]Sheet1!$C:$D,2,FALSE)</f>
        <v>5085</v>
      </c>
      <c r="O535" s="7">
        <f>VLOOKUP(J535,[2]Desa!$A:$D,4,FALSE)</f>
        <v>162</v>
      </c>
      <c r="P535" s="7">
        <f>VLOOKUP(J535,[3]Sheet1!$D:$F,3,FALSE)</f>
        <v>32</v>
      </c>
      <c r="Q535" s="7"/>
      <c r="R535" s="7"/>
      <c r="S535" s="12">
        <v>-8.7055574909903495</v>
      </c>
      <c r="T535" s="12">
        <v>116.08342322866901</v>
      </c>
      <c r="U535" s="7"/>
      <c r="V535" s="50">
        <f>Table13678[[#This Row],[PAGU SEMULA]]-Table13678[[#This Row],[PAGU ANGGARAN]]</f>
        <v>-1321585000</v>
      </c>
      <c r="W535" s="50">
        <f>Table13678[[#This Row],[PAGU SEMULA]]-Table13678[[#This Row],[PAGU ANGGARAN]]</f>
        <v>-1321585000</v>
      </c>
      <c r="X535" t="s">
        <v>984</v>
      </c>
    </row>
    <row r="536" spans="2:24" hidden="1">
      <c r="C536" s="7" t="s">
        <v>29</v>
      </c>
      <c r="D536" s="7" t="s">
        <v>30</v>
      </c>
      <c r="E536" s="7" t="s">
        <v>31</v>
      </c>
      <c r="F536" s="7" t="s">
        <v>32</v>
      </c>
      <c r="G536" s="7" t="s">
        <v>33</v>
      </c>
      <c r="H536" s="8">
        <v>323820000</v>
      </c>
      <c r="I536" s="10" t="s">
        <v>551</v>
      </c>
      <c r="J536" s="7" t="s">
        <v>552</v>
      </c>
      <c r="K536" s="10" t="s">
        <v>414</v>
      </c>
      <c r="L536" s="7" t="s">
        <v>415</v>
      </c>
      <c r="M536" s="7"/>
      <c r="N536" s="7">
        <f>VLOOKUP(J536,[1]Sheet1!$C:$D,2,FALSE)</f>
        <v>4624</v>
      </c>
      <c r="O536" s="7">
        <f>VLOOKUP(J536,[2]Desa!$A:$D,4,FALSE)</f>
        <v>271</v>
      </c>
      <c r="P536" s="7">
        <f>VLOOKUP(J536,[3]Sheet1!$D:$F,3,FALSE)</f>
        <v>31</v>
      </c>
      <c r="Q536" s="7"/>
      <c r="R536" s="7"/>
      <c r="S536" s="12">
        <v>-8.7055574909903495</v>
      </c>
      <c r="T536" s="12">
        <v>116.08342322866901</v>
      </c>
      <c r="U536" s="7"/>
      <c r="V536" s="50">
        <f>Table13678[[#This Row],[PAGU SEMULA]]-Table13678[[#This Row],[PAGU ANGGARAN]]</f>
        <v>-323820000</v>
      </c>
      <c r="W536" s="50">
        <f>Table13678[[#This Row],[PAGU SEMULA]]-Table13678[[#This Row],[PAGU ANGGARAN]]</f>
        <v>-323820000</v>
      </c>
      <c r="X536" t="s">
        <v>984</v>
      </c>
    </row>
    <row r="537" spans="2:24" hidden="1">
      <c r="C537" s="7" t="s">
        <v>29</v>
      </c>
      <c r="D537" s="7" t="s">
        <v>30</v>
      </c>
      <c r="E537" s="7" t="s">
        <v>31</v>
      </c>
      <c r="F537" s="7" t="s">
        <v>32</v>
      </c>
      <c r="G537" s="7" t="s">
        <v>34</v>
      </c>
      <c r="H537" s="8">
        <v>25905600</v>
      </c>
      <c r="I537" s="10" t="s">
        <v>551</v>
      </c>
      <c r="J537" s="7" t="s">
        <v>552</v>
      </c>
      <c r="K537" s="10" t="s">
        <v>414</v>
      </c>
      <c r="L537" s="7" t="s">
        <v>415</v>
      </c>
      <c r="M537" s="7"/>
      <c r="N537" s="7">
        <f>VLOOKUP(J537,[1]Sheet1!$C:$D,2,FALSE)</f>
        <v>4624</v>
      </c>
      <c r="O537" s="7">
        <f>VLOOKUP(J537,[2]Desa!$A:$D,4,FALSE)</f>
        <v>271</v>
      </c>
      <c r="P537" s="7">
        <f>VLOOKUP(J537,[3]Sheet1!$D:$F,3,FALSE)</f>
        <v>31</v>
      </c>
      <c r="Q537" s="7"/>
      <c r="R537" s="7"/>
      <c r="S537" s="12">
        <v>-8.7055574909903495</v>
      </c>
      <c r="T537" s="12">
        <v>116.08342322866901</v>
      </c>
      <c r="U537" s="7"/>
      <c r="V537" s="50">
        <f>Table13678[[#This Row],[PAGU SEMULA]]-Table13678[[#This Row],[PAGU ANGGARAN]]</f>
        <v>-25905600</v>
      </c>
      <c r="W537" s="50">
        <f>Table13678[[#This Row],[PAGU SEMULA]]-Table13678[[#This Row],[PAGU ANGGARAN]]</f>
        <v>-25905600</v>
      </c>
      <c r="X537" t="s">
        <v>984</v>
      </c>
    </row>
    <row r="538" spans="2:24" hidden="1">
      <c r="C538" s="7" t="s">
        <v>35</v>
      </c>
      <c r="D538" s="7" t="s">
        <v>65</v>
      </c>
      <c r="E538" s="7" t="s">
        <v>66</v>
      </c>
      <c r="F538" s="7" t="s">
        <v>322</v>
      </c>
      <c r="G538" s="7" t="s">
        <v>322</v>
      </c>
      <c r="H538" s="15">
        <v>68302000</v>
      </c>
      <c r="I538" s="10" t="s">
        <v>551</v>
      </c>
      <c r="J538" s="7" t="s">
        <v>552</v>
      </c>
      <c r="K538" s="10" t="s">
        <v>414</v>
      </c>
      <c r="L538" s="7" t="s">
        <v>415</v>
      </c>
      <c r="M538" s="7"/>
      <c r="N538" s="7">
        <f>VLOOKUP(J538,[1]Sheet1!$C:$D,2,FALSE)</f>
        <v>4624</v>
      </c>
      <c r="O538" s="7">
        <f>VLOOKUP(J538,[2]Desa!$A:$D,4,FALSE)</f>
        <v>271</v>
      </c>
      <c r="P538" s="7">
        <f>VLOOKUP(J538,[3]Sheet1!$D:$F,3,FALSE)</f>
        <v>31</v>
      </c>
      <c r="Q538" s="7"/>
      <c r="R538" s="7"/>
      <c r="S538" s="12">
        <v>-8.7055574909903495</v>
      </c>
      <c r="T538" s="12">
        <v>116.08342322866901</v>
      </c>
      <c r="U538" s="7"/>
      <c r="V538" s="50">
        <f>Table13678[[#This Row],[PAGU SEMULA]]-Table13678[[#This Row],[PAGU ANGGARAN]]</f>
        <v>-68302000</v>
      </c>
      <c r="W538" s="50">
        <f>Table13678[[#This Row],[PAGU SEMULA]]-Table13678[[#This Row],[PAGU ANGGARAN]]</f>
        <v>-68302000</v>
      </c>
      <c r="X538" t="s">
        <v>986</v>
      </c>
    </row>
    <row r="539" spans="2:24" hidden="1">
      <c r="B539" t="s">
        <v>232</v>
      </c>
      <c r="C539" s="7" t="s">
        <v>68</v>
      </c>
      <c r="D539" s="7" t="s">
        <v>118</v>
      </c>
      <c r="E539" s="7" t="s">
        <v>119</v>
      </c>
      <c r="F539" s="7" t="s">
        <v>555</v>
      </c>
      <c r="G539" s="7" t="s">
        <v>556</v>
      </c>
      <c r="H539" s="8">
        <v>2348500000</v>
      </c>
      <c r="I539" s="10" t="s">
        <v>551</v>
      </c>
      <c r="J539" s="7" t="s">
        <v>552</v>
      </c>
      <c r="K539" s="10" t="s">
        <v>414</v>
      </c>
      <c r="L539" s="7" t="s">
        <v>415</v>
      </c>
      <c r="M539" s="7"/>
      <c r="N539" s="7">
        <f>VLOOKUP(J539,[1]Sheet1!$C:$D,2,FALSE)</f>
        <v>4624</v>
      </c>
      <c r="O539" s="7">
        <f>VLOOKUP(J539,[2]Desa!$A:$D,4,FALSE)</f>
        <v>271</v>
      </c>
      <c r="P539" s="7">
        <f>VLOOKUP(J539,[3]Sheet1!$D:$F,3,FALSE)</f>
        <v>31</v>
      </c>
      <c r="Q539" s="7"/>
      <c r="R539" s="7"/>
      <c r="S539" s="12">
        <v>-8.7055574909903495</v>
      </c>
      <c r="T539" s="12">
        <v>116.08342322866901</v>
      </c>
      <c r="U539" s="7"/>
      <c r="V539" s="50">
        <f>Table13678[[#This Row],[PAGU SEMULA]]-Table13678[[#This Row],[PAGU ANGGARAN]]</f>
        <v>-2348500000</v>
      </c>
      <c r="W539" s="50">
        <f>Table13678[[#This Row],[PAGU SEMULA]]-Table13678[[#This Row],[PAGU ANGGARAN]]</f>
        <v>-2348500000</v>
      </c>
      <c r="X539" t="s">
        <v>982</v>
      </c>
    </row>
    <row r="540" spans="2:24" hidden="1">
      <c r="C540" s="7" t="s">
        <v>46</v>
      </c>
      <c r="D540" s="7" t="s">
        <v>100</v>
      </c>
      <c r="E540" s="7" t="s">
        <v>101</v>
      </c>
      <c r="F540" s="7" t="s">
        <v>102</v>
      </c>
      <c r="G540" s="71" t="s">
        <v>557</v>
      </c>
      <c r="H540" s="8">
        <v>49585300</v>
      </c>
      <c r="I540" s="10" t="s">
        <v>551</v>
      </c>
      <c r="J540" s="7" t="s">
        <v>552</v>
      </c>
      <c r="K540" s="10" t="s">
        <v>414</v>
      </c>
      <c r="L540" s="7" t="s">
        <v>415</v>
      </c>
      <c r="M540" s="7"/>
      <c r="N540" s="7">
        <f>VLOOKUP(J540,[1]Sheet1!$C:$D,2,FALSE)</f>
        <v>4624</v>
      </c>
      <c r="O540" s="7">
        <f>VLOOKUP(J540,[2]Desa!$A:$D,4,FALSE)</f>
        <v>271</v>
      </c>
      <c r="P540" s="7">
        <f>VLOOKUP(J540,[3]Sheet1!$D:$F,3,FALSE)</f>
        <v>31</v>
      </c>
      <c r="Q540" s="7"/>
      <c r="R540" s="7"/>
      <c r="S540" s="12">
        <v>-8.7055574909903495</v>
      </c>
      <c r="T540" s="12">
        <v>116.08342322866901</v>
      </c>
      <c r="U540" s="7"/>
      <c r="V540" s="50">
        <f>Table13678[[#This Row],[PAGU SEMULA]]-Table13678[[#This Row],[PAGU ANGGARAN]]</f>
        <v>-49585300</v>
      </c>
      <c r="W540" s="50">
        <f>Table13678[[#This Row],[PAGU SEMULA]]-Table13678[[#This Row],[PAGU ANGGARAN]]</f>
        <v>-49585300</v>
      </c>
      <c r="X540" t="s">
        <v>987</v>
      </c>
    </row>
    <row r="541" spans="2:24" hidden="1">
      <c r="C541" s="7" t="s">
        <v>20</v>
      </c>
      <c r="D541" s="7" t="s">
        <v>104</v>
      </c>
      <c r="E541" s="7" t="s">
        <v>105</v>
      </c>
      <c r="F541" s="7" t="s">
        <v>169</v>
      </c>
      <c r="G541" s="71" t="s">
        <v>558</v>
      </c>
      <c r="H541" s="15">
        <v>261937500</v>
      </c>
      <c r="I541" s="10" t="s">
        <v>559</v>
      </c>
      <c r="J541" s="7" t="s">
        <v>560</v>
      </c>
      <c r="K541" s="10" t="s">
        <v>414</v>
      </c>
      <c r="L541" s="7" t="s">
        <v>415</v>
      </c>
      <c r="M541" s="7"/>
      <c r="N541" s="7">
        <f>VLOOKUP(J541,[1]Sheet1!$C:$D,2,FALSE)</f>
        <v>5085</v>
      </c>
      <c r="O541" s="7">
        <f>VLOOKUP(J541,[2]Desa!$A:$D,4,FALSE)</f>
        <v>162</v>
      </c>
      <c r="P541" s="7">
        <f>VLOOKUP(J541,[3]Sheet1!$D:$F,3,FALSE)</f>
        <v>32</v>
      </c>
      <c r="Q541" s="7"/>
      <c r="R541" s="7"/>
      <c r="S541" s="12">
        <v>-8.7037870891735896</v>
      </c>
      <c r="T541" s="12">
        <v>116.09243513367601</v>
      </c>
      <c r="U541" s="7"/>
      <c r="V541" s="50">
        <f>Table13678[[#This Row],[PAGU SEMULA]]-Table13678[[#This Row],[PAGU ANGGARAN]]</f>
        <v>-261937500</v>
      </c>
      <c r="W541" s="50">
        <f>Table13678[[#This Row],[PAGU SEMULA]]-Table13678[[#This Row],[PAGU ANGGARAN]]</f>
        <v>-261937500</v>
      </c>
      <c r="X541" t="s">
        <v>984</v>
      </c>
    </row>
    <row r="542" spans="2:24" hidden="1">
      <c r="C542" s="7" t="s">
        <v>20</v>
      </c>
      <c r="D542" s="7" t="s">
        <v>104</v>
      </c>
      <c r="E542" s="7" t="s">
        <v>105</v>
      </c>
      <c r="F542" s="7" t="s">
        <v>126</v>
      </c>
      <c r="G542" s="71" t="s">
        <v>561</v>
      </c>
      <c r="H542" s="15">
        <v>198150000</v>
      </c>
      <c r="I542" s="10" t="s">
        <v>559</v>
      </c>
      <c r="J542" s="7" t="s">
        <v>560</v>
      </c>
      <c r="K542" s="10" t="s">
        <v>414</v>
      </c>
      <c r="L542" s="7" t="s">
        <v>415</v>
      </c>
      <c r="M542" s="7"/>
      <c r="N542" s="7">
        <f>VLOOKUP(J542,[1]Sheet1!$C:$D,2,FALSE)</f>
        <v>5085</v>
      </c>
      <c r="O542" s="7">
        <f>VLOOKUP(J542,[2]Desa!$A:$D,4,FALSE)</f>
        <v>162</v>
      </c>
      <c r="P542" s="7">
        <f>VLOOKUP(J542,[3]Sheet1!$D:$F,3,FALSE)</f>
        <v>32</v>
      </c>
      <c r="Q542" s="7"/>
      <c r="R542" s="7"/>
      <c r="S542" s="12">
        <v>-8.7037870891735896</v>
      </c>
      <c r="T542" s="12">
        <v>116.09243513367601</v>
      </c>
      <c r="U542" s="7"/>
      <c r="V542" s="50">
        <f>Table13678[[#This Row],[PAGU SEMULA]]-Table13678[[#This Row],[PAGU ANGGARAN]]</f>
        <v>-198150000</v>
      </c>
      <c r="W542" s="50">
        <f>Table13678[[#This Row],[PAGU SEMULA]]-Table13678[[#This Row],[PAGU ANGGARAN]]</f>
        <v>-198150000</v>
      </c>
      <c r="X542" t="s">
        <v>984</v>
      </c>
    </row>
    <row r="543" spans="2:24" hidden="1">
      <c r="C543" s="7" t="s">
        <v>29</v>
      </c>
      <c r="D543" s="7" t="s">
        <v>30</v>
      </c>
      <c r="E543" s="7" t="s">
        <v>31</v>
      </c>
      <c r="F543" s="7" t="s">
        <v>32</v>
      </c>
      <c r="G543" s="7" t="s">
        <v>33</v>
      </c>
      <c r="H543" s="8">
        <v>427140000</v>
      </c>
      <c r="I543" s="10" t="s">
        <v>559</v>
      </c>
      <c r="J543" s="7" t="s">
        <v>560</v>
      </c>
      <c r="K543" s="10" t="s">
        <v>414</v>
      </c>
      <c r="L543" s="7" t="s">
        <v>415</v>
      </c>
      <c r="M543" s="7"/>
      <c r="N543" s="7">
        <f>VLOOKUP(J543,[1]Sheet1!$C:$D,2,FALSE)</f>
        <v>5085</v>
      </c>
      <c r="O543" s="7">
        <f>VLOOKUP(J543,[2]Desa!$A:$D,4,FALSE)</f>
        <v>162</v>
      </c>
      <c r="P543" s="7">
        <f>VLOOKUP(J543,[3]Sheet1!$D:$F,3,FALSE)</f>
        <v>32</v>
      </c>
      <c r="Q543" s="7"/>
      <c r="R543" s="7"/>
      <c r="S543" s="12">
        <v>-8.7037870891735896</v>
      </c>
      <c r="T543" s="12">
        <v>116.09243513367601</v>
      </c>
      <c r="U543" s="7"/>
      <c r="V543" s="50">
        <f>Table13678[[#This Row],[PAGU SEMULA]]-Table13678[[#This Row],[PAGU ANGGARAN]]</f>
        <v>-427140000</v>
      </c>
      <c r="W543" s="50">
        <f>Table13678[[#This Row],[PAGU SEMULA]]-Table13678[[#This Row],[PAGU ANGGARAN]]</f>
        <v>-427140000</v>
      </c>
      <c r="X543" t="s">
        <v>984</v>
      </c>
    </row>
    <row r="544" spans="2:24" hidden="1">
      <c r="C544" s="7" t="s">
        <v>29</v>
      </c>
      <c r="D544" s="7" t="s">
        <v>30</v>
      </c>
      <c r="E544" s="7" t="s">
        <v>31</v>
      </c>
      <c r="F544" s="7" t="s">
        <v>32</v>
      </c>
      <c r="G544" s="7" t="s">
        <v>34</v>
      </c>
      <c r="H544" s="8">
        <v>34171200</v>
      </c>
      <c r="I544" s="10" t="s">
        <v>559</v>
      </c>
      <c r="J544" s="7" t="s">
        <v>560</v>
      </c>
      <c r="K544" s="10" t="s">
        <v>414</v>
      </c>
      <c r="L544" s="7" t="s">
        <v>415</v>
      </c>
      <c r="M544" s="7"/>
      <c r="N544" s="7">
        <f>VLOOKUP(J544,[1]Sheet1!$C:$D,2,FALSE)</f>
        <v>5085</v>
      </c>
      <c r="O544" s="7">
        <f>VLOOKUP(J544,[2]Desa!$A:$D,4,FALSE)</f>
        <v>162</v>
      </c>
      <c r="P544" s="7">
        <f>VLOOKUP(J544,[3]Sheet1!$D:$F,3,FALSE)</f>
        <v>32</v>
      </c>
      <c r="Q544" s="7"/>
      <c r="R544" s="7"/>
      <c r="S544" s="12">
        <v>-8.7037870891735896</v>
      </c>
      <c r="T544" s="12">
        <v>116.09243513367601</v>
      </c>
      <c r="U544" s="7"/>
      <c r="V544" s="50">
        <f>Table13678[[#This Row],[PAGU SEMULA]]-Table13678[[#This Row],[PAGU ANGGARAN]]</f>
        <v>-34171200</v>
      </c>
      <c r="W544" s="50">
        <f>Table13678[[#This Row],[PAGU SEMULA]]-Table13678[[#This Row],[PAGU ANGGARAN]]</f>
        <v>-34171200</v>
      </c>
      <c r="X544" t="s">
        <v>984</v>
      </c>
    </row>
    <row r="545" spans="1:24" hidden="1">
      <c r="C545" s="7" t="s">
        <v>35</v>
      </c>
      <c r="D545" s="7" t="s">
        <v>36</v>
      </c>
      <c r="E545" s="7" t="s">
        <v>37</v>
      </c>
      <c r="F545" s="7" t="s">
        <v>38</v>
      </c>
      <c r="G545" s="7" t="s">
        <v>39</v>
      </c>
      <c r="H545" s="15">
        <v>75000000</v>
      </c>
      <c r="I545" s="10" t="s">
        <v>559</v>
      </c>
      <c r="J545" s="7" t="s">
        <v>560</v>
      </c>
      <c r="K545" s="10" t="s">
        <v>414</v>
      </c>
      <c r="L545" s="7" t="s">
        <v>415</v>
      </c>
      <c r="M545" s="7"/>
      <c r="N545" s="7">
        <f>VLOOKUP(J545,[1]Sheet1!$C:$D,2,FALSE)</f>
        <v>5085</v>
      </c>
      <c r="O545" s="7">
        <f>VLOOKUP(J545,[2]Desa!$A:$D,4,FALSE)</f>
        <v>162</v>
      </c>
      <c r="P545" s="7">
        <f>VLOOKUP(J545,[3]Sheet1!$D:$F,3,FALSE)</f>
        <v>32</v>
      </c>
      <c r="Q545" s="7"/>
      <c r="R545" s="7"/>
      <c r="S545" s="12">
        <v>-8.7037870891735896</v>
      </c>
      <c r="T545" s="12">
        <v>116.09243513367601</v>
      </c>
      <c r="U545" s="7"/>
      <c r="V545" s="50">
        <f>Table13678[[#This Row],[PAGU SEMULA]]-Table13678[[#This Row],[PAGU ANGGARAN]]</f>
        <v>-75000000</v>
      </c>
      <c r="W545" s="50">
        <f>Table13678[[#This Row],[PAGU SEMULA]]-Table13678[[#This Row],[PAGU ANGGARAN]]</f>
        <v>-75000000</v>
      </c>
      <c r="X545" t="s">
        <v>984</v>
      </c>
    </row>
    <row r="546" spans="1:24" hidden="1">
      <c r="C546" s="7" t="s">
        <v>68</v>
      </c>
      <c r="D546" s="7" t="s">
        <v>118</v>
      </c>
      <c r="E546" s="7" t="s">
        <v>119</v>
      </c>
      <c r="F546" s="7" t="s">
        <v>120</v>
      </c>
      <c r="G546" s="7" t="s">
        <v>562</v>
      </c>
      <c r="H546" s="8">
        <v>49210250</v>
      </c>
      <c r="I546" s="10" t="s">
        <v>559</v>
      </c>
      <c r="J546" s="7" t="s">
        <v>560</v>
      </c>
      <c r="K546" s="10" t="s">
        <v>414</v>
      </c>
      <c r="L546" s="7" t="s">
        <v>415</v>
      </c>
      <c r="M546" s="7"/>
      <c r="N546" s="7">
        <f>VLOOKUP(J546,[1]Sheet1!$C:$D,2,FALSE)</f>
        <v>5085</v>
      </c>
      <c r="O546" s="7">
        <f>VLOOKUP(J546,[2]Desa!$A:$D,4,FALSE)</f>
        <v>162</v>
      </c>
      <c r="P546" s="7">
        <f>VLOOKUP(J546,[3]Sheet1!$D:$F,3,FALSE)</f>
        <v>32</v>
      </c>
      <c r="Q546" s="7"/>
      <c r="R546" s="7"/>
      <c r="S546" s="12">
        <v>-8.7037870891735896</v>
      </c>
      <c r="T546" s="12">
        <v>116.09243513367601</v>
      </c>
      <c r="U546" s="7"/>
      <c r="V546" s="50">
        <f>Table13678[[#This Row],[PAGU SEMULA]]-Table13678[[#This Row],[PAGU ANGGARAN]]</f>
        <v>-49210250</v>
      </c>
      <c r="W546" s="50">
        <f>Table13678[[#This Row],[PAGU SEMULA]]-Table13678[[#This Row],[PAGU ANGGARAN]]</f>
        <v>-49210250</v>
      </c>
      <c r="X546" t="s">
        <v>982</v>
      </c>
    </row>
    <row r="547" spans="1:24" hidden="1">
      <c r="C547" s="7" t="s">
        <v>46</v>
      </c>
      <c r="D547" s="7" t="s">
        <v>122</v>
      </c>
      <c r="E547" s="7" t="s">
        <v>123</v>
      </c>
      <c r="F547" s="7" t="s">
        <v>124</v>
      </c>
      <c r="G547" s="7" t="s">
        <v>563</v>
      </c>
      <c r="H547" s="8">
        <v>34000000</v>
      </c>
      <c r="I547" s="10" t="s">
        <v>559</v>
      </c>
      <c r="J547" s="7" t="s">
        <v>560</v>
      </c>
      <c r="K547" s="10" t="s">
        <v>414</v>
      </c>
      <c r="L547" s="7" t="s">
        <v>415</v>
      </c>
      <c r="M547" s="7"/>
      <c r="N547" s="7">
        <f>VLOOKUP(J547,[1]Sheet1!$C:$D,2,FALSE)</f>
        <v>5085</v>
      </c>
      <c r="O547" s="7">
        <f>VLOOKUP(J547,[2]Desa!$A:$D,4,FALSE)</f>
        <v>162</v>
      </c>
      <c r="P547" s="7">
        <f>VLOOKUP(J547,[3]Sheet1!$D:$F,3,FALSE)</f>
        <v>32</v>
      </c>
      <c r="Q547" s="7"/>
      <c r="R547" s="7"/>
      <c r="S547" s="12">
        <v>-8.7037870891735896</v>
      </c>
      <c r="T547" s="12">
        <v>116.09243513367601</v>
      </c>
      <c r="U547" s="7"/>
      <c r="V547" s="50">
        <f>Table13678[[#This Row],[PAGU SEMULA]]-Table13678[[#This Row],[PAGU ANGGARAN]]</f>
        <v>-34000000</v>
      </c>
      <c r="W547" s="50">
        <f>Table13678[[#This Row],[PAGU SEMULA]]-Table13678[[#This Row],[PAGU ANGGARAN]]</f>
        <v>-34000000</v>
      </c>
      <c r="X547" t="s">
        <v>987</v>
      </c>
    </row>
    <row r="548" spans="1:24" hidden="1">
      <c r="C548" s="7" t="s">
        <v>29</v>
      </c>
      <c r="D548" s="7" t="s">
        <v>30</v>
      </c>
      <c r="E548" s="7" t="s">
        <v>31</v>
      </c>
      <c r="F548" s="7" t="s">
        <v>32</v>
      </c>
      <c r="G548" s="7" t="s">
        <v>33</v>
      </c>
      <c r="H548" s="8">
        <v>90720000</v>
      </c>
      <c r="I548" s="10" t="s">
        <v>564</v>
      </c>
      <c r="J548" s="7" t="s">
        <v>565</v>
      </c>
      <c r="K548" s="10" t="s">
        <v>288</v>
      </c>
      <c r="L548" s="7" t="s">
        <v>289</v>
      </c>
      <c r="M548" s="7"/>
      <c r="N548" s="7">
        <f>VLOOKUP(J548,[1]Sheet1!$C:$D,2,FALSE)</f>
        <v>2957</v>
      </c>
      <c r="O548" s="7">
        <f>VLOOKUP(J548,[2]Desa!$A:$D,4,FALSE)</f>
        <v>221</v>
      </c>
      <c r="P548" s="7">
        <f>VLOOKUP(J548,[3]Sheet1!$D:$F,3,FALSE)</f>
        <v>18</v>
      </c>
      <c r="Q548" s="7"/>
      <c r="R548" s="7"/>
      <c r="S548" s="12">
        <v>-8.5365398023344596</v>
      </c>
      <c r="T548" s="12">
        <v>116.132365037235</v>
      </c>
      <c r="U548" s="7"/>
      <c r="V548" s="50">
        <f>Table13678[[#This Row],[PAGU SEMULA]]-Table13678[[#This Row],[PAGU ANGGARAN]]</f>
        <v>-90720000</v>
      </c>
      <c r="W548" s="50">
        <f>Table13678[[#This Row],[PAGU SEMULA]]-Table13678[[#This Row],[PAGU ANGGARAN]]</f>
        <v>-90720000</v>
      </c>
      <c r="X548" t="s">
        <v>984</v>
      </c>
    </row>
    <row r="549" spans="1:24" hidden="1">
      <c r="C549" s="7" t="s">
        <v>29</v>
      </c>
      <c r="D549" s="7" t="s">
        <v>30</v>
      </c>
      <c r="E549" s="7" t="s">
        <v>31</v>
      </c>
      <c r="F549" s="7" t="s">
        <v>32</v>
      </c>
      <c r="G549" s="7" t="s">
        <v>34</v>
      </c>
      <c r="H549" s="8">
        <v>7257600</v>
      </c>
      <c r="I549" s="10" t="s">
        <v>564</v>
      </c>
      <c r="J549" s="7" t="s">
        <v>565</v>
      </c>
      <c r="K549" s="10" t="s">
        <v>288</v>
      </c>
      <c r="L549" s="7" t="s">
        <v>289</v>
      </c>
      <c r="M549" s="7"/>
      <c r="N549" s="7">
        <f>VLOOKUP(J549,[1]Sheet1!$C:$D,2,FALSE)</f>
        <v>2957</v>
      </c>
      <c r="O549" s="7">
        <f>VLOOKUP(J549,[2]Desa!$A:$D,4,FALSE)</f>
        <v>221</v>
      </c>
      <c r="P549" s="7">
        <f>VLOOKUP(J549,[3]Sheet1!$D:$F,3,FALSE)</f>
        <v>18</v>
      </c>
      <c r="Q549" s="7"/>
      <c r="R549" s="7"/>
      <c r="S549" s="12">
        <v>-8.5365398023344596</v>
      </c>
      <c r="T549" s="12">
        <v>116.132365037235</v>
      </c>
      <c r="U549" s="7"/>
      <c r="V549" s="50">
        <f>Table13678[[#This Row],[PAGU SEMULA]]-Table13678[[#This Row],[PAGU ANGGARAN]]</f>
        <v>-7257600</v>
      </c>
      <c r="W549" s="50">
        <f>Table13678[[#This Row],[PAGU SEMULA]]-Table13678[[#This Row],[PAGU ANGGARAN]]</f>
        <v>-7257600</v>
      </c>
      <c r="X549" t="s">
        <v>984</v>
      </c>
    </row>
    <row r="550" spans="1:24" hidden="1">
      <c r="C550" s="7" t="s">
        <v>84</v>
      </c>
      <c r="D550" s="7" t="s">
        <v>85</v>
      </c>
      <c r="E550" s="7" t="s">
        <v>86</v>
      </c>
      <c r="F550" s="7" t="s">
        <v>87</v>
      </c>
      <c r="G550" s="7" t="s">
        <v>229</v>
      </c>
      <c r="H550" s="8">
        <v>90750000</v>
      </c>
      <c r="I550" s="10" t="s">
        <v>564</v>
      </c>
      <c r="J550" s="7" t="s">
        <v>565</v>
      </c>
      <c r="K550" s="10" t="s">
        <v>288</v>
      </c>
      <c r="L550" s="7" t="s">
        <v>289</v>
      </c>
      <c r="M550" s="7"/>
      <c r="N550" s="7">
        <f>VLOOKUP(J550,[1]Sheet1!$C:$D,2,FALSE)</f>
        <v>2957</v>
      </c>
      <c r="O550" s="7">
        <f>VLOOKUP(J550,[2]Desa!$A:$D,4,FALSE)</f>
        <v>221</v>
      </c>
      <c r="P550" s="7">
        <f>VLOOKUP(J550,[3]Sheet1!$D:$F,3,FALSE)</f>
        <v>18</v>
      </c>
      <c r="Q550" s="7"/>
      <c r="R550" s="7"/>
      <c r="S550" s="12">
        <v>-8.5365398023344596</v>
      </c>
      <c r="T550" s="12">
        <v>116.132365037235</v>
      </c>
      <c r="U550" s="7"/>
      <c r="V550" s="50">
        <f>Table13678[[#This Row],[PAGU SEMULA]]-Table13678[[#This Row],[PAGU ANGGARAN]]</f>
        <v>-90750000</v>
      </c>
      <c r="W550" s="50">
        <f>Table13678[[#This Row],[PAGU SEMULA]]-Table13678[[#This Row],[PAGU ANGGARAN]]</f>
        <v>-90750000</v>
      </c>
      <c r="X550" t="s">
        <v>982</v>
      </c>
    </row>
    <row r="551" spans="1:24" hidden="1">
      <c r="C551" s="7" t="s">
        <v>35</v>
      </c>
      <c r="D551" s="7" t="s">
        <v>36</v>
      </c>
      <c r="E551" s="7" t="s">
        <v>37</v>
      </c>
      <c r="F551" s="7" t="s">
        <v>38</v>
      </c>
      <c r="G551" s="7" t="s">
        <v>39</v>
      </c>
      <c r="H551" s="15">
        <v>75000000</v>
      </c>
      <c r="I551" s="10" t="s">
        <v>564</v>
      </c>
      <c r="J551" s="7" t="s">
        <v>565</v>
      </c>
      <c r="K551" s="10" t="s">
        <v>288</v>
      </c>
      <c r="L551" s="7" t="s">
        <v>289</v>
      </c>
      <c r="M551" s="7"/>
      <c r="N551" s="7">
        <f>VLOOKUP(J551,[1]Sheet1!$C:$D,2,FALSE)</f>
        <v>2957</v>
      </c>
      <c r="O551" s="7">
        <f>VLOOKUP(J551,[2]Desa!$A:$D,4,FALSE)</f>
        <v>221</v>
      </c>
      <c r="P551" s="7">
        <f>VLOOKUP(J551,[3]Sheet1!$D:$F,3,FALSE)</f>
        <v>18</v>
      </c>
      <c r="Q551" s="7"/>
      <c r="R551" s="7"/>
      <c r="S551" s="12">
        <v>-8.5365398023344596</v>
      </c>
      <c r="T551" s="12">
        <v>116.132365037235</v>
      </c>
      <c r="U551" s="7"/>
      <c r="V551" s="50">
        <f>Table13678[[#This Row],[PAGU SEMULA]]-Table13678[[#This Row],[PAGU ANGGARAN]]</f>
        <v>-75000000</v>
      </c>
      <c r="W551" s="50">
        <f>Table13678[[#This Row],[PAGU SEMULA]]-Table13678[[#This Row],[PAGU ANGGARAN]]</f>
        <v>-75000000</v>
      </c>
      <c r="X551" t="s">
        <v>984</v>
      </c>
    </row>
    <row r="552" spans="1:24" hidden="1">
      <c r="C552" s="7" t="s">
        <v>35</v>
      </c>
      <c r="D552" s="7" t="s">
        <v>65</v>
      </c>
      <c r="E552" s="7" t="s">
        <v>66</v>
      </c>
      <c r="F552" s="7" t="s">
        <v>93</v>
      </c>
      <c r="G552" s="7" t="s">
        <v>309</v>
      </c>
      <c r="H552" s="17">
        <v>430000000</v>
      </c>
      <c r="I552" s="10" t="s">
        <v>564</v>
      </c>
      <c r="J552" s="7" t="s">
        <v>565</v>
      </c>
      <c r="K552" s="10" t="s">
        <v>288</v>
      </c>
      <c r="L552" s="7" t="s">
        <v>289</v>
      </c>
      <c r="M552" s="7"/>
      <c r="N552" s="7">
        <f>VLOOKUP(J552,[1]Sheet1!$C:$D,2,FALSE)</f>
        <v>2957</v>
      </c>
      <c r="O552" s="7">
        <f>VLOOKUP(J552,[2]Desa!$A:$D,4,FALSE)</f>
        <v>221</v>
      </c>
      <c r="P552" s="7">
        <f>VLOOKUP(J552,[3]Sheet1!$D:$F,3,FALSE)</f>
        <v>18</v>
      </c>
      <c r="Q552" s="7"/>
      <c r="R552" s="7"/>
      <c r="S552" s="12">
        <v>-8.5365398023344596</v>
      </c>
      <c r="T552" s="12">
        <v>116.132365037235</v>
      </c>
      <c r="U552" s="7"/>
      <c r="V552" s="50">
        <f>Table13678[[#This Row],[PAGU SEMULA]]-Table13678[[#This Row],[PAGU ANGGARAN]]</f>
        <v>-430000000</v>
      </c>
      <c r="W552" s="50">
        <f>Table13678[[#This Row],[PAGU SEMULA]]-Table13678[[#This Row],[PAGU ANGGARAN]]</f>
        <v>-430000000</v>
      </c>
      <c r="X552" t="s">
        <v>986</v>
      </c>
    </row>
    <row r="553" spans="1:24" hidden="1">
      <c r="C553" s="7" t="s">
        <v>35</v>
      </c>
      <c r="D553" s="7" t="s">
        <v>52</v>
      </c>
      <c r="E553" s="7" t="s">
        <v>95</v>
      </c>
      <c r="F553" s="7" t="s">
        <v>96</v>
      </c>
      <c r="G553" s="7" t="s">
        <v>566</v>
      </c>
      <c r="H553" s="17">
        <v>241875000</v>
      </c>
      <c r="I553" s="10" t="s">
        <v>564</v>
      </c>
      <c r="J553" s="7" t="s">
        <v>565</v>
      </c>
      <c r="K553" s="10" t="s">
        <v>288</v>
      </c>
      <c r="L553" s="7" t="s">
        <v>289</v>
      </c>
      <c r="M553" s="7"/>
      <c r="N553" s="7">
        <f>VLOOKUP(J553,[1]Sheet1!$C:$D,2,FALSE)</f>
        <v>2957</v>
      </c>
      <c r="O553" s="7">
        <f>VLOOKUP(J553,[2]Desa!$A:$D,4,FALSE)</f>
        <v>221</v>
      </c>
      <c r="P553" s="7">
        <f>VLOOKUP(J553,[3]Sheet1!$D:$F,3,FALSE)</f>
        <v>18</v>
      </c>
      <c r="Q553" s="7"/>
      <c r="R553" s="7"/>
      <c r="S553" s="12">
        <v>-8.5365398023344596</v>
      </c>
      <c r="T553" s="12">
        <v>116.132365037235</v>
      </c>
      <c r="U553" s="7"/>
      <c r="V553" s="50">
        <f>Table13678[[#This Row],[PAGU SEMULA]]-Table13678[[#This Row],[PAGU ANGGARAN]]</f>
        <v>-241875000</v>
      </c>
      <c r="W553" s="50">
        <f>Table13678[[#This Row],[PAGU SEMULA]]-Table13678[[#This Row],[PAGU ANGGARAN]]</f>
        <v>-241875000</v>
      </c>
      <c r="X553" t="s">
        <v>986</v>
      </c>
    </row>
    <row r="554" spans="1:24" hidden="1">
      <c r="A554" s="2"/>
      <c r="B554" s="2"/>
      <c r="C554" s="7" t="s">
        <v>35</v>
      </c>
      <c r="D554" s="7" t="s">
        <v>52</v>
      </c>
      <c r="E554" s="7" t="s">
        <v>95</v>
      </c>
      <c r="F554" s="7" t="s">
        <v>96</v>
      </c>
      <c r="G554" s="7" t="s">
        <v>566</v>
      </c>
      <c r="H554" s="15">
        <v>0</v>
      </c>
      <c r="I554" s="10" t="s">
        <v>564</v>
      </c>
      <c r="J554" s="7" t="s">
        <v>565</v>
      </c>
      <c r="K554" s="10" t="s">
        <v>288</v>
      </c>
      <c r="L554" s="7" t="s">
        <v>289</v>
      </c>
      <c r="M554" s="7"/>
      <c r="N554" s="7">
        <f>VLOOKUP(J554,[1]Sheet1!$C:$D,2,FALSE)</f>
        <v>2957</v>
      </c>
      <c r="O554" s="7">
        <f>VLOOKUP(J554,[2]Desa!$A:$D,4,FALSE)</f>
        <v>221</v>
      </c>
      <c r="P554" s="7">
        <f>VLOOKUP(J554,[3]Sheet1!$D:$F,3,FALSE)</f>
        <v>18</v>
      </c>
      <c r="Q554" s="7"/>
      <c r="R554" s="7"/>
      <c r="S554" s="12">
        <v>-8.5365398023344596</v>
      </c>
      <c r="T554" s="12">
        <v>116.132365037235</v>
      </c>
      <c r="U554" s="7"/>
      <c r="V554" s="50">
        <f>Table13678[[#This Row],[PAGU SEMULA]]-Table13678[[#This Row],[PAGU ANGGARAN]]</f>
        <v>0</v>
      </c>
      <c r="W554" s="50">
        <f>Table13678[[#This Row],[PAGU SEMULA]]-Table13678[[#This Row],[PAGU ANGGARAN]]</f>
        <v>0</v>
      </c>
      <c r="X554" t="s">
        <v>986</v>
      </c>
    </row>
    <row r="555" spans="1:24" hidden="1">
      <c r="C555" s="7" t="s">
        <v>68</v>
      </c>
      <c r="D555" s="7" t="s">
        <v>535</v>
      </c>
      <c r="E555" s="7" t="s">
        <v>536</v>
      </c>
      <c r="F555" s="7" t="s">
        <v>537</v>
      </c>
      <c r="G555" s="7" t="s">
        <v>567</v>
      </c>
      <c r="H555" s="8">
        <v>79612500</v>
      </c>
      <c r="I555" s="10" t="s">
        <v>564</v>
      </c>
      <c r="J555" s="7" t="s">
        <v>565</v>
      </c>
      <c r="K555" s="10" t="s">
        <v>288</v>
      </c>
      <c r="L555" s="7" t="s">
        <v>289</v>
      </c>
      <c r="M555" s="7"/>
      <c r="N555" s="7">
        <f>VLOOKUP(J555,[1]Sheet1!$C:$D,2,FALSE)</f>
        <v>2957</v>
      </c>
      <c r="O555" s="7">
        <f>VLOOKUP(J555,[2]Desa!$A:$D,4,FALSE)</f>
        <v>221</v>
      </c>
      <c r="P555" s="7">
        <f>VLOOKUP(J555,[3]Sheet1!$D:$F,3,FALSE)</f>
        <v>18</v>
      </c>
      <c r="Q555" s="7"/>
      <c r="R555" s="7"/>
      <c r="S555" s="12">
        <v>-8.5365398023344596</v>
      </c>
      <c r="T555" s="12">
        <v>116.132365037235</v>
      </c>
      <c r="U555" s="7"/>
      <c r="V555" s="50">
        <f>Table13678[[#This Row],[PAGU SEMULA]]-Table13678[[#This Row],[PAGU ANGGARAN]]</f>
        <v>-79612500</v>
      </c>
      <c r="W555" s="50">
        <f>Table13678[[#This Row],[PAGU SEMULA]]-Table13678[[#This Row],[PAGU ANGGARAN]]</f>
        <v>-79612500</v>
      </c>
      <c r="X555" t="s">
        <v>982</v>
      </c>
    </row>
    <row r="556" spans="1:24" hidden="1">
      <c r="C556" s="7" t="s">
        <v>29</v>
      </c>
      <c r="D556" s="7" t="s">
        <v>30</v>
      </c>
      <c r="E556" s="7" t="s">
        <v>31</v>
      </c>
      <c r="F556" s="7" t="s">
        <v>32</v>
      </c>
      <c r="G556" s="7" t="s">
        <v>33</v>
      </c>
      <c r="H556" s="8">
        <v>502740000</v>
      </c>
      <c r="I556" s="10" t="s">
        <v>568</v>
      </c>
      <c r="J556" s="7" t="s">
        <v>569</v>
      </c>
      <c r="K556" s="10" t="s">
        <v>167</v>
      </c>
      <c r="L556" s="7" t="s">
        <v>168</v>
      </c>
      <c r="M556" s="7"/>
      <c r="N556" s="7">
        <f>VLOOKUP(J556,[1]Sheet1!$C:$D,2,FALSE)</f>
        <v>6004</v>
      </c>
      <c r="O556" s="7">
        <f>VLOOKUP(J556,[2]Desa!$A:$D,4,FALSE)</f>
        <v>222</v>
      </c>
      <c r="P556" s="7">
        <f>VLOOKUP(J556,[3]Sheet1!$D:$F,3,FALSE)</f>
        <v>51</v>
      </c>
      <c r="Q556" s="7"/>
      <c r="R556" s="7"/>
      <c r="S556" s="12">
        <v>-8.5603442045180493</v>
      </c>
      <c r="T556" s="12">
        <v>116.178757650864</v>
      </c>
      <c r="U556" s="7"/>
      <c r="V556" s="50">
        <f>Table13678[[#This Row],[PAGU SEMULA]]-Table13678[[#This Row],[PAGU ANGGARAN]]</f>
        <v>-502740000</v>
      </c>
      <c r="W556" s="50">
        <f>Table13678[[#This Row],[PAGU SEMULA]]-Table13678[[#This Row],[PAGU ANGGARAN]]</f>
        <v>-502740000</v>
      </c>
      <c r="X556" t="s">
        <v>984</v>
      </c>
    </row>
    <row r="557" spans="1:24" hidden="1">
      <c r="C557" s="7" t="s">
        <v>29</v>
      </c>
      <c r="D557" s="7" t="s">
        <v>30</v>
      </c>
      <c r="E557" s="7" t="s">
        <v>31</v>
      </c>
      <c r="F557" s="7" t="s">
        <v>32</v>
      </c>
      <c r="G557" s="7" t="s">
        <v>34</v>
      </c>
      <c r="H557" s="8">
        <v>40219200</v>
      </c>
      <c r="I557" s="10" t="s">
        <v>568</v>
      </c>
      <c r="J557" s="7" t="s">
        <v>569</v>
      </c>
      <c r="K557" s="10" t="s">
        <v>167</v>
      </c>
      <c r="L557" s="7" t="s">
        <v>168</v>
      </c>
      <c r="M557" s="7"/>
      <c r="N557" s="7">
        <f>VLOOKUP(J557,[1]Sheet1!$C:$D,2,FALSE)</f>
        <v>6004</v>
      </c>
      <c r="O557" s="7">
        <f>VLOOKUP(J557,[2]Desa!$A:$D,4,FALSE)</f>
        <v>222</v>
      </c>
      <c r="P557" s="7">
        <f>VLOOKUP(J557,[3]Sheet1!$D:$F,3,FALSE)</f>
        <v>51</v>
      </c>
      <c r="Q557" s="7"/>
      <c r="R557" s="7"/>
      <c r="S557" s="12">
        <v>-8.5603442045180493</v>
      </c>
      <c r="T557" s="12">
        <v>116.178757650864</v>
      </c>
      <c r="U557" s="7"/>
      <c r="V557" s="50">
        <f>Table13678[[#This Row],[PAGU SEMULA]]-Table13678[[#This Row],[PAGU ANGGARAN]]</f>
        <v>-40219200</v>
      </c>
      <c r="W557" s="50">
        <f>Table13678[[#This Row],[PAGU SEMULA]]-Table13678[[#This Row],[PAGU ANGGARAN]]</f>
        <v>-40219200</v>
      </c>
      <c r="X557" t="s">
        <v>984</v>
      </c>
    </row>
    <row r="558" spans="1:24" hidden="1">
      <c r="C558" s="7" t="s">
        <v>492</v>
      </c>
      <c r="D558" s="7" t="s">
        <v>493</v>
      </c>
      <c r="E558" s="7" t="s">
        <v>570</v>
      </c>
      <c r="F558" s="7" t="s">
        <v>571</v>
      </c>
      <c r="G558" s="7" t="s">
        <v>572</v>
      </c>
      <c r="H558" s="8">
        <v>31007500</v>
      </c>
      <c r="I558" s="10" t="s">
        <v>568</v>
      </c>
      <c r="J558" s="7" t="s">
        <v>569</v>
      </c>
      <c r="K558" s="10" t="s">
        <v>167</v>
      </c>
      <c r="L558" s="7" t="s">
        <v>168</v>
      </c>
      <c r="M558" s="7"/>
      <c r="N558" s="7">
        <f>VLOOKUP(J558,[1]Sheet1!$C:$D,2,FALSE)</f>
        <v>6004</v>
      </c>
      <c r="O558" s="7">
        <f>VLOOKUP(J558,[2]Desa!$A:$D,4,FALSE)</f>
        <v>222</v>
      </c>
      <c r="P558" s="7">
        <f>VLOOKUP(J558,[3]Sheet1!$D:$F,3,FALSE)</f>
        <v>51</v>
      </c>
      <c r="Q558" s="7"/>
      <c r="R558" s="7"/>
      <c r="S558" s="12">
        <v>-8.5603442045180493</v>
      </c>
      <c r="T558" s="12">
        <v>116.178757650864</v>
      </c>
      <c r="U558" s="7"/>
      <c r="V558" s="50">
        <f>Table13678[[#This Row],[PAGU SEMULA]]-Table13678[[#This Row],[PAGU ANGGARAN]]</f>
        <v>-31007500</v>
      </c>
      <c r="W558" s="50">
        <f>Table13678[[#This Row],[PAGU SEMULA]]-Table13678[[#This Row],[PAGU ANGGARAN]]</f>
        <v>-31007500</v>
      </c>
      <c r="X558" t="s">
        <v>987</v>
      </c>
    </row>
    <row r="559" spans="1:24" hidden="1">
      <c r="C559" s="7" t="s">
        <v>35</v>
      </c>
      <c r="D559" s="7" t="s">
        <v>52</v>
      </c>
      <c r="E559" s="7" t="s">
        <v>95</v>
      </c>
      <c r="F559" s="7" t="s">
        <v>96</v>
      </c>
      <c r="G559" s="7" t="s">
        <v>41</v>
      </c>
      <c r="H559" s="17">
        <v>290250000</v>
      </c>
      <c r="I559" s="10" t="s">
        <v>568</v>
      </c>
      <c r="J559" s="7" t="s">
        <v>569</v>
      </c>
      <c r="K559" s="10" t="s">
        <v>167</v>
      </c>
      <c r="L559" s="7" t="s">
        <v>168</v>
      </c>
      <c r="M559" s="7"/>
      <c r="N559" s="7">
        <f>VLOOKUP(J559,[1]Sheet1!$C:$D,2,FALSE)</f>
        <v>6004</v>
      </c>
      <c r="O559" s="7">
        <f>VLOOKUP(J559,[2]Desa!$A:$D,4,FALSE)</f>
        <v>222</v>
      </c>
      <c r="P559" s="7">
        <f>VLOOKUP(J559,[3]Sheet1!$D:$F,3,FALSE)</f>
        <v>51</v>
      </c>
      <c r="Q559" s="7"/>
      <c r="R559" s="7"/>
      <c r="S559" s="12">
        <v>-8.5603442045180493</v>
      </c>
      <c r="T559" s="12">
        <v>116.178757650864</v>
      </c>
      <c r="U559" s="7"/>
      <c r="V559" s="50">
        <f>Table13678[[#This Row],[PAGU SEMULA]]-Table13678[[#This Row],[PAGU ANGGARAN]]</f>
        <v>-290250000</v>
      </c>
      <c r="W559" s="50">
        <f>Table13678[[#This Row],[PAGU SEMULA]]-Table13678[[#This Row],[PAGU ANGGARAN]]</f>
        <v>-290250000</v>
      </c>
      <c r="X559" t="s">
        <v>986</v>
      </c>
    </row>
    <row r="560" spans="1:24" hidden="1">
      <c r="C560" s="7" t="s">
        <v>35</v>
      </c>
      <c r="D560" s="7" t="s">
        <v>36</v>
      </c>
      <c r="E560" s="7" t="s">
        <v>37</v>
      </c>
      <c r="F560" s="7" t="s">
        <v>38</v>
      </c>
      <c r="G560" s="7" t="s">
        <v>39</v>
      </c>
      <c r="H560" s="15">
        <v>75000000</v>
      </c>
      <c r="I560" s="10" t="s">
        <v>568</v>
      </c>
      <c r="J560" s="7" t="s">
        <v>569</v>
      </c>
      <c r="K560" s="10" t="s">
        <v>167</v>
      </c>
      <c r="L560" s="7" t="s">
        <v>168</v>
      </c>
      <c r="M560" s="7"/>
      <c r="N560" s="7">
        <f>VLOOKUP(J560,[1]Sheet1!$C:$D,2,FALSE)</f>
        <v>6004</v>
      </c>
      <c r="O560" s="7">
        <f>VLOOKUP(J560,[2]Desa!$A:$D,4,FALSE)</f>
        <v>222</v>
      </c>
      <c r="P560" s="7">
        <f>VLOOKUP(J560,[3]Sheet1!$D:$F,3,FALSE)</f>
        <v>51</v>
      </c>
      <c r="Q560" s="7"/>
      <c r="R560" s="7"/>
      <c r="S560" s="12">
        <v>-8.5603442045180493</v>
      </c>
      <c r="T560" s="12">
        <v>116.178757650864</v>
      </c>
      <c r="U560" s="7"/>
      <c r="V560" s="50">
        <f>Table13678[[#This Row],[PAGU SEMULA]]-Table13678[[#This Row],[PAGU ANGGARAN]]</f>
        <v>-75000000</v>
      </c>
      <c r="W560" s="50">
        <f>Table13678[[#This Row],[PAGU SEMULA]]-Table13678[[#This Row],[PAGU ANGGARAN]]</f>
        <v>-75000000</v>
      </c>
      <c r="X560" t="s">
        <v>984</v>
      </c>
    </row>
    <row r="561" spans="3:24" hidden="1">
      <c r="C561" s="7" t="s">
        <v>51</v>
      </c>
      <c r="D561" s="7" t="s">
        <v>52</v>
      </c>
      <c r="E561" s="7" t="s">
        <v>53</v>
      </c>
      <c r="F561" s="7" t="s">
        <v>54</v>
      </c>
      <c r="G561" s="7" t="s">
        <v>174</v>
      </c>
      <c r="H561" s="8">
        <v>189090000</v>
      </c>
      <c r="I561" s="10" t="s">
        <v>568</v>
      </c>
      <c r="J561" s="7" t="s">
        <v>569</v>
      </c>
      <c r="K561" s="10" t="s">
        <v>167</v>
      </c>
      <c r="L561" s="7" t="s">
        <v>168</v>
      </c>
      <c r="M561" s="7"/>
      <c r="N561" s="7">
        <f>VLOOKUP(J561,[1]Sheet1!$C:$D,2,FALSE)</f>
        <v>6004</v>
      </c>
      <c r="O561" s="7">
        <f>VLOOKUP(J561,[2]Desa!$A:$D,4,FALSE)</f>
        <v>222</v>
      </c>
      <c r="P561" s="7">
        <f>VLOOKUP(J561,[3]Sheet1!$D:$F,3,FALSE)</f>
        <v>51</v>
      </c>
      <c r="Q561" s="7"/>
      <c r="R561" s="7"/>
      <c r="S561" s="12">
        <v>-8.5603442045180493</v>
      </c>
      <c r="T561" s="12">
        <v>116.178757650864</v>
      </c>
      <c r="U561" s="7"/>
      <c r="V561" s="50">
        <f>Table13678[[#This Row],[PAGU SEMULA]]-Table13678[[#This Row],[PAGU ANGGARAN]]</f>
        <v>-189090000</v>
      </c>
      <c r="W561" s="50">
        <f>Table13678[[#This Row],[PAGU SEMULA]]-Table13678[[#This Row],[PAGU ANGGARAN]]</f>
        <v>-189090000</v>
      </c>
      <c r="X561" t="s">
        <v>986</v>
      </c>
    </row>
    <row r="562" spans="3:24" hidden="1">
      <c r="C562" s="7" t="s">
        <v>29</v>
      </c>
      <c r="D562" s="7" t="s">
        <v>30</v>
      </c>
      <c r="E562" s="7" t="s">
        <v>31</v>
      </c>
      <c r="F562" s="7" t="s">
        <v>32</v>
      </c>
      <c r="G562" s="7" t="s">
        <v>33</v>
      </c>
      <c r="H562" s="8">
        <v>954660000</v>
      </c>
      <c r="I562" s="10" t="s">
        <v>573</v>
      </c>
      <c r="J562" s="7" t="s">
        <v>574</v>
      </c>
      <c r="K562" s="10" t="s">
        <v>82</v>
      </c>
      <c r="L562" s="7" t="s">
        <v>83</v>
      </c>
      <c r="M562" s="7"/>
      <c r="N562" s="7">
        <f>VLOOKUP(J562,[1]Sheet1!$C:$D,2,FALSE)</f>
        <v>8874</v>
      </c>
      <c r="O562" s="7">
        <f>VLOOKUP(J562,[2]Desa!$A:$D,4,FALSE)</f>
        <v>113</v>
      </c>
      <c r="P562" s="7">
        <f>VLOOKUP(J562,[3]Sheet1!$D:$F,3,FALSE)</f>
        <v>76</v>
      </c>
      <c r="Q562" s="7"/>
      <c r="R562" s="7"/>
      <c r="S562" s="12">
        <v>-8.6391493493426701</v>
      </c>
      <c r="T562" s="12">
        <v>116.097097067818</v>
      </c>
      <c r="U562" s="7"/>
      <c r="V562" s="50">
        <f>Table13678[[#This Row],[PAGU SEMULA]]-Table13678[[#This Row],[PAGU ANGGARAN]]</f>
        <v>-954660000</v>
      </c>
      <c r="W562" s="50">
        <f>Table13678[[#This Row],[PAGU SEMULA]]-Table13678[[#This Row],[PAGU ANGGARAN]]</f>
        <v>-954660000</v>
      </c>
      <c r="X562" t="s">
        <v>984</v>
      </c>
    </row>
    <row r="563" spans="3:24" hidden="1">
      <c r="C563" s="7" t="s">
        <v>29</v>
      </c>
      <c r="D563" s="7" t="s">
        <v>30</v>
      </c>
      <c r="E563" s="7" t="s">
        <v>31</v>
      </c>
      <c r="F563" s="7" t="s">
        <v>32</v>
      </c>
      <c r="G563" s="7" t="s">
        <v>34</v>
      </c>
      <c r="H563" s="8">
        <v>76372800</v>
      </c>
      <c r="I563" s="10" t="s">
        <v>573</v>
      </c>
      <c r="J563" s="7" t="s">
        <v>574</v>
      </c>
      <c r="K563" s="10" t="s">
        <v>82</v>
      </c>
      <c r="L563" s="7" t="s">
        <v>83</v>
      </c>
      <c r="M563" s="7"/>
      <c r="N563" s="7">
        <f>VLOOKUP(J563,[1]Sheet1!$C:$D,2,FALSE)</f>
        <v>8874</v>
      </c>
      <c r="O563" s="7">
        <f>VLOOKUP(J563,[2]Desa!$A:$D,4,FALSE)</f>
        <v>113</v>
      </c>
      <c r="P563" s="7">
        <f>VLOOKUP(J563,[3]Sheet1!$D:$F,3,FALSE)</f>
        <v>76</v>
      </c>
      <c r="Q563" s="7"/>
      <c r="R563" s="7"/>
      <c r="S563" s="12">
        <v>-8.6391493493426701</v>
      </c>
      <c r="T563" s="12">
        <v>116.097097067818</v>
      </c>
      <c r="U563" s="7"/>
      <c r="V563" s="50">
        <f>Table13678[[#This Row],[PAGU SEMULA]]-Table13678[[#This Row],[PAGU ANGGARAN]]</f>
        <v>-76372800</v>
      </c>
      <c r="W563" s="50">
        <f>Table13678[[#This Row],[PAGU SEMULA]]-Table13678[[#This Row],[PAGU ANGGARAN]]</f>
        <v>-76372800</v>
      </c>
      <c r="X563" t="s">
        <v>984</v>
      </c>
    </row>
    <row r="564" spans="3:24" hidden="1">
      <c r="C564" s="7" t="s">
        <v>35</v>
      </c>
      <c r="D564" s="7" t="s">
        <v>36</v>
      </c>
      <c r="E564" s="7" t="s">
        <v>37</v>
      </c>
      <c r="F564" s="7" t="s">
        <v>38</v>
      </c>
      <c r="G564" s="7" t="s">
        <v>39</v>
      </c>
      <c r="H564" s="15">
        <v>75000000</v>
      </c>
      <c r="I564" s="10" t="s">
        <v>573</v>
      </c>
      <c r="J564" s="7" t="s">
        <v>574</v>
      </c>
      <c r="K564" s="10" t="s">
        <v>82</v>
      </c>
      <c r="L564" s="7" t="s">
        <v>83</v>
      </c>
      <c r="M564" s="7"/>
      <c r="N564" s="7">
        <f>VLOOKUP(J564,[1]Sheet1!$C:$D,2,FALSE)</f>
        <v>8874</v>
      </c>
      <c r="O564" s="7">
        <f>VLOOKUP(J564,[2]Desa!$A:$D,4,FALSE)</f>
        <v>113</v>
      </c>
      <c r="P564" s="7">
        <f>VLOOKUP(J564,[3]Sheet1!$D:$F,3,FALSE)</f>
        <v>76</v>
      </c>
      <c r="Q564" s="7"/>
      <c r="R564" s="7"/>
      <c r="S564" s="12">
        <v>-8.6391493493426701</v>
      </c>
      <c r="T564" s="12">
        <v>116.097097067818</v>
      </c>
      <c r="U564" s="7"/>
      <c r="V564" s="50">
        <f>Table13678[[#This Row],[PAGU SEMULA]]-Table13678[[#This Row],[PAGU ANGGARAN]]</f>
        <v>-75000000</v>
      </c>
      <c r="W564" s="50">
        <f>Table13678[[#This Row],[PAGU SEMULA]]-Table13678[[#This Row],[PAGU ANGGARAN]]</f>
        <v>-75000000</v>
      </c>
      <c r="X564" t="s">
        <v>984</v>
      </c>
    </row>
    <row r="565" spans="3:24" hidden="1">
      <c r="C565" s="7" t="s">
        <v>35</v>
      </c>
      <c r="D565" s="7" t="s">
        <v>65</v>
      </c>
      <c r="E565" s="7" t="s">
        <v>66</v>
      </c>
      <c r="F565" s="7" t="s">
        <v>160</v>
      </c>
      <c r="G565" s="7" t="s">
        <v>161</v>
      </c>
      <c r="H565" s="15">
        <v>5550000000</v>
      </c>
      <c r="I565" s="10" t="s">
        <v>573</v>
      </c>
      <c r="J565" s="7" t="s">
        <v>574</v>
      </c>
      <c r="K565" s="10" t="s">
        <v>82</v>
      </c>
      <c r="L565" s="7" t="s">
        <v>83</v>
      </c>
      <c r="M565" s="7"/>
      <c r="N565" s="7">
        <f>VLOOKUP(J565,[1]Sheet1!$C:$D,2,FALSE)</f>
        <v>8874</v>
      </c>
      <c r="O565" s="7">
        <f>VLOOKUP(J565,[2]Desa!$A:$D,4,FALSE)</f>
        <v>113</v>
      </c>
      <c r="P565" s="7">
        <f>VLOOKUP(J565,[3]Sheet1!$D:$F,3,FALSE)</f>
        <v>76</v>
      </c>
      <c r="Q565" s="7"/>
      <c r="R565" s="7"/>
      <c r="S565" s="12">
        <v>-8.6391493493426701</v>
      </c>
      <c r="T565" s="12">
        <v>116.097097067818</v>
      </c>
      <c r="U565" s="7"/>
      <c r="V565" s="50">
        <f>Table13678[[#This Row],[PAGU SEMULA]]-Table13678[[#This Row],[PAGU ANGGARAN]]</f>
        <v>-5550000000</v>
      </c>
      <c r="W565" s="50">
        <f>Table13678[[#This Row],[PAGU SEMULA]]-Table13678[[#This Row],[PAGU ANGGARAN]]</f>
        <v>-5550000000</v>
      </c>
      <c r="X565" t="s">
        <v>986</v>
      </c>
    </row>
    <row r="566" spans="3:24" hidden="1">
      <c r="C566" s="7" t="s">
        <v>68</v>
      </c>
      <c r="D566" s="7" t="s">
        <v>69</v>
      </c>
      <c r="E566" s="7" t="s">
        <v>70</v>
      </c>
      <c r="F566" s="7" t="s">
        <v>71</v>
      </c>
      <c r="G566" s="7" t="s">
        <v>575</v>
      </c>
      <c r="H566" s="8">
        <v>19800000</v>
      </c>
      <c r="I566" s="10" t="s">
        <v>573</v>
      </c>
      <c r="J566" s="7" t="s">
        <v>574</v>
      </c>
      <c r="K566" s="10" t="s">
        <v>82</v>
      </c>
      <c r="L566" s="7" t="s">
        <v>83</v>
      </c>
      <c r="M566" s="7"/>
      <c r="N566" s="7">
        <f>VLOOKUP(J566,[1]Sheet1!$C:$D,2,FALSE)</f>
        <v>8874</v>
      </c>
      <c r="O566" s="7">
        <f>VLOOKUP(J566,[2]Desa!$A:$D,4,FALSE)</f>
        <v>113</v>
      </c>
      <c r="P566" s="7">
        <f>VLOOKUP(J566,[3]Sheet1!$D:$F,3,FALSE)</f>
        <v>76</v>
      </c>
      <c r="Q566" s="7"/>
      <c r="R566" s="7"/>
      <c r="S566" s="12">
        <v>-8.6391493493426701</v>
      </c>
      <c r="T566" s="12">
        <v>116.097097067818</v>
      </c>
      <c r="U566" s="7"/>
      <c r="V566" s="50">
        <f>Table13678[[#This Row],[PAGU SEMULA]]-Table13678[[#This Row],[PAGU ANGGARAN]]</f>
        <v>-19800000</v>
      </c>
      <c r="W566" s="50">
        <f>Table13678[[#This Row],[PAGU SEMULA]]-Table13678[[#This Row],[PAGU ANGGARAN]]</f>
        <v>-19800000</v>
      </c>
      <c r="X566" t="s">
        <v>982</v>
      </c>
    </row>
    <row r="567" spans="3:24" hidden="1">
      <c r="C567" s="7" t="s">
        <v>68</v>
      </c>
      <c r="D567" s="7" t="s">
        <v>69</v>
      </c>
      <c r="E567" s="7" t="s">
        <v>70</v>
      </c>
      <c r="F567" s="7" t="s">
        <v>71</v>
      </c>
      <c r="G567" s="7" t="s">
        <v>576</v>
      </c>
      <c r="H567" s="8">
        <v>174162000</v>
      </c>
      <c r="I567" s="10" t="s">
        <v>573</v>
      </c>
      <c r="J567" s="7" t="s">
        <v>574</v>
      </c>
      <c r="K567" s="10" t="s">
        <v>82</v>
      </c>
      <c r="L567" s="7" t="s">
        <v>83</v>
      </c>
      <c r="M567" s="7"/>
      <c r="N567" s="7">
        <f>VLOOKUP(J567,[1]Sheet1!$C:$D,2,FALSE)</f>
        <v>8874</v>
      </c>
      <c r="O567" s="7">
        <f>VLOOKUP(J567,[2]Desa!$A:$D,4,FALSE)</f>
        <v>113</v>
      </c>
      <c r="P567" s="7">
        <f>VLOOKUP(J567,[3]Sheet1!$D:$F,3,FALSE)</f>
        <v>76</v>
      </c>
      <c r="Q567" s="7"/>
      <c r="R567" s="7"/>
      <c r="S567" s="12">
        <v>-8.6391493493426701</v>
      </c>
      <c r="T567" s="12">
        <v>116.097097067818</v>
      </c>
      <c r="U567" s="7"/>
      <c r="V567" s="50">
        <f>Table13678[[#This Row],[PAGU SEMULA]]-Table13678[[#This Row],[PAGU ANGGARAN]]</f>
        <v>-174162000</v>
      </c>
      <c r="W567" s="50">
        <f>Table13678[[#This Row],[PAGU SEMULA]]-Table13678[[#This Row],[PAGU ANGGARAN]]</f>
        <v>-174162000</v>
      </c>
      <c r="X567" t="s">
        <v>982</v>
      </c>
    </row>
    <row r="568" spans="3:24" hidden="1">
      <c r="C568" s="7" t="s">
        <v>46</v>
      </c>
      <c r="D568" s="7" t="s">
        <v>100</v>
      </c>
      <c r="E568" s="7" t="s">
        <v>101</v>
      </c>
      <c r="F568" s="7" t="s">
        <v>102</v>
      </c>
      <c r="G568" s="71" t="s">
        <v>577</v>
      </c>
      <c r="H568" s="8">
        <v>24970000</v>
      </c>
      <c r="I568" s="10" t="s">
        <v>573</v>
      </c>
      <c r="J568" s="7" t="s">
        <v>574</v>
      </c>
      <c r="K568" s="10" t="s">
        <v>82</v>
      </c>
      <c r="L568" s="7" t="s">
        <v>83</v>
      </c>
      <c r="M568" s="7"/>
      <c r="N568" s="7">
        <f>VLOOKUP(J568,[1]Sheet1!$C:$D,2,FALSE)</f>
        <v>8874</v>
      </c>
      <c r="O568" s="7">
        <f>VLOOKUP(J568,[2]Desa!$A:$D,4,FALSE)</f>
        <v>113</v>
      </c>
      <c r="P568" s="7">
        <f>VLOOKUP(J568,[3]Sheet1!$D:$F,3,FALSE)</f>
        <v>76</v>
      </c>
      <c r="Q568" s="7"/>
      <c r="R568" s="7"/>
      <c r="S568" s="12">
        <v>-8.6391493493426701</v>
      </c>
      <c r="T568" s="12">
        <v>116.097097067818</v>
      </c>
      <c r="U568" s="7"/>
      <c r="V568" s="50">
        <f>Table13678[[#This Row],[PAGU SEMULA]]-Table13678[[#This Row],[PAGU ANGGARAN]]</f>
        <v>-24970000</v>
      </c>
      <c r="W568" s="50">
        <f>Table13678[[#This Row],[PAGU SEMULA]]-Table13678[[#This Row],[PAGU ANGGARAN]]</f>
        <v>-24970000</v>
      </c>
      <c r="X568" t="s">
        <v>987</v>
      </c>
    </row>
    <row r="569" spans="3:24" hidden="1">
      <c r="C569" s="7" t="s">
        <v>46</v>
      </c>
      <c r="D569" s="7" t="s">
        <v>100</v>
      </c>
      <c r="E569" s="7" t="s">
        <v>101</v>
      </c>
      <c r="F569" s="7" t="s">
        <v>102</v>
      </c>
      <c r="G569" s="71" t="s">
        <v>578</v>
      </c>
      <c r="H569" s="8">
        <v>25010000</v>
      </c>
      <c r="I569" s="10" t="s">
        <v>573</v>
      </c>
      <c r="J569" s="7" t="s">
        <v>574</v>
      </c>
      <c r="K569" s="10" t="s">
        <v>82</v>
      </c>
      <c r="L569" s="7" t="s">
        <v>83</v>
      </c>
      <c r="M569" s="7"/>
      <c r="N569" s="7">
        <f>VLOOKUP(J569,[1]Sheet1!$C:$D,2,FALSE)</f>
        <v>8874</v>
      </c>
      <c r="O569" s="7">
        <f>VLOOKUP(J569,[2]Desa!$A:$D,4,FALSE)</f>
        <v>113</v>
      </c>
      <c r="P569" s="7">
        <f>VLOOKUP(J569,[3]Sheet1!$D:$F,3,FALSE)</f>
        <v>76</v>
      </c>
      <c r="Q569" s="7"/>
      <c r="R569" s="7"/>
      <c r="S569" s="12">
        <v>-8.6391493493426701</v>
      </c>
      <c r="T569" s="12">
        <v>116.097097067818</v>
      </c>
      <c r="U569" s="7"/>
      <c r="V569" s="50">
        <f>Table13678[[#This Row],[PAGU SEMULA]]-Table13678[[#This Row],[PAGU ANGGARAN]]</f>
        <v>-25010000</v>
      </c>
      <c r="W569" s="50">
        <f>Table13678[[#This Row],[PAGU SEMULA]]-Table13678[[#This Row],[PAGU ANGGARAN]]</f>
        <v>-25010000</v>
      </c>
      <c r="X569" t="s">
        <v>987</v>
      </c>
    </row>
    <row r="570" spans="3:24" hidden="1">
      <c r="C570" s="7" t="s">
        <v>46</v>
      </c>
      <c r="D570" s="7" t="s">
        <v>100</v>
      </c>
      <c r="E570" s="7" t="s">
        <v>101</v>
      </c>
      <c r="F570" s="7" t="s">
        <v>102</v>
      </c>
      <c r="G570" s="71" t="s">
        <v>579</v>
      </c>
      <c r="H570" s="8">
        <v>200000000</v>
      </c>
      <c r="I570" s="10" t="s">
        <v>573</v>
      </c>
      <c r="J570" s="7" t="s">
        <v>574</v>
      </c>
      <c r="K570" s="10" t="s">
        <v>82</v>
      </c>
      <c r="L570" s="7" t="s">
        <v>83</v>
      </c>
      <c r="M570" s="7"/>
      <c r="N570" s="7">
        <f>VLOOKUP(J570,[1]Sheet1!$C:$D,2,FALSE)</f>
        <v>8874</v>
      </c>
      <c r="O570" s="7">
        <f>VLOOKUP(J570,[2]Desa!$A:$D,4,FALSE)</f>
        <v>113</v>
      </c>
      <c r="P570" s="7">
        <f>VLOOKUP(J570,[3]Sheet1!$D:$F,3,FALSE)</f>
        <v>76</v>
      </c>
      <c r="Q570" s="7"/>
      <c r="R570" s="7"/>
      <c r="S570" s="12">
        <v>-8.6391493493426701</v>
      </c>
      <c r="T570" s="12">
        <v>116.097097067818</v>
      </c>
      <c r="U570" s="7"/>
      <c r="V570" s="50">
        <f>Table13678[[#This Row],[PAGU SEMULA]]-Table13678[[#This Row],[PAGU ANGGARAN]]</f>
        <v>-200000000</v>
      </c>
      <c r="W570" s="50">
        <f>Table13678[[#This Row],[PAGU SEMULA]]-Table13678[[#This Row],[PAGU ANGGARAN]]</f>
        <v>-200000000</v>
      </c>
      <c r="X570" t="s">
        <v>987</v>
      </c>
    </row>
    <row r="571" spans="3:24" hidden="1">
      <c r="C571" s="7" t="s">
        <v>51</v>
      </c>
      <c r="D571" s="7" t="s">
        <v>52</v>
      </c>
      <c r="E571" s="7" t="s">
        <v>53</v>
      </c>
      <c r="F571" s="7" t="s">
        <v>54</v>
      </c>
      <c r="G571" s="7" t="s">
        <v>73</v>
      </c>
      <c r="H571" s="8">
        <v>189090000</v>
      </c>
      <c r="I571" s="10" t="s">
        <v>573</v>
      </c>
      <c r="J571" s="7" t="s">
        <v>574</v>
      </c>
      <c r="K571" s="10" t="s">
        <v>82</v>
      </c>
      <c r="L571" s="7" t="s">
        <v>83</v>
      </c>
      <c r="M571" s="7"/>
      <c r="N571" s="7">
        <f>VLOOKUP(J571,[1]Sheet1!$C:$D,2,FALSE)</f>
        <v>8874</v>
      </c>
      <c r="O571" s="7">
        <f>VLOOKUP(J571,[2]Desa!$A:$D,4,FALSE)</f>
        <v>113</v>
      </c>
      <c r="P571" s="7">
        <f>VLOOKUP(J571,[3]Sheet1!$D:$F,3,FALSE)</f>
        <v>76</v>
      </c>
      <c r="Q571" s="7"/>
      <c r="R571" s="7"/>
      <c r="S571" s="12">
        <v>-8.6391493493426701</v>
      </c>
      <c r="T571" s="12">
        <v>116.097097067818</v>
      </c>
      <c r="U571" s="7"/>
      <c r="V571" s="50">
        <f>Table13678[[#This Row],[PAGU SEMULA]]-Table13678[[#This Row],[PAGU ANGGARAN]]</f>
        <v>-189090000</v>
      </c>
      <c r="W571" s="50">
        <f>Table13678[[#This Row],[PAGU SEMULA]]-Table13678[[#This Row],[PAGU ANGGARAN]]</f>
        <v>-189090000</v>
      </c>
      <c r="X571" t="s">
        <v>986</v>
      </c>
    </row>
    <row r="572" spans="3:24" hidden="1">
      <c r="C572" s="7" t="s">
        <v>74</v>
      </c>
      <c r="D572" s="7" t="s">
        <v>75</v>
      </c>
      <c r="E572" s="7" t="s">
        <v>76</v>
      </c>
      <c r="F572" s="7" t="s">
        <v>77</v>
      </c>
      <c r="G572" s="7" t="s">
        <v>580</v>
      </c>
      <c r="H572" s="8">
        <v>38000000</v>
      </c>
      <c r="I572" s="10" t="s">
        <v>573</v>
      </c>
      <c r="J572" s="7" t="s">
        <v>574</v>
      </c>
      <c r="K572" s="10" t="s">
        <v>82</v>
      </c>
      <c r="L572" s="7" t="s">
        <v>83</v>
      </c>
      <c r="M572" s="7"/>
      <c r="N572" s="7">
        <f>VLOOKUP(J572,[1]Sheet1!$C:$D,2,FALSE)</f>
        <v>8874</v>
      </c>
      <c r="O572" s="7">
        <f>VLOOKUP(J572,[2]Desa!$A:$D,4,FALSE)</f>
        <v>113</v>
      </c>
      <c r="P572" s="7">
        <f>VLOOKUP(J572,[3]Sheet1!$D:$F,3,FALSE)</f>
        <v>76</v>
      </c>
      <c r="Q572" s="7"/>
      <c r="R572" s="7"/>
      <c r="S572" s="12">
        <v>-8.6391493493426701</v>
      </c>
      <c r="T572" s="12">
        <v>116.097097067818</v>
      </c>
      <c r="U572" s="7"/>
      <c r="V572" s="50">
        <f>Table13678[[#This Row],[PAGU SEMULA]]-Table13678[[#This Row],[PAGU ANGGARAN]]</f>
        <v>-38000000</v>
      </c>
      <c r="W572" s="50">
        <f>Table13678[[#This Row],[PAGU SEMULA]]-Table13678[[#This Row],[PAGU ANGGARAN]]</f>
        <v>-38000000</v>
      </c>
      <c r="X572" t="s">
        <v>982</v>
      </c>
    </row>
    <row r="573" spans="3:24" hidden="1">
      <c r="C573" s="7" t="s">
        <v>20</v>
      </c>
      <c r="D573" s="7" t="s">
        <v>104</v>
      </c>
      <c r="E573" s="7" t="s">
        <v>105</v>
      </c>
      <c r="F573" s="7" t="s">
        <v>240</v>
      </c>
      <c r="G573" s="71" t="s">
        <v>581</v>
      </c>
      <c r="H573" s="15">
        <v>38500000</v>
      </c>
      <c r="I573" s="10" t="s">
        <v>582</v>
      </c>
      <c r="J573" s="7" t="s">
        <v>583</v>
      </c>
      <c r="K573" s="10" t="s">
        <v>27</v>
      </c>
      <c r="L573" s="7" t="s">
        <v>28</v>
      </c>
      <c r="M573" s="7"/>
      <c r="N573" s="7">
        <f>VLOOKUP(J573,[1]Sheet1!$C:$D,2,FALSE)</f>
        <v>7271</v>
      </c>
      <c r="O573" s="7">
        <f>VLOOKUP(J573,[2]Desa!$A:$D,4,FALSE)</f>
        <v>305</v>
      </c>
      <c r="P573" s="7">
        <f>VLOOKUP(J573,[3]Sheet1!$D:$F,3,FALSE)</f>
        <v>43</v>
      </c>
      <c r="Q573" s="7"/>
      <c r="R573" s="7"/>
      <c r="S573" s="12">
        <v>-8.6860856642101592</v>
      </c>
      <c r="T573" s="12">
        <v>116.094862094909</v>
      </c>
      <c r="U573" s="7"/>
      <c r="V573" s="50">
        <f>Table13678[[#This Row],[PAGU SEMULA]]-Table13678[[#This Row],[PAGU ANGGARAN]]</f>
        <v>-38500000</v>
      </c>
      <c r="W573" s="50">
        <f>Table13678[[#This Row],[PAGU SEMULA]]-Table13678[[#This Row],[PAGU ANGGARAN]]</f>
        <v>-38500000</v>
      </c>
      <c r="X573" t="s">
        <v>984</v>
      </c>
    </row>
    <row r="574" spans="3:24" hidden="1">
      <c r="C574" s="7" t="s">
        <v>20</v>
      </c>
      <c r="D574" s="7" t="s">
        <v>104</v>
      </c>
      <c r="E574" s="7" t="s">
        <v>145</v>
      </c>
      <c r="F574" s="7" t="s">
        <v>243</v>
      </c>
      <c r="G574" s="71" t="s">
        <v>584</v>
      </c>
      <c r="H574" s="15">
        <v>217650000</v>
      </c>
      <c r="I574" s="10" t="s">
        <v>582</v>
      </c>
      <c r="J574" s="7" t="s">
        <v>583</v>
      </c>
      <c r="K574" s="10" t="s">
        <v>27</v>
      </c>
      <c r="L574" s="7" t="s">
        <v>28</v>
      </c>
      <c r="M574" s="7"/>
      <c r="N574" s="7">
        <f>VLOOKUP(J574,[1]Sheet1!$C:$D,2,FALSE)</f>
        <v>7271</v>
      </c>
      <c r="O574" s="7">
        <f>VLOOKUP(J574,[2]Desa!$A:$D,4,FALSE)</f>
        <v>305</v>
      </c>
      <c r="P574" s="7">
        <f>VLOOKUP(J574,[3]Sheet1!$D:$F,3,FALSE)</f>
        <v>43</v>
      </c>
      <c r="Q574" s="7"/>
      <c r="R574" s="7"/>
      <c r="S574" s="12">
        <v>-8.6860856642101592</v>
      </c>
      <c r="T574" s="12">
        <v>116.094862094909</v>
      </c>
      <c r="U574" s="7"/>
      <c r="V574" s="50">
        <f>Table13678[[#This Row],[PAGU SEMULA]]-Table13678[[#This Row],[PAGU ANGGARAN]]</f>
        <v>-217650000</v>
      </c>
      <c r="W574" s="50">
        <f>Table13678[[#This Row],[PAGU SEMULA]]-Table13678[[#This Row],[PAGU ANGGARAN]]</f>
        <v>-217650000</v>
      </c>
      <c r="X574" t="s">
        <v>984</v>
      </c>
    </row>
    <row r="575" spans="3:24" hidden="1">
      <c r="C575" s="7" t="s">
        <v>29</v>
      </c>
      <c r="D575" s="7" t="s">
        <v>30</v>
      </c>
      <c r="E575" s="7" t="s">
        <v>31</v>
      </c>
      <c r="F575" s="7" t="s">
        <v>32</v>
      </c>
      <c r="G575" s="7" t="s">
        <v>33</v>
      </c>
      <c r="H575" s="8">
        <v>387240000</v>
      </c>
      <c r="I575" s="10" t="s">
        <v>582</v>
      </c>
      <c r="J575" s="7" t="s">
        <v>583</v>
      </c>
      <c r="K575" s="10" t="s">
        <v>27</v>
      </c>
      <c r="L575" s="7" t="s">
        <v>28</v>
      </c>
      <c r="M575" s="7"/>
      <c r="N575" s="7">
        <f>VLOOKUP(J575,[1]Sheet1!$C:$D,2,FALSE)</f>
        <v>7271</v>
      </c>
      <c r="O575" s="7">
        <f>VLOOKUP(J575,[2]Desa!$A:$D,4,FALSE)</f>
        <v>305</v>
      </c>
      <c r="P575" s="7">
        <f>VLOOKUP(J575,[3]Sheet1!$D:$F,3,FALSE)</f>
        <v>43</v>
      </c>
      <c r="Q575" s="7"/>
      <c r="R575" s="7"/>
      <c r="S575" s="12">
        <v>-8.6860856642101592</v>
      </c>
      <c r="T575" s="12">
        <v>116.094862094909</v>
      </c>
      <c r="U575" s="7"/>
      <c r="V575" s="50">
        <f>Table13678[[#This Row],[PAGU SEMULA]]-Table13678[[#This Row],[PAGU ANGGARAN]]</f>
        <v>-387240000</v>
      </c>
      <c r="W575" s="50">
        <f>Table13678[[#This Row],[PAGU SEMULA]]-Table13678[[#This Row],[PAGU ANGGARAN]]</f>
        <v>-387240000</v>
      </c>
      <c r="X575" t="s">
        <v>984</v>
      </c>
    </row>
    <row r="576" spans="3:24" hidden="1">
      <c r="C576" s="7" t="s">
        <v>29</v>
      </c>
      <c r="D576" s="7" t="s">
        <v>30</v>
      </c>
      <c r="E576" s="7" t="s">
        <v>31</v>
      </c>
      <c r="F576" s="7" t="s">
        <v>32</v>
      </c>
      <c r="G576" s="7" t="s">
        <v>34</v>
      </c>
      <c r="H576" s="8">
        <v>30979200</v>
      </c>
      <c r="I576" s="10" t="s">
        <v>582</v>
      </c>
      <c r="J576" s="7" t="s">
        <v>583</v>
      </c>
      <c r="K576" s="10" t="s">
        <v>27</v>
      </c>
      <c r="L576" s="7" t="s">
        <v>28</v>
      </c>
      <c r="M576" s="7"/>
      <c r="N576" s="7">
        <f>VLOOKUP(J576,[1]Sheet1!$C:$D,2,FALSE)</f>
        <v>7271</v>
      </c>
      <c r="O576" s="7">
        <f>VLOOKUP(J576,[2]Desa!$A:$D,4,FALSE)</f>
        <v>305</v>
      </c>
      <c r="P576" s="7">
        <f>VLOOKUP(J576,[3]Sheet1!$D:$F,3,FALSE)</f>
        <v>43</v>
      </c>
      <c r="Q576" s="7"/>
      <c r="R576" s="7"/>
      <c r="S576" s="12">
        <v>-8.6860856642101592</v>
      </c>
      <c r="T576" s="12">
        <v>116.094862094909</v>
      </c>
      <c r="U576" s="7"/>
      <c r="V576" s="50">
        <f>Table13678[[#This Row],[PAGU SEMULA]]-Table13678[[#This Row],[PAGU ANGGARAN]]</f>
        <v>-30979200</v>
      </c>
      <c r="W576" s="50">
        <f>Table13678[[#This Row],[PAGU SEMULA]]-Table13678[[#This Row],[PAGU ANGGARAN]]</f>
        <v>-30979200</v>
      </c>
      <c r="X576" t="s">
        <v>984</v>
      </c>
    </row>
    <row r="577" spans="3:24" hidden="1">
      <c r="C577" s="7" t="s">
        <v>35</v>
      </c>
      <c r="D577" s="7" t="s">
        <v>36</v>
      </c>
      <c r="E577" s="7" t="s">
        <v>37</v>
      </c>
      <c r="F577" s="7" t="s">
        <v>38</v>
      </c>
      <c r="G577" s="7" t="s">
        <v>39</v>
      </c>
      <c r="H577" s="15">
        <v>75000000</v>
      </c>
      <c r="I577" s="10" t="s">
        <v>582</v>
      </c>
      <c r="J577" s="7" t="s">
        <v>583</v>
      </c>
      <c r="K577" s="10" t="s">
        <v>27</v>
      </c>
      <c r="L577" s="7" t="s">
        <v>28</v>
      </c>
      <c r="M577" s="7"/>
      <c r="N577" s="7">
        <f>VLOOKUP(J577,[1]Sheet1!$C:$D,2,FALSE)</f>
        <v>7271</v>
      </c>
      <c r="O577" s="7">
        <f>VLOOKUP(J577,[2]Desa!$A:$D,4,FALSE)</f>
        <v>305</v>
      </c>
      <c r="P577" s="7">
        <f>VLOOKUP(J577,[3]Sheet1!$D:$F,3,FALSE)</f>
        <v>43</v>
      </c>
      <c r="Q577" s="7"/>
      <c r="R577" s="7"/>
      <c r="S577" s="12">
        <v>-8.6860856642101592</v>
      </c>
      <c r="T577" s="12">
        <v>116.094862094909</v>
      </c>
      <c r="U577" s="7"/>
      <c r="V577" s="50">
        <f>Table13678[[#This Row],[PAGU SEMULA]]-Table13678[[#This Row],[PAGU ANGGARAN]]</f>
        <v>-75000000</v>
      </c>
      <c r="W577" s="50">
        <f>Table13678[[#This Row],[PAGU SEMULA]]-Table13678[[#This Row],[PAGU ANGGARAN]]</f>
        <v>-75000000</v>
      </c>
      <c r="X577" t="s">
        <v>984</v>
      </c>
    </row>
    <row r="578" spans="3:24" hidden="1">
      <c r="C578" s="7" t="s">
        <v>35</v>
      </c>
      <c r="D578" s="7" t="s">
        <v>65</v>
      </c>
      <c r="E578" s="7" t="s">
        <v>66</v>
      </c>
      <c r="F578" s="7" t="s">
        <v>322</v>
      </c>
      <c r="G578" s="7" t="s">
        <v>322</v>
      </c>
      <c r="H578" s="15">
        <v>85377500</v>
      </c>
      <c r="I578" s="10" t="s">
        <v>582</v>
      </c>
      <c r="J578" s="7" t="s">
        <v>583</v>
      </c>
      <c r="K578" s="10" t="s">
        <v>27</v>
      </c>
      <c r="L578" s="7" t="s">
        <v>28</v>
      </c>
      <c r="M578" s="7"/>
      <c r="N578" s="7">
        <f>VLOOKUP(J578,[1]Sheet1!$C:$D,2,FALSE)</f>
        <v>7271</v>
      </c>
      <c r="O578" s="7">
        <f>VLOOKUP(J578,[2]Desa!$A:$D,4,FALSE)</f>
        <v>305</v>
      </c>
      <c r="P578" s="7">
        <f>VLOOKUP(J578,[3]Sheet1!$D:$F,3,FALSE)</f>
        <v>43</v>
      </c>
      <c r="Q578" s="7"/>
      <c r="R578" s="7"/>
      <c r="S578" s="12">
        <v>-8.6860856642101592</v>
      </c>
      <c r="T578" s="12">
        <v>116.094862094909</v>
      </c>
      <c r="U578" s="7"/>
      <c r="V578" s="50">
        <f>Table13678[[#This Row],[PAGU SEMULA]]-Table13678[[#This Row],[PAGU ANGGARAN]]</f>
        <v>-85377500</v>
      </c>
      <c r="W578" s="50">
        <f>Table13678[[#This Row],[PAGU SEMULA]]-Table13678[[#This Row],[PAGU ANGGARAN]]</f>
        <v>-85377500</v>
      </c>
      <c r="X578" t="s">
        <v>986</v>
      </c>
    </row>
    <row r="579" spans="3:24" hidden="1">
      <c r="C579" s="7" t="s">
        <v>51</v>
      </c>
      <c r="D579" s="7" t="s">
        <v>52</v>
      </c>
      <c r="E579" s="7" t="s">
        <v>53</v>
      </c>
      <c r="F579" s="7" t="s">
        <v>54</v>
      </c>
      <c r="G579" s="7" t="s">
        <v>55</v>
      </c>
      <c r="H579" s="8">
        <v>189090000</v>
      </c>
      <c r="I579" s="10" t="s">
        <v>582</v>
      </c>
      <c r="J579" s="7" t="s">
        <v>583</v>
      </c>
      <c r="K579" s="10" t="s">
        <v>27</v>
      </c>
      <c r="L579" s="7" t="s">
        <v>28</v>
      </c>
      <c r="M579" s="7"/>
      <c r="N579" s="7">
        <f>VLOOKUP(J579,[1]Sheet1!$C:$D,2,FALSE)</f>
        <v>7271</v>
      </c>
      <c r="O579" s="7">
        <f>VLOOKUP(J579,[2]Desa!$A:$D,4,FALSE)</f>
        <v>305</v>
      </c>
      <c r="P579" s="7">
        <f>VLOOKUP(J579,[3]Sheet1!$D:$F,3,FALSE)</f>
        <v>43</v>
      </c>
      <c r="Q579" s="7"/>
      <c r="R579" s="7"/>
      <c r="S579" s="12">
        <v>-8.6860856642101592</v>
      </c>
      <c r="T579" s="12">
        <v>116.094862094909</v>
      </c>
      <c r="U579" s="7"/>
      <c r="V579" s="50">
        <f>Table13678[[#This Row],[PAGU SEMULA]]-Table13678[[#This Row],[PAGU ANGGARAN]]</f>
        <v>-189090000</v>
      </c>
      <c r="W579" s="50">
        <f>Table13678[[#This Row],[PAGU SEMULA]]-Table13678[[#This Row],[PAGU ANGGARAN]]</f>
        <v>-189090000</v>
      </c>
      <c r="X579" t="s">
        <v>986</v>
      </c>
    </row>
    <row r="580" spans="3:24" hidden="1">
      <c r="C580" s="7" t="s">
        <v>20</v>
      </c>
      <c r="D580" s="7" t="s">
        <v>104</v>
      </c>
      <c r="E580" s="7" t="s">
        <v>105</v>
      </c>
      <c r="F580" s="7" t="s">
        <v>138</v>
      </c>
      <c r="G580" s="71" t="s">
        <v>585</v>
      </c>
      <c r="H580" s="15">
        <v>65587000</v>
      </c>
      <c r="I580" s="10" t="s">
        <v>586</v>
      </c>
      <c r="J580" s="7" t="s">
        <v>587</v>
      </c>
      <c r="K580" s="10" t="s">
        <v>196</v>
      </c>
      <c r="L580" s="7" t="s">
        <v>197</v>
      </c>
      <c r="M580" s="7"/>
      <c r="N580" s="7">
        <f>VLOOKUP(J580,[1]Sheet1!$C:$D,2,FALSE)</f>
        <v>6613</v>
      </c>
      <c r="O580" s="7">
        <f>VLOOKUP(J580,[2]Desa!$A:$D,4,FALSE)</f>
        <v>428</v>
      </c>
      <c r="P580" s="7">
        <f>VLOOKUP(J580,[3]Sheet1!$D:$F,3,FALSE)</f>
        <v>43</v>
      </c>
      <c r="Q580" s="7"/>
      <c r="R580" s="7"/>
      <c r="S580" s="12">
        <v>-8.7661887159363197</v>
      </c>
      <c r="T580" s="12">
        <v>116.002761935509</v>
      </c>
      <c r="U580" s="7"/>
      <c r="V580" s="50">
        <f>Table13678[[#This Row],[PAGU SEMULA]]-Table13678[[#This Row],[PAGU ANGGARAN]]</f>
        <v>-65587000</v>
      </c>
      <c r="W580" s="50">
        <f>Table13678[[#This Row],[PAGU SEMULA]]-Table13678[[#This Row],[PAGU ANGGARAN]]</f>
        <v>-65587000</v>
      </c>
      <c r="X580" t="s">
        <v>984</v>
      </c>
    </row>
    <row r="581" spans="3:24" hidden="1">
      <c r="C581" s="7" t="s">
        <v>20</v>
      </c>
      <c r="D581" s="7" t="s">
        <v>104</v>
      </c>
      <c r="E581" s="7" t="s">
        <v>105</v>
      </c>
      <c r="F581" s="7" t="s">
        <v>169</v>
      </c>
      <c r="G581" s="71" t="s">
        <v>588</v>
      </c>
      <c r="H581" s="19">
        <v>221919000</v>
      </c>
      <c r="I581" s="10" t="s">
        <v>586</v>
      </c>
      <c r="J581" s="7" t="s">
        <v>587</v>
      </c>
      <c r="K581" s="10" t="s">
        <v>196</v>
      </c>
      <c r="L581" s="7" t="s">
        <v>197</v>
      </c>
      <c r="M581" s="7"/>
      <c r="N581" s="7">
        <f>VLOOKUP(J581,[1]Sheet1!$C:$D,2,FALSE)</f>
        <v>6613</v>
      </c>
      <c r="O581" s="7">
        <f>VLOOKUP(J581,[2]Desa!$A:$D,4,FALSE)</f>
        <v>428</v>
      </c>
      <c r="P581" s="7">
        <f>VLOOKUP(J581,[3]Sheet1!$D:$F,3,FALSE)</f>
        <v>43</v>
      </c>
      <c r="Q581" s="7"/>
      <c r="R581" s="7"/>
      <c r="S581" s="12">
        <v>-8.7661887159363197</v>
      </c>
      <c r="T581" s="12">
        <v>116.002761935509</v>
      </c>
      <c r="U581" s="7"/>
      <c r="V581" s="50">
        <f>Table13678[[#This Row],[PAGU SEMULA]]-Table13678[[#This Row],[PAGU ANGGARAN]]</f>
        <v>-221919000</v>
      </c>
      <c r="W581" s="50">
        <f>Table13678[[#This Row],[PAGU SEMULA]]-Table13678[[#This Row],[PAGU ANGGARAN]]</f>
        <v>-221919000</v>
      </c>
      <c r="X581" t="s">
        <v>984</v>
      </c>
    </row>
    <row r="582" spans="3:24" hidden="1">
      <c r="C582" s="7" t="s">
        <v>29</v>
      </c>
      <c r="D582" s="7" t="s">
        <v>30</v>
      </c>
      <c r="E582" s="7" t="s">
        <v>31</v>
      </c>
      <c r="F582" s="7" t="s">
        <v>32</v>
      </c>
      <c r="G582" s="7" t="s">
        <v>33</v>
      </c>
      <c r="H582" s="8">
        <v>496860000</v>
      </c>
      <c r="I582" s="10" t="s">
        <v>586</v>
      </c>
      <c r="J582" s="7" t="s">
        <v>587</v>
      </c>
      <c r="K582" s="10" t="s">
        <v>196</v>
      </c>
      <c r="L582" s="7" t="s">
        <v>197</v>
      </c>
      <c r="M582" s="7"/>
      <c r="N582" s="7">
        <f>VLOOKUP(J582,[1]Sheet1!$C:$D,2,FALSE)</f>
        <v>6613</v>
      </c>
      <c r="O582" s="7">
        <f>VLOOKUP(J582,[2]Desa!$A:$D,4,FALSE)</f>
        <v>428</v>
      </c>
      <c r="P582" s="7">
        <f>VLOOKUP(J582,[3]Sheet1!$D:$F,3,FALSE)</f>
        <v>43</v>
      </c>
      <c r="Q582" s="7"/>
      <c r="R582" s="7"/>
      <c r="S582" s="12">
        <v>-8.7661887159363197</v>
      </c>
      <c r="T582" s="12">
        <v>116.002761935509</v>
      </c>
      <c r="U582" s="7"/>
      <c r="V582" s="50">
        <f>Table13678[[#This Row],[PAGU SEMULA]]-Table13678[[#This Row],[PAGU ANGGARAN]]</f>
        <v>-496860000</v>
      </c>
      <c r="W582" s="50">
        <f>Table13678[[#This Row],[PAGU SEMULA]]-Table13678[[#This Row],[PAGU ANGGARAN]]</f>
        <v>-496860000</v>
      </c>
      <c r="X582" t="s">
        <v>984</v>
      </c>
    </row>
    <row r="583" spans="3:24" hidden="1">
      <c r="C583" s="7" t="s">
        <v>29</v>
      </c>
      <c r="D583" s="7" t="s">
        <v>30</v>
      </c>
      <c r="E583" s="7" t="s">
        <v>31</v>
      </c>
      <c r="F583" s="7" t="s">
        <v>32</v>
      </c>
      <c r="G583" s="7" t="s">
        <v>34</v>
      </c>
      <c r="H583" s="8">
        <v>39748800</v>
      </c>
      <c r="I583" s="10" t="s">
        <v>586</v>
      </c>
      <c r="J583" s="7" t="s">
        <v>587</v>
      </c>
      <c r="K583" s="10" t="s">
        <v>196</v>
      </c>
      <c r="L583" s="7" t="s">
        <v>197</v>
      </c>
      <c r="M583" s="7"/>
      <c r="N583" s="7">
        <f>VLOOKUP(J583,[1]Sheet1!$C:$D,2,FALSE)</f>
        <v>6613</v>
      </c>
      <c r="O583" s="7">
        <f>VLOOKUP(J583,[2]Desa!$A:$D,4,FALSE)</f>
        <v>428</v>
      </c>
      <c r="P583" s="7">
        <f>VLOOKUP(J583,[3]Sheet1!$D:$F,3,FALSE)</f>
        <v>43</v>
      </c>
      <c r="Q583" s="7"/>
      <c r="R583" s="7"/>
      <c r="S583" s="12">
        <v>-8.7661887159363197</v>
      </c>
      <c r="T583" s="12">
        <v>116.002761935509</v>
      </c>
      <c r="U583" s="7"/>
      <c r="V583" s="50">
        <f>Table13678[[#This Row],[PAGU SEMULA]]-Table13678[[#This Row],[PAGU ANGGARAN]]</f>
        <v>-39748800</v>
      </c>
      <c r="W583" s="50">
        <f>Table13678[[#This Row],[PAGU SEMULA]]-Table13678[[#This Row],[PAGU ANGGARAN]]</f>
        <v>-39748800</v>
      </c>
      <c r="X583" t="s">
        <v>984</v>
      </c>
    </row>
    <row r="584" spans="3:24" hidden="1">
      <c r="C584" s="7" t="s">
        <v>84</v>
      </c>
      <c r="D584" s="7" t="s">
        <v>89</v>
      </c>
      <c r="E584" s="7" t="s">
        <v>90</v>
      </c>
      <c r="F584" s="7" t="s">
        <v>272</v>
      </c>
      <c r="G584" s="7" t="s">
        <v>589</v>
      </c>
      <c r="H584" s="8">
        <v>0</v>
      </c>
      <c r="I584" s="10" t="s">
        <v>586</v>
      </c>
      <c r="J584" s="7" t="s">
        <v>587</v>
      </c>
      <c r="K584" s="10" t="s">
        <v>196</v>
      </c>
      <c r="L584" s="7" t="s">
        <v>197</v>
      </c>
      <c r="M584" s="7"/>
      <c r="N584" s="7">
        <f>VLOOKUP(J584,[1]Sheet1!$C:$D,2,FALSE)</f>
        <v>6613</v>
      </c>
      <c r="O584" s="7">
        <f>VLOOKUP(J584,[2]Desa!$A:$D,4,FALSE)</f>
        <v>428</v>
      </c>
      <c r="P584" s="7">
        <f>VLOOKUP(J584,[3]Sheet1!$D:$F,3,FALSE)</f>
        <v>43</v>
      </c>
      <c r="Q584" s="7"/>
      <c r="R584" s="7"/>
      <c r="S584" s="12">
        <v>-8.7661887159363197</v>
      </c>
      <c r="T584" s="12">
        <v>116.002761935509</v>
      </c>
      <c r="U584" s="7"/>
      <c r="V584" s="50">
        <f>Table13678[[#This Row],[PAGU SEMULA]]-Table13678[[#This Row],[PAGU ANGGARAN]]</f>
        <v>0</v>
      </c>
      <c r="W584" s="50">
        <f>Table13678[[#This Row],[PAGU SEMULA]]-Table13678[[#This Row],[PAGU ANGGARAN]]</f>
        <v>0</v>
      </c>
      <c r="X584" t="s">
        <v>982</v>
      </c>
    </row>
    <row r="585" spans="3:24" hidden="1">
      <c r="C585" s="7" t="s">
        <v>35</v>
      </c>
      <c r="D585" s="7" t="s">
        <v>36</v>
      </c>
      <c r="E585" s="7" t="s">
        <v>37</v>
      </c>
      <c r="F585" s="7" t="s">
        <v>38</v>
      </c>
      <c r="G585" s="7" t="s">
        <v>39</v>
      </c>
      <c r="H585" s="15">
        <v>105000000</v>
      </c>
      <c r="I585" s="10" t="s">
        <v>586</v>
      </c>
      <c r="J585" s="7" t="s">
        <v>587</v>
      </c>
      <c r="K585" s="10" t="s">
        <v>196</v>
      </c>
      <c r="L585" s="7" t="s">
        <v>197</v>
      </c>
      <c r="M585" s="7"/>
      <c r="N585" s="7">
        <f>VLOOKUP(J585,[1]Sheet1!$C:$D,2,FALSE)</f>
        <v>6613</v>
      </c>
      <c r="O585" s="7">
        <f>VLOOKUP(J585,[2]Desa!$A:$D,4,FALSE)</f>
        <v>428</v>
      </c>
      <c r="P585" s="7">
        <f>VLOOKUP(J585,[3]Sheet1!$D:$F,3,FALSE)</f>
        <v>43</v>
      </c>
      <c r="Q585" s="7"/>
      <c r="R585" s="7"/>
      <c r="S585" s="12">
        <v>-8.7661887159363197</v>
      </c>
      <c r="T585" s="12">
        <v>116.002761935509</v>
      </c>
      <c r="U585" s="7"/>
      <c r="V585" s="50">
        <f>Table13678[[#This Row],[PAGU SEMULA]]-Table13678[[#This Row],[PAGU ANGGARAN]]</f>
        <v>-105000000</v>
      </c>
      <c r="W585" s="50">
        <f>Table13678[[#This Row],[PAGU SEMULA]]-Table13678[[#This Row],[PAGU ANGGARAN]]</f>
        <v>-105000000</v>
      </c>
      <c r="X585" t="s">
        <v>984</v>
      </c>
    </row>
    <row r="586" spans="3:24" hidden="1">
      <c r="C586" s="7" t="s">
        <v>20</v>
      </c>
      <c r="D586" s="7" t="s">
        <v>104</v>
      </c>
      <c r="E586" s="7" t="s">
        <v>105</v>
      </c>
      <c r="F586" s="7" t="s">
        <v>126</v>
      </c>
      <c r="G586" s="71" t="s">
        <v>590</v>
      </c>
      <c r="H586" s="19">
        <v>410150000</v>
      </c>
      <c r="I586" s="10" t="s">
        <v>591</v>
      </c>
      <c r="J586" s="7" t="s">
        <v>143</v>
      </c>
      <c r="K586" s="10" t="s">
        <v>142</v>
      </c>
      <c r="L586" s="7" t="s">
        <v>143</v>
      </c>
      <c r="M586" s="7"/>
      <c r="N586" s="7">
        <f>VLOOKUP(J586,[1]Sheet1!$C:$D,2,FALSE)</f>
        <v>10575</v>
      </c>
      <c r="O586" s="7">
        <f>VLOOKUP(J586,[2]Desa!$A:$D,4,FALSE)</f>
        <v>209</v>
      </c>
      <c r="P586" s="7">
        <f>VLOOKUP(J586,[3]Sheet1!$D:$F,3,FALSE)</f>
        <v>53</v>
      </c>
      <c r="Q586" s="7"/>
      <c r="R586" s="7"/>
      <c r="S586" s="12">
        <v>-8.6341054102936798</v>
      </c>
      <c r="T586" s="12">
        <v>116.15018399490801</v>
      </c>
      <c r="U586" s="7"/>
      <c r="V586" s="50">
        <f>Table13678[[#This Row],[PAGU SEMULA]]-Table13678[[#This Row],[PAGU ANGGARAN]]</f>
        <v>-410150000</v>
      </c>
      <c r="W586" s="50">
        <f>Table13678[[#This Row],[PAGU SEMULA]]-Table13678[[#This Row],[PAGU ANGGARAN]]</f>
        <v>-410150000</v>
      </c>
      <c r="X586" t="s">
        <v>984</v>
      </c>
    </row>
    <row r="587" spans="3:24" hidden="1">
      <c r="C587" s="7" t="s">
        <v>20</v>
      </c>
      <c r="D587" s="7" t="s">
        <v>104</v>
      </c>
      <c r="E587" s="7" t="s">
        <v>105</v>
      </c>
      <c r="F587" s="7" t="s">
        <v>126</v>
      </c>
      <c r="G587" s="71" t="s">
        <v>592</v>
      </c>
      <c r="H587" s="19">
        <v>408850000</v>
      </c>
      <c r="I587" s="10" t="s">
        <v>591</v>
      </c>
      <c r="J587" s="7" t="s">
        <v>143</v>
      </c>
      <c r="K587" s="10" t="s">
        <v>142</v>
      </c>
      <c r="L587" s="7" t="s">
        <v>143</v>
      </c>
      <c r="M587" s="7"/>
      <c r="N587" s="7">
        <f>VLOOKUP(J587,[1]Sheet1!$C:$D,2,FALSE)</f>
        <v>10575</v>
      </c>
      <c r="O587" s="7">
        <f>VLOOKUP(J587,[2]Desa!$A:$D,4,FALSE)</f>
        <v>209</v>
      </c>
      <c r="P587" s="7">
        <f>VLOOKUP(J587,[3]Sheet1!$D:$F,3,FALSE)</f>
        <v>53</v>
      </c>
      <c r="Q587" s="7"/>
      <c r="R587" s="7"/>
      <c r="S587" s="12">
        <v>-8.6341054102936798</v>
      </c>
      <c r="T587" s="12">
        <v>116.15018399490801</v>
      </c>
      <c r="U587" s="7"/>
      <c r="V587" s="50">
        <f>Table13678[[#This Row],[PAGU SEMULA]]-Table13678[[#This Row],[PAGU ANGGARAN]]</f>
        <v>-408850000</v>
      </c>
      <c r="W587" s="50">
        <f>Table13678[[#This Row],[PAGU SEMULA]]-Table13678[[#This Row],[PAGU ANGGARAN]]</f>
        <v>-408850000</v>
      </c>
      <c r="X587" t="s">
        <v>984</v>
      </c>
    </row>
    <row r="588" spans="3:24" hidden="1">
      <c r="C588" s="7" t="s">
        <v>29</v>
      </c>
      <c r="D588" s="7" t="s">
        <v>30</v>
      </c>
      <c r="E588" s="7" t="s">
        <v>31</v>
      </c>
      <c r="F588" s="7" t="s">
        <v>32</v>
      </c>
      <c r="G588" s="7" t="s">
        <v>33</v>
      </c>
      <c r="H588" s="8">
        <v>602700000</v>
      </c>
      <c r="I588" s="10" t="s">
        <v>591</v>
      </c>
      <c r="J588" s="7" t="s">
        <v>143</v>
      </c>
      <c r="K588" s="10" t="s">
        <v>142</v>
      </c>
      <c r="L588" s="7" t="s">
        <v>143</v>
      </c>
      <c r="M588" s="7"/>
      <c r="N588" s="7">
        <f>VLOOKUP(J588,[1]Sheet1!$C:$D,2,FALSE)</f>
        <v>10575</v>
      </c>
      <c r="O588" s="7">
        <f>VLOOKUP(J588,[2]Desa!$A:$D,4,FALSE)</f>
        <v>209</v>
      </c>
      <c r="P588" s="7">
        <f>VLOOKUP(J588,[3]Sheet1!$D:$F,3,FALSE)</f>
        <v>53</v>
      </c>
      <c r="Q588" s="7"/>
      <c r="R588" s="7"/>
      <c r="S588" s="12">
        <v>-8.6341054102936798</v>
      </c>
      <c r="T588" s="12">
        <v>116.15018399490801</v>
      </c>
      <c r="U588" s="7"/>
      <c r="V588" s="50">
        <f>Table13678[[#This Row],[PAGU SEMULA]]-Table13678[[#This Row],[PAGU ANGGARAN]]</f>
        <v>-602700000</v>
      </c>
      <c r="W588" s="50">
        <f>Table13678[[#This Row],[PAGU SEMULA]]-Table13678[[#This Row],[PAGU ANGGARAN]]</f>
        <v>-602700000</v>
      </c>
      <c r="X588" t="s">
        <v>984</v>
      </c>
    </row>
    <row r="589" spans="3:24" hidden="1">
      <c r="C589" s="7" t="s">
        <v>29</v>
      </c>
      <c r="D589" s="7" t="s">
        <v>30</v>
      </c>
      <c r="E589" s="7" t="s">
        <v>31</v>
      </c>
      <c r="F589" s="7" t="s">
        <v>32</v>
      </c>
      <c r="G589" s="7" t="s">
        <v>34</v>
      </c>
      <c r="H589" s="8">
        <v>48216000</v>
      </c>
      <c r="I589" s="10" t="s">
        <v>591</v>
      </c>
      <c r="J589" s="7" t="s">
        <v>143</v>
      </c>
      <c r="K589" s="10" t="s">
        <v>142</v>
      </c>
      <c r="L589" s="7" t="s">
        <v>143</v>
      </c>
      <c r="M589" s="7"/>
      <c r="N589" s="7">
        <f>VLOOKUP(J589,[1]Sheet1!$C:$D,2,FALSE)</f>
        <v>10575</v>
      </c>
      <c r="O589" s="7">
        <f>VLOOKUP(J589,[2]Desa!$A:$D,4,FALSE)</f>
        <v>209</v>
      </c>
      <c r="P589" s="7">
        <f>VLOOKUP(J589,[3]Sheet1!$D:$F,3,FALSE)</f>
        <v>53</v>
      </c>
      <c r="Q589" s="7"/>
      <c r="R589" s="7"/>
      <c r="S589" s="12">
        <v>-8.6341054102936798</v>
      </c>
      <c r="T589" s="12">
        <v>116.15018399490801</v>
      </c>
      <c r="U589" s="7"/>
      <c r="V589" s="50">
        <f>Table13678[[#This Row],[PAGU SEMULA]]-Table13678[[#This Row],[PAGU ANGGARAN]]</f>
        <v>-48216000</v>
      </c>
      <c r="W589" s="50">
        <f>Table13678[[#This Row],[PAGU SEMULA]]-Table13678[[#This Row],[PAGU ANGGARAN]]</f>
        <v>-48216000</v>
      </c>
      <c r="X589" t="s">
        <v>984</v>
      </c>
    </row>
    <row r="590" spans="3:24" hidden="1">
      <c r="C590" s="7" t="s">
        <v>224</v>
      </c>
      <c r="D590" s="7" t="s">
        <v>225</v>
      </c>
      <c r="E590" s="7" t="s">
        <v>226</v>
      </c>
      <c r="F590" s="7" t="s">
        <v>227</v>
      </c>
      <c r="G590" s="7" t="s">
        <v>593</v>
      </c>
      <c r="H590" s="8">
        <v>83740000</v>
      </c>
      <c r="I590" s="10" t="s">
        <v>687</v>
      </c>
      <c r="J590" s="7" t="s">
        <v>688</v>
      </c>
      <c r="K590" s="10" t="s">
        <v>142</v>
      </c>
      <c r="L590" s="7" t="s">
        <v>143</v>
      </c>
      <c r="M590" s="7"/>
      <c r="N590" s="7">
        <f>VLOOKUP(J590,[1]Sheet1!$C:$D,2,FALSE)</f>
        <v>4066</v>
      </c>
      <c r="O590" s="7">
        <f>VLOOKUP(J590,[2]Desa!$A:$D,4,FALSE)</f>
        <v>117</v>
      </c>
      <c r="P590" s="7">
        <f>VLOOKUP(J590,[3]Sheet1!$D:$F,3,FALSE)</f>
        <v>39</v>
      </c>
      <c r="Q590" s="7"/>
      <c r="R590" s="7"/>
      <c r="S590" s="12">
        <v>-8.6341054102936798</v>
      </c>
      <c r="T590" s="12">
        <v>116.15018399490801</v>
      </c>
      <c r="U590" s="7"/>
      <c r="V590" s="50">
        <f>Table13678[[#This Row],[PAGU SEMULA]]-Table13678[[#This Row],[PAGU ANGGARAN]]</f>
        <v>-83740000</v>
      </c>
      <c r="W590" s="50">
        <f>Table13678[[#This Row],[PAGU SEMULA]]-Table13678[[#This Row],[PAGU ANGGARAN]]</f>
        <v>-83740000</v>
      </c>
      <c r="X590" t="s">
        <v>984</v>
      </c>
    </row>
    <row r="591" spans="3:24" hidden="1">
      <c r="C591" s="7" t="s">
        <v>224</v>
      </c>
      <c r="D591" s="7" t="s">
        <v>225</v>
      </c>
      <c r="E591" s="7" t="s">
        <v>226</v>
      </c>
      <c r="F591" s="7" t="s">
        <v>227</v>
      </c>
      <c r="G591" s="7" t="s">
        <v>228</v>
      </c>
      <c r="H591" s="8">
        <v>20000000</v>
      </c>
      <c r="I591" s="10" t="s">
        <v>687</v>
      </c>
      <c r="J591" s="7" t="s">
        <v>688</v>
      </c>
      <c r="K591" s="10" t="s">
        <v>142</v>
      </c>
      <c r="L591" s="7" t="s">
        <v>143</v>
      </c>
      <c r="M591" s="7"/>
      <c r="N591" s="7">
        <f>VLOOKUP(J591,[1]Sheet1!$C:$D,2,FALSE)</f>
        <v>4066</v>
      </c>
      <c r="O591" s="7">
        <f>VLOOKUP(J591,[2]Desa!$A:$D,4,FALSE)</f>
        <v>117</v>
      </c>
      <c r="P591" s="7">
        <f>VLOOKUP(J591,[3]Sheet1!$D:$F,3,FALSE)</f>
        <v>39</v>
      </c>
      <c r="Q591" s="7"/>
      <c r="R591" s="7"/>
      <c r="S591" s="12">
        <v>-8.6341054102936798</v>
      </c>
      <c r="T591" s="12">
        <v>116.15018399490801</v>
      </c>
      <c r="U591" s="7"/>
      <c r="V591" s="50">
        <f>Table13678[[#This Row],[PAGU SEMULA]]-Table13678[[#This Row],[PAGU ANGGARAN]]</f>
        <v>-20000000</v>
      </c>
      <c r="W591" s="50">
        <f>Table13678[[#This Row],[PAGU SEMULA]]-Table13678[[#This Row],[PAGU ANGGARAN]]</f>
        <v>-20000000</v>
      </c>
      <c r="X591" t="s">
        <v>984</v>
      </c>
    </row>
    <row r="592" spans="3:24" hidden="1">
      <c r="C592" s="7" t="s">
        <v>110</v>
      </c>
      <c r="D592" s="7" t="s">
        <v>208</v>
      </c>
      <c r="E592" s="7" t="s">
        <v>209</v>
      </c>
      <c r="F592" s="7" t="s">
        <v>210</v>
      </c>
      <c r="G592" s="71" t="s">
        <v>211</v>
      </c>
      <c r="H592" s="8">
        <v>107000000</v>
      </c>
      <c r="I592" s="10" t="s">
        <v>591</v>
      </c>
      <c r="J592" s="7" t="s">
        <v>143</v>
      </c>
      <c r="K592" s="10" t="s">
        <v>142</v>
      </c>
      <c r="L592" s="7" t="s">
        <v>143</v>
      </c>
      <c r="M592" s="7"/>
      <c r="N592" s="7">
        <f>VLOOKUP(J592,[1]Sheet1!$C:$D,2,FALSE)</f>
        <v>10575</v>
      </c>
      <c r="O592" s="7">
        <f>VLOOKUP(J592,[2]Desa!$A:$D,4,FALSE)</f>
        <v>209</v>
      </c>
      <c r="P592" s="7">
        <f>VLOOKUP(J592,[3]Sheet1!$D:$F,3,FALSE)</f>
        <v>53</v>
      </c>
      <c r="Q592" s="7"/>
      <c r="R592" s="7"/>
      <c r="S592" s="12">
        <v>-8.6341054102936798</v>
      </c>
      <c r="T592" s="12">
        <v>116.15018399490801</v>
      </c>
      <c r="U592" s="7"/>
      <c r="V592" s="50">
        <f>Table13678[[#This Row],[PAGU SEMULA]]-Table13678[[#This Row],[PAGU ANGGARAN]]</f>
        <v>-107000000</v>
      </c>
      <c r="W592" s="50">
        <f>Table13678[[#This Row],[PAGU SEMULA]]-Table13678[[#This Row],[PAGU ANGGARAN]]</f>
        <v>-107000000</v>
      </c>
      <c r="X592" t="s">
        <v>982</v>
      </c>
    </row>
    <row r="593" spans="3:24" hidden="1">
      <c r="C593" s="7" t="s">
        <v>35</v>
      </c>
      <c r="D593" s="7" t="s">
        <v>36</v>
      </c>
      <c r="E593" s="7" t="s">
        <v>37</v>
      </c>
      <c r="F593" s="7" t="s">
        <v>38</v>
      </c>
      <c r="G593" s="7" t="s">
        <v>39</v>
      </c>
      <c r="H593" s="15">
        <v>75000000</v>
      </c>
      <c r="I593" s="10" t="s">
        <v>591</v>
      </c>
      <c r="J593" s="7" t="s">
        <v>143</v>
      </c>
      <c r="K593" s="10" t="s">
        <v>142</v>
      </c>
      <c r="L593" s="7" t="s">
        <v>143</v>
      </c>
      <c r="M593" s="7"/>
      <c r="N593" s="7">
        <f>VLOOKUP(J593,[1]Sheet1!$C:$D,2,FALSE)</f>
        <v>10575</v>
      </c>
      <c r="O593" s="7">
        <f>VLOOKUP(J593,[2]Desa!$A:$D,4,FALSE)</f>
        <v>209</v>
      </c>
      <c r="P593" s="7">
        <f>VLOOKUP(J593,[3]Sheet1!$D:$F,3,FALSE)</f>
        <v>53</v>
      </c>
      <c r="Q593" s="7"/>
      <c r="R593" s="7"/>
      <c r="S593" s="12">
        <v>-8.6341054102936798</v>
      </c>
      <c r="T593" s="12">
        <v>116.15018399490801</v>
      </c>
      <c r="U593" s="7"/>
      <c r="V593" s="50">
        <f>Table13678[[#This Row],[PAGU SEMULA]]-Table13678[[#This Row],[PAGU ANGGARAN]]</f>
        <v>-75000000</v>
      </c>
      <c r="W593" s="50">
        <f>Table13678[[#This Row],[PAGU SEMULA]]-Table13678[[#This Row],[PAGU ANGGARAN]]</f>
        <v>-75000000</v>
      </c>
      <c r="X593" t="s">
        <v>984</v>
      </c>
    </row>
    <row r="594" spans="3:24" hidden="1">
      <c r="C594" s="7" t="s">
        <v>35</v>
      </c>
      <c r="D594" s="7" t="s">
        <v>36</v>
      </c>
      <c r="E594" s="7" t="s">
        <v>37</v>
      </c>
      <c r="F594" s="7" t="s">
        <v>40</v>
      </c>
      <c r="G594" s="7" t="s">
        <v>41</v>
      </c>
      <c r="H594" s="15">
        <v>180000000</v>
      </c>
      <c r="I594" s="10" t="s">
        <v>591</v>
      </c>
      <c r="J594" s="7" t="s">
        <v>143</v>
      </c>
      <c r="K594" s="10" t="s">
        <v>142</v>
      </c>
      <c r="L594" s="7" t="s">
        <v>143</v>
      </c>
      <c r="M594" s="7"/>
      <c r="N594" s="7">
        <f>VLOOKUP(J594,[1]Sheet1!$C:$D,2,FALSE)</f>
        <v>10575</v>
      </c>
      <c r="O594" s="7">
        <f>VLOOKUP(J594,[2]Desa!$A:$D,4,FALSE)</f>
        <v>209</v>
      </c>
      <c r="P594" s="7">
        <f>VLOOKUP(J594,[3]Sheet1!$D:$F,3,FALSE)</f>
        <v>53</v>
      </c>
      <c r="Q594" s="7"/>
      <c r="R594" s="7"/>
      <c r="S594" s="12">
        <v>-8.6341054102936798</v>
      </c>
      <c r="T594" s="12">
        <v>116.15018399490801</v>
      </c>
      <c r="U594" s="7"/>
      <c r="V594" s="50">
        <f>Table13678[[#This Row],[PAGU SEMULA]]-Table13678[[#This Row],[PAGU ANGGARAN]]</f>
        <v>-180000000</v>
      </c>
      <c r="W594" s="50">
        <f>Table13678[[#This Row],[PAGU SEMULA]]-Table13678[[#This Row],[PAGU ANGGARAN]]</f>
        <v>-180000000</v>
      </c>
      <c r="X594" t="s">
        <v>986</v>
      </c>
    </row>
    <row r="595" spans="3:24" hidden="1">
      <c r="C595" s="7" t="s">
        <v>35</v>
      </c>
      <c r="D595" s="7" t="s">
        <v>36</v>
      </c>
      <c r="E595" s="7" t="s">
        <v>37</v>
      </c>
      <c r="F595" s="7" t="s">
        <v>40</v>
      </c>
      <c r="G595" s="7" t="s">
        <v>41</v>
      </c>
      <c r="H595" s="15">
        <v>180000000</v>
      </c>
      <c r="I595" s="10" t="s">
        <v>591</v>
      </c>
      <c r="J595" s="7" t="s">
        <v>143</v>
      </c>
      <c r="K595" s="10" t="s">
        <v>142</v>
      </c>
      <c r="L595" s="7" t="s">
        <v>143</v>
      </c>
      <c r="M595" s="7"/>
      <c r="N595" s="7">
        <f>VLOOKUP(J595,[1]Sheet1!$C:$D,2,FALSE)</f>
        <v>10575</v>
      </c>
      <c r="O595" s="7">
        <f>VLOOKUP(J595,[2]Desa!$A:$D,4,FALSE)</f>
        <v>209</v>
      </c>
      <c r="P595" s="7">
        <f>VLOOKUP(J595,[3]Sheet1!$D:$F,3,FALSE)</f>
        <v>53</v>
      </c>
      <c r="Q595" s="7"/>
      <c r="R595" s="7"/>
      <c r="S595" s="12">
        <v>-8.6341054102936798</v>
      </c>
      <c r="T595" s="12">
        <v>116.15018399490801</v>
      </c>
      <c r="U595" s="7"/>
      <c r="V595" s="50">
        <f>Table13678[[#This Row],[PAGU SEMULA]]-Table13678[[#This Row],[PAGU ANGGARAN]]</f>
        <v>-180000000</v>
      </c>
      <c r="W595" s="50">
        <f>Table13678[[#This Row],[PAGU SEMULA]]-Table13678[[#This Row],[PAGU ANGGARAN]]</f>
        <v>-180000000</v>
      </c>
      <c r="X595" t="s">
        <v>986</v>
      </c>
    </row>
    <row r="596" spans="3:24" hidden="1">
      <c r="C596" s="7" t="s">
        <v>35</v>
      </c>
      <c r="D596" s="7" t="s">
        <v>36</v>
      </c>
      <c r="E596" s="7" t="s">
        <v>37</v>
      </c>
      <c r="F596" s="7" t="s">
        <v>40</v>
      </c>
      <c r="G596" s="7" t="s">
        <v>459</v>
      </c>
      <c r="H596" s="17">
        <v>180000000</v>
      </c>
      <c r="I596" s="10" t="s">
        <v>591</v>
      </c>
      <c r="J596" s="7" t="s">
        <v>143</v>
      </c>
      <c r="K596" s="10" t="s">
        <v>142</v>
      </c>
      <c r="L596" s="7" t="s">
        <v>143</v>
      </c>
      <c r="M596" s="7"/>
      <c r="N596" s="7">
        <f>VLOOKUP(J596,[1]Sheet1!$C:$D,2,FALSE)</f>
        <v>10575</v>
      </c>
      <c r="O596" s="7">
        <f>VLOOKUP(J596,[2]Desa!$A:$D,4,FALSE)</f>
        <v>209</v>
      </c>
      <c r="P596" s="7">
        <f>VLOOKUP(J596,[3]Sheet1!$D:$F,3,FALSE)</f>
        <v>53</v>
      </c>
      <c r="Q596" s="7"/>
      <c r="R596" s="7"/>
      <c r="S596" s="12">
        <v>-8.6341054102936798</v>
      </c>
      <c r="T596" s="12">
        <v>116.15018399490801</v>
      </c>
      <c r="U596" s="7"/>
      <c r="V596" s="50">
        <f>Table13678[[#This Row],[PAGU SEMULA]]-Table13678[[#This Row],[PAGU ANGGARAN]]</f>
        <v>-180000000</v>
      </c>
      <c r="W596" s="50">
        <f>Table13678[[#This Row],[PAGU SEMULA]]-Table13678[[#This Row],[PAGU ANGGARAN]]</f>
        <v>-180000000</v>
      </c>
      <c r="X596" t="s">
        <v>986</v>
      </c>
    </row>
    <row r="597" spans="3:24" hidden="1">
      <c r="C597" s="7" t="s">
        <v>35</v>
      </c>
      <c r="D597" s="7" t="s">
        <v>52</v>
      </c>
      <c r="E597" s="7" t="s">
        <v>95</v>
      </c>
      <c r="F597" s="7" t="s">
        <v>96</v>
      </c>
      <c r="G597" s="7" t="s">
        <v>41</v>
      </c>
      <c r="H597" s="17">
        <v>193500000</v>
      </c>
      <c r="I597" s="10" t="s">
        <v>591</v>
      </c>
      <c r="J597" s="7" t="s">
        <v>143</v>
      </c>
      <c r="K597" s="10" t="s">
        <v>142</v>
      </c>
      <c r="L597" s="7" t="s">
        <v>143</v>
      </c>
      <c r="M597" s="7"/>
      <c r="N597" s="7">
        <f>VLOOKUP(J597,[1]Sheet1!$C:$D,2,FALSE)</f>
        <v>10575</v>
      </c>
      <c r="O597" s="7">
        <f>VLOOKUP(J597,[2]Desa!$A:$D,4,FALSE)</f>
        <v>209</v>
      </c>
      <c r="P597" s="7">
        <f>VLOOKUP(J597,[3]Sheet1!$D:$F,3,FALSE)</f>
        <v>53</v>
      </c>
      <c r="Q597" s="7"/>
      <c r="R597" s="7"/>
      <c r="S597" s="12">
        <v>-8.6341054102936798</v>
      </c>
      <c r="T597" s="12">
        <v>116.15018399490801</v>
      </c>
      <c r="U597" s="7"/>
      <c r="V597" s="50">
        <f>Table13678[[#This Row],[PAGU SEMULA]]-Table13678[[#This Row],[PAGU ANGGARAN]]</f>
        <v>-193500000</v>
      </c>
      <c r="W597" s="50">
        <f>Table13678[[#This Row],[PAGU SEMULA]]-Table13678[[#This Row],[PAGU ANGGARAN]]</f>
        <v>-193500000</v>
      </c>
      <c r="X597" t="s">
        <v>986</v>
      </c>
    </row>
    <row r="598" spans="3:24" hidden="1">
      <c r="C598" s="7" t="s">
        <v>35</v>
      </c>
      <c r="D598" s="7" t="s">
        <v>52</v>
      </c>
      <c r="E598" s="7" t="s">
        <v>95</v>
      </c>
      <c r="F598" s="7" t="s">
        <v>96</v>
      </c>
      <c r="G598" s="7" t="s">
        <v>367</v>
      </c>
      <c r="H598" s="17">
        <v>96750000</v>
      </c>
      <c r="I598" s="10" t="s">
        <v>591</v>
      </c>
      <c r="J598" s="7" t="s">
        <v>143</v>
      </c>
      <c r="K598" s="10" t="s">
        <v>142</v>
      </c>
      <c r="L598" s="7" t="s">
        <v>143</v>
      </c>
      <c r="M598" s="7"/>
      <c r="N598" s="7">
        <f>VLOOKUP(J598,[1]Sheet1!$C:$D,2,FALSE)</f>
        <v>10575</v>
      </c>
      <c r="O598" s="7">
        <f>VLOOKUP(J598,[2]Desa!$A:$D,4,FALSE)</f>
        <v>209</v>
      </c>
      <c r="P598" s="7">
        <f>VLOOKUP(J598,[3]Sheet1!$D:$F,3,FALSE)</f>
        <v>53</v>
      </c>
      <c r="Q598" s="7"/>
      <c r="R598" s="7"/>
      <c r="S598" s="12">
        <v>-8.6341054102936798</v>
      </c>
      <c r="T598" s="12">
        <v>116.15018399490801</v>
      </c>
      <c r="U598" s="7"/>
      <c r="V598" s="50">
        <f>Table13678[[#This Row],[PAGU SEMULA]]-Table13678[[#This Row],[PAGU ANGGARAN]]</f>
        <v>-96750000</v>
      </c>
      <c r="W598" s="50">
        <f>Table13678[[#This Row],[PAGU SEMULA]]-Table13678[[#This Row],[PAGU ANGGARAN]]</f>
        <v>-96750000</v>
      </c>
      <c r="X598" t="s">
        <v>986</v>
      </c>
    </row>
    <row r="599" spans="3:24" hidden="1">
      <c r="C599" s="7" t="s">
        <v>35</v>
      </c>
      <c r="D599" s="7" t="s">
        <v>52</v>
      </c>
      <c r="E599" s="7" t="s">
        <v>95</v>
      </c>
      <c r="F599" s="7" t="s">
        <v>96</v>
      </c>
      <c r="G599" s="7" t="s">
        <v>594</v>
      </c>
      <c r="H599" s="17">
        <v>338625000</v>
      </c>
      <c r="I599" s="10" t="s">
        <v>591</v>
      </c>
      <c r="J599" s="7" t="s">
        <v>143</v>
      </c>
      <c r="K599" s="10" t="s">
        <v>142</v>
      </c>
      <c r="L599" s="7" t="s">
        <v>143</v>
      </c>
      <c r="M599" s="7"/>
      <c r="N599" s="7">
        <f>VLOOKUP(J599,[1]Sheet1!$C:$D,2,FALSE)</f>
        <v>10575</v>
      </c>
      <c r="O599" s="7">
        <f>VLOOKUP(J599,[2]Desa!$A:$D,4,FALSE)</f>
        <v>209</v>
      </c>
      <c r="P599" s="7">
        <f>VLOOKUP(J599,[3]Sheet1!$D:$F,3,FALSE)</f>
        <v>53</v>
      </c>
      <c r="Q599" s="7"/>
      <c r="R599" s="7"/>
      <c r="S599" s="12">
        <v>-8.6341054102936798</v>
      </c>
      <c r="T599" s="12">
        <v>116.15018399490801</v>
      </c>
      <c r="U599" s="7"/>
      <c r="V599" s="50">
        <f>Table13678[[#This Row],[PAGU SEMULA]]-Table13678[[#This Row],[PAGU ANGGARAN]]</f>
        <v>-338625000</v>
      </c>
      <c r="W599" s="50">
        <f>Table13678[[#This Row],[PAGU SEMULA]]-Table13678[[#This Row],[PAGU ANGGARAN]]</f>
        <v>-338625000</v>
      </c>
      <c r="X599" t="s">
        <v>986</v>
      </c>
    </row>
    <row r="600" spans="3:24" hidden="1">
      <c r="C600" s="7" t="s">
        <v>68</v>
      </c>
      <c r="D600" s="7" t="s">
        <v>118</v>
      </c>
      <c r="E600" s="7" t="s">
        <v>119</v>
      </c>
      <c r="F600" s="7" t="s">
        <v>120</v>
      </c>
      <c r="G600" s="7" t="s">
        <v>529</v>
      </c>
      <c r="H600" s="8">
        <v>16000000</v>
      </c>
      <c r="I600" s="10" t="s">
        <v>591</v>
      </c>
      <c r="J600" s="7" t="s">
        <v>143</v>
      </c>
      <c r="K600" s="10" t="s">
        <v>142</v>
      </c>
      <c r="L600" s="7" t="s">
        <v>143</v>
      </c>
      <c r="M600" s="7"/>
      <c r="N600" s="7">
        <f>VLOOKUP(J600,[1]Sheet1!$C:$D,2,FALSE)</f>
        <v>10575</v>
      </c>
      <c r="O600" s="7">
        <f>VLOOKUP(J600,[2]Desa!$A:$D,4,FALSE)</f>
        <v>209</v>
      </c>
      <c r="P600" s="7">
        <f>VLOOKUP(J600,[3]Sheet1!$D:$F,3,FALSE)</f>
        <v>53</v>
      </c>
      <c r="Q600" s="7"/>
      <c r="R600" s="7"/>
      <c r="S600" s="12">
        <v>-8.6341054102936798</v>
      </c>
      <c r="T600" s="12">
        <v>116.15018399490801</v>
      </c>
      <c r="U600" s="7"/>
      <c r="V600" s="50">
        <f>Table13678[[#This Row],[PAGU SEMULA]]-Table13678[[#This Row],[PAGU ANGGARAN]]</f>
        <v>-16000000</v>
      </c>
      <c r="W600" s="50">
        <f>Table13678[[#This Row],[PAGU SEMULA]]-Table13678[[#This Row],[PAGU ANGGARAN]]</f>
        <v>-16000000</v>
      </c>
      <c r="X600" t="s">
        <v>982</v>
      </c>
    </row>
    <row r="601" spans="3:24" hidden="1">
      <c r="C601" s="7" t="s">
        <v>68</v>
      </c>
      <c r="D601" s="7" t="s">
        <v>69</v>
      </c>
      <c r="E601" s="7" t="s">
        <v>70</v>
      </c>
      <c r="F601" s="7" t="s">
        <v>71</v>
      </c>
      <c r="G601" s="7" t="s">
        <v>576</v>
      </c>
      <c r="H601" s="8">
        <v>363722000</v>
      </c>
      <c r="I601" s="10" t="s">
        <v>591</v>
      </c>
      <c r="J601" s="7" t="s">
        <v>143</v>
      </c>
      <c r="K601" s="10" t="s">
        <v>142</v>
      </c>
      <c r="L601" s="7" t="s">
        <v>143</v>
      </c>
      <c r="M601" s="7"/>
      <c r="N601" s="7">
        <f>VLOOKUP(J601,[1]Sheet1!$C:$D,2,FALSE)</f>
        <v>10575</v>
      </c>
      <c r="O601" s="7">
        <f>VLOOKUP(J601,[2]Desa!$A:$D,4,FALSE)</f>
        <v>209</v>
      </c>
      <c r="P601" s="7">
        <f>VLOOKUP(J601,[3]Sheet1!$D:$F,3,FALSE)</f>
        <v>53</v>
      </c>
      <c r="Q601" s="7"/>
      <c r="R601" s="7"/>
      <c r="S601" s="12">
        <v>-8.6341054102936798</v>
      </c>
      <c r="T601" s="12">
        <v>116.15018399490801</v>
      </c>
      <c r="U601" s="7"/>
      <c r="V601" s="50">
        <f>Table13678[[#This Row],[PAGU SEMULA]]-Table13678[[#This Row],[PAGU ANGGARAN]]</f>
        <v>-363722000</v>
      </c>
      <c r="W601" s="50">
        <f>Table13678[[#This Row],[PAGU SEMULA]]-Table13678[[#This Row],[PAGU ANGGARAN]]</f>
        <v>-363722000</v>
      </c>
      <c r="X601" t="s">
        <v>982</v>
      </c>
    </row>
    <row r="602" spans="3:24" hidden="1">
      <c r="C602" s="7" t="s">
        <v>46</v>
      </c>
      <c r="D602" s="7" t="s">
        <v>122</v>
      </c>
      <c r="E602" s="7" t="s">
        <v>123</v>
      </c>
      <c r="F602" s="7" t="s">
        <v>124</v>
      </c>
      <c r="G602" s="7" t="s">
        <v>192</v>
      </c>
      <c r="H602" s="8">
        <v>50000000</v>
      </c>
      <c r="I602" s="10" t="s">
        <v>591</v>
      </c>
      <c r="J602" s="7" t="s">
        <v>143</v>
      </c>
      <c r="K602" s="10" t="s">
        <v>142</v>
      </c>
      <c r="L602" s="7" t="s">
        <v>143</v>
      </c>
      <c r="M602" s="7"/>
      <c r="N602" s="7">
        <f>VLOOKUP(J602,[1]Sheet1!$C:$D,2,FALSE)</f>
        <v>10575</v>
      </c>
      <c r="O602" s="7">
        <f>VLOOKUP(J602,[2]Desa!$A:$D,4,FALSE)</f>
        <v>209</v>
      </c>
      <c r="P602" s="7">
        <f>VLOOKUP(J602,[3]Sheet1!$D:$F,3,FALSE)</f>
        <v>53</v>
      </c>
      <c r="Q602" s="7"/>
      <c r="R602" s="7"/>
      <c r="S602" s="12">
        <v>-8.6341054102936798</v>
      </c>
      <c r="T602" s="12">
        <v>116.15018399490801</v>
      </c>
      <c r="U602" s="7"/>
      <c r="V602" s="50">
        <f>Table13678[[#This Row],[PAGU SEMULA]]-Table13678[[#This Row],[PAGU ANGGARAN]]</f>
        <v>-50000000</v>
      </c>
      <c r="W602" s="50">
        <f>Table13678[[#This Row],[PAGU SEMULA]]-Table13678[[#This Row],[PAGU ANGGARAN]]</f>
        <v>-50000000</v>
      </c>
      <c r="X602" t="s">
        <v>987</v>
      </c>
    </row>
    <row r="603" spans="3:24" hidden="1">
      <c r="C603" s="7" t="s">
        <v>46</v>
      </c>
      <c r="D603" s="7" t="s">
        <v>47</v>
      </c>
      <c r="E603" s="7" t="s">
        <v>48</v>
      </c>
      <c r="F603" s="7" t="s">
        <v>49</v>
      </c>
      <c r="G603" s="7" t="s">
        <v>371</v>
      </c>
      <c r="H603" s="8">
        <v>30774000</v>
      </c>
      <c r="I603" s="10" t="s">
        <v>591</v>
      </c>
      <c r="J603" s="7" t="s">
        <v>143</v>
      </c>
      <c r="K603" s="10" t="s">
        <v>142</v>
      </c>
      <c r="L603" s="7" t="s">
        <v>143</v>
      </c>
      <c r="M603" s="7"/>
      <c r="N603" s="7">
        <f>VLOOKUP(J603,[1]Sheet1!$C:$D,2,FALSE)</f>
        <v>10575</v>
      </c>
      <c r="O603" s="7">
        <f>VLOOKUP(J603,[2]Desa!$A:$D,4,FALSE)</f>
        <v>209</v>
      </c>
      <c r="P603" s="7">
        <f>VLOOKUP(J603,[3]Sheet1!$D:$F,3,FALSE)</f>
        <v>53</v>
      </c>
      <c r="Q603" s="7"/>
      <c r="R603" s="7"/>
      <c r="S603" s="12">
        <v>-8.6341054102936798</v>
      </c>
      <c r="T603" s="12">
        <v>116.15018399490801</v>
      </c>
      <c r="U603" s="7"/>
      <c r="V603" s="50">
        <f>Table13678[[#This Row],[PAGU SEMULA]]-Table13678[[#This Row],[PAGU ANGGARAN]]</f>
        <v>-30774000</v>
      </c>
      <c r="W603" s="50">
        <f>Table13678[[#This Row],[PAGU SEMULA]]-Table13678[[#This Row],[PAGU ANGGARAN]]</f>
        <v>-30774000</v>
      </c>
      <c r="X603" t="s">
        <v>987</v>
      </c>
    </row>
    <row r="604" spans="3:24" hidden="1">
      <c r="C604" s="7" t="s">
        <v>259</v>
      </c>
      <c r="D604" s="7" t="s">
        <v>260</v>
      </c>
      <c r="E604" s="7" t="s">
        <v>261</v>
      </c>
      <c r="F604" s="7" t="s">
        <v>262</v>
      </c>
      <c r="G604" s="7" t="s">
        <v>263</v>
      </c>
      <c r="H604" s="8">
        <v>200000000</v>
      </c>
      <c r="I604" s="10" t="s">
        <v>591</v>
      </c>
      <c r="J604" s="7" t="s">
        <v>143</v>
      </c>
      <c r="K604" s="10" t="s">
        <v>142</v>
      </c>
      <c r="L604" s="7" t="s">
        <v>143</v>
      </c>
      <c r="M604" s="7"/>
      <c r="N604" s="7">
        <f>VLOOKUP(J604,[1]Sheet1!$C:$D,2,FALSE)</f>
        <v>10575</v>
      </c>
      <c r="O604" s="7">
        <f>VLOOKUP(J604,[2]Desa!$A:$D,4,FALSE)</f>
        <v>209</v>
      </c>
      <c r="P604" s="7">
        <f>VLOOKUP(J604,[3]Sheet1!$D:$F,3,FALSE)</f>
        <v>53</v>
      </c>
      <c r="Q604" s="7"/>
      <c r="R604" s="7"/>
      <c r="S604" s="12">
        <v>-8.6341054102936798</v>
      </c>
      <c r="T604" s="12">
        <v>116.15018399490801</v>
      </c>
      <c r="U604" s="7"/>
      <c r="V604" s="50">
        <f>Table13678[[#This Row],[PAGU SEMULA]]-Table13678[[#This Row],[PAGU ANGGARAN]]</f>
        <v>-200000000</v>
      </c>
      <c r="W604" s="50">
        <f>Table13678[[#This Row],[PAGU SEMULA]]-Table13678[[#This Row],[PAGU ANGGARAN]]</f>
        <v>-200000000</v>
      </c>
      <c r="X604" t="s">
        <v>984</v>
      </c>
    </row>
    <row r="605" spans="3:24" hidden="1">
      <c r="C605" s="7" t="s">
        <v>51</v>
      </c>
      <c r="D605" s="7" t="s">
        <v>52</v>
      </c>
      <c r="E605" s="7" t="s">
        <v>53</v>
      </c>
      <c r="F605" s="7" t="s">
        <v>54</v>
      </c>
      <c r="G605" s="7" t="s">
        <v>73</v>
      </c>
      <c r="H605" s="8">
        <v>189090000</v>
      </c>
      <c r="I605" s="10" t="s">
        <v>591</v>
      </c>
      <c r="J605" s="7" t="s">
        <v>143</v>
      </c>
      <c r="K605" s="10" t="s">
        <v>142</v>
      </c>
      <c r="L605" s="7" t="s">
        <v>143</v>
      </c>
      <c r="M605" s="7"/>
      <c r="N605" s="7">
        <f>VLOOKUP(J605,[1]Sheet1!$C:$D,2,FALSE)</f>
        <v>10575</v>
      </c>
      <c r="O605" s="7">
        <f>VLOOKUP(J605,[2]Desa!$A:$D,4,FALSE)</f>
        <v>209</v>
      </c>
      <c r="P605" s="7">
        <f>VLOOKUP(J605,[3]Sheet1!$D:$F,3,FALSE)</f>
        <v>53</v>
      </c>
      <c r="Q605" s="7"/>
      <c r="R605" s="7"/>
      <c r="S605" s="12">
        <v>-8.6341054102936798</v>
      </c>
      <c r="T605" s="12">
        <v>116.15018399490801</v>
      </c>
      <c r="U605" s="7"/>
      <c r="V605" s="50">
        <f>Table13678[[#This Row],[PAGU SEMULA]]-Table13678[[#This Row],[PAGU ANGGARAN]]</f>
        <v>-189090000</v>
      </c>
      <c r="W605" s="50">
        <f>Table13678[[#This Row],[PAGU SEMULA]]-Table13678[[#This Row],[PAGU ANGGARAN]]</f>
        <v>-189090000</v>
      </c>
      <c r="X605" t="s">
        <v>986</v>
      </c>
    </row>
    <row r="606" spans="3:24" hidden="1">
      <c r="C606" s="7" t="s">
        <v>51</v>
      </c>
      <c r="D606" s="7" t="s">
        <v>52</v>
      </c>
      <c r="E606" s="7" t="s">
        <v>53</v>
      </c>
      <c r="F606" s="7" t="s">
        <v>54</v>
      </c>
      <c r="G606" s="7" t="s">
        <v>73</v>
      </c>
      <c r="H606" s="8">
        <v>189090000</v>
      </c>
      <c r="I606" s="10" t="s">
        <v>591</v>
      </c>
      <c r="J606" s="7" t="s">
        <v>143</v>
      </c>
      <c r="K606" s="10" t="s">
        <v>142</v>
      </c>
      <c r="L606" s="7" t="s">
        <v>143</v>
      </c>
      <c r="M606" s="7"/>
      <c r="N606" s="7">
        <f>VLOOKUP(J606,[1]Sheet1!$C:$D,2,FALSE)</f>
        <v>10575</v>
      </c>
      <c r="O606" s="7">
        <f>VLOOKUP(J606,[2]Desa!$A:$D,4,FALSE)</f>
        <v>209</v>
      </c>
      <c r="P606" s="7">
        <f>VLOOKUP(J606,[3]Sheet1!$D:$F,3,FALSE)</f>
        <v>53</v>
      </c>
      <c r="Q606" s="7"/>
      <c r="R606" s="7"/>
      <c r="S606" s="12">
        <v>-8.6341054102936798</v>
      </c>
      <c r="T606" s="12">
        <v>116.15018399490801</v>
      </c>
      <c r="U606" s="7"/>
      <c r="V606" s="50">
        <f>Table13678[[#This Row],[PAGU SEMULA]]-Table13678[[#This Row],[PAGU ANGGARAN]]</f>
        <v>-189090000</v>
      </c>
      <c r="W606" s="50">
        <f>Table13678[[#This Row],[PAGU SEMULA]]-Table13678[[#This Row],[PAGU ANGGARAN]]</f>
        <v>-189090000</v>
      </c>
      <c r="X606" t="s">
        <v>986</v>
      </c>
    </row>
    <row r="607" spans="3:24" hidden="1">
      <c r="C607" s="7" t="s">
        <v>20</v>
      </c>
      <c r="D607" s="7" t="s">
        <v>104</v>
      </c>
      <c r="E607" s="7" t="s">
        <v>145</v>
      </c>
      <c r="F607" s="7" t="s">
        <v>171</v>
      </c>
      <c r="G607" s="71" t="s">
        <v>595</v>
      </c>
      <c r="H607" s="15">
        <v>38500000</v>
      </c>
      <c r="I607" s="10" t="s">
        <v>596</v>
      </c>
      <c r="J607" s="7" t="s">
        <v>597</v>
      </c>
      <c r="K607" s="10" t="s">
        <v>142</v>
      </c>
      <c r="L607" s="7" t="s">
        <v>143</v>
      </c>
      <c r="M607" s="7"/>
      <c r="N607" s="7">
        <f>VLOOKUP(J607,[1]Sheet1!$C:$D,2,FALSE)</f>
        <v>7526</v>
      </c>
      <c r="O607" s="7">
        <f>VLOOKUP(J607,[2]Desa!$A:$D,4,FALSE)</f>
        <v>156</v>
      </c>
      <c r="P607" s="7">
        <f>VLOOKUP(J607,[3]Sheet1!$D:$F,3,FALSE)</f>
        <v>51</v>
      </c>
      <c r="Q607" s="7"/>
      <c r="R607" s="7"/>
      <c r="S607" s="12">
        <v>-8.6401261498808104</v>
      </c>
      <c r="T607" s="12">
        <v>116.14841918141499</v>
      </c>
      <c r="U607" s="7"/>
      <c r="V607" s="50">
        <f>Table13678[[#This Row],[PAGU SEMULA]]-Table13678[[#This Row],[PAGU ANGGARAN]]</f>
        <v>-38500000</v>
      </c>
      <c r="W607" s="50">
        <f>Table13678[[#This Row],[PAGU SEMULA]]-Table13678[[#This Row],[PAGU ANGGARAN]]</f>
        <v>-38500000</v>
      </c>
      <c r="X607" t="s">
        <v>984</v>
      </c>
    </row>
    <row r="608" spans="3:24" hidden="1">
      <c r="C608" s="7" t="s">
        <v>20</v>
      </c>
      <c r="D608" s="7" t="s">
        <v>104</v>
      </c>
      <c r="E608" s="7" t="s">
        <v>105</v>
      </c>
      <c r="F608" s="7" t="s">
        <v>106</v>
      </c>
      <c r="G608" s="71" t="s">
        <v>598</v>
      </c>
      <c r="H608" s="19">
        <v>298750000</v>
      </c>
      <c r="I608" s="10" t="s">
        <v>596</v>
      </c>
      <c r="J608" s="7" t="s">
        <v>597</v>
      </c>
      <c r="K608" s="10" t="s">
        <v>142</v>
      </c>
      <c r="L608" s="7" t="s">
        <v>143</v>
      </c>
      <c r="M608" s="7"/>
      <c r="N608" s="7">
        <f>VLOOKUP(J608,[1]Sheet1!$C:$D,2,FALSE)</f>
        <v>7526</v>
      </c>
      <c r="O608" s="7">
        <f>VLOOKUP(J608,[2]Desa!$A:$D,4,FALSE)</f>
        <v>156</v>
      </c>
      <c r="P608" s="7">
        <f>VLOOKUP(J608,[3]Sheet1!$D:$F,3,FALSE)</f>
        <v>51</v>
      </c>
      <c r="Q608" s="7"/>
      <c r="R608" s="7"/>
      <c r="S608" s="12">
        <v>-8.6401261498808104</v>
      </c>
      <c r="T608" s="12">
        <v>116.14841918141499</v>
      </c>
      <c r="U608" s="7"/>
      <c r="V608" s="50">
        <f>Table13678[[#This Row],[PAGU SEMULA]]-Table13678[[#This Row],[PAGU ANGGARAN]]</f>
        <v>-298750000</v>
      </c>
      <c r="W608" s="50">
        <f>Table13678[[#This Row],[PAGU SEMULA]]-Table13678[[#This Row],[PAGU ANGGARAN]]</f>
        <v>-298750000</v>
      </c>
      <c r="X608" t="s">
        <v>984</v>
      </c>
    </row>
    <row r="609" spans="3:24" hidden="1">
      <c r="C609" s="7" t="s">
        <v>20</v>
      </c>
      <c r="D609" s="7" t="s">
        <v>104</v>
      </c>
      <c r="E609" s="7" t="s">
        <v>105</v>
      </c>
      <c r="F609" s="7" t="s">
        <v>106</v>
      </c>
      <c r="G609" s="71" t="s">
        <v>599</v>
      </c>
      <c r="H609" s="19">
        <v>298750000</v>
      </c>
      <c r="I609" s="10" t="s">
        <v>596</v>
      </c>
      <c r="J609" s="7" t="s">
        <v>597</v>
      </c>
      <c r="K609" s="10" t="s">
        <v>142</v>
      </c>
      <c r="L609" s="7" t="s">
        <v>143</v>
      </c>
      <c r="M609" s="7"/>
      <c r="N609" s="7">
        <f>VLOOKUP(J609,[1]Sheet1!$C:$D,2,FALSE)</f>
        <v>7526</v>
      </c>
      <c r="O609" s="7">
        <f>VLOOKUP(J609,[2]Desa!$A:$D,4,FALSE)</f>
        <v>156</v>
      </c>
      <c r="P609" s="7">
        <f>VLOOKUP(J609,[3]Sheet1!$D:$F,3,FALSE)</f>
        <v>51</v>
      </c>
      <c r="Q609" s="7"/>
      <c r="R609" s="7"/>
      <c r="S609" s="12">
        <v>-8.6401261498808104</v>
      </c>
      <c r="T609" s="12">
        <v>116.14841918141499</v>
      </c>
      <c r="U609" s="7"/>
      <c r="V609" s="50">
        <f>Table13678[[#This Row],[PAGU SEMULA]]-Table13678[[#This Row],[PAGU ANGGARAN]]</f>
        <v>-298750000</v>
      </c>
      <c r="W609" s="50">
        <f>Table13678[[#This Row],[PAGU SEMULA]]-Table13678[[#This Row],[PAGU ANGGARAN]]</f>
        <v>-298750000</v>
      </c>
      <c r="X609" t="s">
        <v>984</v>
      </c>
    </row>
    <row r="610" spans="3:24" hidden="1">
      <c r="C610" s="7" t="s">
        <v>20</v>
      </c>
      <c r="D610" s="7" t="s">
        <v>104</v>
      </c>
      <c r="E610" s="7" t="s">
        <v>145</v>
      </c>
      <c r="F610" s="7" t="s">
        <v>146</v>
      </c>
      <c r="G610" s="71" t="s">
        <v>600</v>
      </c>
      <c r="H610" s="15">
        <v>59000000</v>
      </c>
      <c r="I610" s="10" t="s">
        <v>596</v>
      </c>
      <c r="J610" s="7" t="s">
        <v>597</v>
      </c>
      <c r="K610" s="10" t="s">
        <v>142</v>
      </c>
      <c r="L610" s="7" t="s">
        <v>143</v>
      </c>
      <c r="M610" s="7"/>
      <c r="N610" s="7">
        <f>VLOOKUP(J610,[1]Sheet1!$C:$D,2,FALSE)</f>
        <v>7526</v>
      </c>
      <c r="O610" s="7">
        <f>VLOOKUP(J610,[2]Desa!$A:$D,4,FALSE)</f>
        <v>156</v>
      </c>
      <c r="P610" s="7">
        <f>VLOOKUP(J610,[3]Sheet1!$D:$F,3,FALSE)</f>
        <v>51</v>
      </c>
      <c r="Q610" s="7"/>
      <c r="R610" s="7"/>
      <c r="S610" s="12">
        <v>-8.6401261498808104</v>
      </c>
      <c r="T610" s="12">
        <v>116.14841918141499</v>
      </c>
      <c r="U610" s="7"/>
      <c r="V610" s="50">
        <f>Table13678[[#This Row],[PAGU SEMULA]]-Table13678[[#This Row],[PAGU ANGGARAN]]</f>
        <v>-59000000</v>
      </c>
      <c r="W610" s="50">
        <f>Table13678[[#This Row],[PAGU SEMULA]]-Table13678[[#This Row],[PAGU ANGGARAN]]</f>
        <v>-59000000</v>
      </c>
      <c r="X610" t="s">
        <v>984</v>
      </c>
    </row>
    <row r="611" spans="3:24" hidden="1">
      <c r="C611" s="7" t="s">
        <v>29</v>
      </c>
      <c r="D611" s="7" t="s">
        <v>30</v>
      </c>
      <c r="E611" s="7" t="s">
        <v>31</v>
      </c>
      <c r="F611" s="7" t="s">
        <v>32</v>
      </c>
      <c r="G611" s="7" t="s">
        <v>33</v>
      </c>
      <c r="H611" s="8">
        <v>399000000</v>
      </c>
      <c r="I611" s="10" t="s">
        <v>596</v>
      </c>
      <c r="J611" s="7" t="s">
        <v>597</v>
      </c>
      <c r="K611" s="10" t="s">
        <v>142</v>
      </c>
      <c r="L611" s="7" t="s">
        <v>143</v>
      </c>
      <c r="M611" s="7"/>
      <c r="N611" s="7">
        <f>VLOOKUP(J611,[1]Sheet1!$C:$D,2,FALSE)</f>
        <v>7526</v>
      </c>
      <c r="O611" s="7">
        <f>VLOOKUP(J611,[2]Desa!$A:$D,4,FALSE)</f>
        <v>156</v>
      </c>
      <c r="P611" s="7">
        <f>VLOOKUP(J611,[3]Sheet1!$D:$F,3,FALSE)</f>
        <v>51</v>
      </c>
      <c r="Q611" s="7"/>
      <c r="R611" s="7"/>
      <c r="S611" s="12">
        <v>-8.6401261498808104</v>
      </c>
      <c r="T611" s="12">
        <v>116.14841918141499</v>
      </c>
      <c r="U611" s="7"/>
      <c r="V611" s="50">
        <f>Table13678[[#This Row],[PAGU SEMULA]]-Table13678[[#This Row],[PAGU ANGGARAN]]</f>
        <v>-399000000</v>
      </c>
      <c r="W611" s="50">
        <f>Table13678[[#This Row],[PAGU SEMULA]]-Table13678[[#This Row],[PAGU ANGGARAN]]</f>
        <v>-399000000</v>
      </c>
      <c r="X611" t="s">
        <v>984</v>
      </c>
    </row>
    <row r="612" spans="3:24" hidden="1">
      <c r="C612" s="7" t="s">
        <v>29</v>
      </c>
      <c r="D612" s="7" t="s">
        <v>30</v>
      </c>
      <c r="E612" s="7" t="s">
        <v>31</v>
      </c>
      <c r="F612" s="7" t="s">
        <v>32</v>
      </c>
      <c r="G612" s="7" t="s">
        <v>34</v>
      </c>
      <c r="H612" s="8">
        <v>31920000</v>
      </c>
      <c r="I612" s="10" t="s">
        <v>596</v>
      </c>
      <c r="J612" s="7" t="s">
        <v>597</v>
      </c>
      <c r="K612" s="10" t="s">
        <v>142</v>
      </c>
      <c r="L612" s="7" t="s">
        <v>143</v>
      </c>
      <c r="M612" s="7"/>
      <c r="N612" s="7">
        <f>VLOOKUP(J612,[1]Sheet1!$C:$D,2,FALSE)</f>
        <v>7526</v>
      </c>
      <c r="O612" s="7">
        <f>VLOOKUP(J612,[2]Desa!$A:$D,4,FALSE)</f>
        <v>156</v>
      </c>
      <c r="P612" s="7">
        <f>VLOOKUP(J612,[3]Sheet1!$D:$F,3,FALSE)</f>
        <v>51</v>
      </c>
      <c r="Q612" s="7"/>
      <c r="R612" s="7"/>
      <c r="S612" s="12">
        <v>-8.6401261498808104</v>
      </c>
      <c r="T612" s="12">
        <v>116.14841918141499</v>
      </c>
      <c r="U612" s="7"/>
      <c r="V612" s="50">
        <f>Table13678[[#This Row],[PAGU SEMULA]]-Table13678[[#This Row],[PAGU ANGGARAN]]</f>
        <v>-31920000</v>
      </c>
      <c r="W612" s="50">
        <f>Table13678[[#This Row],[PAGU SEMULA]]-Table13678[[#This Row],[PAGU ANGGARAN]]</f>
        <v>-31920000</v>
      </c>
      <c r="X612" t="s">
        <v>984</v>
      </c>
    </row>
    <row r="613" spans="3:24" hidden="1">
      <c r="C613" s="7" t="s">
        <v>35</v>
      </c>
      <c r="D613" s="7" t="s">
        <v>36</v>
      </c>
      <c r="E613" s="7" t="s">
        <v>37</v>
      </c>
      <c r="F613" s="7" t="s">
        <v>38</v>
      </c>
      <c r="G613" s="7" t="s">
        <v>39</v>
      </c>
      <c r="H613" s="15">
        <v>75000000</v>
      </c>
      <c r="I613" s="10" t="s">
        <v>596</v>
      </c>
      <c r="J613" s="7" t="s">
        <v>597</v>
      </c>
      <c r="K613" s="10" t="s">
        <v>142</v>
      </c>
      <c r="L613" s="7" t="s">
        <v>143</v>
      </c>
      <c r="M613" s="7"/>
      <c r="N613" s="7">
        <f>VLOOKUP(J613,[1]Sheet1!$C:$D,2,FALSE)</f>
        <v>7526</v>
      </c>
      <c r="O613" s="7">
        <f>VLOOKUP(J613,[2]Desa!$A:$D,4,FALSE)</f>
        <v>156</v>
      </c>
      <c r="P613" s="7">
        <f>VLOOKUP(J613,[3]Sheet1!$D:$F,3,FALSE)</f>
        <v>51</v>
      </c>
      <c r="Q613" s="7"/>
      <c r="R613" s="7"/>
      <c r="S613" s="12">
        <v>-8.6401261498808104</v>
      </c>
      <c r="T613" s="12">
        <v>116.14841918141499</v>
      </c>
      <c r="U613" s="7"/>
      <c r="V613" s="50">
        <f>Table13678[[#This Row],[PAGU SEMULA]]-Table13678[[#This Row],[PAGU ANGGARAN]]</f>
        <v>-75000000</v>
      </c>
      <c r="W613" s="50">
        <f>Table13678[[#This Row],[PAGU SEMULA]]-Table13678[[#This Row],[PAGU ANGGARAN]]</f>
        <v>-75000000</v>
      </c>
      <c r="X613" t="s">
        <v>984</v>
      </c>
    </row>
    <row r="614" spans="3:24" hidden="1">
      <c r="C614" s="7" t="s">
        <v>35</v>
      </c>
      <c r="D614" s="7" t="s">
        <v>52</v>
      </c>
      <c r="E614" s="7" t="s">
        <v>95</v>
      </c>
      <c r="F614" s="7" t="s">
        <v>96</v>
      </c>
      <c r="G614" s="7" t="s">
        <v>601</v>
      </c>
      <c r="H614" s="17">
        <v>290250000</v>
      </c>
      <c r="I614" s="10" t="s">
        <v>596</v>
      </c>
      <c r="J614" s="7" t="s">
        <v>597</v>
      </c>
      <c r="K614" s="10" t="s">
        <v>142</v>
      </c>
      <c r="L614" s="7" t="s">
        <v>143</v>
      </c>
      <c r="M614" s="7"/>
      <c r="N614" s="7">
        <f>VLOOKUP(J614,[1]Sheet1!$C:$D,2,FALSE)</f>
        <v>7526</v>
      </c>
      <c r="O614" s="7">
        <f>VLOOKUP(J614,[2]Desa!$A:$D,4,FALSE)</f>
        <v>156</v>
      </c>
      <c r="P614" s="7">
        <f>VLOOKUP(J614,[3]Sheet1!$D:$F,3,FALSE)</f>
        <v>51</v>
      </c>
      <c r="Q614" s="7"/>
      <c r="R614" s="7"/>
      <c r="S614" s="12">
        <v>-8.6401261498808104</v>
      </c>
      <c r="T614" s="12">
        <v>116.14841918141499</v>
      </c>
      <c r="U614" s="7"/>
      <c r="V614" s="50">
        <f>Table13678[[#This Row],[PAGU SEMULA]]-Table13678[[#This Row],[PAGU ANGGARAN]]</f>
        <v>-290250000</v>
      </c>
      <c r="W614" s="50">
        <f>Table13678[[#This Row],[PAGU SEMULA]]-Table13678[[#This Row],[PAGU ANGGARAN]]</f>
        <v>-290250000</v>
      </c>
      <c r="X614" t="s">
        <v>986</v>
      </c>
    </row>
    <row r="615" spans="3:24" hidden="1">
      <c r="C615" s="7" t="s">
        <v>35</v>
      </c>
      <c r="D615" s="7" t="s">
        <v>52</v>
      </c>
      <c r="E615" s="7" t="s">
        <v>95</v>
      </c>
      <c r="F615" s="7" t="s">
        <v>96</v>
      </c>
      <c r="G615" s="7" t="s">
        <v>602</v>
      </c>
      <c r="H615" s="17">
        <v>215000000</v>
      </c>
      <c r="I615" s="10" t="s">
        <v>596</v>
      </c>
      <c r="J615" s="7" t="s">
        <v>597</v>
      </c>
      <c r="K615" s="10" t="s">
        <v>142</v>
      </c>
      <c r="L615" s="7" t="s">
        <v>143</v>
      </c>
      <c r="M615" s="7"/>
      <c r="N615" s="7">
        <f>VLOOKUP(J615,[1]Sheet1!$C:$D,2,FALSE)</f>
        <v>7526</v>
      </c>
      <c r="O615" s="7">
        <f>VLOOKUP(J615,[2]Desa!$A:$D,4,FALSE)</f>
        <v>156</v>
      </c>
      <c r="P615" s="7">
        <f>VLOOKUP(J615,[3]Sheet1!$D:$F,3,FALSE)</f>
        <v>51</v>
      </c>
      <c r="Q615" s="7"/>
      <c r="R615" s="7"/>
      <c r="S615" s="12">
        <v>-8.6401261498808104</v>
      </c>
      <c r="T615" s="12">
        <v>116.14841918141499</v>
      </c>
      <c r="U615" s="7"/>
      <c r="V615" s="50">
        <f>Table13678[[#This Row],[PAGU SEMULA]]-Table13678[[#This Row],[PAGU ANGGARAN]]</f>
        <v>-215000000</v>
      </c>
      <c r="W615" s="50">
        <f>Table13678[[#This Row],[PAGU SEMULA]]-Table13678[[#This Row],[PAGU ANGGARAN]]</f>
        <v>-215000000</v>
      </c>
      <c r="X615" t="s">
        <v>986</v>
      </c>
    </row>
    <row r="616" spans="3:24" hidden="1">
      <c r="C616" s="7" t="s">
        <v>35</v>
      </c>
      <c r="D616" s="7" t="s">
        <v>52</v>
      </c>
      <c r="E616" s="7" t="s">
        <v>95</v>
      </c>
      <c r="F616" s="7" t="s">
        <v>96</v>
      </c>
      <c r="G616" s="7" t="s">
        <v>41</v>
      </c>
      <c r="H616" s="17">
        <v>193500000</v>
      </c>
      <c r="I616" s="10" t="s">
        <v>596</v>
      </c>
      <c r="J616" s="7" t="s">
        <v>597</v>
      </c>
      <c r="K616" s="10" t="s">
        <v>142</v>
      </c>
      <c r="L616" s="7" t="s">
        <v>143</v>
      </c>
      <c r="M616" s="7"/>
      <c r="N616" s="7">
        <f>VLOOKUP(J616,[1]Sheet1!$C:$D,2,FALSE)</f>
        <v>7526</v>
      </c>
      <c r="O616" s="7">
        <f>VLOOKUP(J616,[2]Desa!$A:$D,4,FALSE)</f>
        <v>156</v>
      </c>
      <c r="P616" s="7">
        <f>VLOOKUP(J616,[3]Sheet1!$D:$F,3,FALSE)</f>
        <v>51</v>
      </c>
      <c r="Q616" s="7"/>
      <c r="R616" s="7"/>
      <c r="S616" s="12">
        <v>-8.6401261498808104</v>
      </c>
      <c r="T616" s="12">
        <v>116.14841918141499</v>
      </c>
      <c r="U616" s="7"/>
      <c r="V616" s="50">
        <f>Table13678[[#This Row],[PAGU SEMULA]]-Table13678[[#This Row],[PAGU ANGGARAN]]</f>
        <v>-193500000</v>
      </c>
      <c r="W616" s="50">
        <f>Table13678[[#This Row],[PAGU SEMULA]]-Table13678[[#This Row],[PAGU ANGGARAN]]</f>
        <v>-193500000</v>
      </c>
      <c r="X616" t="s">
        <v>986</v>
      </c>
    </row>
    <row r="617" spans="3:24" hidden="1">
      <c r="C617" s="7" t="s">
        <v>51</v>
      </c>
      <c r="D617" s="7" t="s">
        <v>52</v>
      </c>
      <c r="E617" s="7" t="s">
        <v>53</v>
      </c>
      <c r="F617" s="7" t="s">
        <v>54</v>
      </c>
      <c r="G617" s="7" t="s">
        <v>73</v>
      </c>
      <c r="H617" s="8">
        <v>189090000</v>
      </c>
      <c r="I617" s="10" t="s">
        <v>596</v>
      </c>
      <c r="J617" s="7" t="s">
        <v>597</v>
      </c>
      <c r="K617" s="10" t="s">
        <v>142</v>
      </c>
      <c r="L617" s="7" t="s">
        <v>143</v>
      </c>
      <c r="M617" s="7"/>
      <c r="N617" s="7">
        <f>VLOOKUP(J617,[1]Sheet1!$C:$D,2,FALSE)</f>
        <v>7526</v>
      </c>
      <c r="O617" s="7">
        <f>VLOOKUP(J617,[2]Desa!$A:$D,4,FALSE)</f>
        <v>156</v>
      </c>
      <c r="P617" s="7">
        <f>VLOOKUP(J617,[3]Sheet1!$D:$F,3,FALSE)</f>
        <v>51</v>
      </c>
      <c r="Q617" s="7"/>
      <c r="R617" s="7"/>
      <c r="S617" s="12">
        <v>-8.6401261498808104</v>
      </c>
      <c r="T617" s="12">
        <v>116.14841918141499</v>
      </c>
      <c r="U617" s="7"/>
      <c r="V617" s="50">
        <f>Table13678[[#This Row],[PAGU SEMULA]]-Table13678[[#This Row],[PAGU ANGGARAN]]</f>
        <v>-189090000</v>
      </c>
      <c r="W617" s="50">
        <f>Table13678[[#This Row],[PAGU SEMULA]]-Table13678[[#This Row],[PAGU ANGGARAN]]</f>
        <v>-189090000</v>
      </c>
      <c r="X617" t="s">
        <v>986</v>
      </c>
    </row>
    <row r="618" spans="3:24" hidden="1">
      <c r="C618" s="7" t="s">
        <v>51</v>
      </c>
      <c r="D618" s="7" t="s">
        <v>52</v>
      </c>
      <c r="E618" s="7" t="s">
        <v>53</v>
      </c>
      <c r="F618" s="7" t="s">
        <v>54</v>
      </c>
      <c r="G618" s="7" t="s">
        <v>73</v>
      </c>
      <c r="H618" s="8">
        <v>332340000</v>
      </c>
      <c r="I618" s="10" t="s">
        <v>596</v>
      </c>
      <c r="J618" s="7" t="s">
        <v>597</v>
      </c>
      <c r="K618" s="10" t="s">
        <v>142</v>
      </c>
      <c r="L618" s="7" t="s">
        <v>143</v>
      </c>
      <c r="M618" s="7"/>
      <c r="N618" s="7">
        <f>VLOOKUP(J618,[1]Sheet1!$C:$D,2,FALSE)</f>
        <v>7526</v>
      </c>
      <c r="O618" s="7">
        <f>VLOOKUP(J618,[2]Desa!$A:$D,4,FALSE)</f>
        <v>156</v>
      </c>
      <c r="P618" s="7">
        <f>VLOOKUP(J618,[3]Sheet1!$D:$F,3,FALSE)</f>
        <v>51</v>
      </c>
      <c r="Q618" s="7"/>
      <c r="R618" s="7"/>
      <c r="S618" s="12">
        <v>-8.6401261498808104</v>
      </c>
      <c r="T618" s="12">
        <v>116.14841918141499</v>
      </c>
      <c r="U618" s="7"/>
      <c r="V618" s="50">
        <f>Table13678[[#This Row],[PAGU SEMULA]]-Table13678[[#This Row],[PAGU ANGGARAN]]</f>
        <v>-332340000</v>
      </c>
      <c r="W618" s="50">
        <f>Table13678[[#This Row],[PAGU SEMULA]]-Table13678[[#This Row],[PAGU ANGGARAN]]</f>
        <v>-332340000</v>
      </c>
      <c r="X618" t="s">
        <v>986</v>
      </c>
    </row>
    <row r="619" spans="3:24" hidden="1">
      <c r="C619" s="7" t="s">
        <v>51</v>
      </c>
      <c r="D619" s="7" t="s">
        <v>52</v>
      </c>
      <c r="E619" s="7" t="s">
        <v>53</v>
      </c>
      <c r="F619" s="7" t="s">
        <v>54</v>
      </c>
      <c r="G619" s="7" t="s">
        <v>73</v>
      </c>
      <c r="H619" s="8">
        <v>189090000</v>
      </c>
      <c r="I619" s="10" t="s">
        <v>596</v>
      </c>
      <c r="J619" s="7" t="s">
        <v>597</v>
      </c>
      <c r="K619" s="10" t="s">
        <v>142</v>
      </c>
      <c r="L619" s="7" t="s">
        <v>143</v>
      </c>
      <c r="M619" s="7"/>
      <c r="N619" s="7">
        <f>VLOOKUP(J619,[1]Sheet1!$C:$D,2,FALSE)</f>
        <v>7526</v>
      </c>
      <c r="O619" s="7">
        <f>VLOOKUP(J619,[2]Desa!$A:$D,4,FALSE)</f>
        <v>156</v>
      </c>
      <c r="P619" s="7">
        <f>VLOOKUP(J619,[3]Sheet1!$D:$F,3,FALSE)</f>
        <v>51</v>
      </c>
      <c r="Q619" s="7"/>
      <c r="R619" s="7"/>
      <c r="S619" s="12">
        <v>-8.6401261498808104</v>
      </c>
      <c r="T619" s="12">
        <v>116.14841918141499</v>
      </c>
      <c r="U619" s="7"/>
      <c r="V619" s="50">
        <f>Table13678[[#This Row],[PAGU SEMULA]]-Table13678[[#This Row],[PAGU ANGGARAN]]</f>
        <v>-189090000</v>
      </c>
      <c r="W619" s="50">
        <f>Table13678[[#This Row],[PAGU SEMULA]]-Table13678[[#This Row],[PAGU ANGGARAN]]</f>
        <v>-189090000</v>
      </c>
      <c r="X619" t="s">
        <v>986</v>
      </c>
    </row>
    <row r="620" spans="3:24" hidden="1">
      <c r="C620" s="7" t="s">
        <v>394</v>
      </c>
      <c r="D620" s="7" t="s">
        <v>89</v>
      </c>
      <c r="E620" s="7" t="s">
        <v>454</v>
      </c>
      <c r="F620" s="7" t="s">
        <v>455</v>
      </c>
      <c r="G620" s="7" t="s">
        <v>456</v>
      </c>
      <c r="H620" s="8">
        <v>88500000</v>
      </c>
      <c r="I620" s="10" t="s">
        <v>596</v>
      </c>
      <c r="J620" s="7" t="s">
        <v>597</v>
      </c>
      <c r="K620" s="10" t="s">
        <v>142</v>
      </c>
      <c r="L620" s="7" t="s">
        <v>143</v>
      </c>
      <c r="M620" s="7"/>
      <c r="N620" s="7">
        <f>VLOOKUP(J620,[1]Sheet1!$C:$D,2,FALSE)</f>
        <v>7526</v>
      </c>
      <c r="O620" s="7">
        <f>VLOOKUP(J620,[2]Desa!$A:$D,4,FALSE)</f>
        <v>156</v>
      </c>
      <c r="P620" s="7">
        <f>VLOOKUP(J620,[3]Sheet1!$D:$F,3,FALSE)</f>
        <v>51</v>
      </c>
      <c r="Q620" s="7"/>
      <c r="R620" s="7"/>
      <c r="S620" s="12">
        <v>-8.6401261498808104</v>
      </c>
      <c r="T620" s="12">
        <v>116.14841918141499</v>
      </c>
      <c r="U620" s="7"/>
      <c r="V620" s="50">
        <f>Table13678[[#This Row],[PAGU SEMULA]]-Table13678[[#This Row],[PAGU ANGGARAN]]</f>
        <v>-88500000</v>
      </c>
      <c r="W620" s="50">
        <f>Table13678[[#This Row],[PAGU SEMULA]]-Table13678[[#This Row],[PAGU ANGGARAN]]</f>
        <v>-88500000</v>
      </c>
      <c r="X620" t="s">
        <v>982</v>
      </c>
    </row>
    <row r="621" spans="3:24" hidden="1">
      <c r="C621" s="7" t="s">
        <v>20</v>
      </c>
      <c r="D621" s="7" t="s">
        <v>104</v>
      </c>
      <c r="E621" s="7" t="s">
        <v>145</v>
      </c>
      <c r="F621" s="7" t="s">
        <v>146</v>
      </c>
      <c r="G621" s="71" t="s">
        <v>603</v>
      </c>
      <c r="H621" s="15">
        <v>59000000</v>
      </c>
      <c r="I621" s="10" t="s">
        <v>604</v>
      </c>
      <c r="J621" s="7" t="s">
        <v>605</v>
      </c>
      <c r="K621" s="10" t="s">
        <v>288</v>
      </c>
      <c r="L621" s="7" t="s">
        <v>289</v>
      </c>
      <c r="M621" s="7"/>
      <c r="N621" s="7">
        <f>VLOOKUP(J621,[1]Sheet1!$C:$D,2,FALSE)</f>
        <v>8726</v>
      </c>
      <c r="O621" s="7">
        <f>VLOOKUP(J621,[2]Desa!$A:$D,4,FALSE)</f>
        <v>208</v>
      </c>
      <c r="P621" s="7">
        <f>VLOOKUP(J621,[3]Sheet1!$D:$F,3,FALSE)</f>
        <v>48</v>
      </c>
      <c r="Q621" s="7"/>
      <c r="R621" s="7"/>
      <c r="S621" s="12">
        <v>-8.5188565717839797</v>
      </c>
      <c r="T621" s="12">
        <v>116.10066731024899</v>
      </c>
      <c r="U621" s="7"/>
      <c r="V621" s="50">
        <f>Table13678[[#This Row],[PAGU SEMULA]]-Table13678[[#This Row],[PAGU ANGGARAN]]</f>
        <v>-59000000</v>
      </c>
      <c r="W621" s="50">
        <f>Table13678[[#This Row],[PAGU SEMULA]]-Table13678[[#This Row],[PAGU ANGGARAN]]</f>
        <v>-59000000</v>
      </c>
      <c r="X621" t="s">
        <v>984</v>
      </c>
    </row>
    <row r="622" spans="3:24" hidden="1">
      <c r="C622" s="7" t="s">
        <v>29</v>
      </c>
      <c r="D622" s="7" t="s">
        <v>30</v>
      </c>
      <c r="E622" s="7" t="s">
        <v>31</v>
      </c>
      <c r="F622" s="7" t="s">
        <v>32</v>
      </c>
      <c r="G622" s="7" t="s">
        <v>33</v>
      </c>
      <c r="H622" s="8">
        <v>787500000</v>
      </c>
      <c r="I622" s="10" t="s">
        <v>604</v>
      </c>
      <c r="J622" s="7" t="s">
        <v>605</v>
      </c>
      <c r="K622" s="10" t="s">
        <v>288</v>
      </c>
      <c r="L622" s="7" t="s">
        <v>289</v>
      </c>
      <c r="M622" s="7"/>
      <c r="N622" s="7">
        <f>VLOOKUP(J622,[1]Sheet1!$C:$D,2,FALSE)</f>
        <v>8726</v>
      </c>
      <c r="O622" s="7">
        <f>VLOOKUP(J622,[2]Desa!$A:$D,4,FALSE)</f>
        <v>208</v>
      </c>
      <c r="P622" s="7">
        <f>VLOOKUP(J622,[3]Sheet1!$D:$F,3,FALSE)</f>
        <v>48</v>
      </c>
      <c r="Q622" s="7"/>
      <c r="R622" s="7"/>
      <c r="S622" s="12">
        <v>-8.5188565717839797</v>
      </c>
      <c r="T622" s="12">
        <v>116.10066731024899</v>
      </c>
      <c r="U622" s="7"/>
      <c r="V622" s="50">
        <f>Table13678[[#This Row],[PAGU SEMULA]]-Table13678[[#This Row],[PAGU ANGGARAN]]</f>
        <v>-787500000</v>
      </c>
      <c r="W622" s="50">
        <f>Table13678[[#This Row],[PAGU SEMULA]]-Table13678[[#This Row],[PAGU ANGGARAN]]</f>
        <v>-787500000</v>
      </c>
      <c r="X622" t="s">
        <v>984</v>
      </c>
    </row>
    <row r="623" spans="3:24" hidden="1">
      <c r="C623" s="7" t="s">
        <v>29</v>
      </c>
      <c r="D623" s="7" t="s">
        <v>30</v>
      </c>
      <c r="E623" s="7" t="s">
        <v>31</v>
      </c>
      <c r="F623" s="7" t="s">
        <v>32</v>
      </c>
      <c r="G623" s="7" t="s">
        <v>34</v>
      </c>
      <c r="H623" s="8">
        <v>63000000</v>
      </c>
      <c r="I623" s="10" t="s">
        <v>604</v>
      </c>
      <c r="J623" s="7" t="s">
        <v>605</v>
      </c>
      <c r="K623" s="10" t="s">
        <v>288</v>
      </c>
      <c r="L623" s="7" t="s">
        <v>289</v>
      </c>
      <c r="M623" s="7"/>
      <c r="N623" s="7">
        <f>VLOOKUP(J623,[1]Sheet1!$C:$D,2,FALSE)</f>
        <v>8726</v>
      </c>
      <c r="O623" s="7">
        <f>VLOOKUP(J623,[2]Desa!$A:$D,4,FALSE)</f>
        <v>208</v>
      </c>
      <c r="P623" s="7">
        <f>VLOOKUP(J623,[3]Sheet1!$D:$F,3,FALSE)</f>
        <v>48</v>
      </c>
      <c r="Q623" s="7"/>
      <c r="R623" s="7"/>
      <c r="S623" s="12">
        <v>-8.5188565717839797</v>
      </c>
      <c r="T623" s="12">
        <v>116.10066731024899</v>
      </c>
      <c r="U623" s="7"/>
      <c r="V623" s="50">
        <f>Table13678[[#This Row],[PAGU SEMULA]]-Table13678[[#This Row],[PAGU ANGGARAN]]</f>
        <v>-63000000</v>
      </c>
      <c r="W623" s="50">
        <f>Table13678[[#This Row],[PAGU SEMULA]]-Table13678[[#This Row],[PAGU ANGGARAN]]</f>
        <v>-63000000</v>
      </c>
      <c r="X623" t="s">
        <v>984</v>
      </c>
    </row>
    <row r="624" spans="3:24" hidden="1">
      <c r="C624" s="7" t="s">
        <v>35</v>
      </c>
      <c r="D624" s="7" t="s">
        <v>36</v>
      </c>
      <c r="E624" s="7" t="s">
        <v>37</v>
      </c>
      <c r="F624" s="7" t="s">
        <v>38</v>
      </c>
      <c r="G624" s="7" t="s">
        <v>39</v>
      </c>
      <c r="H624" s="15">
        <v>75000000</v>
      </c>
      <c r="I624" s="10" t="s">
        <v>604</v>
      </c>
      <c r="J624" s="7" t="s">
        <v>605</v>
      </c>
      <c r="K624" s="10" t="s">
        <v>288</v>
      </c>
      <c r="L624" s="7" t="s">
        <v>289</v>
      </c>
      <c r="M624" s="7"/>
      <c r="N624" s="7">
        <f>VLOOKUP(J624,[1]Sheet1!$C:$D,2,FALSE)</f>
        <v>8726</v>
      </c>
      <c r="O624" s="7">
        <f>VLOOKUP(J624,[2]Desa!$A:$D,4,FALSE)</f>
        <v>208</v>
      </c>
      <c r="P624" s="7">
        <f>VLOOKUP(J624,[3]Sheet1!$D:$F,3,FALSE)</f>
        <v>48</v>
      </c>
      <c r="Q624" s="7"/>
      <c r="R624" s="7"/>
      <c r="S624" s="12">
        <v>-8.5188565717839797</v>
      </c>
      <c r="T624" s="12">
        <v>116.10066731024899</v>
      </c>
      <c r="U624" s="7"/>
      <c r="V624" s="50">
        <f>Table13678[[#This Row],[PAGU SEMULA]]-Table13678[[#This Row],[PAGU ANGGARAN]]</f>
        <v>-75000000</v>
      </c>
      <c r="W624" s="50">
        <f>Table13678[[#This Row],[PAGU SEMULA]]-Table13678[[#This Row],[PAGU ANGGARAN]]</f>
        <v>-75000000</v>
      </c>
      <c r="X624" t="s">
        <v>984</v>
      </c>
    </row>
    <row r="625" spans="2:24" hidden="1">
      <c r="C625" s="7" t="s">
        <v>35</v>
      </c>
      <c r="D625" s="7" t="s">
        <v>52</v>
      </c>
      <c r="E625" s="7" t="s">
        <v>95</v>
      </c>
      <c r="F625" s="7" t="s">
        <v>96</v>
      </c>
      <c r="G625" s="7" t="s">
        <v>41</v>
      </c>
      <c r="H625" s="17">
        <v>290250000</v>
      </c>
      <c r="I625" s="10" t="s">
        <v>604</v>
      </c>
      <c r="J625" s="7" t="s">
        <v>605</v>
      </c>
      <c r="K625" s="10" t="s">
        <v>288</v>
      </c>
      <c r="L625" s="7" t="s">
        <v>289</v>
      </c>
      <c r="M625" s="7"/>
      <c r="N625" s="7">
        <f>VLOOKUP(J625,[1]Sheet1!$C:$D,2,FALSE)</f>
        <v>8726</v>
      </c>
      <c r="O625" s="7">
        <f>VLOOKUP(J625,[2]Desa!$A:$D,4,FALSE)</f>
        <v>208</v>
      </c>
      <c r="P625" s="7">
        <f>VLOOKUP(J625,[3]Sheet1!$D:$F,3,FALSE)</f>
        <v>48</v>
      </c>
      <c r="Q625" s="7"/>
      <c r="R625" s="7"/>
      <c r="S625" s="12">
        <v>-8.5188565717839797</v>
      </c>
      <c r="T625" s="12">
        <v>116.10066731024899</v>
      </c>
      <c r="U625" s="7"/>
      <c r="V625" s="50">
        <f>Table13678[[#This Row],[PAGU SEMULA]]-Table13678[[#This Row],[PAGU ANGGARAN]]</f>
        <v>-290250000</v>
      </c>
      <c r="W625" s="50">
        <f>Table13678[[#This Row],[PAGU SEMULA]]-Table13678[[#This Row],[PAGU ANGGARAN]]</f>
        <v>-290250000</v>
      </c>
      <c r="X625" t="s">
        <v>986</v>
      </c>
    </row>
    <row r="626" spans="2:24" hidden="1">
      <c r="C626" s="7" t="s">
        <v>35</v>
      </c>
      <c r="D626" s="7" t="s">
        <v>65</v>
      </c>
      <c r="E626" s="7" t="s">
        <v>66</v>
      </c>
      <c r="F626" s="7" t="s">
        <v>322</v>
      </c>
      <c r="G626" s="7" t="s">
        <v>322</v>
      </c>
      <c r="H626" s="15">
        <v>68302000</v>
      </c>
      <c r="I626" s="10" t="s">
        <v>604</v>
      </c>
      <c r="J626" s="7" t="s">
        <v>605</v>
      </c>
      <c r="K626" s="10" t="s">
        <v>207</v>
      </c>
      <c r="L626" s="7" t="s">
        <v>289</v>
      </c>
      <c r="M626" s="7"/>
      <c r="N626" s="7">
        <f>VLOOKUP(J626,[1]Sheet1!$C:$D,2,FALSE)</f>
        <v>8726</v>
      </c>
      <c r="O626" s="7">
        <f>VLOOKUP(J626,[2]Desa!$A:$D,4,FALSE)</f>
        <v>208</v>
      </c>
      <c r="P626" s="7">
        <f>VLOOKUP(J626,[3]Sheet1!$D:$F,3,FALSE)</f>
        <v>48</v>
      </c>
      <c r="Q626" s="7"/>
      <c r="R626" s="7"/>
      <c r="S626" s="12">
        <v>-8.5188565717839797</v>
      </c>
      <c r="T626" s="12">
        <v>116.10066731024899</v>
      </c>
      <c r="U626" s="7"/>
      <c r="V626" s="50">
        <f>Table13678[[#This Row],[PAGU SEMULA]]-Table13678[[#This Row],[PAGU ANGGARAN]]</f>
        <v>-68302000</v>
      </c>
      <c r="W626" s="50">
        <f>Table13678[[#This Row],[PAGU SEMULA]]-Table13678[[#This Row],[PAGU ANGGARAN]]</f>
        <v>-68302000</v>
      </c>
      <c r="X626" t="s">
        <v>986</v>
      </c>
    </row>
    <row r="627" spans="2:24" hidden="1">
      <c r="B627" t="s">
        <v>232</v>
      </c>
      <c r="C627" s="7" t="s">
        <v>68</v>
      </c>
      <c r="D627" s="7" t="s">
        <v>535</v>
      </c>
      <c r="E627" s="7" t="s">
        <v>536</v>
      </c>
      <c r="F627" s="7" t="s">
        <v>233</v>
      </c>
      <c r="G627" s="7" t="s">
        <v>606</v>
      </c>
      <c r="H627" s="8">
        <v>30000000</v>
      </c>
      <c r="I627" s="10" t="s">
        <v>604</v>
      </c>
      <c r="J627" s="7" t="s">
        <v>605</v>
      </c>
      <c r="K627" s="10" t="s">
        <v>288</v>
      </c>
      <c r="L627" s="7" t="s">
        <v>289</v>
      </c>
      <c r="M627" s="7"/>
      <c r="N627" s="7">
        <f>VLOOKUP(J627,[1]Sheet1!$C:$D,2,FALSE)</f>
        <v>8726</v>
      </c>
      <c r="O627" s="7">
        <f>VLOOKUP(J627,[2]Desa!$A:$D,4,FALSE)</f>
        <v>208</v>
      </c>
      <c r="P627" s="7">
        <f>VLOOKUP(J627,[3]Sheet1!$D:$F,3,FALSE)</f>
        <v>48</v>
      </c>
      <c r="Q627" s="7"/>
      <c r="R627" s="7"/>
      <c r="S627" s="12">
        <v>-8.5188565717839797</v>
      </c>
      <c r="T627" s="12">
        <v>116.10066731024899</v>
      </c>
      <c r="U627" s="7"/>
      <c r="V627" s="50">
        <f>Table13678[[#This Row],[PAGU SEMULA]]-Table13678[[#This Row],[PAGU ANGGARAN]]</f>
        <v>-30000000</v>
      </c>
      <c r="W627" s="50">
        <f>Table13678[[#This Row],[PAGU SEMULA]]-Table13678[[#This Row],[PAGU ANGGARAN]]</f>
        <v>-30000000</v>
      </c>
      <c r="X627" t="s">
        <v>982</v>
      </c>
    </row>
    <row r="628" spans="2:24" hidden="1">
      <c r="C628" s="7" t="s">
        <v>264</v>
      </c>
      <c r="D628" s="7" t="s">
        <v>61</v>
      </c>
      <c r="E628" s="7" t="s">
        <v>265</v>
      </c>
      <c r="F628" s="7" t="s">
        <v>266</v>
      </c>
      <c r="G628" s="7" t="s">
        <v>267</v>
      </c>
      <c r="H628" s="8">
        <v>45000000</v>
      </c>
      <c r="I628" s="10" t="s">
        <v>604</v>
      </c>
      <c r="J628" s="7" t="s">
        <v>605</v>
      </c>
      <c r="K628" s="10" t="s">
        <v>288</v>
      </c>
      <c r="L628" s="7" t="s">
        <v>289</v>
      </c>
      <c r="M628" s="7"/>
      <c r="N628" s="7">
        <f>VLOOKUP(J628,[1]Sheet1!$C:$D,2,FALSE)</f>
        <v>8726</v>
      </c>
      <c r="O628" s="7">
        <f>VLOOKUP(J628,[2]Desa!$A:$D,4,FALSE)</f>
        <v>208</v>
      </c>
      <c r="P628" s="7">
        <f>VLOOKUP(J628,[3]Sheet1!$D:$F,3,FALSE)</f>
        <v>48</v>
      </c>
      <c r="Q628" s="7"/>
      <c r="R628" s="7"/>
      <c r="S628" s="12">
        <v>-8.5188565717839797</v>
      </c>
      <c r="T628" s="12">
        <v>116.10066731024899</v>
      </c>
      <c r="U628" s="7"/>
      <c r="V628" s="50">
        <f>Table13678[[#This Row],[PAGU SEMULA]]-Table13678[[#This Row],[PAGU ANGGARAN]]</f>
        <v>-45000000</v>
      </c>
      <c r="W628" s="50">
        <f>Table13678[[#This Row],[PAGU SEMULA]]-Table13678[[#This Row],[PAGU ANGGARAN]]</f>
        <v>-45000000</v>
      </c>
      <c r="X628" t="s">
        <v>987</v>
      </c>
    </row>
    <row r="629" spans="2:24" hidden="1">
      <c r="C629" s="7" t="s">
        <v>51</v>
      </c>
      <c r="D629" s="7" t="s">
        <v>52</v>
      </c>
      <c r="E629" s="7" t="s">
        <v>53</v>
      </c>
      <c r="F629" s="7" t="s">
        <v>54</v>
      </c>
      <c r="G629" s="7" t="s">
        <v>55</v>
      </c>
      <c r="H629" s="8">
        <v>189090000</v>
      </c>
      <c r="I629" s="10" t="s">
        <v>604</v>
      </c>
      <c r="J629" s="7" t="s">
        <v>605</v>
      </c>
      <c r="K629" s="10" t="s">
        <v>288</v>
      </c>
      <c r="L629" s="7" t="s">
        <v>289</v>
      </c>
      <c r="M629" s="7"/>
      <c r="N629" s="7">
        <f>VLOOKUP(J629,[1]Sheet1!$C:$D,2,FALSE)</f>
        <v>8726</v>
      </c>
      <c r="O629" s="7">
        <f>VLOOKUP(J629,[2]Desa!$A:$D,4,FALSE)</f>
        <v>208</v>
      </c>
      <c r="P629" s="7">
        <f>VLOOKUP(J629,[3]Sheet1!$D:$F,3,FALSE)</f>
        <v>48</v>
      </c>
      <c r="Q629" s="7"/>
      <c r="R629" s="7"/>
      <c r="S629" s="12">
        <v>-8.5188565717839797</v>
      </c>
      <c r="T629" s="12">
        <v>116.10066731024899</v>
      </c>
      <c r="U629" s="7"/>
      <c r="V629" s="50">
        <f>Table13678[[#This Row],[PAGU SEMULA]]-Table13678[[#This Row],[PAGU ANGGARAN]]</f>
        <v>-189090000</v>
      </c>
      <c r="W629" s="50">
        <f>Table13678[[#This Row],[PAGU SEMULA]]-Table13678[[#This Row],[PAGU ANGGARAN]]</f>
        <v>-189090000</v>
      </c>
      <c r="X629" t="s">
        <v>986</v>
      </c>
    </row>
    <row r="630" spans="2:24" hidden="1">
      <c r="C630" s="7" t="s">
        <v>51</v>
      </c>
      <c r="D630" s="7" t="s">
        <v>607</v>
      </c>
      <c r="E630" s="7" t="s">
        <v>608</v>
      </c>
      <c r="F630" s="7" t="s">
        <v>609</v>
      </c>
      <c r="G630" s="7" t="s">
        <v>610</v>
      </c>
      <c r="H630" s="8">
        <v>382000000</v>
      </c>
      <c r="I630" s="10" t="s">
        <v>604</v>
      </c>
      <c r="J630" s="7" t="s">
        <v>605</v>
      </c>
      <c r="K630" s="10" t="s">
        <v>288</v>
      </c>
      <c r="L630" s="7" t="s">
        <v>289</v>
      </c>
      <c r="M630" s="7"/>
      <c r="N630" s="7">
        <f>VLOOKUP(J630,[1]Sheet1!$C:$D,2,FALSE)</f>
        <v>8726</v>
      </c>
      <c r="O630" s="7">
        <f>VLOOKUP(J630,[2]Desa!$A:$D,4,FALSE)</f>
        <v>208</v>
      </c>
      <c r="P630" s="7">
        <f>VLOOKUP(J630,[3]Sheet1!$D:$F,3,FALSE)</f>
        <v>48</v>
      </c>
      <c r="Q630" s="7"/>
      <c r="R630" s="7"/>
      <c r="S630" s="12">
        <v>-8.5188565717839797</v>
      </c>
      <c r="T630" s="12">
        <v>116.10066731024899</v>
      </c>
      <c r="U630" s="7"/>
      <c r="V630" s="50">
        <f>Table13678[[#This Row],[PAGU SEMULA]]-Table13678[[#This Row],[PAGU ANGGARAN]]</f>
        <v>-382000000</v>
      </c>
      <c r="W630" s="50">
        <f>Table13678[[#This Row],[PAGU SEMULA]]-Table13678[[#This Row],[PAGU ANGGARAN]]</f>
        <v>-382000000</v>
      </c>
      <c r="X630" t="s">
        <v>984</v>
      </c>
    </row>
    <row r="631" spans="2:24" hidden="1">
      <c r="C631" s="7" t="s">
        <v>51</v>
      </c>
      <c r="D631" s="7" t="s">
        <v>255</v>
      </c>
      <c r="E631" s="7" t="s">
        <v>611</v>
      </c>
      <c r="F631" s="7" t="s">
        <v>612</v>
      </c>
      <c r="G631" s="7" t="s">
        <v>369</v>
      </c>
      <c r="H631" s="8">
        <v>30000000</v>
      </c>
      <c r="I631" s="10" t="s">
        <v>604</v>
      </c>
      <c r="J631" s="7" t="s">
        <v>605</v>
      </c>
      <c r="K631" s="10" t="s">
        <v>288</v>
      </c>
      <c r="L631" s="7" t="s">
        <v>289</v>
      </c>
      <c r="M631" s="7"/>
      <c r="N631" s="7">
        <f>VLOOKUP(J631,[1]Sheet1!$C:$D,2,FALSE)</f>
        <v>8726</v>
      </c>
      <c r="O631" s="7">
        <f>VLOOKUP(J631,[2]Desa!$A:$D,4,FALSE)</f>
        <v>208</v>
      </c>
      <c r="P631" s="7">
        <f>VLOOKUP(J631,[3]Sheet1!$D:$F,3,FALSE)</f>
        <v>48</v>
      </c>
      <c r="Q631" s="7"/>
      <c r="R631" s="7"/>
      <c r="S631" s="12">
        <v>-8.5188565717839797</v>
      </c>
      <c r="T631" s="12">
        <v>116.10066731024899</v>
      </c>
      <c r="U631" s="7"/>
      <c r="V631" s="50">
        <f>Table13678[[#This Row],[PAGU SEMULA]]-Table13678[[#This Row],[PAGU ANGGARAN]]</f>
        <v>-30000000</v>
      </c>
      <c r="W631" s="50">
        <f>Table13678[[#This Row],[PAGU SEMULA]]-Table13678[[#This Row],[PAGU ANGGARAN]]</f>
        <v>-30000000</v>
      </c>
      <c r="X631" t="s">
        <v>986</v>
      </c>
    </row>
    <row r="632" spans="2:24" hidden="1">
      <c r="C632" s="7" t="s">
        <v>394</v>
      </c>
      <c r="D632" s="7" t="s">
        <v>89</v>
      </c>
      <c r="E632" s="7" t="s">
        <v>454</v>
      </c>
      <c r="F632" s="7" t="s">
        <v>455</v>
      </c>
      <c r="G632" s="7" t="s">
        <v>456</v>
      </c>
      <c r="H632" s="8">
        <v>309750000</v>
      </c>
      <c r="I632" s="10" t="s">
        <v>604</v>
      </c>
      <c r="J632" s="7" t="s">
        <v>605</v>
      </c>
      <c r="K632" s="10" t="s">
        <v>288</v>
      </c>
      <c r="L632" s="7" t="s">
        <v>289</v>
      </c>
      <c r="M632" s="7"/>
      <c r="N632" s="7">
        <f>VLOOKUP(J632,[1]Sheet1!$C:$D,2,FALSE)</f>
        <v>8726</v>
      </c>
      <c r="O632" s="7">
        <f>VLOOKUP(J632,[2]Desa!$A:$D,4,FALSE)</f>
        <v>208</v>
      </c>
      <c r="P632" s="7">
        <f>VLOOKUP(J632,[3]Sheet1!$D:$F,3,FALSE)</f>
        <v>48</v>
      </c>
      <c r="Q632" s="7"/>
      <c r="R632" s="7"/>
      <c r="S632" s="12">
        <v>-8.5188565717839797</v>
      </c>
      <c r="T632" s="12">
        <v>116.10066731024899</v>
      </c>
      <c r="U632" s="7"/>
      <c r="V632" s="50">
        <f>Table13678[[#This Row],[PAGU SEMULA]]-Table13678[[#This Row],[PAGU ANGGARAN]]</f>
        <v>-309750000</v>
      </c>
      <c r="W632" s="50">
        <f>Table13678[[#This Row],[PAGU SEMULA]]-Table13678[[#This Row],[PAGU ANGGARAN]]</f>
        <v>-309750000</v>
      </c>
      <c r="X632" t="s">
        <v>982</v>
      </c>
    </row>
    <row r="633" spans="2:24" hidden="1">
      <c r="C633" s="7" t="s">
        <v>29</v>
      </c>
      <c r="D633" s="7" t="s">
        <v>30</v>
      </c>
      <c r="E633" s="7" t="s">
        <v>31</v>
      </c>
      <c r="F633" s="7" t="s">
        <v>32</v>
      </c>
      <c r="G633" s="7" t="s">
        <v>33</v>
      </c>
      <c r="H633" s="8">
        <v>456960000</v>
      </c>
      <c r="I633" s="10" t="s">
        <v>613</v>
      </c>
      <c r="J633" s="7" t="s">
        <v>614</v>
      </c>
      <c r="K633" s="10" t="s">
        <v>288</v>
      </c>
      <c r="L633" s="7" t="s">
        <v>289</v>
      </c>
      <c r="M633" s="7"/>
      <c r="N633" s="7">
        <f>VLOOKUP(J633,[1]Sheet1!$C:$D,2,FALSE)</f>
        <v>6458</v>
      </c>
      <c r="O633" s="7">
        <f>VLOOKUP(J633,[2]Desa!$A:$D,4,FALSE)</f>
        <v>191</v>
      </c>
      <c r="P633" s="7">
        <f>VLOOKUP(J633,[3]Sheet1!$D:$F,3,FALSE)</f>
        <v>61</v>
      </c>
      <c r="Q633" s="7"/>
      <c r="R633" s="7"/>
      <c r="S633" s="12">
        <v>-8.5572233035400398</v>
      </c>
      <c r="T633" s="12">
        <v>116.128450208399</v>
      </c>
      <c r="U633" s="7"/>
      <c r="V633" s="50">
        <f>Table13678[[#This Row],[PAGU SEMULA]]-Table13678[[#This Row],[PAGU ANGGARAN]]</f>
        <v>-456960000</v>
      </c>
      <c r="W633" s="50">
        <f>Table13678[[#This Row],[PAGU SEMULA]]-Table13678[[#This Row],[PAGU ANGGARAN]]</f>
        <v>-456960000</v>
      </c>
      <c r="X633" t="s">
        <v>984</v>
      </c>
    </row>
    <row r="634" spans="2:24" hidden="1">
      <c r="C634" s="7" t="s">
        <v>29</v>
      </c>
      <c r="D634" s="7" t="s">
        <v>30</v>
      </c>
      <c r="E634" s="7" t="s">
        <v>31</v>
      </c>
      <c r="F634" s="7" t="s">
        <v>32</v>
      </c>
      <c r="G634" s="7" t="s">
        <v>34</v>
      </c>
      <c r="H634" s="8">
        <v>36556800</v>
      </c>
      <c r="I634" s="10" t="s">
        <v>613</v>
      </c>
      <c r="J634" s="7" t="s">
        <v>614</v>
      </c>
      <c r="K634" s="10" t="s">
        <v>288</v>
      </c>
      <c r="L634" s="7" t="s">
        <v>289</v>
      </c>
      <c r="M634" s="7"/>
      <c r="N634" s="7">
        <f>VLOOKUP(J634,[1]Sheet1!$C:$D,2,FALSE)</f>
        <v>6458</v>
      </c>
      <c r="O634" s="7">
        <f>VLOOKUP(J634,[2]Desa!$A:$D,4,FALSE)</f>
        <v>191</v>
      </c>
      <c r="P634" s="7">
        <f>VLOOKUP(J634,[3]Sheet1!$D:$F,3,FALSE)</f>
        <v>61</v>
      </c>
      <c r="Q634" s="7"/>
      <c r="R634" s="7"/>
      <c r="S634" s="12">
        <v>-8.5572233035400398</v>
      </c>
      <c r="T634" s="12">
        <v>116.128450208399</v>
      </c>
      <c r="U634" s="7"/>
      <c r="V634" s="50">
        <f>Table13678[[#This Row],[PAGU SEMULA]]-Table13678[[#This Row],[PAGU ANGGARAN]]</f>
        <v>-36556800</v>
      </c>
      <c r="W634" s="50">
        <f>Table13678[[#This Row],[PAGU SEMULA]]-Table13678[[#This Row],[PAGU ANGGARAN]]</f>
        <v>-36556800</v>
      </c>
      <c r="X634" t="s">
        <v>984</v>
      </c>
    </row>
    <row r="635" spans="2:24" hidden="1">
      <c r="C635" s="7" t="s">
        <v>110</v>
      </c>
      <c r="D635" s="7" t="s">
        <v>208</v>
      </c>
      <c r="E635" s="7" t="s">
        <v>209</v>
      </c>
      <c r="F635" s="7" t="s">
        <v>210</v>
      </c>
      <c r="G635" s="71" t="s">
        <v>615</v>
      </c>
      <c r="H635" s="8">
        <v>28050000</v>
      </c>
      <c r="I635" s="10" t="s">
        <v>613</v>
      </c>
      <c r="J635" s="7" t="s">
        <v>614</v>
      </c>
      <c r="K635" s="10" t="s">
        <v>167</v>
      </c>
      <c r="L635" s="7" t="s">
        <v>168</v>
      </c>
      <c r="M635" s="7"/>
      <c r="N635" s="7">
        <f>VLOOKUP(J635,[1]Sheet1!$C:$D,2,FALSE)</f>
        <v>6458</v>
      </c>
      <c r="O635" s="7">
        <f>VLOOKUP(J635,[2]Desa!$A:$D,4,FALSE)</f>
        <v>191</v>
      </c>
      <c r="P635" s="7">
        <f>VLOOKUP(J635,[3]Sheet1!$D:$F,3,FALSE)</f>
        <v>61</v>
      </c>
      <c r="Q635" s="7"/>
      <c r="R635" s="7"/>
      <c r="S635" s="12">
        <v>-8.5572233035400398</v>
      </c>
      <c r="T635" s="12">
        <v>116.128450208399</v>
      </c>
      <c r="U635" s="7"/>
      <c r="V635" s="50">
        <f>Table13678[[#This Row],[PAGU SEMULA]]-Table13678[[#This Row],[PAGU ANGGARAN]]</f>
        <v>-28050000</v>
      </c>
      <c r="W635" s="50">
        <f>Table13678[[#This Row],[PAGU SEMULA]]-Table13678[[#This Row],[PAGU ANGGARAN]]</f>
        <v>-28050000</v>
      </c>
      <c r="X635" t="s">
        <v>982</v>
      </c>
    </row>
    <row r="636" spans="2:24" hidden="1">
      <c r="C636" s="7" t="s">
        <v>35</v>
      </c>
      <c r="D636" s="7" t="s">
        <v>36</v>
      </c>
      <c r="E636" s="7" t="s">
        <v>37</v>
      </c>
      <c r="F636" s="7" t="s">
        <v>38</v>
      </c>
      <c r="G636" s="7" t="s">
        <v>39</v>
      </c>
      <c r="H636" s="15">
        <v>75000000</v>
      </c>
      <c r="I636" s="10" t="s">
        <v>613</v>
      </c>
      <c r="J636" s="7" t="s">
        <v>614</v>
      </c>
      <c r="K636" s="10" t="s">
        <v>288</v>
      </c>
      <c r="L636" s="7" t="s">
        <v>289</v>
      </c>
      <c r="M636" s="7"/>
      <c r="N636" s="7">
        <f>VLOOKUP(J636,[1]Sheet1!$C:$D,2,FALSE)</f>
        <v>6458</v>
      </c>
      <c r="O636" s="7">
        <f>VLOOKUP(J636,[2]Desa!$A:$D,4,FALSE)</f>
        <v>191</v>
      </c>
      <c r="P636" s="7">
        <f>VLOOKUP(J636,[3]Sheet1!$D:$F,3,FALSE)</f>
        <v>61</v>
      </c>
      <c r="Q636" s="7"/>
      <c r="R636" s="7"/>
      <c r="S636" s="12">
        <v>-8.5572233035400398</v>
      </c>
      <c r="T636" s="12">
        <v>116.128450208399</v>
      </c>
      <c r="U636" s="7"/>
      <c r="V636" s="50">
        <f>Table13678[[#This Row],[PAGU SEMULA]]-Table13678[[#This Row],[PAGU ANGGARAN]]</f>
        <v>-75000000</v>
      </c>
      <c r="W636" s="50">
        <f>Table13678[[#This Row],[PAGU SEMULA]]-Table13678[[#This Row],[PAGU ANGGARAN]]</f>
        <v>-75000000</v>
      </c>
      <c r="X636" t="s">
        <v>984</v>
      </c>
    </row>
    <row r="637" spans="2:24" hidden="1">
      <c r="C637" s="7" t="s">
        <v>35</v>
      </c>
      <c r="D637" s="7" t="s">
        <v>65</v>
      </c>
      <c r="E637" s="7" t="s">
        <v>66</v>
      </c>
      <c r="F637" s="7" t="s">
        <v>322</v>
      </c>
      <c r="G637" s="7" t="s">
        <v>322</v>
      </c>
      <c r="H637" s="15">
        <v>68302000</v>
      </c>
      <c r="I637" s="10" t="s">
        <v>613</v>
      </c>
      <c r="J637" s="7" t="s">
        <v>614</v>
      </c>
      <c r="K637" s="10" t="s">
        <v>288</v>
      </c>
      <c r="L637" s="7" t="s">
        <v>289</v>
      </c>
      <c r="M637" s="7"/>
      <c r="N637" s="7">
        <f>VLOOKUP(J637,[1]Sheet1!$C:$D,2,FALSE)</f>
        <v>6458</v>
      </c>
      <c r="O637" s="7">
        <f>VLOOKUP(J637,[2]Desa!$A:$D,4,FALSE)</f>
        <v>191</v>
      </c>
      <c r="P637" s="7">
        <f>VLOOKUP(J637,[3]Sheet1!$D:$F,3,FALSE)</f>
        <v>61</v>
      </c>
      <c r="Q637" s="7"/>
      <c r="R637" s="7"/>
      <c r="S637" s="12">
        <v>-8.5572233035400398</v>
      </c>
      <c r="T637" s="12">
        <v>116.128450208399</v>
      </c>
      <c r="U637" s="7"/>
      <c r="V637" s="50">
        <f>Table13678[[#This Row],[PAGU SEMULA]]-Table13678[[#This Row],[PAGU ANGGARAN]]</f>
        <v>-68302000</v>
      </c>
      <c r="W637" s="50">
        <f>Table13678[[#This Row],[PAGU SEMULA]]-Table13678[[#This Row],[PAGU ANGGARAN]]</f>
        <v>-68302000</v>
      </c>
      <c r="X637" t="s">
        <v>986</v>
      </c>
    </row>
    <row r="638" spans="2:24" hidden="1">
      <c r="C638" s="7" t="s">
        <v>35</v>
      </c>
      <c r="D638" s="7" t="s">
        <v>52</v>
      </c>
      <c r="E638" s="7" t="s">
        <v>95</v>
      </c>
      <c r="F638" s="7" t="s">
        <v>96</v>
      </c>
      <c r="G638" s="7" t="s">
        <v>41</v>
      </c>
      <c r="H638" s="17">
        <v>96750000</v>
      </c>
      <c r="I638" s="10" t="s">
        <v>613</v>
      </c>
      <c r="J638" s="7" t="s">
        <v>614</v>
      </c>
      <c r="K638" s="10" t="s">
        <v>288</v>
      </c>
      <c r="L638" s="7" t="s">
        <v>289</v>
      </c>
      <c r="M638" s="7"/>
      <c r="N638" s="7">
        <f>VLOOKUP(J638,[1]Sheet1!$C:$D,2,FALSE)</f>
        <v>6458</v>
      </c>
      <c r="O638" s="7">
        <f>VLOOKUP(J638,[2]Desa!$A:$D,4,FALSE)</f>
        <v>191</v>
      </c>
      <c r="P638" s="7">
        <f>VLOOKUP(J638,[3]Sheet1!$D:$F,3,FALSE)</f>
        <v>61</v>
      </c>
      <c r="Q638" s="7"/>
      <c r="R638" s="7"/>
      <c r="S638" s="12">
        <v>-8.5572233035400398</v>
      </c>
      <c r="T638" s="12">
        <v>116.128450208399</v>
      </c>
      <c r="U638" s="7"/>
      <c r="V638" s="50">
        <f>Table13678[[#This Row],[PAGU SEMULA]]-Table13678[[#This Row],[PAGU ANGGARAN]]</f>
        <v>-96750000</v>
      </c>
      <c r="W638" s="50">
        <f>Table13678[[#This Row],[PAGU SEMULA]]-Table13678[[#This Row],[PAGU ANGGARAN]]</f>
        <v>-96750000</v>
      </c>
      <c r="X638" t="s">
        <v>986</v>
      </c>
    </row>
    <row r="639" spans="2:24" hidden="1">
      <c r="B639" t="s">
        <v>616</v>
      </c>
      <c r="C639" s="7" t="s">
        <v>68</v>
      </c>
      <c r="D639" s="7" t="s">
        <v>535</v>
      </c>
      <c r="E639" s="7" t="s">
        <v>536</v>
      </c>
      <c r="F639" s="7" t="s">
        <v>537</v>
      </c>
      <c r="G639" s="7" t="s">
        <v>606</v>
      </c>
      <c r="H639" s="8">
        <v>71849625</v>
      </c>
      <c r="I639" s="10" t="s">
        <v>613</v>
      </c>
      <c r="J639" s="7" t="s">
        <v>614</v>
      </c>
      <c r="K639" s="10" t="s">
        <v>288</v>
      </c>
      <c r="L639" s="7" t="s">
        <v>289</v>
      </c>
      <c r="M639" s="7"/>
      <c r="N639" s="7">
        <f>VLOOKUP(J639,[1]Sheet1!$C:$D,2,FALSE)</f>
        <v>6458</v>
      </c>
      <c r="O639" s="7">
        <f>VLOOKUP(J639,[2]Desa!$A:$D,4,FALSE)</f>
        <v>191</v>
      </c>
      <c r="P639" s="7">
        <f>VLOOKUP(J639,[3]Sheet1!$D:$F,3,FALSE)</f>
        <v>61</v>
      </c>
      <c r="Q639" s="7"/>
      <c r="R639" s="7"/>
      <c r="S639" s="12">
        <v>-8.5572233035400398</v>
      </c>
      <c r="T639" s="12">
        <v>116.128450208399</v>
      </c>
      <c r="U639" s="7"/>
      <c r="V639" s="50">
        <f>Table13678[[#This Row],[PAGU SEMULA]]-Table13678[[#This Row],[PAGU ANGGARAN]]</f>
        <v>-71849625</v>
      </c>
      <c r="W639" s="50">
        <f>Table13678[[#This Row],[PAGU SEMULA]]-Table13678[[#This Row],[PAGU ANGGARAN]]</f>
        <v>-71849625</v>
      </c>
      <c r="X639" t="s">
        <v>982</v>
      </c>
    </row>
    <row r="640" spans="2:24" hidden="1">
      <c r="C640" s="7" t="s">
        <v>51</v>
      </c>
      <c r="D640" s="7" t="s">
        <v>52</v>
      </c>
      <c r="E640" s="7" t="s">
        <v>53</v>
      </c>
      <c r="F640" s="7" t="s">
        <v>54</v>
      </c>
      <c r="G640" s="7" t="s">
        <v>55</v>
      </c>
      <c r="H640" s="8">
        <v>189090000</v>
      </c>
      <c r="I640" s="10" t="s">
        <v>613</v>
      </c>
      <c r="J640" s="7" t="s">
        <v>614</v>
      </c>
      <c r="K640" s="10" t="s">
        <v>288</v>
      </c>
      <c r="L640" s="7" t="s">
        <v>289</v>
      </c>
      <c r="M640" s="7"/>
      <c r="N640" s="7">
        <f>VLOOKUP(J640,[1]Sheet1!$C:$D,2,FALSE)</f>
        <v>6458</v>
      </c>
      <c r="O640" s="7">
        <f>VLOOKUP(J640,[2]Desa!$A:$D,4,FALSE)</f>
        <v>191</v>
      </c>
      <c r="P640" s="7">
        <f>VLOOKUP(J640,[3]Sheet1!$D:$F,3,FALSE)</f>
        <v>61</v>
      </c>
      <c r="Q640" s="7"/>
      <c r="R640" s="7"/>
      <c r="S640" s="12">
        <v>-8.5572233035400398</v>
      </c>
      <c r="T640" s="12">
        <v>116.128450208399</v>
      </c>
      <c r="U640" s="7"/>
      <c r="V640" s="50">
        <f>Table13678[[#This Row],[PAGU SEMULA]]-Table13678[[#This Row],[PAGU ANGGARAN]]</f>
        <v>-189090000</v>
      </c>
      <c r="W640" s="50">
        <f>Table13678[[#This Row],[PAGU SEMULA]]-Table13678[[#This Row],[PAGU ANGGARAN]]</f>
        <v>-189090000</v>
      </c>
      <c r="X640" t="s">
        <v>986</v>
      </c>
    </row>
    <row r="641" spans="3:24" hidden="1">
      <c r="C641" s="7" t="s">
        <v>51</v>
      </c>
      <c r="D641" s="7" t="s">
        <v>52</v>
      </c>
      <c r="E641" s="7" t="s">
        <v>53</v>
      </c>
      <c r="F641" s="7" t="s">
        <v>54</v>
      </c>
      <c r="G641" s="7" t="s">
        <v>73</v>
      </c>
      <c r="H641" s="8">
        <v>189090000</v>
      </c>
      <c r="I641" s="10" t="s">
        <v>613</v>
      </c>
      <c r="J641" s="7" t="s">
        <v>614</v>
      </c>
      <c r="K641" s="10" t="s">
        <v>288</v>
      </c>
      <c r="L641" s="7" t="s">
        <v>289</v>
      </c>
      <c r="M641" s="7"/>
      <c r="N641" s="7">
        <f>VLOOKUP(J641,[1]Sheet1!$C:$D,2,FALSE)</f>
        <v>6458</v>
      </c>
      <c r="O641" s="7">
        <f>VLOOKUP(J641,[2]Desa!$A:$D,4,FALSE)</f>
        <v>191</v>
      </c>
      <c r="P641" s="7">
        <f>VLOOKUP(J641,[3]Sheet1!$D:$F,3,FALSE)</f>
        <v>61</v>
      </c>
      <c r="Q641" s="7"/>
      <c r="R641" s="7"/>
      <c r="S641" s="12">
        <v>-8.5572233035400398</v>
      </c>
      <c r="T641" s="12">
        <v>116.128450208399</v>
      </c>
      <c r="U641" s="7"/>
      <c r="V641" s="50">
        <f>Table13678[[#This Row],[PAGU SEMULA]]-Table13678[[#This Row],[PAGU ANGGARAN]]</f>
        <v>-189090000</v>
      </c>
      <c r="W641" s="50">
        <f>Table13678[[#This Row],[PAGU SEMULA]]-Table13678[[#This Row],[PAGU ANGGARAN]]</f>
        <v>-189090000</v>
      </c>
      <c r="X641" t="s">
        <v>986</v>
      </c>
    </row>
    <row r="642" spans="3:24" hidden="1">
      <c r="C642" s="7" t="s">
        <v>29</v>
      </c>
      <c r="D642" s="7" t="s">
        <v>30</v>
      </c>
      <c r="E642" s="7" t="s">
        <v>31</v>
      </c>
      <c r="F642" s="7" t="s">
        <v>32</v>
      </c>
      <c r="G642" s="7" t="s">
        <v>33</v>
      </c>
      <c r="H642" s="8">
        <v>412440000</v>
      </c>
      <c r="I642" s="10" t="s">
        <v>617</v>
      </c>
      <c r="J642" s="7" t="s">
        <v>618</v>
      </c>
      <c r="K642" s="10" t="s">
        <v>58</v>
      </c>
      <c r="L642" s="7" t="s">
        <v>59</v>
      </c>
      <c r="M642" s="7"/>
      <c r="N642" s="7">
        <f>VLOOKUP(J642,[1]Sheet1!$C:$D,2,FALSE)</f>
        <v>6114</v>
      </c>
      <c r="O642" s="7">
        <f>VLOOKUP(J642,[2]Desa!$A:$D,4,FALSE)</f>
        <v>268</v>
      </c>
      <c r="P642" s="7">
        <f>VLOOKUP(J642,[3]Sheet1!$D:$F,3,FALSE)</f>
        <v>31</v>
      </c>
      <c r="Q642" s="7"/>
      <c r="R642" s="7"/>
      <c r="S642" s="12">
        <v>-8.5857586451923407</v>
      </c>
      <c r="T642" s="12">
        <v>116.250802393184</v>
      </c>
      <c r="U642" s="7"/>
      <c r="V642" s="50">
        <f>Table13678[[#This Row],[PAGU SEMULA]]-Table13678[[#This Row],[PAGU ANGGARAN]]</f>
        <v>-412440000</v>
      </c>
      <c r="W642" s="50">
        <f>Table13678[[#This Row],[PAGU SEMULA]]-Table13678[[#This Row],[PAGU ANGGARAN]]</f>
        <v>-412440000</v>
      </c>
      <c r="X642" t="s">
        <v>984</v>
      </c>
    </row>
    <row r="643" spans="3:24" hidden="1">
      <c r="C643" s="7" t="s">
        <v>29</v>
      </c>
      <c r="D643" s="7" t="s">
        <v>30</v>
      </c>
      <c r="E643" s="7" t="s">
        <v>31</v>
      </c>
      <c r="F643" s="7" t="s">
        <v>32</v>
      </c>
      <c r="G643" s="7" t="s">
        <v>34</v>
      </c>
      <c r="H643" s="8">
        <v>32995200</v>
      </c>
      <c r="I643" s="10" t="s">
        <v>617</v>
      </c>
      <c r="J643" s="7" t="s">
        <v>618</v>
      </c>
      <c r="K643" s="10" t="s">
        <v>58</v>
      </c>
      <c r="L643" s="7" t="s">
        <v>59</v>
      </c>
      <c r="M643" s="7"/>
      <c r="N643" s="7">
        <f>VLOOKUP(J643,[1]Sheet1!$C:$D,2,FALSE)</f>
        <v>6114</v>
      </c>
      <c r="O643" s="7">
        <f>VLOOKUP(J643,[2]Desa!$A:$D,4,FALSE)</f>
        <v>268</v>
      </c>
      <c r="P643" s="7">
        <f>VLOOKUP(J643,[3]Sheet1!$D:$F,3,FALSE)</f>
        <v>31</v>
      </c>
      <c r="Q643" s="7"/>
      <c r="R643" s="7"/>
      <c r="S643" s="12">
        <v>-8.5857586451923407</v>
      </c>
      <c r="T643" s="12">
        <v>116.250802393184</v>
      </c>
      <c r="U643" s="7"/>
      <c r="V643" s="50">
        <f>Table13678[[#This Row],[PAGU SEMULA]]-Table13678[[#This Row],[PAGU ANGGARAN]]</f>
        <v>-32995200</v>
      </c>
      <c r="W643" s="50">
        <f>Table13678[[#This Row],[PAGU SEMULA]]-Table13678[[#This Row],[PAGU ANGGARAN]]</f>
        <v>-32995200</v>
      </c>
      <c r="X643" t="s">
        <v>984</v>
      </c>
    </row>
    <row r="644" spans="3:24" hidden="1">
      <c r="C644" s="7" t="s">
        <v>60</v>
      </c>
      <c r="D644" s="7" t="s">
        <v>61</v>
      </c>
      <c r="E644" s="7" t="s">
        <v>62</v>
      </c>
      <c r="F644" s="7" t="s">
        <v>63</v>
      </c>
      <c r="G644" s="71" t="s">
        <v>251</v>
      </c>
      <c r="H644" s="15">
        <v>84000000</v>
      </c>
      <c r="I644" s="10" t="s">
        <v>617</v>
      </c>
      <c r="J644" s="7" t="s">
        <v>618</v>
      </c>
      <c r="K644" s="10" t="s">
        <v>58</v>
      </c>
      <c r="L644" s="7" t="s">
        <v>59</v>
      </c>
      <c r="M644" s="7"/>
      <c r="N644" s="7">
        <f>VLOOKUP(J644,[1]Sheet1!$C:$D,2,FALSE)</f>
        <v>6114</v>
      </c>
      <c r="O644" s="7">
        <f>VLOOKUP(J644,[2]Desa!$A:$D,4,FALSE)</f>
        <v>268</v>
      </c>
      <c r="P644" s="7">
        <f>VLOOKUP(J644,[3]Sheet1!$D:$F,3,FALSE)</f>
        <v>31</v>
      </c>
      <c r="Q644" s="7"/>
      <c r="R644" s="7"/>
      <c r="S644" s="12">
        <v>-8.5857586451923407</v>
      </c>
      <c r="T644" s="12">
        <v>116.250802393184</v>
      </c>
      <c r="U644" s="7"/>
      <c r="V644" s="50">
        <f>Table13678[[#This Row],[PAGU SEMULA]]-Table13678[[#This Row],[PAGU ANGGARAN]]</f>
        <v>-84000000</v>
      </c>
      <c r="W644" s="50">
        <f>Table13678[[#This Row],[PAGU SEMULA]]-Table13678[[#This Row],[PAGU ANGGARAN]]</f>
        <v>-84000000</v>
      </c>
      <c r="X644" t="s">
        <v>987</v>
      </c>
    </row>
    <row r="645" spans="3:24" hidden="1">
      <c r="C645" s="7" t="s">
        <v>110</v>
      </c>
      <c r="D645" s="7" t="s">
        <v>111</v>
      </c>
      <c r="E645" s="7" t="s">
        <v>112</v>
      </c>
      <c r="F645" s="7" t="s">
        <v>113</v>
      </c>
      <c r="G645" s="71" t="s">
        <v>619</v>
      </c>
      <c r="H645" s="8">
        <v>200000000</v>
      </c>
      <c r="I645" s="10" t="s">
        <v>617</v>
      </c>
      <c r="J645" s="7" t="s">
        <v>618</v>
      </c>
      <c r="K645" s="10" t="s">
        <v>58</v>
      </c>
      <c r="L645" s="7" t="s">
        <v>59</v>
      </c>
      <c r="M645" s="7"/>
      <c r="N645" s="7">
        <f>VLOOKUP(J645,[1]Sheet1!$C:$D,2,FALSE)</f>
        <v>6114</v>
      </c>
      <c r="O645" s="7">
        <f>VLOOKUP(J645,[2]Desa!$A:$D,4,FALSE)</f>
        <v>268</v>
      </c>
      <c r="P645" s="7">
        <f>VLOOKUP(J645,[3]Sheet1!$D:$F,3,FALSE)</f>
        <v>31</v>
      </c>
      <c r="Q645" s="7"/>
      <c r="R645" s="7"/>
      <c r="S645" s="12">
        <v>-8.5857586451923407</v>
      </c>
      <c r="T645" s="12">
        <v>116.250802393184</v>
      </c>
      <c r="U645" s="7"/>
      <c r="V645" s="50">
        <f>Table13678[[#This Row],[PAGU SEMULA]]-Table13678[[#This Row],[PAGU ANGGARAN]]</f>
        <v>-200000000</v>
      </c>
      <c r="W645" s="50">
        <f>Table13678[[#This Row],[PAGU SEMULA]]-Table13678[[#This Row],[PAGU ANGGARAN]]</f>
        <v>-200000000</v>
      </c>
      <c r="X645" t="s">
        <v>982</v>
      </c>
    </row>
    <row r="646" spans="3:24" hidden="1">
      <c r="C646" s="7" t="s">
        <v>35</v>
      </c>
      <c r="D646" s="7" t="s">
        <v>36</v>
      </c>
      <c r="E646" s="7" t="s">
        <v>37</v>
      </c>
      <c r="F646" s="7" t="s">
        <v>38</v>
      </c>
      <c r="G646" s="7" t="s">
        <v>39</v>
      </c>
      <c r="H646" s="15">
        <v>75000000</v>
      </c>
      <c r="I646" s="10" t="s">
        <v>617</v>
      </c>
      <c r="J646" s="7" t="s">
        <v>618</v>
      </c>
      <c r="K646" s="10" t="s">
        <v>58</v>
      </c>
      <c r="L646" s="7" t="s">
        <v>59</v>
      </c>
      <c r="M646" s="7"/>
      <c r="N646" s="7">
        <f>VLOOKUP(J646,[1]Sheet1!$C:$D,2,FALSE)</f>
        <v>6114</v>
      </c>
      <c r="O646" s="7">
        <f>VLOOKUP(J646,[2]Desa!$A:$D,4,FALSE)</f>
        <v>268</v>
      </c>
      <c r="P646" s="7">
        <f>VLOOKUP(J646,[3]Sheet1!$D:$F,3,FALSE)</f>
        <v>31</v>
      </c>
      <c r="Q646" s="7"/>
      <c r="R646" s="7"/>
      <c r="S646" s="12">
        <v>-8.5857586451923407</v>
      </c>
      <c r="T646" s="12">
        <v>116.250802393184</v>
      </c>
      <c r="U646" s="7"/>
      <c r="V646" s="50">
        <f>Table13678[[#This Row],[PAGU SEMULA]]-Table13678[[#This Row],[PAGU ANGGARAN]]</f>
        <v>-75000000</v>
      </c>
      <c r="W646" s="50">
        <f>Table13678[[#This Row],[PAGU SEMULA]]-Table13678[[#This Row],[PAGU ANGGARAN]]</f>
        <v>-75000000</v>
      </c>
      <c r="X646" t="s">
        <v>984</v>
      </c>
    </row>
    <row r="647" spans="3:24" hidden="1">
      <c r="C647" s="7" t="s">
        <v>35</v>
      </c>
      <c r="D647" s="7" t="s">
        <v>156</v>
      </c>
      <c r="E647" s="7" t="s">
        <v>252</v>
      </c>
      <c r="F647" s="7" t="s">
        <v>253</v>
      </c>
      <c r="G647" s="7" t="s">
        <v>620</v>
      </c>
      <c r="H647" s="17">
        <v>215000000</v>
      </c>
      <c r="I647" s="10" t="s">
        <v>617</v>
      </c>
      <c r="J647" s="7" t="s">
        <v>618</v>
      </c>
      <c r="K647" s="10" t="s">
        <v>58</v>
      </c>
      <c r="L647" s="7" t="s">
        <v>59</v>
      </c>
      <c r="M647" s="7"/>
      <c r="N647" s="7">
        <f>VLOOKUP(J647,[1]Sheet1!$C:$D,2,FALSE)</f>
        <v>6114</v>
      </c>
      <c r="O647" s="7">
        <f>VLOOKUP(J647,[2]Desa!$A:$D,4,FALSE)</f>
        <v>268</v>
      </c>
      <c r="P647" s="7">
        <f>VLOOKUP(J647,[3]Sheet1!$D:$F,3,FALSE)</f>
        <v>31</v>
      </c>
      <c r="Q647" s="7"/>
      <c r="R647" s="7"/>
      <c r="S647" s="12">
        <v>-8.5857586451923407</v>
      </c>
      <c r="T647" s="12">
        <v>116.250802393184</v>
      </c>
      <c r="U647" s="7"/>
      <c r="V647" s="50">
        <f>Table13678[[#This Row],[PAGU SEMULA]]-Table13678[[#This Row],[PAGU ANGGARAN]]</f>
        <v>-215000000</v>
      </c>
      <c r="W647" s="50">
        <f>Table13678[[#This Row],[PAGU SEMULA]]-Table13678[[#This Row],[PAGU ANGGARAN]]</f>
        <v>-215000000</v>
      </c>
      <c r="X647" t="s">
        <v>986</v>
      </c>
    </row>
    <row r="648" spans="3:24" hidden="1">
      <c r="C648" s="7" t="s">
        <v>35</v>
      </c>
      <c r="D648" s="7" t="s">
        <v>156</v>
      </c>
      <c r="E648" s="7" t="s">
        <v>157</v>
      </c>
      <c r="F648" s="7" t="s">
        <v>158</v>
      </c>
      <c r="G648" s="7" t="s">
        <v>621</v>
      </c>
      <c r="H648" s="15">
        <v>0</v>
      </c>
      <c r="I648" s="10" t="s">
        <v>617</v>
      </c>
      <c r="J648" s="7" t="s">
        <v>618</v>
      </c>
      <c r="K648" s="10" t="s">
        <v>58</v>
      </c>
      <c r="L648" s="7" t="s">
        <v>59</v>
      </c>
      <c r="M648" s="7"/>
      <c r="N648" s="7">
        <f>VLOOKUP(J648,[1]Sheet1!$C:$D,2,FALSE)</f>
        <v>6114</v>
      </c>
      <c r="O648" s="7">
        <f>VLOOKUP(J648,[2]Desa!$A:$D,4,FALSE)</f>
        <v>268</v>
      </c>
      <c r="P648" s="7">
        <f>VLOOKUP(J648,[3]Sheet1!$D:$F,3,FALSE)</f>
        <v>31</v>
      </c>
      <c r="Q648" s="7"/>
      <c r="R648" s="7"/>
      <c r="S648" s="12">
        <v>-8.5857586451923407</v>
      </c>
      <c r="T648" s="12">
        <v>116.250802393184</v>
      </c>
      <c r="U648" s="7"/>
      <c r="V648" s="50">
        <f>Table13678[[#This Row],[PAGU SEMULA]]-Table13678[[#This Row],[PAGU ANGGARAN]]</f>
        <v>0</v>
      </c>
      <c r="W648" s="50">
        <f>Table13678[[#This Row],[PAGU SEMULA]]-Table13678[[#This Row],[PAGU ANGGARAN]]</f>
        <v>0</v>
      </c>
      <c r="X648" t="s">
        <v>986</v>
      </c>
    </row>
    <row r="649" spans="3:24" hidden="1">
      <c r="C649" s="7" t="s">
        <v>35</v>
      </c>
      <c r="D649" s="7" t="s">
        <v>52</v>
      </c>
      <c r="E649" s="7" t="s">
        <v>95</v>
      </c>
      <c r="F649" s="7" t="s">
        <v>96</v>
      </c>
      <c r="G649" s="7" t="s">
        <v>41</v>
      </c>
      <c r="H649" s="17">
        <v>290250000</v>
      </c>
      <c r="I649" s="10" t="s">
        <v>617</v>
      </c>
      <c r="J649" s="7" t="s">
        <v>618</v>
      </c>
      <c r="K649" s="10" t="s">
        <v>58</v>
      </c>
      <c r="L649" s="7" t="s">
        <v>59</v>
      </c>
      <c r="M649" s="7"/>
      <c r="N649" s="7">
        <f>VLOOKUP(J649,[1]Sheet1!$C:$D,2,FALSE)</f>
        <v>6114</v>
      </c>
      <c r="O649" s="7">
        <f>VLOOKUP(J649,[2]Desa!$A:$D,4,FALSE)</f>
        <v>268</v>
      </c>
      <c r="P649" s="7">
        <f>VLOOKUP(J649,[3]Sheet1!$D:$F,3,FALSE)</f>
        <v>31</v>
      </c>
      <c r="Q649" s="7"/>
      <c r="R649" s="7"/>
      <c r="S649" s="12">
        <v>-8.5857586451923407</v>
      </c>
      <c r="T649" s="12">
        <v>116.250802393184</v>
      </c>
      <c r="U649" s="7"/>
      <c r="V649" s="50">
        <f>Table13678[[#This Row],[PAGU SEMULA]]-Table13678[[#This Row],[PAGU ANGGARAN]]</f>
        <v>-290250000</v>
      </c>
      <c r="W649" s="50">
        <f>Table13678[[#This Row],[PAGU SEMULA]]-Table13678[[#This Row],[PAGU ANGGARAN]]</f>
        <v>-290250000</v>
      </c>
      <c r="X649" t="s">
        <v>986</v>
      </c>
    </row>
    <row r="650" spans="3:24" hidden="1">
      <c r="C650" s="7" t="s">
        <v>35</v>
      </c>
      <c r="D650" s="7" t="s">
        <v>52</v>
      </c>
      <c r="E650" s="7" t="s">
        <v>95</v>
      </c>
      <c r="F650" s="7" t="s">
        <v>96</v>
      </c>
      <c r="G650" s="7" t="s">
        <v>367</v>
      </c>
      <c r="H650" s="17">
        <v>96750000</v>
      </c>
      <c r="I650" s="10" t="s">
        <v>617</v>
      </c>
      <c r="J650" s="7" t="s">
        <v>618</v>
      </c>
      <c r="K650" s="10" t="s">
        <v>58</v>
      </c>
      <c r="L650" s="7" t="s">
        <v>59</v>
      </c>
      <c r="M650" s="7"/>
      <c r="N650" s="7">
        <f>VLOOKUP(J650,[1]Sheet1!$C:$D,2,FALSE)</f>
        <v>6114</v>
      </c>
      <c r="O650" s="7">
        <f>VLOOKUP(J650,[2]Desa!$A:$D,4,FALSE)</f>
        <v>268</v>
      </c>
      <c r="P650" s="7">
        <f>VLOOKUP(J650,[3]Sheet1!$D:$F,3,FALSE)</f>
        <v>31</v>
      </c>
      <c r="Q650" s="7"/>
      <c r="R650" s="7"/>
      <c r="S650" s="12">
        <v>-8.5857586451923407</v>
      </c>
      <c r="T650" s="12">
        <v>116.250802393184</v>
      </c>
      <c r="U650" s="7"/>
      <c r="V650" s="50">
        <f>Table13678[[#This Row],[PAGU SEMULA]]-Table13678[[#This Row],[PAGU ANGGARAN]]</f>
        <v>-96750000</v>
      </c>
      <c r="W650" s="50">
        <f>Table13678[[#This Row],[PAGU SEMULA]]-Table13678[[#This Row],[PAGU ANGGARAN]]</f>
        <v>-96750000</v>
      </c>
      <c r="X650" t="s">
        <v>986</v>
      </c>
    </row>
    <row r="651" spans="3:24" hidden="1">
      <c r="C651" s="7" t="s">
        <v>46</v>
      </c>
      <c r="D651" s="7" t="s">
        <v>47</v>
      </c>
      <c r="E651" s="7" t="s">
        <v>48</v>
      </c>
      <c r="F651" s="7" t="s">
        <v>49</v>
      </c>
      <c r="G651" s="7" t="s">
        <v>371</v>
      </c>
      <c r="H651" s="8">
        <v>30774000</v>
      </c>
      <c r="I651" s="10" t="s">
        <v>617</v>
      </c>
      <c r="J651" s="7" t="s">
        <v>618</v>
      </c>
      <c r="K651" s="10" t="s">
        <v>58</v>
      </c>
      <c r="L651" s="7" t="s">
        <v>59</v>
      </c>
      <c r="M651" s="7"/>
      <c r="N651" s="7">
        <f>VLOOKUP(J651,[1]Sheet1!$C:$D,2,FALSE)</f>
        <v>6114</v>
      </c>
      <c r="O651" s="7">
        <f>VLOOKUP(J651,[2]Desa!$A:$D,4,FALSE)</f>
        <v>268</v>
      </c>
      <c r="P651" s="7">
        <f>VLOOKUP(J651,[3]Sheet1!$D:$F,3,FALSE)</f>
        <v>31</v>
      </c>
      <c r="Q651" s="7"/>
      <c r="R651" s="7"/>
      <c r="S651" s="12">
        <v>-8.5857586451923407</v>
      </c>
      <c r="T651" s="12">
        <v>116.250802393184</v>
      </c>
      <c r="U651" s="7"/>
      <c r="V651" s="50">
        <f>Table13678[[#This Row],[PAGU SEMULA]]-Table13678[[#This Row],[PAGU ANGGARAN]]</f>
        <v>-30774000</v>
      </c>
      <c r="W651" s="50">
        <f>Table13678[[#This Row],[PAGU SEMULA]]-Table13678[[#This Row],[PAGU ANGGARAN]]</f>
        <v>-30774000</v>
      </c>
      <c r="X651" t="s">
        <v>987</v>
      </c>
    </row>
    <row r="652" spans="3:24" hidden="1">
      <c r="C652" s="7" t="s">
        <v>51</v>
      </c>
      <c r="D652" s="7" t="s">
        <v>52</v>
      </c>
      <c r="E652" s="7" t="s">
        <v>53</v>
      </c>
      <c r="F652" s="7" t="s">
        <v>54</v>
      </c>
      <c r="G652" s="7" t="s">
        <v>73</v>
      </c>
      <c r="H652" s="8">
        <v>189090000</v>
      </c>
      <c r="I652" s="10" t="s">
        <v>617</v>
      </c>
      <c r="J652" s="7" t="s">
        <v>618</v>
      </c>
      <c r="K652" s="10" t="s">
        <v>58</v>
      </c>
      <c r="L652" s="7" t="s">
        <v>59</v>
      </c>
      <c r="M652" s="7"/>
      <c r="N652" s="7">
        <f>VLOOKUP(J652,[1]Sheet1!$C:$D,2,FALSE)</f>
        <v>6114</v>
      </c>
      <c r="O652" s="7">
        <f>VLOOKUP(J652,[2]Desa!$A:$D,4,FALSE)</f>
        <v>268</v>
      </c>
      <c r="P652" s="7">
        <f>VLOOKUP(J652,[3]Sheet1!$D:$F,3,FALSE)</f>
        <v>31</v>
      </c>
      <c r="Q652" s="7"/>
      <c r="R652" s="7"/>
      <c r="S652" s="12">
        <v>-8.5857586451923407</v>
      </c>
      <c r="T652" s="12">
        <v>116.250802393184</v>
      </c>
      <c r="U652" s="7"/>
      <c r="V652" s="50">
        <f>Table13678[[#This Row],[PAGU SEMULA]]-Table13678[[#This Row],[PAGU ANGGARAN]]</f>
        <v>-189090000</v>
      </c>
      <c r="W652" s="50">
        <f>Table13678[[#This Row],[PAGU SEMULA]]-Table13678[[#This Row],[PAGU ANGGARAN]]</f>
        <v>-189090000</v>
      </c>
      <c r="X652" t="s">
        <v>986</v>
      </c>
    </row>
    <row r="653" spans="3:24" hidden="1">
      <c r="C653" s="7" t="s">
        <v>29</v>
      </c>
      <c r="D653" s="7" t="s">
        <v>30</v>
      </c>
      <c r="E653" s="7" t="s">
        <v>31</v>
      </c>
      <c r="F653" s="7" t="s">
        <v>32</v>
      </c>
      <c r="G653" s="7" t="s">
        <v>33</v>
      </c>
      <c r="H653" s="8">
        <v>312900000</v>
      </c>
      <c r="I653" s="10" t="s">
        <v>622</v>
      </c>
      <c r="J653" s="7" t="s">
        <v>623</v>
      </c>
      <c r="K653" s="10" t="s">
        <v>58</v>
      </c>
      <c r="L653" s="7" t="s">
        <v>59</v>
      </c>
      <c r="M653" s="7"/>
      <c r="N653" s="7">
        <f>VLOOKUP(J653,[1]Sheet1!$C:$D,2,FALSE)</f>
        <v>5344</v>
      </c>
      <c r="O653" s="7">
        <f>VLOOKUP(J653,[2]Desa!$A:$D,4,FALSE)</f>
        <v>225</v>
      </c>
      <c r="P653" s="7">
        <f>VLOOKUP(J653,[3]Sheet1!$D:$F,3,FALSE)</f>
        <v>60</v>
      </c>
      <c r="Q653" s="7"/>
      <c r="R653" s="7"/>
      <c r="S653" s="12">
        <v>-8.6087992170344698</v>
      </c>
      <c r="T653" s="12">
        <v>116.180451233664</v>
      </c>
      <c r="U653" s="7"/>
      <c r="V653" s="50">
        <f>Table13678[[#This Row],[PAGU SEMULA]]-Table13678[[#This Row],[PAGU ANGGARAN]]</f>
        <v>-312900000</v>
      </c>
      <c r="W653" s="50">
        <f>Table13678[[#This Row],[PAGU SEMULA]]-Table13678[[#This Row],[PAGU ANGGARAN]]</f>
        <v>-312900000</v>
      </c>
      <c r="X653" t="s">
        <v>984</v>
      </c>
    </row>
    <row r="654" spans="3:24" hidden="1">
      <c r="C654" s="7" t="s">
        <v>29</v>
      </c>
      <c r="D654" s="7" t="s">
        <v>30</v>
      </c>
      <c r="E654" s="7" t="s">
        <v>31</v>
      </c>
      <c r="F654" s="7" t="s">
        <v>32</v>
      </c>
      <c r="G654" s="7" t="s">
        <v>34</v>
      </c>
      <c r="H654" s="8">
        <v>25032000</v>
      </c>
      <c r="I654" s="10" t="s">
        <v>622</v>
      </c>
      <c r="J654" s="7" t="s">
        <v>623</v>
      </c>
      <c r="K654" s="10" t="s">
        <v>58</v>
      </c>
      <c r="L654" s="7" t="s">
        <v>59</v>
      </c>
      <c r="M654" s="7"/>
      <c r="N654" s="7">
        <f>VLOOKUP(J654,[1]Sheet1!$C:$D,2,FALSE)</f>
        <v>5344</v>
      </c>
      <c r="O654" s="7">
        <f>VLOOKUP(J654,[2]Desa!$A:$D,4,FALSE)</f>
        <v>225</v>
      </c>
      <c r="P654" s="7">
        <f>VLOOKUP(J654,[3]Sheet1!$D:$F,3,FALSE)</f>
        <v>60</v>
      </c>
      <c r="Q654" s="7"/>
      <c r="R654" s="7"/>
      <c r="S654" s="12">
        <v>-8.6087992170344698</v>
      </c>
      <c r="T654" s="12">
        <v>116.180451233664</v>
      </c>
      <c r="U654" s="7"/>
      <c r="V654" s="50">
        <f>Table13678[[#This Row],[PAGU SEMULA]]-Table13678[[#This Row],[PAGU ANGGARAN]]</f>
        <v>-25032000</v>
      </c>
      <c r="W654" s="50">
        <f>Table13678[[#This Row],[PAGU SEMULA]]-Table13678[[#This Row],[PAGU ANGGARAN]]</f>
        <v>-25032000</v>
      </c>
      <c r="X654" t="s">
        <v>984</v>
      </c>
    </row>
    <row r="655" spans="3:24" hidden="1">
      <c r="C655" s="7" t="s">
        <v>84</v>
      </c>
      <c r="D655" s="7" t="s">
        <v>85</v>
      </c>
      <c r="E655" s="7" t="s">
        <v>86</v>
      </c>
      <c r="F655" s="7" t="s">
        <v>87</v>
      </c>
      <c r="G655" s="7" t="s">
        <v>624</v>
      </c>
      <c r="H655" s="8">
        <v>199027600</v>
      </c>
      <c r="I655" s="10" t="s">
        <v>622</v>
      </c>
      <c r="J655" s="7" t="s">
        <v>623</v>
      </c>
      <c r="K655" s="10" t="s">
        <v>58</v>
      </c>
      <c r="L655" s="7" t="s">
        <v>59</v>
      </c>
      <c r="M655" s="7"/>
      <c r="N655" s="7">
        <f>VLOOKUP(J655,[1]Sheet1!$C:$D,2,FALSE)</f>
        <v>5344</v>
      </c>
      <c r="O655" s="7">
        <f>VLOOKUP(J655,[2]Desa!$A:$D,4,FALSE)</f>
        <v>225</v>
      </c>
      <c r="P655" s="7">
        <f>VLOOKUP(J655,[3]Sheet1!$D:$F,3,FALSE)</f>
        <v>60</v>
      </c>
      <c r="Q655" s="7"/>
      <c r="R655" s="7"/>
      <c r="S655" s="12">
        <v>-8.6087992170344698</v>
      </c>
      <c r="T655" s="12">
        <v>116.180451233664</v>
      </c>
      <c r="U655" s="7"/>
      <c r="V655" s="50">
        <f>Table13678[[#This Row],[PAGU SEMULA]]-Table13678[[#This Row],[PAGU ANGGARAN]]</f>
        <v>-199027600</v>
      </c>
      <c r="W655" s="50">
        <f>Table13678[[#This Row],[PAGU SEMULA]]-Table13678[[#This Row],[PAGU ANGGARAN]]</f>
        <v>-199027600</v>
      </c>
      <c r="X655" t="s">
        <v>982</v>
      </c>
    </row>
    <row r="656" spans="3:24" hidden="1">
      <c r="C656" s="7" t="s">
        <v>35</v>
      </c>
      <c r="D656" s="7" t="s">
        <v>36</v>
      </c>
      <c r="E656" s="7" t="s">
        <v>37</v>
      </c>
      <c r="F656" s="7" t="s">
        <v>38</v>
      </c>
      <c r="G656" s="7" t="s">
        <v>39</v>
      </c>
      <c r="H656" s="15">
        <v>75000000</v>
      </c>
      <c r="I656" s="10" t="s">
        <v>622</v>
      </c>
      <c r="J656" s="7" t="s">
        <v>623</v>
      </c>
      <c r="K656" s="10" t="s">
        <v>58</v>
      </c>
      <c r="L656" s="7" t="s">
        <v>59</v>
      </c>
      <c r="M656" s="7"/>
      <c r="N656" s="7">
        <f>VLOOKUP(J656,[1]Sheet1!$C:$D,2,FALSE)</f>
        <v>5344</v>
      </c>
      <c r="O656" s="7">
        <f>VLOOKUP(J656,[2]Desa!$A:$D,4,FALSE)</f>
        <v>225</v>
      </c>
      <c r="P656" s="7">
        <f>VLOOKUP(J656,[3]Sheet1!$D:$F,3,FALSE)</f>
        <v>60</v>
      </c>
      <c r="Q656" s="7"/>
      <c r="R656" s="7"/>
      <c r="S656" s="12">
        <v>-8.6087992170344698</v>
      </c>
      <c r="T656" s="12">
        <v>116.180451233664</v>
      </c>
      <c r="U656" s="7"/>
      <c r="V656" s="50">
        <f>Table13678[[#This Row],[PAGU SEMULA]]-Table13678[[#This Row],[PAGU ANGGARAN]]</f>
        <v>-75000000</v>
      </c>
      <c r="W656" s="50">
        <f>Table13678[[#This Row],[PAGU SEMULA]]-Table13678[[#This Row],[PAGU ANGGARAN]]</f>
        <v>-75000000</v>
      </c>
      <c r="X656" t="s">
        <v>984</v>
      </c>
    </row>
    <row r="657" spans="1:24" hidden="1">
      <c r="A657" s="3"/>
      <c r="B657" s="3"/>
      <c r="C657" s="7" t="s">
        <v>35</v>
      </c>
      <c r="D657" s="7" t="s">
        <v>65</v>
      </c>
      <c r="E657" s="7" t="s">
        <v>66</v>
      </c>
      <c r="F657" s="7" t="s">
        <v>93</v>
      </c>
      <c r="G657" s="7" t="s">
        <v>625</v>
      </c>
      <c r="H657" s="15">
        <v>200000000</v>
      </c>
      <c r="I657" s="10" t="s">
        <v>622</v>
      </c>
      <c r="J657" s="7" t="s">
        <v>623</v>
      </c>
      <c r="K657" s="10" t="s">
        <v>58</v>
      </c>
      <c r="L657" s="7" t="s">
        <v>59</v>
      </c>
      <c r="M657" s="7"/>
      <c r="N657" s="7">
        <f>VLOOKUP(J657,[1]Sheet1!$C:$D,2,FALSE)</f>
        <v>5344</v>
      </c>
      <c r="O657" s="7">
        <f>VLOOKUP(J657,[2]Desa!$A:$D,4,FALSE)</f>
        <v>225</v>
      </c>
      <c r="P657" s="7">
        <f>VLOOKUP(J657,[3]Sheet1!$D:$F,3,FALSE)</f>
        <v>60</v>
      </c>
      <c r="Q657" s="7"/>
      <c r="R657" s="7"/>
      <c r="S657" s="12">
        <v>-8.6087992170344698</v>
      </c>
      <c r="T657" s="12">
        <v>116.180451233664</v>
      </c>
      <c r="U657" s="7"/>
      <c r="V657" s="50">
        <f>Table13678[[#This Row],[PAGU SEMULA]]-Table13678[[#This Row],[PAGU ANGGARAN]]</f>
        <v>-200000000</v>
      </c>
      <c r="W657" s="50">
        <f>Table13678[[#This Row],[PAGU SEMULA]]-Table13678[[#This Row],[PAGU ANGGARAN]]</f>
        <v>-200000000</v>
      </c>
      <c r="X657" t="s">
        <v>986</v>
      </c>
    </row>
    <row r="658" spans="1:24" hidden="1">
      <c r="C658" s="7" t="s">
        <v>46</v>
      </c>
      <c r="D658" s="7" t="s">
        <v>100</v>
      </c>
      <c r="E658" s="7" t="s">
        <v>101</v>
      </c>
      <c r="F658" s="7" t="s">
        <v>102</v>
      </c>
      <c r="G658" s="71" t="s">
        <v>626</v>
      </c>
      <c r="H658" s="8">
        <v>0</v>
      </c>
      <c r="I658" s="10" t="s">
        <v>622</v>
      </c>
      <c r="J658" s="7" t="s">
        <v>623</v>
      </c>
      <c r="K658" s="10" t="s">
        <v>58</v>
      </c>
      <c r="L658" s="7" t="s">
        <v>59</v>
      </c>
      <c r="M658" s="7"/>
      <c r="N658" s="7">
        <f>VLOOKUP(J658,[1]Sheet1!$C:$D,2,FALSE)</f>
        <v>5344</v>
      </c>
      <c r="O658" s="7">
        <f>VLOOKUP(J658,[2]Desa!$A:$D,4,FALSE)</f>
        <v>225</v>
      </c>
      <c r="P658" s="7">
        <f>VLOOKUP(J658,[3]Sheet1!$D:$F,3,FALSE)</f>
        <v>60</v>
      </c>
      <c r="Q658" s="7"/>
      <c r="R658" s="7"/>
      <c r="S658" s="12">
        <v>-8.6087992170344698</v>
      </c>
      <c r="T658" s="12">
        <v>116.180451233664</v>
      </c>
      <c r="U658" s="7"/>
      <c r="V658" s="50">
        <f>Table13678[[#This Row],[PAGU SEMULA]]-Table13678[[#This Row],[PAGU ANGGARAN]]</f>
        <v>0</v>
      </c>
      <c r="W658" s="50">
        <f>Table13678[[#This Row],[PAGU SEMULA]]-Table13678[[#This Row],[PAGU ANGGARAN]]</f>
        <v>0</v>
      </c>
      <c r="X658" t="s">
        <v>987</v>
      </c>
    </row>
    <row r="659" spans="1:24" hidden="1">
      <c r="C659" s="7" t="s">
        <v>46</v>
      </c>
      <c r="D659" s="7" t="s">
        <v>47</v>
      </c>
      <c r="E659" s="7" t="s">
        <v>48</v>
      </c>
      <c r="F659" s="7" t="s">
        <v>49</v>
      </c>
      <c r="G659" s="71" t="s">
        <v>50</v>
      </c>
      <c r="H659" s="8">
        <v>27000000</v>
      </c>
      <c r="I659" s="10" t="s">
        <v>622</v>
      </c>
      <c r="J659" s="7" t="s">
        <v>623</v>
      </c>
      <c r="K659" s="10" t="s">
        <v>58</v>
      </c>
      <c r="L659" s="7" t="s">
        <v>59</v>
      </c>
      <c r="M659" s="7"/>
      <c r="N659" s="7">
        <f>VLOOKUP(J659,[1]Sheet1!$C:$D,2,FALSE)</f>
        <v>5344</v>
      </c>
      <c r="O659" s="7">
        <f>VLOOKUP(J659,[2]Desa!$A:$D,4,FALSE)</f>
        <v>225</v>
      </c>
      <c r="P659" s="7">
        <f>VLOOKUP(J659,[3]Sheet1!$D:$F,3,FALSE)</f>
        <v>60</v>
      </c>
      <c r="Q659" s="7"/>
      <c r="R659" s="7"/>
      <c r="S659" s="12">
        <v>-8.6087992170344698</v>
      </c>
      <c r="T659" s="12">
        <v>116.180451233664</v>
      </c>
      <c r="U659" s="7"/>
      <c r="V659" s="50">
        <f>Table13678[[#This Row],[PAGU SEMULA]]-Table13678[[#This Row],[PAGU ANGGARAN]]</f>
        <v>-27000000</v>
      </c>
      <c r="W659" s="50">
        <f>Table13678[[#This Row],[PAGU SEMULA]]-Table13678[[#This Row],[PAGU ANGGARAN]]</f>
        <v>-27000000</v>
      </c>
      <c r="X659" t="s">
        <v>987</v>
      </c>
    </row>
    <row r="660" spans="1:24" hidden="1">
      <c r="C660" s="7" t="s">
        <v>51</v>
      </c>
      <c r="D660" s="7" t="s">
        <v>52</v>
      </c>
      <c r="E660" s="7" t="s">
        <v>53</v>
      </c>
      <c r="F660" s="7" t="s">
        <v>54</v>
      </c>
      <c r="G660" s="7" t="s">
        <v>73</v>
      </c>
      <c r="H660" s="8">
        <v>94545000</v>
      </c>
      <c r="I660" s="10" t="s">
        <v>622</v>
      </c>
      <c r="J660" s="7" t="s">
        <v>623</v>
      </c>
      <c r="K660" s="10" t="s">
        <v>58</v>
      </c>
      <c r="L660" s="7" t="s">
        <v>59</v>
      </c>
      <c r="M660" s="7"/>
      <c r="N660" s="7">
        <f>VLOOKUP(J660,[1]Sheet1!$C:$D,2,FALSE)</f>
        <v>5344</v>
      </c>
      <c r="O660" s="7">
        <f>VLOOKUP(J660,[2]Desa!$A:$D,4,FALSE)</f>
        <v>225</v>
      </c>
      <c r="P660" s="7">
        <f>VLOOKUP(J660,[3]Sheet1!$D:$F,3,FALSE)</f>
        <v>60</v>
      </c>
      <c r="Q660" s="7"/>
      <c r="R660" s="7"/>
      <c r="S660" s="12">
        <v>-8.6087992170344698</v>
      </c>
      <c r="T660" s="12">
        <v>116.180451233664</v>
      </c>
      <c r="U660" s="7"/>
      <c r="V660" s="50">
        <f>Table13678[[#This Row],[PAGU SEMULA]]-Table13678[[#This Row],[PAGU ANGGARAN]]</f>
        <v>-94545000</v>
      </c>
      <c r="W660" s="50">
        <f>Table13678[[#This Row],[PAGU SEMULA]]-Table13678[[#This Row],[PAGU ANGGARAN]]</f>
        <v>-94545000</v>
      </c>
      <c r="X660" t="s">
        <v>986</v>
      </c>
    </row>
    <row r="661" spans="1:24" hidden="1">
      <c r="C661" s="7" t="s">
        <v>51</v>
      </c>
      <c r="D661" s="7" t="s">
        <v>65</v>
      </c>
      <c r="E661" s="7" t="s">
        <v>321</v>
      </c>
      <c r="F661" s="7" t="s">
        <v>322</v>
      </c>
      <c r="G661" s="7" t="s">
        <v>627</v>
      </c>
      <c r="H661" s="8">
        <v>150000000</v>
      </c>
      <c r="I661" s="10" t="s">
        <v>622</v>
      </c>
      <c r="J661" s="7" t="s">
        <v>623</v>
      </c>
      <c r="K661" s="10" t="s">
        <v>58</v>
      </c>
      <c r="L661" s="7" t="s">
        <v>59</v>
      </c>
      <c r="M661" s="7"/>
      <c r="N661" s="7">
        <f>VLOOKUP(J661,[1]Sheet1!$C:$D,2,FALSE)</f>
        <v>5344</v>
      </c>
      <c r="O661" s="7">
        <f>VLOOKUP(J661,[2]Desa!$A:$D,4,FALSE)</f>
        <v>225</v>
      </c>
      <c r="P661" s="7">
        <f>VLOOKUP(J661,[3]Sheet1!$D:$F,3,FALSE)</f>
        <v>60</v>
      </c>
      <c r="Q661" s="7"/>
      <c r="R661" s="7"/>
      <c r="S661" s="12">
        <v>-8.6087992170344698</v>
      </c>
      <c r="T661" s="12">
        <v>116.180451233664</v>
      </c>
      <c r="U661" s="7"/>
      <c r="V661" s="50">
        <f>Table13678[[#This Row],[PAGU SEMULA]]-Table13678[[#This Row],[PAGU ANGGARAN]]</f>
        <v>-150000000</v>
      </c>
      <c r="W661" s="50">
        <f>Table13678[[#This Row],[PAGU SEMULA]]-Table13678[[#This Row],[PAGU ANGGARAN]]</f>
        <v>-150000000</v>
      </c>
      <c r="X661" t="s">
        <v>986</v>
      </c>
    </row>
    <row r="662" spans="1:24" hidden="1">
      <c r="C662" s="7" t="s">
        <v>20</v>
      </c>
      <c r="D662" s="7" t="s">
        <v>104</v>
      </c>
      <c r="E662" s="7" t="s">
        <v>105</v>
      </c>
      <c r="F662" s="7" t="s">
        <v>106</v>
      </c>
      <c r="G662" s="71" t="s">
        <v>628</v>
      </c>
      <c r="H662" s="19">
        <v>298750000</v>
      </c>
      <c r="I662" s="10" t="s">
        <v>629</v>
      </c>
      <c r="J662" s="7" t="s">
        <v>630</v>
      </c>
      <c r="K662" s="10" t="s">
        <v>82</v>
      </c>
      <c r="L662" s="7" t="s">
        <v>83</v>
      </c>
      <c r="M662" s="7"/>
      <c r="N662" s="7">
        <f>VLOOKUP(J662,[1]Sheet1!$C:$D,2,FALSE)</f>
        <v>2518</v>
      </c>
      <c r="O662" s="7">
        <f>VLOOKUP(J662,[2]Desa!$A:$D,4,FALSE)</f>
        <v>209</v>
      </c>
      <c r="P662" s="7">
        <f>VLOOKUP(J662,[3]Sheet1!$D:$F,3,FALSE)</f>
        <v>11</v>
      </c>
      <c r="Q662" s="7"/>
      <c r="R662" s="7"/>
      <c r="S662" s="12">
        <v>-8.6356694682275297</v>
      </c>
      <c r="T662" s="12">
        <v>116.081462421784</v>
      </c>
      <c r="U662" s="7"/>
      <c r="V662" s="50">
        <f>Table13678[[#This Row],[PAGU SEMULA]]-Table13678[[#This Row],[PAGU ANGGARAN]]</f>
        <v>-298750000</v>
      </c>
      <c r="W662" s="50">
        <f>Table13678[[#This Row],[PAGU SEMULA]]-Table13678[[#This Row],[PAGU ANGGARAN]]</f>
        <v>-298750000</v>
      </c>
      <c r="X662" t="s">
        <v>984</v>
      </c>
    </row>
    <row r="663" spans="1:24" hidden="1">
      <c r="C663" s="7" t="s">
        <v>29</v>
      </c>
      <c r="D663" s="7" t="s">
        <v>30</v>
      </c>
      <c r="E663" s="7" t="s">
        <v>31</v>
      </c>
      <c r="F663" s="7" t="s">
        <v>32</v>
      </c>
      <c r="G663" s="7" t="s">
        <v>33</v>
      </c>
      <c r="H663" s="8">
        <v>252840000</v>
      </c>
      <c r="I663" s="10" t="s">
        <v>629</v>
      </c>
      <c r="J663" s="7" t="s">
        <v>630</v>
      </c>
      <c r="K663" s="10" t="s">
        <v>82</v>
      </c>
      <c r="L663" s="7" t="s">
        <v>83</v>
      </c>
      <c r="M663" s="7"/>
      <c r="N663" s="7">
        <f>VLOOKUP(J663,[1]Sheet1!$C:$D,2,FALSE)</f>
        <v>2518</v>
      </c>
      <c r="O663" s="7">
        <f>VLOOKUP(J663,[2]Desa!$A:$D,4,FALSE)</f>
        <v>209</v>
      </c>
      <c r="P663" s="7">
        <f>VLOOKUP(J663,[3]Sheet1!$D:$F,3,FALSE)</f>
        <v>11</v>
      </c>
      <c r="Q663" s="7"/>
      <c r="R663" s="7"/>
      <c r="S663" s="12">
        <v>-8.6356694682275297</v>
      </c>
      <c r="T663" s="12">
        <v>116.081462421784</v>
      </c>
      <c r="U663" s="7"/>
      <c r="V663" s="50">
        <f>Table13678[[#This Row],[PAGU SEMULA]]-Table13678[[#This Row],[PAGU ANGGARAN]]</f>
        <v>-252840000</v>
      </c>
      <c r="W663" s="50">
        <f>Table13678[[#This Row],[PAGU SEMULA]]-Table13678[[#This Row],[PAGU ANGGARAN]]</f>
        <v>-252840000</v>
      </c>
      <c r="X663" t="s">
        <v>984</v>
      </c>
    </row>
    <row r="664" spans="1:24" hidden="1">
      <c r="C664" s="7" t="s">
        <v>29</v>
      </c>
      <c r="D664" s="7" t="s">
        <v>30</v>
      </c>
      <c r="E664" s="7" t="s">
        <v>31</v>
      </c>
      <c r="F664" s="7" t="s">
        <v>32</v>
      </c>
      <c r="G664" s="7" t="s">
        <v>34</v>
      </c>
      <c r="H664" s="8">
        <v>20227200</v>
      </c>
      <c r="I664" s="10" t="s">
        <v>629</v>
      </c>
      <c r="J664" s="7" t="s">
        <v>630</v>
      </c>
      <c r="K664" s="10" t="s">
        <v>82</v>
      </c>
      <c r="L664" s="7" t="s">
        <v>83</v>
      </c>
      <c r="M664" s="7"/>
      <c r="N664" s="7">
        <f>VLOOKUP(J664,[1]Sheet1!$C:$D,2,FALSE)</f>
        <v>2518</v>
      </c>
      <c r="O664" s="7">
        <f>VLOOKUP(J664,[2]Desa!$A:$D,4,FALSE)</f>
        <v>209</v>
      </c>
      <c r="P664" s="7">
        <f>VLOOKUP(J664,[3]Sheet1!$D:$F,3,FALSE)</f>
        <v>11</v>
      </c>
      <c r="Q664" s="7"/>
      <c r="R664" s="7"/>
      <c r="S664" s="12">
        <v>-8.6356694682275297</v>
      </c>
      <c r="T664" s="12">
        <v>116.081462421784</v>
      </c>
      <c r="U664" s="7"/>
      <c r="V664" s="50">
        <f>Table13678[[#This Row],[PAGU SEMULA]]-Table13678[[#This Row],[PAGU ANGGARAN]]</f>
        <v>-20227200</v>
      </c>
      <c r="W664" s="50">
        <f>Table13678[[#This Row],[PAGU SEMULA]]-Table13678[[#This Row],[PAGU ANGGARAN]]</f>
        <v>-20227200</v>
      </c>
      <c r="X664" t="s">
        <v>984</v>
      </c>
    </row>
    <row r="665" spans="1:24" hidden="1">
      <c r="C665" s="7" t="s">
        <v>84</v>
      </c>
      <c r="D665" s="7" t="s">
        <v>85</v>
      </c>
      <c r="E665" s="7" t="s">
        <v>86</v>
      </c>
      <c r="F665" s="7" t="s">
        <v>87</v>
      </c>
      <c r="G665" s="7" t="s">
        <v>631</v>
      </c>
      <c r="H665" s="8">
        <v>451000000</v>
      </c>
      <c r="I665" s="10" t="s">
        <v>629</v>
      </c>
      <c r="J665" s="7" t="s">
        <v>630</v>
      </c>
      <c r="K665" s="10" t="s">
        <v>82</v>
      </c>
      <c r="L665" s="7" t="s">
        <v>83</v>
      </c>
      <c r="M665" s="7" t="s">
        <v>83</v>
      </c>
      <c r="N665" s="7">
        <f>VLOOKUP(J665,[1]Sheet1!$C:$D,2,FALSE)</f>
        <v>2518</v>
      </c>
      <c r="O665" s="7">
        <f>VLOOKUP(J665,[2]Desa!$A:$D,4,FALSE)</f>
        <v>209</v>
      </c>
      <c r="P665" s="7">
        <f>VLOOKUP(J665,[3]Sheet1!$D:$F,3,FALSE)</f>
        <v>11</v>
      </c>
      <c r="Q665" s="7"/>
      <c r="R665" s="7"/>
      <c r="S665" s="12">
        <v>-8.6356694682275297</v>
      </c>
      <c r="T665" s="12">
        <v>116.081462421784</v>
      </c>
      <c r="U665" s="7"/>
      <c r="V665" s="50">
        <f>Table13678[[#This Row],[PAGU SEMULA]]-Table13678[[#This Row],[PAGU ANGGARAN]]</f>
        <v>-451000000</v>
      </c>
      <c r="W665" s="50">
        <f>Table13678[[#This Row],[PAGU SEMULA]]-Table13678[[#This Row],[PAGU ANGGARAN]]</f>
        <v>-451000000</v>
      </c>
      <c r="X665" t="s">
        <v>982</v>
      </c>
    </row>
    <row r="666" spans="1:24" hidden="1">
      <c r="C666" s="7" t="s">
        <v>35</v>
      </c>
      <c r="D666" s="7" t="s">
        <v>36</v>
      </c>
      <c r="E666" s="7" t="s">
        <v>37</v>
      </c>
      <c r="F666" s="7" t="s">
        <v>38</v>
      </c>
      <c r="G666" s="7" t="s">
        <v>39</v>
      </c>
      <c r="H666" s="15">
        <v>75000000</v>
      </c>
      <c r="I666" s="10" t="s">
        <v>629</v>
      </c>
      <c r="J666" s="7" t="s">
        <v>630</v>
      </c>
      <c r="K666" s="10" t="s">
        <v>82</v>
      </c>
      <c r="L666" s="7" t="s">
        <v>83</v>
      </c>
      <c r="M666" s="7"/>
      <c r="N666" s="7">
        <f>VLOOKUP(J666,[1]Sheet1!$C:$D,2,FALSE)</f>
        <v>2518</v>
      </c>
      <c r="O666" s="7">
        <f>VLOOKUP(J666,[2]Desa!$A:$D,4,FALSE)</f>
        <v>209</v>
      </c>
      <c r="P666" s="7">
        <f>VLOOKUP(J666,[3]Sheet1!$D:$F,3,FALSE)</f>
        <v>11</v>
      </c>
      <c r="Q666" s="7"/>
      <c r="R666" s="7"/>
      <c r="S666" s="12">
        <v>-8.6356694682275297</v>
      </c>
      <c r="T666" s="12">
        <v>116.081462421784</v>
      </c>
      <c r="U666" s="7"/>
      <c r="V666" s="50">
        <f>Table13678[[#This Row],[PAGU SEMULA]]-Table13678[[#This Row],[PAGU ANGGARAN]]</f>
        <v>-75000000</v>
      </c>
      <c r="W666" s="50">
        <f>Table13678[[#This Row],[PAGU SEMULA]]-Table13678[[#This Row],[PAGU ANGGARAN]]</f>
        <v>-75000000</v>
      </c>
      <c r="X666" t="s">
        <v>984</v>
      </c>
    </row>
    <row r="667" spans="1:24" hidden="1">
      <c r="C667" s="7" t="s">
        <v>51</v>
      </c>
      <c r="D667" s="7" t="s">
        <v>52</v>
      </c>
      <c r="E667" s="7" t="s">
        <v>53</v>
      </c>
      <c r="F667" s="7" t="s">
        <v>54</v>
      </c>
      <c r="G667" s="7" t="s">
        <v>73</v>
      </c>
      <c r="H667" s="8">
        <v>142295000</v>
      </c>
      <c r="I667" s="10" t="s">
        <v>629</v>
      </c>
      <c r="J667" s="7" t="s">
        <v>630</v>
      </c>
      <c r="K667" s="10" t="s">
        <v>82</v>
      </c>
      <c r="L667" s="7" t="s">
        <v>83</v>
      </c>
      <c r="M667" s="7"/>
      <c r="N667" s="7">
        <f>VLOOKUP(J667,[1]Sheet1!$C:$D,2,FALSE)</f>
        <v>2518</v>
      </c>
      <c r="O667" s="7">
        <f>VLOOKUP(J667,[2]Desa!$A:$D,4,FALSE)</f>
        <v>209</v>
      </c>
      <c r="P667" s="7">
        <f>VLOOKUP(J667,[3]Sheet1!$D:$F,3,FALSE)</f>
        <v>11</v>
      </c>
      <c r="Q667" s="7"/>
      <c r="R667" s="7"/>
      <c r="S667" s="12">
        <v>-8.6356694682275297</v>
      </c>
      <c r="T667" s="12">
        <v>116.081462421784</v>
      </c>
      <c r="U667" s="7"/>
      <c r="V667" s="50">
        <f>Table13678[[#This Row],[PAGU SEMULA]]-Table13678[[#This Row],[PAGU ANGGARAN]]</f>
        <v>-142295000</v>
      </c>
      <c r="W667" s="50">
        <f>Table13678[[#This Row],[PAGU SEMULA]]-Table13678[[#This Row],[PAGU ANGGARAN]]</f>
        <v>-142295000</v>
      </c>
      <c r="X667" t="s">
        <v>986</v>
      </c>
    </row>
    <row r="668" spans="1:24" hidden="1">
      <c r="C668" s="7" t="s">
        <v>20</v>
      </c>
      <c r="D668" s="7" t="s">
        <v>21</v>
      </c>
      <c r="E668" s="7" t="s">
        <v>22</v>
      </c>
      <c r="F668" s="7" t="s">
        <v>632</v>
      </c>
      <c r="G668" s="71" t="s">
        <v>390</v>
      </c>
      <c r="H668" s="15">
        <v>82500000</v>
      </c>
      <c r="I668" s="10" t="s">
        <v>633</v>
      </c>
      <c r="J668" s="7" t="s">
        <v>634</v>
      </c>
      <c r="K668" s="10" t="s">
        <v>82</v>
      </c>
      <c r="L668" s="7" t="s">
        <v>83</v>
      </c>
      <c r="M668" s="7"/>
      <c r="N668" s="7">
        <f>VLOOKUP(J668,[1]Sheet1!$C:$D,2,FALSE)</f>
        <v>3067</v>
      </c>
      <c r="O668" s="7">
        <f>VLOOKUP(J668,[2]Desa!$A:$D,4,FALSE)</f>
        <v>123</v>
      </c>
      <c r="P668" s="7">
        <f>VLOOKUP(J668,[3]Sheet1!$D:$F,3,FALSE)</f>
        <v>15</v>
      </c>
      <c r="Q668" s="7"/>
      <c r="R668" s="7"/>
      <c r="S668" s="12">
        <v>-8.6357118970414195</v>
      </c>
      <c r="T668" s="12">
        <v>116.081494608293</v>
      </c>
      <c r="U668" s="7"/>
      <c r="V668" s="50">
        <f>Table13678[[#This Row],[PAGU SEMULA]]-Table13678[[#This Row],[PAGU ANGGARAN]]</f>
        <v>-82500000</v>
      </c>
      <c r="W668" s="50">
        <f>Table13678[[#This Row],[PAGU SEMULA]]-Table13678[[#This Row],[PAGU ANGGARAN]]</f>
        <v>-82500000</v>
      </c>
      <c r="X668" t="s">
        <v>984</v>
      </c>
    </row>
    <row r="669" spans="1:24" hidden="1">
      <c r="C669" s="7" t="s">
        <v>29</v>
      </c>
      <c r="D669" s="7" t="s">
        <v>30</v>
      </c>
      <c r="E669" s="7" t="s">
        <v>31</v>
      </c>
      <c r="F669" s="7" t="s">
        <v>32</v>
      </c>
      <c r="G669" s="7" t="s">
        <v>33</v>
      </c>
      <c r="H669" s="8">
        <v>327180000</v>
      </c>
      <c r="I669" s="10" t="s">
        <v>633</v>
      </c>
      <c r="J669" s="7" t="s">
        <v>634</v>
      </c>
      <c r="K669" s="10" t="s">
        <v>82</v>
      </c>
      <c r="L669" s="7" t="s">
        <v>83</v>
      </c>
      <c r="M669" s="7"/>
      <c r="N669" s="7">
        <f>VLOOKUP(J669,[1]Sheet1!$C:$D,2,FALSE)</f>
        <v>3067</v>
      </c>
      <c r="O669" s="7">
        <f>VLOOKUP(J669,[2]Desa!$A:$D,4,FALSE)</f>
        <v>123</v>
      </c>
      <c r="P669" s="7">
        <f>VLOOKUP(J669,[3]Sheet1!$D:$F,3,FALSE)</f>
        <v>15</v>
      </c>
      <c r="Q669" s="7"/>
      <c r="R669" s="7"/>
      <c r="S669" s="12">
        <v>-8.6357118970414195</v>
      </c>
      <c r="T669" s="12">
        <v>116.081494608293</v>
      </c>
      <c r="U669" s="7"/>
      <c r="V669" s="50">
        <f>Table13678[[#This Row],[PAGU SEMULA]]-Table13678[[#This Row],[PAGU ANGGARAN]]</f>
        <v>-327180000</v>
      </c>
      <c r="W669" s="50">
        <f>Table13678[[#This Row],[PAGU SEMULA]]-Table13678[[#This Row],[PAGU ANGGARAN]]</f>
        <v>-327180000</v>
      </c>
      <c r="X669" t="s">
        <v>984</v>
      </c>
    </row>
    <row r="670" spans="1:24" hidden="1">
      <c r="C670" s="7" t="s">
        <v>29</v>
      </c>
      <c r="D670" s="7" t="s">
        <v>30</v>
      </c>
      <c r="E670" s="7" t="s">
        <v>31</v>
      </c>
      <c r="F670" s="7" t="s">
        <v>32</v>
      </c>
      <c r="G670" s="7" t="s">
        <v>34</v>
      </c>
      <c r="H670" s="8">
        <v>26174400</v>
      </c>
      <c r="I670" s="10" t="s">
        <v>633</v>
      </c>
      <c r="J670" s="7" t="s">
        <v>634</v>
      </c>
      <c r="K670" s="10" t="s">
        <v>82</v>
      </c>
      <c r="L670" s="7" t="s">
        <v>83</v>
      </c>
      <c r="M670" s="7"/>
      <c r="N670" s="7">
        <f>VLOOKUP(J670,[1]Sheet1!$C:$D,2,FALSE)</f>
        <v>3067</v>
      </c>
      <c r="O670" s="7">
        <f>VLOOKUP(J670,[2]Desa!$A:$D,4,FALSE)</f>
        <v>123</v>
      </c>
      <c r="P670" s="7">
        <f>VLOOKUP(J670,[3]Sheet1!$D:$F,3,FALSE)</f>
        <v>15</v>
      </c>
      <c r="Q670" s="7"/>
      <c r="R670" s="7"/>
      <c r="S670" s="12">
        <v>-8.6357118970414195</v>
      </c>
      <c r="T670" s="12">
        <v>116.081494608293</v>
      </c>
      <c r="U670" s="7"/>
      <c r="V670" s="50">
        <f>Table13678[[#This Row],[PAGU SEMULA]]-Table13678[[#This Row],[PAGU ANGGARAN]]</f>
        <v>-26174400</v>
      </c>
      <c r="W670" s="50">
        <f>Table13678[[#This Row],[PAGU SEMULA]]-Table13678[[#This Row],[PAGU ANGGARAN]]</f>
        <v>-26174400</v>
      </c>
      <c r="X670" t="s">
        <v>984</v>
      </c>
    </row>
    <row r="671" spans="1:24" hidden="1">
      <c r="C671" s="7" t="s">
        <v>546</v>
      </c>
      <c r="D671" s="7" t="s">
        <v>75</v>
      </c>
      <c r="E671" s="7" t="s">
        <v>547</v>
      </c>
      <c r="F671" s="7" t="s">
        <v>548</v>
      </c>
      <c r="G671" s="7" t="s">
        <v>549</v>
      </c>
      <c r="H671" s="8">
        <v>145935000</v>
      </c>
      <c r="I671" s="10" t="s">
        <v>633</v>
      </c>
      <c r="J671" s="7" t="s">
        <v>634</v>
      </c>
      <c r="K671" s="10" t="s">
        <v>82</v>
      </c>
      <c r="L671" s="7" t="s">
        <v>83</v>
      </c>
      <c r="M671" s="7"/>
      <c r="N671" s="7">
        <f>VLOOKUP(J671,[1]Sheet1!$C:$D,2,FALSE)</f>
        <v>3067</v>
      </c>
      <c r="O671" s="7">
        <f>VLOOKUP(J671,[2]Desa!$A:$D,4,FALSE)</f>
        <v>123</v>
      </c>
      <c r="P671" s="7">
        <f>VLOOKUP(J671,[3]Sheet1!$D:$F,3,FALSE)</f>
        <v>15</v>
      </c>
      <c r="Q671" s="7"/>
      <c r="R671" s="7"/>
      <c r="S671" s="12">
        <v>-8.6357118970414195</v>
      </c>
      <c r="T671" s="12">
        <v>116.081494608293</v>
      </c>
      <c r="U671" s="7"/>
      <c r="V671" s="50">
        <f>Table13678[[#This Row],[PAGU SEMULA]]-Table13678[[#This Row],[PAGU ANGGARAN]]</f>
        <v>-145935000</v>
      </c>
      <c r="W671" s="50">
        <f>Table13678[[#This Row],[PAGU SEMULA]]-Table13678[[#This Row],[PAGU ANGGARAN]]</f>
        <v>-145935000</v>
      </c>
      <c r="X671" t="s">
        <v>982</v>
      </c>
    </row>
    <row r="672" spans="1:24" hidden="1">
      <c r="C672" s="7" t="s">
        <v>546</v>
      </c>
      <c r="D672" s="7" t="s">
        <v>75</v>
      </c>
      <c r="E672" s="7" t="s">
        <v>547</v>
      </c>
      <c r="F672" s="7" t="s">
        <v>548</v>
      </c>
      <c r="G672" s="7" t="s">
        <v>549</v>
      </c>
      <c r="H672" s="8">
        <v>126900000</v>
      </c>
      <c r="I672" s="10" t="s">
        <v>633</v>
      </c>
      <c r="J672" s="7" t="s">
        <v>634</v>
      </c>
      <c r="K672" s="10" t="s">
        <v>82</v>
      </c>
      <c r="L672" s="7" t="s">
        <v>83</v>
      </c>
      <c r="M672" s="7"/>
      <c r="N672" s="7">
        <f>VLOOKUP(J672,[1]Sheet1!$C:$D,2,FALSE)</f>
        <v>3067</v>
      </c>
      <c r="O672" s="7">
        <f>VLOOKUP(J672,[2]Desa!$A:$D,4,FALSE)</f>
        <v>123</v>
      </c>
      <c r="P672" s="7">
        <f>VLOOKUP(J672,[3]Sheet1!$D:$F,3,FALSE)</f>
        <v>15</v>
      </c>
      <c r="Q672" s="7"/>
      <c r="R672" s="7"/>
      <c r="S672" s="12">
        <v>-8.6357118970414195</v>
      </c>
      <c r="T672" s="12">
        <v>116.081494608293</v>
      </c>
      <c r="U672" s="7"/>
      <c r="V672" s="50">
        <f>Table13678[[#This Row],[PAGU SEMULA]]-Table13678[[#This Row],[PAGU ANGGARAN]]</f>
        <v>-126900000</v>
      </c>
      <c r="W672" s="50">
        <f>Table13678[[#This Row],[PAGU SEMULA]]-Table13678[[#This Row],[PAGU ANGGARAN]]</f>
        <v>-126900000</v>
      </c>
      <c r="X672" t="s">
        <v>982</v>
      </c>
    </row>
    <row r="673" spans="3:24" hidden="1">
      <c r="C673" s="7" t="s">
        <v>546</v>
      </c>
      <c r="D673" s="7" t="s">
        <v>75</v>
      </c>
      <c r="E673" s="7" t="s">
        <v>547</v>
      </c>
      <c r="F673" s="7" t="s">
        <v>548</v>
      </c>
      <c r="G673" s="7" t="s">
        <v>549</v>
      </c>
      <c r="H673" s="8">
        <v>31725000</v>
      </c>
      <c r="I673" s="10" t="s">
        <v>633</v>
      </c>
      <c r="J673" s="7" t="s">
        <v>634</v>
      </c>
      <c r="K673" s="10" t="s">
        <v>82</v>
      </c>
      <c r="L673" s="7" t="s">
        <v>83</v>
      </c>
      <c r="M673" s="7"/>
      <c r="N673" s="7">
        <f>VLOOKUP(J673,[1]Sheet1!$C:$D,2,FALSE)</f>
        <v>3067</v>
      </c>
      <c r="O673" s="7">
        <f>VLOOKUP(J673,[2]Desa!$A:$D,4,FALSE)</f>
        <v>123</v>
      </c>
      <c r="P673" s="7">
        <f>VLOOKUP(J673,[3]Sheet1!$D:$F,3,FALSE)</f>
        <v>15</v>
      </c>
      <c r="Q673" s="7"/>
      <c r="R673" s="7"/>
      <c r="S673" s="12">
        <v>-8.6357118970414195</v>
      </c>
      <c r="T673" s="12">
        <v>116.081494608293</v>
      </c>
      <c r="U673" s="7"/>
      <c r="V673" s="50">
        <f>Table13678[[#This Row],[PAGU SEMULA]]-Table13678[[#This Row],[PAGU ANGGARAN]]</f>
        <v>-31725000</v>
      </c>
      <c r="W673" s="50">
        <f>Table13678[[#This Row],[PAGU SEMULA]]-Table13678[[#This Row],[PAGU ANGGARAN]]</f>
        <v>-31725000</v>
      </c>
      <c r="X673" t="s">
        <v>982</v>
      </c>
    </row>
    <row r="674" spans="3:24" hidden="1">
      <c r="C674" s="7" t="s">
        <v>198</v>
      </c>
      <c r="D674" s="7" t="s">
        <v>199</v>
      </c>
      <c r="E674" s="7" t="s">
        <v>200</v>
      </c>
      <c r="F674" s="7" t="s">
        <v>201</v>
      </c>
      <c r="G674" s="7" t="s">
        <v>635</v>
      </c>
      <c r="H674" s="8">
        <v>69151000</v>
      </c>
      <c r="I674" s="10" t="s">
        <v>633</v>
      </c>
      <c r="J674" s="7" t="s">
        <v>634</v>
      </c>
      <c r="K674" s="10" t="s">
        <v>82</v>
      </c>
      <c r="L674" s="7" t="s">
        <v>83</v>
      </c>
      <c r="M674" s="7"/>
      <c r="N674" s="7">
        <f>VLOOKUP(J674,[1]Sheet1!$C:$D,2,FALSE)</f>
        <v>3067</v>
      </c>
      <c r="O674" s="7">
        <f>VLOOKUP(J674,[2]Desa!$A:$D,4,FALSE)</f>
        <v>123</v>
      </c>
      <c r="P674" s="7">
        <f>VLOOKUP(J674,[3]Sheet1!$D:$F,3,FALSE)</f>
        <v>15</v>
      </c>
      <c r="Q674" s="7"/>
      <c r="R674" s="7"/>
      <c r="S674" s="12">
        <v>-8.6357118970414195</v>
      </c>
      <c r="T674" s="12">
        <v>116.081494608293</v>
      </c>
      <c r="U674" s="7"/>
      <c r="V674" s="50">
        <f>Table13678[[#This Row],[PAGU SEMULA]]-Table13678[[#This Row],[PAGU ANGGARAN]]</f>
        <v>-69151000</v>
      </c>
      <c r="W674" s="50">
        <f>Table13678[[#This Row],[PAGU SEMULA]]-Table13678[[#This Row],[PAGU ANGGARAN]]</f>
        <v>-69151000</v>
      </c>
      <c r="X674" t="s">
        <v>982</v>
      </c>
    </row>
    <row r="675" spans="3:24" hidden="1">
      <c r="C675" s="7" t="s">
        <v>198</v>
      </c>
      <c r="D675" s="7" t="s">
        <v>199</v>
      </c>
      <c r="E675" s="7" t="s">
        <v>200</v>
      </c>
      <c r="F675" s="7" t="s">
        <v>201</v>
      </c>
      <c r="G675" s="7" t="s">
        <v>202</v>
      </c>
      <c r="H675" s="8">
        <v>162314250</v>
      </c>
      <c r="I675" s="10" t="s">
        <v>633</v>
      </c>
      <c r="J675" s="7" t="s">
        <v>634</v>
      </c>
      <c r="K675" s="10" t="s">
        <v>82</v>
      </c>
      <c r="L675" s="7" t="s">
        <v>83</v>
      </c>
      <c r="M675" s="7"/>
      <c r="N675" s="7">
        <f>VLOOKUP(J675,[1]Sheet1!$C:$D,2,FALSE)</f>
        <v>3067</v>
      </c>
      <c r="O675" s="7">
        <f>VLOOKUP(J675,[2]Desa!$A:$D,4,FALSE)</f>
        <v>123</v>
      </c>
      <c r="P675" s="7">
        <f>VLOOKUP(J675,[3]Sheet1!$D:$F,3,FALSE)</f>
        <v>15</v>
      </c>
      <c r="Q675" s="8"/>
      <c r="R675" s="7"/>
      <c r="S675" s="12">
        <v>-8.6357118970414195</v>
      </c>
      <c r="T675" s="12">
        <v>116.081494608293</v>
      </c>
      <c r="U675" s="7"/>
      <c r="V675" s="50">
        <f>Table13678[[#This Row],[PAGU SEMULA]]-Table13678[[#This Row],[PAGU ANGGARAN]]</f>
        <v>-162314250</v>
      </c>
      <c r="W675" s="50">
        <f>Table13678[[#This Row],[PAGU SEMULA]]-Table13678[[#This Row],[PAGU ANGGARAN]]</f>
        <v>-162314250</v>
      </c>
      <c r="X675" t="s">
        <v>982</v>
      </c>
    </row>
    <row r="676" spans="3:24" hidden="1">
      <c r="C676" s="7" t="s">
        <v>35</v>
      </c>
      <c r="D676" s="7" t="s">
        <v>36</v>
      </c>
      <c r="E676" s="7" t="s">
        <v>37</v>
      </c>
      <c r="F676" s="7" t="s">
        <v>38</v>
      </c>
      <c r="G676" s="7" t="s">
        <v>39</v>
      </c>
      <c r="H676" s="15">
        <v>75000000</v>
      </c>
      <c r="I676" s="10" t="s">
        <v>633</v>
      </c>
      <c r="J676" s="7" t="s">
        <v>634</v>
      </c>
      <c r="K676" s="10" t="s">
        <v>82</v>
      </c>
      <c r="L676" s="7" t="s">
        <v>83</v>
      </c>
      <c r="M676" s="7"/>
      <c r="N676" s="7">
        <f>VLOOKUP(J676,[1]Sheet1!$C:$D,2,FALSE)</f>
        <v>3067</v>
      </c>
      <c r="O676" s="7">
        <f>VLOOKUP(J676,[2]Desa!$A:$D,4,FALSE)</f>
        <v>123</v>
      </c>
      <c r="P676" s="7">
        <f>VLOOKUP(J676,[3]Sheet1!$D:$F,3,FALSE)</f>
        <v>15</v>
      </c>
      <c r="Q676" s="7"/>
      <c r="R676" s="7"/>
      <c r="S676" s="12">
        <v>-8.6357118970414195</v>
      </c>
      <c r="T676" s="12">
        <v>116.081494608293</v>
      </c>
      <c r="U676" s="7"/>
      <c r="V676" s="50">
        <f>Table13678[[#This Row],[PAGU SEMULA]]-Table13678[[#This Row],[PAGU ANGGARAN]]</f>
        <v>-75000000</v>
      </c>
      <c r="W676" s="50">
        <f>Table13678[[#This Row],[PAGU SEMULA]]-Table13678[[#This Row],[PAGU ANGGARAN]]</f>
        <v>-75000000</v>
      </c>
      <c r="X676" t="s">
        <v>984</v>
      </c>
    </row>
    <row r="677" spans="3:24" hidden="1">
      <c r="C677" s="7" t="s">
        <v>20</v>
      </c>
      <c r="D677" s="7" t="s">
        <v>104</v>
      </c>
      <c r="E677" s="7" t="s">
        <v>145</v>
      </c>
      <c r="F677" s="7" t="s">
        <v>146</v>
      </c>
      <c r="G677" s="71" t="s">
        <v>636</v>
      </c>
      <c r="H677" s="15">
        <v>59000000</v>
      </c>
      <c r="I677" s="10" t="s">
        <v>637</v>
      </c>
      <c r="J677" s="7" t="s">
        <v>236</v>
      </c>
      <c r="K677" s="10" t="s">
        <v>235</v>
      </c>
      <c r="L677" s="7" t="s">
        <v>236</v>
      </c>
      <c r="M677" s="7"/>
      <c r="N677" s="7">
        <f>VLOOKUP(J677,[1]Sheet1!$C:$D,2,FALSE)</f>
        <v>10451</v>
      </c>
      <c r="O677" s="7">
        <f>VLOOKUP(J677,[2]Desa!$A:$D,4,FALSE)</f>
        <v>376</v>
      </c>
      <c r="P677" s="7">
        <f>VLOOKUP(J677,[3]Sheet1!$D:$F,3,FALSE)</f>
        <v>71</v>
      </c>
      <c r="Q677" s="7"/>
      <c r="R677" s="7"/>
      <c r="S677" s="12">
        <v>-8.6744936509108399</v>
      </c>
      <c r="T677" s="12">
        <v>116.164606221894</v>
      </c>
      <c r="U677" s="7"/>
      <c r="V677" s="50">
        <f>Table13678[[#This Row],[PAGU SEMULA]]-Table13678[[#This Row],[PAGU ANGGARAN]]</f>
        <v>-59000000</v>
      </c>
      <c r="W677" s="50">
        <f>Table13678[[#This Row],[PAGU SEMULA]]-Table13678[[#This Row],[PAGU ANGGARAN]]</f>
        <v>-59000000</v>
      </c>
      <c r="X677" t="s">
        <v>984</v>
      </c>
    </row>
    <row r="678" spans="3:24" hidden="1">
      <c r="C678" s="7" t="s">
        <v>20</v>
      </c>
      <c r="D678" s="7" t="s">
        <v>104</v>
      </c>
      <c r="E678" s="7" t="s">
        <v>105</v>
      </c>
      <c r="F678" s="7" t="s">
        <v>169</v>
      </c>
      <c r="G678" s="71" t="s">
        <v>638</v>
      </c>
      <c r="H678" s="15">
        <v>149896000</v>
      </c>
      <c r="I678" s="10" t="s">
        <v>637</v>
      </c>
      <c r="J678" s="7" t="s">
        <v>236</v>
      </c>
      <c r="K678" s="10" t="s">
        <v>235</v>
      </c>
      <c r="L678" s="7" t="s">
        <v>236</v>
      </c>
      <c r="M678" s="7"/>
      <c r="N678" s="7">
        <f>VLOOKUP(J678,[1]Sheet1!$C:$D,2,FALSE)</f>
        <v>10451</v>
      </c>
      <c r="O678" s="7">
        <f>VLOOKUP(J678,[2]Desa!$A:$D,4,FALSE)</f>
        <v>376</v>
      </c>
      <c r="P678" s="7">
        <f>VLOOKUP(J678,[3]Sheet1!$D:$F,3,FALSE)</f>
        <v>71</v>
      </c>
      <c r="Q678" s="7"/>
      <c r="R678" s="7"/>
      <c r="S678" s="12">
        <v>-8.6744936509108399</v>
      </c>
      <c r="T678" s="12">
        <v>116.164606221894</v>
      </c>
      <c r="U678" s="7"/>
      <c r="V678" s="50">
        <f>Table13678[[#This Row],[PAGU SEMULA]]-Table13678[[#This Row],[PAGU ANGGARAN]]</f>
        <v>-149896000</v>
      </c>
      <c r="W678" s="50">
        <f>Table13678[[#This Row],[PAGU SEMULA]]-Table13678[[#This Row],[PAGU ANGGARAN]]</f>
        <v>-149896000</v>
      </c>
      <c r="X678" t="s">
        <v>984</v>
      </c>
    </row>
    <row r="679" spans="3:24" hidden="1">
      <c r="C679" s="7" t="s">
        <v>29</v>
      </c>
      <c r="D679" s="7" t="s">
        <v>30</v>
      </c>
      <c r="E679" s="7" t="s">
        <v>148</v>
      </c>
      <c r="F679" s="7" t="s">
        <v>149</v>
      </c>
      <c r="G679" s="7" t="s">
        <v>639</v>
      </c>
      <c r="H679" s="8">
        <v>1875602000</v>
      </c>
      <c r="I679" s="10" t="s">
        <v>637</v>
      </c>
      <c r="J679" s="7" t="s">
        <v>236</v>
      </c>
      <c r="K679" s="10" t="s">
        <v>235</v>
      </c>
      <c r="L679" s="7" t="s">
        <v>236</v>
      </c>
      <c r="M679" s="7"/>
      <c r="N679" s="7">
        <f>VLOOKUP(J679,[1]Sheet1!$C:$D,2,FALSE)</f>
        <v>10451</v>
      </c>
      <c r="O679" s="7">
        <f>VLOOKUP(J679,[2]Desa!$A:$D,4,FALSE)</f>
        <v>376</v>
      </c>
      <c r="P679" s="7">
        <f>VLOOKUP(J679,[3]Sheet1!$D:$F,3,FALSE)</f>
        <v>71</v>
      </c>
      <c r="Q679" s="7"/>
      <c r="R679" s="7"/>
      <c r="S679" s="12">
        <v>-8.6744936509108399</v>
      </c>
      <c r="T679" s="12">
        <v>116.164606221894</v>
      </c>
      <c r="U679" s="7"/>
      <c r="V679" s="50">
        <f>Table13678[[#This Row],[PAGU SEMULA]]-Table13678[[#This Row],[PAGU ANGGARAN]]</f>
        <v>-1875602000</v>
      </c>
      <c r="W679" s="50">
        <f>Table13678[[#This Row],[PAGU SEMULA]]-Table13678[[#This Row],[PAGU ANGGARAN]]</f>
        <v>-1875602000</v>
      </c>
      <c r="X679" t="s">
        <v>984</v>
      </c>
    </row>
    <row r="680" spans="3:24" hidden="1">
      <c r="C680" s="7" t="s">
        <v>29</v>
      </c>
      <c r="D680" s="7" t="s">
        <v>30</v>
      </c>
      <c r="E680" s="7" t="s">
        <v>31</v>
      </c>
      <c r="F680" s="7" t="s">
        <v>32</v>
      </c>
      <c r="G680" s="7" t="s">
        <v>33</v>
      </c>
      <c r="H680" s="8">
        <v>561120000</v>
      </c>
      <c r="I680" s="10" t="s">
        <v>637</v>
      </c>
      <c r="J680" s="7" t="s">
        <v>236</v>
      </c>
      <c r="K680" s="10" t="s">
        <v>235</v>
      </c>
      <c r="L680" s="7" t="s">
        <v>236</v>
      </c>
      <c r="M680" s="7"/>
      <c r="N680" s="7">
        <f>VLOOKUP(J680,[1]Sheet1!$C:$D,2,FALSE)</f>
        <v>10451</v>
      </c>
      <c r="O680" s="7">
        <f>VLOOKUP(J680,[2]Desa!$A:$D,4,FALSE)</f>
        <v>376</v>
      </c>
      <c r="P680" s="7">
        <f>VLOOKUP(J680,[3]Sheet1!$D:$F,3,FALSE)</f>
        <v>71</v>
      </c>
      <c r="Q680" s="7"/>
      <c r="R680" s="7"/>
      <c r="S680" s="12">
        <v>-8.6744936509108399</v>
      </c>
      <c r="T680" s="12">
        <v>116.164606221894</v>
      </c>
      <c r="U680" s="7"/>
      <c r="V680" s="50">
        <f>Table13678[[#This Row],[PAGU SEMULA]]-Table13678[[#This Row],[PAGU ANGGARAN]]</f>
        <v>-561120000</v>
      </c>
      <c r="W680" s="50">
        <f>Table13678[[#This Row],[PAGU SEMULA]]-Table13678[[#This Row],[PAGU ANGGARAN]]</f>
        <v>-561120000</v>
      </c>
      <c r="X680" t="s">
        <v>984</v>
      </c>
    </row>
    <row r="681" spans="3:24" hidden="1">
      <c r="C681" s="7" t="s">
        <v>29</v>
      </c>
      <c r="D681" s="7" t="s">
        <v>30</v>
      </c>
      <c r="E681" s="7" t="s">
        <v>31</v>
      </c>
      <c r="F681" s="7" t="s">
        <v>32</v>
      </c>
      <c r="G681" s="7" t="s">
        <v>34</v>
      </c>
      <c r="H681" s="8">
        <v>44889600</v>
      </c>
      <c r="I681" s="10" t="s">
        <v>637</v>
      </c>
      <c r="J681" s="7" t="s">
        <v>236</v>
      </c>
      <c r="K681" s="10" t="s">
        <v>235</v>
      </c>
      <c r="L681" s="7" t="s">
        <v>236</v>
      </c>
      <c r="M681" s="7"/>
      <c r="N681" s="7">
        <f>VLOOKUP(J681,[1]Sheet1!$C:$D,2,FALSE)</f>
        <v>10451</v>
      </c>
      <c r="O681" s="7">
        <f>VLOOKUP(J681,[2]Desa!$A:$D,4,FALSE)</f>
        <v>376</v>
      </c>
      <c r="P681" s="7">
        <f>VLOOKUP(J681,[3]Sheet1!$D:$F,3,FALSE)</f>
        <v>71</v>
      </c>
      <c r="Q681" s="7"/>
      <c r="R681" s="7"/>
      <c r="S681" s="12">
        <v>-8.6744936509108399</v>
      </c>
      <c r="T681" s="12">
        <v>116.164606221894</v>
      </c>
      <c r="U681" s="7"/>
      <c r="V681" s="50">
        <f>Table13678[[#This Row],[PAGU SEMULA]]-Table13678[[#This Row],[PAGU ANGGARAN]]</f>
        <v>-44889600</v>
      </c>
      <c r="W681" s="50">
        <f>Table13678[[#This Row],[PAGU SEMULA]]-Table13678[[#This Row],[PAGU ANGGARAN]]</f>
        <v>-44889600</v>
      </c>
      <c r="X681" t="s">
        <v>984</v>
      </c>
    </row>
    <row r="682" spans="3:24" hidden="1">
      <c r="C682" s="7" t="s">
        <v>198</v>
      </c>
      <c r="D682" s="7" t="s">
        <v>473</v>
      </c>
      <c r="E682" s="7" t="s">
        <v>474</v>
      </c>
      <c r="F682" s="7" t="s">
        <v>475</v>
      </c>
      <c r="G682" s="7" t="s">
        <v>476</v>
      </c>
      <c r="H682" s="8">
        <v>71250000</v>
      </c>
      <c r="I682" s="10" t="s">
        <v>637</v>
      </c>
      <c r="J682" s="7" t="s">
        <v>236</v>
      </c>
      <c r="K682" s="10" t="s">
        <v>235</v>
      </c>
      <c r="L682" s="7" t="s">
        <v>236</v>
      </c>
      <c r="M682" s="7"/>
      <c r="N682" s="7">
        <f>VLOOKUP(J682,[1]Sheet1!$C:$D,2,FALSE)</f>
        <v>10451</v>
      </c>
      <c r="O682" s="7">
        <f>VLOOKUP(J682,[2]Desa!$A:$D,4,FALSE)</f>
        <v>376</v>
      </c>
      <c r="P682" s="7">
        <f>VLOOKUP(J682,[3]Sheet1!$D:$F,3,FALSE)</f>
        <v>71</v>
      </c>
      <c r="Q682" s="7"/>
      <c r="R682" s="7"/>
      <c r="S682" s="12">
        <v>-8.6744936509108399</v>
      </c>
      <c r="T682" s="12">
        <v>116.164606221894</v>
      </c>
      <c r="U682" s="7"/>
      <c r="V682" s="50">
        <f>Table13678[[#This Row],[PAGU SEMULA]]-Table13678[[#This Row],[PAGU ANGGARAN]]</f>
        <v>-71250000</v>
      </c>
      <c r="W682" s="50">
        <f>Table13678[[#This Row],[PAGU SEMULA]]-Table13678[[#This Row],[PAGU ANGGARAN]]</f>
        <v>-71250000</v>
      </c>
      <c r="X682" t="s">
        <v>982</v>
      </c>
    </row>
    <row r="683" spans="3:24" hidden="1">
      <c r="C683" s="7" t="s">
        <v>110</v>
      </c>
      <c r="D683" s="7" t="s">
        <v>178</v>
      </c>
      <c r="E683" s="7" t="s">
        <v>179</v>
      </c>
      <c r="F683" s="7" t="s">
        <v>180</v>
      </c>
      <c r="G683" s="71" t="s">
        <v>640</v>
      </c>
      <c r="H683" s="8">
        <v>100000000</v>
      </c>
      <c r="I683" s="10" t="s">
        <v>637</v>
      </c>
      <c r="J683" s="7" t="s">
        <v>236</v>
      </c>
      <c r="K683" s="10" t="s">
        <v>235</v>
      </c>
      <c r="L683" s="7" t="s">
        <v>236</v>
      </c>
      <c r="M683" s="7"/>
      <c r="N683" s="7">
        <f>VLOOKUP(J683,[1]Sheet1!$C:$D,2,FALSE)</f>
        <v>10451</v>
      </c>
      <c r="O683" s="7">
        <f>VLOOKUP(J683,[2]Desa!$A:$D,4,FALSE)</f>
        <v>376</v>
      </c>
      <c r="P683" s="7">
        <f>VLOOKUP(J683,[3]Sheet1!$D:$F,3,FALSE)</f>
        <v>71</v>
      </c>
      <c r="Q683" s="7"/>
      <c r="R683" s="7"/>
      <c r="S683" s="12">
        <v>-8.6744936509108399</v>
      </c>
      <c r="T683" s="12">
        <v>116.164606221894</v>
      </c>
      <c r="U683" s="7"/>
      <c r="V683" s="50">
        <f>Table13678[[#This Row],[PAGU SEMULA]]-Table13678[[#This Row],[PAGU ANGGARAN]]</f>
        <v>-100000000</v>
      </c>
      <c r="W683" s="50">
        <f>Table13678[[#This Row],[PAGU SEMULA]]-Table13678[[#This Row],[PAGU ANGGARAN]]</f>
        <v>-100000000</v>
      </c>
      <c r="X683" t="s">
        <v>982</v>
      </c>
    </row>
    <row r="684" spans="3:24" hidden="1">
      <c r="C684" s="7" t="s">
        <v>110</v>
      </c>
      <c r="D684" s="7" t="s">
        <v>178</v>
      </c>
      <c r="E684" s="7" t="s">
        <v>179</v>
      </c>
      <c r="F684" s="7" t="s">
        <v>180</v>
      </c>
      <c r="G684" s="71" t="s">
        <v>181</v>
      </c>
      <c r="H684" s="8"/>
      <c r="I684" s="10" t="s">
        <v>637</v>
      </c>
      <c r="J684" s="7" t="s">
        <v>236</v>
      </c>
      <c r="K684" s="10" t="s">
        <v>235</v>
      </c>
      <c r="L684" s="7" t="s">
        <v>236</v>
      </c>
      <c r="M684" s="7"/>
      <c r="N684" s="7">
        <f>VLOOKUP(J684,[1]Sheet1!$C:$D,2,FALSE)</f>
        <v>10451</v>
      </c>
      <c r="O684" s="7">
        <f>VLOOKUP(J684,[2]Desa!$A:$D,4,FALSE)</f>
        <v>376</v>
      </c>
      <c r="P684" s="7">
        <f>VLOOKUP(J684,[3]Sheet1!$D:$F,3,FALSE)</f>
        <v>71</v>
      </c>
      <c r="Q684" s="7"/>
      <c r="R684" s="7"/>
      <c r="S684" s="12">
        <v>-8.6744936509108399</v>
      </c>
      <c r="T684" s="12">
        <v>116.164606221894</v>
      </c>
      <c r="U684" s="7"/>
      <c r="V684" s="50">
        <f>Table13678[[#This Row],[PAGU SEMULA]]-Table13678[[#This Row],[PAGU ANGGARAN]]</f>
        <v>0</v>
      </c>
      <c r="W684" s="50">
        <f>Table13678[[#This Row],[PAGU SEMULA]]-Table13678[[#This Row],[PAGU ANGGARAN]]</f>
        <v>0</v>
      </c>
      <c r="X684" t="s">
        <v>982</v>
      </c>
    </row>
    <row r="685" spans="3:24" hidden="1">
      <c r="C685" s="7" t="s">
        <v>110</v>
      </c>
      <c r="D685" s="7" t="s">
        <v>305</v>
      </c>
      <c r="E685" s="7" t="s">
        <v>306</v>
      </c>
      <c r="F685" s="7" t="s">
        <v>307</v>
      </c>
      <c r="G685" s="71" t="s">
        <v>308</v>
      </c>
      <c r="H685" s="8">
        <v>2400000</v>
      </c>
      <c r="I685" s="10" t="s">
        <v>637</v>
      </c>
      <c r="J685" s="7" t="s">
        <v>236</v>
      </c>
      <c r="K685" s="10" t="s">
        <v>235</v>
      </c>
      <c r="L685" s="7" t="s">
        <v>236</v>
      </c>
      <c r="M685" s="7"/>
      <c r="N685" s="7">
        <f>VLOOKUP(J685,[1]Sheet1!$C:$D,2,FALSE)</f>
        <v>10451</v>
      </c>
      <c r="O685" s="7">
        <f>VLOOKUP(J685,[2]Desa!$A:$D,4,FALSE)</f>
        <v>376</v>
      </c>
      <c r="P685" s="7">
        <f>VLOOKUP(J685,[3]Sheet1!$D:$F,3,FALSE)</f>
        <v>71</v>
      </c>
      <c r="Q685" s="7"/>
      <c r="R685" s="7"/>
      <c r="S685" s="12">
        <v>-8.6744936509108399</v>
      </c>
      <c r="T685" s="12">
        <v>116.164606221894</v>
      </c>
      <c r="U685" s="7"/>
      <c r="V685" s="50">
        <f>Table13678[[#This Row],[PAGU SEMULA]]-Table13678[[#This Row],[PAGU ANGGARAN]]</f>
        <v>-2400000</v>
      </c>
      <c r="W685" s="50">
        <f>Table13678[[#This Row],[PAGU SEMULA]]-Table13678[[#This Row],[PAGU ANGGARAN]]</f>
        <v>-2400000</v>
      </c>
      <c r="X685" t="s">
        <v>982</v>
      </c>
    </row>
    <row r="686" spans="3:24" hidden="1">
      <c r="C686" s="7" t="s">
        <v>35</v>
      </c>
      <c r="D686" s="7" t="s">
        <v>36</v>
      </c>
      <c r="E686" s="7" t="s">
        <v>37</v>
      </c>
      <c r="F686" s="7" t="s">
        <v>38</v>
      </c>
      <c r="G686" s="7" t="s">
        <v>39</v>
      </c>
      <c r="H686" s="15">
        <v>75000000</v>
      </c>
      <c r="I686" s="10" t="s">
        <v>637</v>
      </c>
      <c r="J686" s="7" t="s">
        <v>236</v>
      </c>
      <c r="K686" s="10" t="s">
        <v>235</v>
      </c>
      <c r="L686" s="7" t="s">
        <v>236</v>
      </c>
      <c r="M686" s="7"/>
      <c r="N686" s="7">
        <f>VLOOKUP(J686,[1]Sheet1!$C:$D,2,FALSE)</f>
        <v>10451</v>
      </c>
      <c r="O686" s="7">
        <f>VLOOKUP(J686,[2]Desa!$A:$D,4,FALSE)</f>
        <v>376</v>
      </c>
      <c r="P686" s="7">
        <f>VLOOKUP(J686,[3]Sheet1!$D:$F,3,FALSE)</f>
        <v>71</v>
      </c>
      <c r="Q686" s="7"/>
      <c r="R686" s="7"/>
      <c r="S686" s="12">
        <v>-8.6744936509108399</v>
      </c>
      <c r="T686" s="12">
        <v>116.164606221894</v>
      </c>
      <c r="U686" s="7"/>
      <c r="V686" s="50">
        <f>Table13678[[#This Row],[PAGU SEMULA]]-Table13678[[#This Row],[PAGU ANGGARAN]]</f>
        <v>-75000000</v>
      </c>
      <c r="W686" s="50">
        <f>Table13678[[#This Row],[PAGU SEMULA]]-Table13678[[#This Row],[PAGU ANGGARAN]]</f>
        <v>-75000000</v>
      </c>
      <c r="X686" t="s">
        <v>984</v>
      </c>
    </row>
    <row r="687" spans="3:24" hidden="1">
      <c r="C687" s="7" t="s">
        <v>35</v>
      </c>
      <c r="D687" s="7" t="s">
        <v>156</v>
      </c>
      <c r="E687" s="7" t="s">
        <v>252</v>
      </c>
      <c r="F687" s="7" t="s">
        <v>253</v>
      </c>
      <c r="G687" s="7" t="s">
        <v>620</v>
      </c>
      <c r="H687" s="17">
        <v>215000000</v>
      </c>
      <c r="I687" s="10" t="s">
        <v>637</v>
      </c>
      <c r="J687" s="7" t="s">
        <v>236</v>
      </c>
      <c r="K687" s="10" t="s">
        <v>235</v>
      </c>
      <c r="L687" s="7" t="s">
        <v>236</v>
      </c>
      <c r="M687" s="7"/>
      <c r="N687" s="7">
        <f>VLOOKUP(J687,[1]Sheet1!$C:$D,2,FALSE)</f>
        <v>10451</v>
      </c>
      <c r="O687" s="7">
        <f>VLOOKUP(J687,[2]Desa!$A:$D,4,FALSE)</f>
        <v>376</v>
      </c>
      <c r="P687" s="7">
        <f>VLOOKUP(J687,[3]Sheet1!$D:$F,3,FALSE)</f>
        <v>71</v>
      </c>
      <c r="Q687" s="7"/>
      <c r="R687" s="7"/>
      <c r="S687" s="12">
        <v>-8.6744936509108399</v>
      </c>
      <c r="T687" s="12">
        <v>116.164606221894</v>
      </c>
      <c r="U687" s="7"/>
      <c r="V687" s="50">
        <f>Table13678[[#This Row],[PAGU SEMULA]]-Table13678[[#This Row],[PAGU ANGGARAN]]</f>
        <v>-215000000</v>
      </c>
      <c r="W687" s="50">
        <f>Table13678[[#This Row],[PAGU SEMULA]]-Table13678[[#This Row],[PAGU ANGGARAN]]</f>
        <v>-215000000</v>
      </c>
      <c r="X687" t="s">
        <v>986</v>
      </c>
    </row>
    <row r="688" spans="3:24" hidden="1">
      <c r="C688" s="7" t="s">
        <v>35</v>
      </c>
      <c r="D688" s="7" t="s">
        <v>156</v>
      </c>
      <c r="E688" s="7" t="s">
        <v>157</v>
      </c>
      <c r="F688" s="7" t="s">
        <v>158</v>
      </c>
      <c r="G688" s="7" t="s">
        <v>504</v>
      </c>
      <c r="H688" s="15">
        <v>0</v>
      </c>
      <c r="I688" s="10" t="s">
        <v>637</v>
      </c>
      <c r="J688" s="7" t="s">
        <v>236</v>
      </c>
      <c r="K688" s="10" t="s">
        <v>235</v>
      </c>
      <c r="L688" s="7" t="s">
        <v>236</v>
      </c>
      <c r="M688" s="7"/>
      <c r="N688" s="7">
        <f>VLOOKUP(J688,[1]Sheet1!$C:$D,2,FALSE)</f>
        <v>10451</v>
      </c>
      <c r="O688" s="7">
        <f>VLOOKUP(J688,[2]Desa!$A:$D,4,FALSE)</f>
        <v>376</v>
      </c>
      <c r="P688" s="7">
        <f>VLOOKUP(J688,[3]Sheet1!$D:$F,3,FALSE)</f>
        <v>71</v>
      </c>
      <c r="Q688" s="7"/>
      <c r="R688" s="7"/>
      <c r="S688" s="12">
        <v>-8.6744936509108399</v>
      </c>
      <c r="T688" s="12">
        <v>116.164606221894</v>
      </c>
      <c r="U688" s="7"/>
      <c r="V688" s="50">
        <f>Table13678[[#This Row],[PAGU SEMULA]]-Table13678[[#This Row],[PAGU ANGGARAN]]</f>
        <v>0</v>
      </c>
      <c r="W688" s="50">
        <f>Table13678[[#This Row],[PAGU SEMULA]]-Table13678[[#This Row],[PAGU ANGGARAN]]</f>
        <v>0</v>
      </c>
      <c r="X688" t="s">
        <v>986</v>
      </c>
    </row>
    <row r="689" spans="3:24" hidden="1">
      <c r="C689" s="7" t="s">
        <v>35</v>
      </c>
      <c r="D689" s="7" t="s">
        <v>42</v>
      </c>
      <c r="E689" s="7" t="s">
        <v>43</v>
      </c>
      <c r="F689" s="7" t="s">
        <v>44</v>
      </c>
      <c r="G689" s="7" t="s">
        <v>45</v>
      </c>
      <c r="H689" s="15">
        <v>90000000</v>
      </c>
      <c r="I689" s="10" t="s">
        <v>637</v>
      </c>
      <c r="J689" s="7" t="s">
        <v>236</v>
      </c>
      <c r="K689" s="10" t="s">
        <v>235</v>
      </c>
      <c r="L689" s="7" t="s">
        <v>236</v>
      </c>
      <c r="M689" s="7"/>
      <c r="N689" s="7">
        <f>VLOOKUP(J689,[1]Sheet1!$C:$D,2,FALSE)</f>
        <v>10451</v>
      </c>
      <c r="O689" s="7">
        <f>VLOOKUP(J689,[2]Desa!$A:$D,4,FALSE)</f>
        <v>376</v>
      </c>
      <c r="P689" s="7">
        <f>VLOOKUP(J689,[3]Sheet1!$D:$F,3,FALSE)</f>
        <v>71</v>
      </c>
      <c r="Q689" s="7"/>
      <c r="R689" s="7"/>
      <c r="S689" s="12">
        <v>-8.6744936509108399</v>
      </c>
      <c r="T689" s="12">
        <v>116.164606221894</v>
      </c>
      <c r="U689" s="7"/>
      <c r="V689" s="50">
        <f>Table13678[[#This Row],[PAGU SEMULA]]-Table13678[[#This Row],[PAGU ANGGARAN]]</f>
        <v>-90000000</v>
      </c>
      <c r="W689" s="50">
        <f>Table13678[[#This Row],[PAGU SEMULA]]-Table13678[[#This Row],[PAGU ANGGARAN]]</f>
        <v>-90000000</v>
      </c>
      <c r="X689" t="s">
        <v>986</v>
      </c>
    </row>
    <row r="690" spans="3:24" hidden="1">
      <c r="C690" s="7" t="s">
        <v>35</v>
      </c>
      <c r="D690" s="7" t="s">
        <v>52</v>
      </c>
      <c r="E690" s="7" t="s">
        <v>95</v>
      </c>
      <c r="F690" s="7" t="s">
        <v>96</v>
      </c>
      <c r="G690" s="7" t="s">
        <v>98</v>
      </c>
      <c r="H690" s="17">
        <v>193500000</v>
      </c>
      <c r="I690" s="10" t="s">
        <v>637</v>
      </c>
      <c r="J690" s="7" t="s">
        <v>236</v>
      </c>
      <c r="K690" s="10" t="s">
        <v>235</v>
      </c>
      <c r="L690" s="7" t="s">
        <v>236</v>
      </c>
      <c r="M690" s="7"/>
      <c r="N690" s="7">
        <f>VLOOKUP(J690,[1]Sheet1!$C:$D,2,FALSE)</f>
        <v>10451</v>
      </c>
      <c r="O690" s="7">
        <f>VLOOKUP(J690,[2]Desa!$A:$D,4,FALSE)</f>
        <v>376</v>
      </c>
      <c r="P690" s="7">
        <f>VLOOKUP(J690,[3]Sheet1!$D:$F,3,FALSE)</f>
        <v>71</v>
      </c>
      <c r="Q690" s="7"/>
      <c r="R690" s="7"/>
      <c r="S690" s="12">
        <v>-8.6744936509108399</v>
      </c>
      <c r="T690" s="12">
        <v>116.164606221894</v>
      </c>
      <c r="U690" s="7"/>
      <c r="V690" s="50">
        <f>Table13678[[#This Row],[PAGU SEMULA]]-Table13678[[#This Row],[PAGU ANGGARAN]]</f>
        <v>-193500000</v>
      </c>
      <c r="W690" s="50">
        <f>Table13678[[#This Row],[PAGU SEMULA]]-Table13678[[#This Row],[PAGU ANGGARAN]]</f>
        <v>-193500000</v>
      </c>
      <c r="X690" t="s">
        <v>986</v>
      </c>
    </row>
    <row r="691" spans="3:24" hidden="1">
      <c r="C691" s="7" t="s">
        <v>35</v>
      </c>
      <c r="D691" s="7" t="s">
        <v>52</v>
      </c>
      <c r="E691" s="7" t="s">
        <v>95</v>
      </c>
      <c r="F691" s="7" t="s">
        <v>96</v>
      </c>
      <c r="G691" s="7" t="s">
        <v>221</v>
      </c>
      <c r="H691" s="17">
        <v>120937500</v>
      </c>
      <c r="I691" s="10" t="s">
        <v>637</v>
      </c>
      <c r="J691" s="7" t="s">
        <v>236</v>
      </c>
      <c r="K691" s="10" t="s">
        <v>235</v>
      </c>
      <c r="L691" s="7" t="s">
        <v>236</v>
      </c>
      <c r="M691" s="7"/>
      <c r="N691" s="7">
        <f>VLOOKUP(J691,[1]Sheet1!$C:$D,2,FALSE)</f>
        <v>10451</v>
      </c>
      <c r="O691" s="7">
        <f>VLOOKUP(J691,[2]Desa!$A:$D,4,FALSE)</f>
        <v>376</v>
      </c>
      <c r="P691" s="7">
        <f>VLOOKUP(J691,[3]Sheet1!$D:$F,3,FALSE)</f>
        <v>71</v>
      </c>
      <c r="Q691" s="7"/>
      <c r="R691" s="7"/>
      <c r="S691" s="12">
        <v>-8.6744936509108399</v>
      </c>
      <c r="T691" s="12">
        <v>116.164606221894</v>
      </c>
      <c r="U691" s="7"/>
      <c r="V691" s="50">
        <f>Table13678[[#This Row],[PAGU SEMULA]]-Table13678[[#This Row],[PAGU ANGGARAN]]</f>
        <v>-120937500</v>
      </c>
      <c r="W691" s="50">
        <f>Table13678[[#This Row],[PAGU SEMULA]]-Table13678[[#This Row],[PAGU ANGGARAN]]</f>
        <v>-120937500</v>
      </c>
      <c r="X691" t="s">
        <v>986</v>
      </c>
    </row>
    <row r="692" spans="3:24" hidden="1">
      <c r="C692" s="7" t="s">
        <v>46</v>
      </c>
      <c r="D692" s="7" t="s">
        <v>122</v>
      </c>
      <c r="E692" s="7" t="s">
        <v>123</v>
      </c>
      <c r="F692" s="7" t="s">
        <v>124</v>
      </c>
      <c r="G692" s="7" t="s">
        <v>369</v>
      </c>
      <c r="H692" s="8">
        <v>80000000</v>
      </c>
      <c r="I692" s="10" t="s">
        <v>637</v>
      </c>
      <c r="J692" s="7" t="s">
        <v>236</v>
      </c>
      <c r="K692" s="10" t="s">
        <v>235</v>
      </c>
      <c r="L692" s="7" t="s">
        <v>236</v>
      </c>
      <c r="M692" s="7"/>
      <c r="N692" s="7">
        <f>VLOOKUP(J692,[1]Sheet1!$C:$D,2,FALSE)</f>
        <v>10451</v>
      </c>
      <c r="O692" s="7">
        <f>VLOOKUP(J692,[2]Desa!$A:$D,4,FALSE)</f>
        <v>376</v>
      </c>
      <c r="P692" s="7">
        <f>VLOOKUP(J692,[3]Sheet1!$D:$F,3,FALSE)</f>
        <v>71</v>
      </c>
      <c r="Q692" s="7"/>
      <c r="R692" s="7"/>
      <c r="S692" s="12">
        <v>-8.6744936509108399</v>
      </c>
      <c r="T692" s="12">
        <v>116.164606221894</v>
      </c>
      <c r="U692" s="7"/>
      <c r="V692" s="50">
        <f>Table13678[[#This Row],[PAGU SEMULA]]-Table13678[[#This Row],[PAGU ANGGARAN]]</f>
        <v>-80000000</v>
      </c>
      <c r="W692" s="50">
        <f>Table13678[[#This Row],[PAGU SEMULA]]-Table13678[[#This Row],[PAGU ANGGARAN]]</f>
        <v>-80000000</v>
      </c>
      <c r="X692" t="s">
        <v>987</v>
      </c>
    </row>
    <row r="693" spans="3:24" hidden="1">
      <c r="C693" s="7" t="s">
        <v>46</v>
      </c>
      <c r="D693" s="7" t="s">
        <v>100</v>
      </c>
      <c r="E693" s="7" t="s">
        <v>101</v>
      </c>
      <c r="F693" s="7" t="s">
        <v>102</v>
      </c>
      <c r="G693" s="7" t="s">
        <v>641</v>
      </c>
      <c r="H693" s="8">
        <v>39650000</v>
      </c>
      <c r="I693" s="10" t="s">
        <v>637</v>
      </c>
      <c r="J693" s="7" t="s">
        <v>236</v>
      </c>
      <c r="K693" s="10" t="s">
        <v>235</v>
      </c>
      <c r="L693" s="7" t="s">
        <v>236</v>
      </c>
      <c r="M693" s="7"/>
      <c r="N693" s="7">
        <f>VLOOKUP(J693,[1]Sheet1!$C:$D,2,FALSE)</f>
        <v>10451</v>
      </c>
      <c r="O693" s="7">
        <f>VLOOKUP(J693,[2]Desa!$A:$D,4,FALSE)</f>
        <v>376</v>
      </c>
      <c r="P693" s="7">
        <f>VLOOKUP(J693,[3]Sheet1!$D:$F,3,FALSE)</f>
        <v>71</v>
      </c>
      <c r="Q693" s="7"/>
      <c r="R693" s="7"/>
      <c r="S693" s="12">
        <v>-8.6744936509108399</v>
      </c>
      <c r="T693" s="12">
        <v>116.164606221894</v>
      </c>
      <c r="U693" s="7"/>
      <c r="V693" s="50">
        <f>Table13678[[#This Row],[PAGU SEMULA]]-Table13678[[#This Row],[PAGU ANGGARAN]]</f>
        <v>-39650000</v>
      </c>
      <c r="W693" s="50">
        <f>Table13678[[#This Row],[PAGU SEMULA]]-Table13678[[#This Row],[PAGU ANGGARAN]]</f>
        <v>-39650000</v>
      </c>
      <c r="X693" t="s">
        <v>987</v>
      </c>
    </row>
    <row r="694" spans="3:24" hidden="1">
      <c r="C694" s="7" t="s">
        <v>51</v>
      </c>
      <c r="D694" s="7" t="s">
        <v>52</v>
      </c>
      <c r="E694" s="7" t="s">
        <v>53</v>
      </c>
      <c r="F694" s="7" t="s">
        <v>54</v>
      </c>
      <c r="G694" s="7" t="s">
        <v>73</v>
      </c>
      <c r="H694" s="8">
        <v>189090000</v>
      </c>
      <c r="I694" s="10" t="s">
        <v>637</v>
      </c>
      <c r="J694" s="7" t="s">
        <v>236</v>
      </c>
      <c r="K694" s="10" t="s">
        <v>235</v>
      </c>
      <c r="L694" s="7" t="s">
        <v>236</v>
      </c>
      <c r="M694" s="7"/>
      <c r="N694" s="7">
        <f>VLOOKUP(J694,[1]Sheet1!$C:$D,2,FALSE)</f>
        <v>10451</v>
      </c>
      <c r="O694" s="7">
        <f>VLOOKUP(J694,[2]Desa!$A:$D,4,FALSE)</f>
        <v>376</v>
      </c>
      <c r="P694" s="7">
        <f>VLOOKUP(J694,[3]Sheet1!$D:$F,3,FALSE)</f>
        <v>71</v>
      </c>
      <c r="Q694" s="7"/>
      <c r="R694" s="7"/>
      <c r="S694" s="12">
        <v>-8.6744936509108399</v>
      </c>
      <c r="T694" s="12">
        <v>116.164606221894</v>
      </c>
      <c r="U694" s="7"/>
      <c r="V694" s="50">
        <f>Table13678[[#This Row],[PAGU SEMULA]]-Table13678[[#This Row],[PAGU ANGGARAN]]</f>
        <v>-189090000</v>
      </c>
      <c r="W694" s="50">
        <f>Table13678[[#This Row],[PAGU SEMULA]]-Table13678[[#This Row],[PAGU ANGGARAN]]</f>
        <v>-189090000</v>
      </c>
      <c r="X694" t="s">
        <v>986</v>
      </c>
    </row>
    <row r="695" spans="3:24" hidden="1">
      <c r="C695" s="7" t="s">
        <v>51</v>
      </c>
      <c r="D695" s="7" t="s">
        <v>52</v>
      </c>
      <c r="E695" s="7" t="s">
        <v>53</v>
      </c>
      <c r="F695" s="7" t="s">
        <v>54</v>
      </c>
      <c r="G695" s="7" t="s">
        <v>73</v>
      </c>
      <c r="H695" s="8">
        <v>189090000</v>
      </c>
      <c r="I695" s="10" t="s">
        <v>637</v>
      </c>
      <c r="J695" s="7" t="s">
        <v>236</v>
      </c>
      <c r="K695" s="10" t="s">
        <v>235</v>
      </c>
      <c r="L695" s="7" t="s">
        <v>236</v>
      </c>
      <c r="M695" s="7"/>
      <c r="N695" s="7">
        <f>VLOOKUP(J695,[1]Sheet1!$C:$D,2,FALSE)</f>
        <v>10451</v>
      </c>
      <c r="O695" s="7">
        <f>VLOOKUP(J695,[2]Desa!$A:$D,4,FALSE)</f>
        <v>376</v>
      </c>
      <c r="P695" s="7">
        <f>VLOOKUP(J695,[3]Sheet1!$D:$F,3,FALSE)</f>
        <v>71</v>
      </c>
      <c r="Q695" s="7"/>
      <c r="R695" s="7"/>
      <c r="S695" s="12">
        <v>-8.6744936509108399</v>
      </c>
      <c r="T695" s="12">
        <v>116.164606221894</v>
      </c>
      <c r="U695" s="7"/>
      <c r="V695" s="50">
        <f>Table13678[[#This Row],[PAGU SEMULA]]-Table13678[[#This Row],[PAGU ANGGARAN]]</f>
        <v>-189090000</v>
      </c>
      <c r="W695" s="50">
        <f>Table13678[[#This Row],[PAGU SEMULA]]-Table13678[[#This Row],[PAGU ANGGARAN]]</f>
        <v>-189090000</v>
      </c>
      <c r="X695" t="s">
        <v>986</v>
      </c>
    </row>
    <row r="696" spans="3:24" hidden="1">
      <c r="C696" s="7" t="s">
        <v>51</v>
      </c>
      <c r="D696" s="7" t="s">
        <v>134</v>
      </c>
      <c r="E696" s="7" t="s">
        <v>135</v>
      </c>
      <c r="F696" s="7" t="s">
        <v>136</v>
      </c>
      <c r="G696" s="7" t="s">
        <v>642</v>
      </c>
      <c r="H696" s="8">
        <v>189000000</v>
      </c>
      <c r="I696" s="10" t="s">
        <v>637</v>
      </c>
      <c r="J696" s="7" t="s">
        <v>236</v>
      </c>
      <c r="K696" s="10" t="s">
        <v>235</v>
      </c>
      <c r="L696" s="7" t="s">
        <v>236</v>
      </c>
      <c r="M696" s="7"/>
      <c r="N696" s="7">
        <f>VLOOKUP(J696,[1]Sheet1!$C:$D,2,FALSE)</f>
        <v>10451</v>
      </c>
      <c r="O696" s="7">
        <f>VLOOKUP(J696,[2]Desa!$A:$D,4,FALSE)</f>
        <v>376</v>
      </c>
      <c r="P696" s="7">
        <f>VLOOKUP(J696,[3]Sheet1!$D:$F,3,FALSE)</f>
        <v>71</v>
      </c>
      <c r="Q696" s="7"/>
      <c r="R696" s="7"/>
      <c r="S696" s="12">
        <v>-8.6744936509108399</v>
      </c>
      <c r="T696" s="12">
        <v>116.164606221894</v>
      </c>
      <c r="U696" s="7"/>
      <c r="V696" s="50">
        <f>Table13678[[#This Row],[PAGU SEMULA]]-Table13678[[#This Row],[PAGU ANGGARAN]]</f>
        <v>-189000000</v>
      </c>
      <c r="W696" s="50">
        <f>Table13678[[#This Row],[PAGU SEMULA]]-Table13678[[#This Row],[PAGU ANGGARAN]]</f>
        <v>-189000000</v>
      </c>
      <c r="X696" t="s">
        <v>986</v>
      </c>
    </row>
    <row r="697" spans="3:24" hidden="1">
      <c r="C697" s="7" t="s">
        <v>29</v>
      </c>
      <c r="D697" s="7" t="s">
        <v>30</v>
      </c>
      <c r="E697" s="7" t="s">
        <v>31</v>
      </c>
      <c r="F697" s="7" t="s">
        <v>32</v>
      </c>
      <c r="G697" s="7" t="s">
        <v>33</v>
      </c>
      <c r="H697" s="8">
        <v>354480000</v>
      </c>
      <c r="I697" s="10" t="s">
        <v>643</v>
      </c>
      <c r="J697" s="7" t="s">
        <v>644</v>
      </c>
      <c r="K697" s="10" t="s">
        <v>235</v>
      </c>
      <c r="L697" s="7" t="s">
        <v>236</v>
      </c>
      <c r="M697" s="7"/>
      <c r="N697" s="7">
        <f>VLOOKUP(J697,[1]Sheet1!$C:$D,2,FALSE)</f>
        <v>5774</v>
      </c>
      <c r="O697" s="7">
        <f>VLOOKUP(J697,[2]Desa!$A:$D,4,FALSE)</f>
        <v>215</v>
      </c>
      <c r="P697" s="7">
        <f>VLOOKUP(J697,[3]Sheet1!$D:$F,3,FALSE)</f>
        <v>42</v>
      </c>
      <c r="Q697" s="7"/>
      <c r="R697" s="7"/>
      <c r="S697" s="12">
        <v>-8.6820230675780099</v>
      </c>
      <c r="T697" s="12">
        <v>116.168492179566</v>
      </c>
      <c r="U697" s="7"/>
      <c r="V697" s="50">
        <f>Table13678[[#This Row],[PAGU SEMULA]]-Table13678[[#This Row],[PAGU ANGGARAN]]</f>
        <v>-354480000</v>
      </c>
      <c r="W697" s="50">
        <f>Table13678[[#This Row],[PAGU SEMULA]]-Table13678[[#This Row],[PAGU ANGGARAN]]</f>
        <v>-354480000</v>
      </c>
      <c r="X697" t="s">
        <v>984</v>
      </c>
    </row>
    <row r="698" spans="3:24" hidden="1">
      <c r="C698" s="7" t="s">
        <v>29</v>
      </c>
      <c r="D698" s="7" t="s">
        <v>30</v>
      </c>
      <c r="E698" s="7" t="s">
        <v>31</v>
      </c>
      <c r="F698" s="7" t="s">
        <v>32</v>
      </c>
      <c r="G698" s="7" t="s">
        <v>34</v>
      </c>
      <c r="H698" s="8">
        <v>28358400</v>
      </c>
      <c r="I698" s="10" t="s">
        <v>643</v>
      </c>
      <c r="J698" s="7" t="s">
        <v>644</v>
      </c>
      <c r="K698" s="10" t="s">
        <v>235</v>
      </c>
      <c r="L698" s="7" t="s">
        <v>236</v>
      </c>
      <c r="M698" s="7"/>
      <c r="N698" s="7">
        <f>VLOOKUP(J698,[1]Sheet1!$C:$D,2,FALSE)</f>
        <v>5774</v>
      </c>
      <c r="O698" s="7">
        <f>VLOOKUP(J698,[2]Desa!$A:$D,4,FALSE)</f>
        <v>215</v>
      </c>
      <c r="P698" s="7">
        <f>VLOOKUP(J698,[3]Sheet1!$D:$F,3,FALSE)</f>
        <v>42</v>
      </c>
      <c r="Q698" s="7"/>
      <c r="R698" s="7"/>
      <c r="S698" s="12">
        <v>-8.6820230675780099</v>
      </c>
      <c r="T698" s="12">
        <v>116.168492179566</v>
      </c>
      <c r="U698" s="7"/>
      <c r="V698" s="50">
        <f>Table13678[[#This Row],[PAGU SEMULA]]-Table13678[[#This Row],[PAGU ANGGARAN]]</f>
        <v>-28358400</v>
      </c>
      <c r="W698" s="50">
        <f>Table13678[[#This Row],[PAGU SEMULA]]-Table13678[[#This Row],[PAGU ANGGARAN]]</f>
        <v>-28358400</v>
      </c>
      <c r="X698" t="s">
        <v>984</v>
      </c>
    </row>
    <row r="699" spans="3:24" hidden="1">
      <c r="C699" s="7" t="s">
        <v>60</v>
      </c>
      <c r="D699" s="7" t="s">
        <v>185</v>
      </c>
      <c r="E699" s="7" t="s">
        <v>186</v>
      </c>
      <c r="F699" s="7" t="s">
        <v>187</v>
      </c>
      <c r="G699" s="71" t="s">
        <v>645</v>
      </c>
      <c r="H699" s="15">
        <v>18605000</v>
      </c>
      <c r="I699" s="10" t="s">
        <v>643</v>
      </c>
      <c r="J699" s="7" t="s">
        <v>644</v>
      </c>
      <c r="K699" s="10" t="s">
        <v>235</v>
      </c>
      <c r="L699" s="7" t="s">
        <v>236</v>
      </c>
      <c r="M699" s="7"/>
      <c r="N699" s="7">
        <f>VLOOKUP(J699,[1]Sheet1!$C:$D,2,FALSE)</f>
        <v>5774</v>
      </c>
      <c r="O699" s="7">
        <f>VLOOKUP(J699,[2]Desa!$A:$D,4,FALSE)</f>
        <v>215</v>
      </c>
      <c r="P699" s="7">
        <f>VLOOKUP(J699,[3]Sheet1!$D:$F,3,FALSE)</f>
        <v>42</v>
      </c>
      <c r="Q699" s="7"/>
      <c r="R699" s="7"/>
      <c r="S699" s="12">
        <v>-8.6820230675780099</v>
      </c>
      <c r="T699" s="12">
        <v>116.168492179566</v>
      </c>
      <c r="U699" s="7"/>
      <c r="V699" s="50">
        <f>Table13678[[#This Row],[PAGU SEMULA]]-Table13678[[#This Row],[PAGU ANGGARAN]]</f>
        <v>-18605000</v>
      </c>
      <c r="W699" s="50">
        <f>Table13678[[#This Row],[PAGU SEMULA]]-Table13678[[#This Row],[PAGU ANGGARAN]]</f>
        <v>-18605000</v>
      </c>
      <c r="X699" t="s">
        <v>987</v>
      </c>
    </row>
    <row r="700" spans="3:24" hidden="1">
      <c r="C700" s="7" t="s">
        <v>35</v>
      </c>
      <c r="D700" s="7" t="s">
        <v>36</v>
      </c>
      <c r="E700" s="7" t="s">
        <v>37</v>
      </c>
      <c r="F700" s="7" t="s">
        <v>38</v>
      </c>
      <c r="G700" s="7" t="s">
        <v>39</v>
      </c>
      <c r="H700" s="15">
        <v>75000000</v>
      </c>
      <c r="I700" s="10" t="s">
        <v>643</v>
      </c>
      <c r="J700" s="7" t="s">
        <v>644</v>
      </c>
      <c r="K700" s="10" t="s">
        <v>235</v>
      </c>
      <c r="L700" s="7" t="s">
        <v>236</v>
      </c>
      <c r="M700" s="7"/>
      <c r="N700" s="7">
        <f>VLOOKUP(J700,[1]Sheet1!$C:$D,2,FALSE)</f>
        <v>5774</v>
      </c>
      <c r="O700" s="7">
        <f>VLOOKUP(J700,[2]Desa!$A:$D,4,FALSE)</f>
        <v>215</v>
      </c>
      <c r="P700" s="7">
        <f>VLOOKUP(J700,[3]Sheet1!$D:$F,3,FALSE)</f>
        <v>42</v>
      </c>
      <c r="Q700" s="7"/>
      <c r="R700" s="7"/>
      <c r="S700" s="12">
        <v>-8.6820230675780099</v>
      </c>
      <c r="T700" s="12">
        <v>116.168492179566</v>
      </c>
      <c r="U700" s="7"/>
      <c r="V700" s="50">
        <f>Table13678[[#This Row],[PAGU SEMULA]]-Table13678[[#This Row],[PAGU ANGGARAN]]</f>
        <v>-75000000</v>
      </c>
      <c r="W700" s="50">
        <f>Table13678[[#This Row],[PAGU SEMULA]]-Table13678[[#This Row],[PAGU ANGGARAN]]</f>
        <v>-75000000</v>
      </c>
      <c r="X700" t="s">
        <v>984</v>
      </c>
    </row>
    <row r="701" spans="3:24" hidden="1">
      <c r="C701" s="7" t="s">
        <v>35</v>
      </c>
      <c r="D701" s="7" t="s">
        <v>52</v>
      </c>
      <c r="E701" s="7" t="s">
        <v>95</v>
      </c>
      <c r="F701" s="7" t="s">
        <v>96</v>
      </c>
      <c r="G701" s="7" t="s">
        <v>41</v>
      </c>
      <c r="H701" s="17">
        <v>145125000</v>
      </c>
      <c r="I701" s="10" t="s">
        <v>643</v>
      </c>
      <c r="J701" s="7" t="s">
        <v>644</v>
      </c>
      <c r="K701" s="10" t="s">
        <v>235</v>
      </c>
      <c r="L701" s="7" t="s">
        <v>236</v>
      </c>
      <c r="M701" s="7"/>
      <c r="N701" s="7">
        <f>VLOOKUP(J701,[1]Sheet1!$C:$D,2,FALSE)</f>
        <v>5774</v>
      </c>
      <c r="O701" s="7">
        <f>VLOOKUP(J701,[2]Desa!$A:$D,4,FALSE)</f>
        <v>215</v>
      </c>
      <c r="P701" s="7">
        <f>VLOOKUP(J701,[3]Sheet1!$D:$F,3,FALSE)</f>
        <v>42</v>
      </c>
      <c r="Q701" s="7"/>
      <c r="R701" s="7"/>
      <c r="S701" s="12">
        <v>-8.6820230675780099</v>
      </c>
      <c r="T701" s="12">
        <v>116.168492179566</v>
      </c>
      <c r="U701" s="7"/>
      <c r="V701" s="50">
        <f>Table13678[[#This Row],[PAGU SEMULA]]-Table13678[[#This Row],[PAGU ANGGARAN]]</f>
        <v>-145125000</v>
      </c>
      <c r="W701" s="50">
        <f>Table13678[[#This Row],[PAGU SEMULA]]-Table13678[[#This Row],[PAGU ANGGARAN]]</f>
        <v>-145125000</v>
      </c>
      <c r="X701" t="s">
        <v>986</v>
      </c>
    </row>
    <row r="702" spans="3:24" hidden="1">
      <c r="C702" s="7" t="s">
        <v>46</v>
      </c>
      <c r="D702" s="7" t="s">
        <v>100</v>
      </c>
      <c r="E702" s="7" t="s">
        <v>101</v>
      </c>
      <c r="F702" s="7" t="s">
        <v>102</v>
      </c>
      <c r="G702" s="7" t="s">
        <v>646</v>
      </c>
      <c r="H702" s="8">
        <v>32078000</v>
      </c>
      <c r="I702" s="10" t="s">
        <v>643</v>
      </c>
      <c r="J702" s="7" t="s">
        <v>644</v>
      </c>
      <c r="K702" s="10" t="s">
        <v>235</v>
      </c>
      <c r="L702" s="7" t="s">
        <v>236</v>
      </c>
      <c r="M702" s="7"/>
      <c r="N702" s="7">
        <f>VLOOKUP(J702,[1]Sheet1!$C:$D,2,FALSE)</f>
        <v>5774</v>
      </c>
      <c r="O702" s="7">
        <f>VLOOKUP(J702,[2]Desa!$A:$D,4,FALSE)</f>
        <v>215</v>
      </c>
      <c r="P702" s="7">
        <f>VLOOKUP(J702,[3]Sheet1!$D:$F,3,FALSE)</f>
        <v>42</v>
      </c>
      <c r="Q702" s="7"/>
      <c r="R702" s="7"/>
      <c r="S702" s="12">
        <v>-8.6820230675780099</v>
      </c>
      <c r="T702" s="12">
        <v>116.168492179566</v>
      </c>
      <c r="U702" s="7"/>
      <c r="V702" s="50">
        <f>Table13678[[#This Row],[PAGU SEMULA]]-Table13678[[#This Row],[PAGU ANGGARAN]]</f>
        <v>-32078000</v>
      </c>
      <c r="W702" s="50">
        <f>Table13678[[#This Row],[PAGU SEMULA]]-Table13678[[#This Row],[PAGU ANGGARAN]]</f>
        <v>-32078000</v>
      </c>
      <c r="X702" t="s">
        <v>987</v>
      </c>
    </row>
    <row r="703" spans="3:24" hidden="1">
      <c r="C703" s="7" t="s">
        <v>46</v>
      </c>
      <c r="D703" s="7" t="s">
        <v>100</v>
      </c>
      <c r="E703" s="7" t="s">
        <v>101</v>
      </c>
      <c r="F703" s="7" t="s">
        <v>102</v>
      </c>
      <c r="G703" s="7" t="s">
        <v>121</v>
      </c>
      <c r="H703" s="8">
        <v>31500000</v>
      </c>
      <c r="I703" s="10" t="s">
        <v>643</v>
      </c>
      <c r="J703" s="7" t="s">
        <v>644</v>
      </c>
      <c r="K703" s="10" t="s">
        <v>235</v>
      </c>
      <c r="L703" s="7" t="s">
        <v>236</v>
      </c>
      <c r="M703" s="7"/>
      <c r="N703" s="7">
        <f>VLOOKUP(J703,[1]Sheet1!$C:$D,2,FALSE)</f>
        <v>5774</v>
      </c>
      <c r="O703" s="7">
        <f>VLOOKUP(J703,[2]Desa!$A:$D,4,FALSE)</f>
        <v>215</v>
      </c>
      <c r="P703" s="7">
        <f>VLOOKUP(J703,[3]Sheet1!$D:$F,3,FALSE)</f>
        <v>42</v>
      </c>
      <c r="Q703" s="7"/>
      <c r="R703" s="7"/>
      <c r="S703" s="12">
        <v>-8.6820230675780099</v>
      </c>
      <c r="T703" s="12">
        <v>116.168492179566</v>
      </c>
      <c r="U703" s="7"/>
      <c r="V703" s="50">
        <f>Table13678[[#This Row],[PAGU SEMULA]]-Table13678[[#This Row],[PAGU ANGGARAN]]</f>
        <v>-31500000</v>
      </c>
      <c r="W703" s="50">
        <f>Table13678[[#This Row],[PAGU SEMULA]]-Table13678[[#This Row],[PAGU ANGGARAN]]</f>
        <v>-31500000</v>
      </c>
      <c r="X703" t="s">
        <v>987</v>
      </c>
    </row>
    <row r="704" spans="3:24" hidden="1">
      <c r="C704" s="7" t="s">
        <v>46</v>
      </c>
      <c r="D704" s="7" t="s">
        <v>100</v>
      </c>
      <c r="E704" s="7" t="s">
        <v>101</v>
      </c>
      <c r="F704" s="7" t="s">
        <v>102</v>
      </c>
      <c r="G704" s="7" t="s">
        <v>121</v>
      </c>
      <c r="H704" s="8">
        <v>31500000</v>
      </c>
      <c r="I704" s="10" t="s">
        <v>643</v>
      </c>
      <c r="J704" s="7" t="s">
        <v>644</v>
      </c>
      <c r="K704" s="10" t="s">
        <v>235</v>
      </c>
      <c r="L704" s="7" t="s">
        <v>236</v>
      </c>
      <c r="M704" s="7"/>
      <c r="N704" s="7">
        <f>VLOOKUP(J704,[1]Sheet1!$C:$D,2,FALSE)</f>
        <v>5774</v>
      </c>
      <c r="O704" s="7">
        <f>VLOOKUP(J704,[2]Desa!$A:$D,4,FALSE)</f>
        <v>215</v>
      </c>
      <c r="P704" s="7">
        <f>VLOOKUP(J704,[3]Sheet1!$D:$F,3,FALSE)</f>
        <v>42</v>
      </c>
      <c r="Q704" s="7"/>
      <c r="R704" s="7"/>
      <c r="S704" s="12">
        <v>-8.6820230675780099</v>
      </c>
      <c r="T704" s="12">
        <v>116.168492179566</v>
      </c>
      <c r="U704" s="7"/>
      <c r="V704" s="50">
        <f>Table13678[[#This Row],[PAGU SEMULA]]-Table13678[[#This Row],[PAGU ANGGARAN]]</f>
        <v>-31500000</v>
      </c>
      <c r="W704" s="50">
        <f>Table13678[[#This Row],[PAGU SEMULA]]-Table13678[[#This Row],[PAGU ANGGARAN]]</f>
        <v>-31500000</v>
      </c>
      <c r="X704" t="s">
        <v>987</v>
      </c>
    </row>
    <row r="705" spans="3:24" hidden="1">
      <c r="C705" s="7" t="s">
        <v>46</v>
      </c>
      <c r="D705" s="7" t="s">
        <v>100</v>
      </c>
      <c r="E705" s="7" t="s">
        <v>101</v>
      </c>
      <c r="F705" s="7" t="s">
        <v>102</v>
      </c>
      <c r="G705" s="71" t="s">
        <v>647</v>
      </c>
      <c r="H705" s="8">
        <v>0</v>
      </c>
      <c r="I705" s="10" t="s">
        <v>643</v>
      </c>
      <c r="J705" s="7" t="s">
        <v>644</v>
      </c>
      <c r="K705" s="10" t="s">
        <v>235</v>
      </c>
      <c r="L705" s="7" t="s">
        <v>236</v>
      </c>
      <c r="M705" s="7"/>
      <c r="N705" s="7">
        <f>VLOOKUP(J705,[1]Sheet1!$C:$D,2,FALSE)</f>
        <v>5774</v>
      </c>
      <c r="O705" s="7">
        <f>VLOOKUP(J705,[2]Desa!$A:$D,4,FALSE)</f>
        <v>215</v>
      </c>
      <c r="P705" s="7">
        <f>VLOOKUP(J705,[3]Sheet1!$D:$F,3,FALSE)</f>
        <v>42</v>
      </c>
      <c r="Q705" s="7"/>
      <c r="R705" s="7"/>
      <c r="S705" s="12">
        <v>-8.6820230675780099</v>
      </c>
      <c r="T705" s="12">
        <v>116.168492179566</v>
      </c>
      <c r="U705" s="7"/>
      <c r="V705" s="50">
        <f>Table13678[[#This Row],[PAGU SEMULA]]-Table13678[[#This Row],[PAGU ANGGARAN]]</f>
        <v>0</v>
      </c>
      <c r="W705" s="50">
        <f>Table13678[[#This Row],[PAGU SEMULA]]-Table13678[[#This Row],[PAGU ANGGARAN]]</f>
        <v>0</v>
      </c>
      <c r="X705" t="s">
        <v>987</v>
      </c>
    </row>
    <row r="706" spans="3:24" hidden="1">
      <c r="C706" s="7" t="s">
        <v>46</v>
      </c>
      <c r="D706" s="7" t="s">
        <v>100</v>
      </c>
      <c r="E706" s="7" t="s">
        <v>101</v>
      </c>
      <c r="F706" s="7" t="s">
        <v>102</v>
      </c>
      <c r="G706" s="7" t="s">
        <v>327</v>
      </c>
      <c r="H706" s="8">
        <v>19948600</v>
      </c>
      <c r="I706" s="10" t="s">
        <v>643</v>
      </c>
      <c r="J706" s="7" t="s">
        <v>644</v>
      </c>
      <c r="K706" s="10" t="s">
        <v>235</v>
      </c>
      <c r="L706" s="7" t="s">
        <v>236</v>
      </c>
      <c r="M706" s="7"/>
      <c r="N706" s="7">
        <f>VLOOKUP(J706,[1]Sheet1!$C:$D,2,FALSE)</f>
        <v>5774</v>
      </c>
      <c r="O706" s="7">
        <f>VLOOKUP(J706,[2]Desa!$A:$D,4,FALSE)</f>
        <v>215</v>
      </c>
      <c r="P706" s="7">
        <f>VLOOKUP(J706,[3]Sheet1!$D:$F,3,FALSE)</f>
        <v>42</v>
      </c>
      <c r="Q706" s="7"/>
      <c r="R706" s="7"/>
      <c r="S706" s="12">
        <v>-8.6820230675780099</v>
      </c>
      <c r="T706" s="12">
        <v>116.168492179566</v>
      </c>
      <c r="U706" s="7"/>
      <c r="V706" s="50">
        <f>Table13678[[#This Row],[PAGU SEMULA]]-Table13678[[#This Row],[PAGU ANGGARAN]]</f>
        <v>-19948600</v>
      </c>
      <c r="W706" s="50">
        <f>Table13678[[#This Row],[PAGU SEMULA]]-Table13678[[#This Row],[PAGU ANGGARAN]]</f>
        <v>-19948600</v>
      </c>
      <c r="X706" t="s">
        <v>987</v>
      </c>
    </row>
    <row r="707" spans="3:24" hidden="1">
      <c r="C707" s="7" t="s">
        <v>648</v>
      </c>
      <c r="D707" s="7" t="s">
        <v>649</v>
      </c>
      <c r="E707" s="7" t="s">
        <v>650</v>
      </c>
      <c r="F707" s="7" t="s">
        <v>651</v>
      </c>
      <c r="G707" s="7" t="s">
        <v>652</v>
      </c>
      <c r="H707" s="8">
        <v>250000000</v>
      </c>
      <c r="I707" s="10" t="s">
        <v>643</v>
      </c>
      <c r="J707" s="7" t="s">
        <v>644</v>
      </c>
      <c r="K707" s="10" t="s">
        <v>235</v>
      </c>
      <c r="L707" s="7" t="s">
        <v>236</v>
      </c>
      <c r="M707" s="7"/>
      <c r="N707" s="7">
        <f>VLOOKUP(J707,[1]Sheet1!$C:$D,2,FALSE)</f>
        <v>5774</v>
      </c>
      <c r="O707" s="7">
        <f>VLOOKUP(J707,[2]Desa!$A:$D,4,FALSE)</f>
        <v>215</v>
      </c>
      <c r="P707" s="7">
        <f>VLOOKUP(J707,[3]Sheet1!$D:$F,3,FALSE)</f>
        <v>42</v>
      </c>
      <c r="Q707" s="7"/>
      <c r="R707" s="7"/>
      <c r="S707" s="12">
        <v>-8.6820230675780099</v>
      </c>
      <c r="T707" s="12">
        <v>116.168492179566</v>
      </c>
      <c r="U707" s="7"/>
      <c r="V707" s="50">
        <f>Table13678[[#This Row],[PAGU SEMULA]]-Table13678[[#This Row],[PAGU ANGGARAN]]</f>
        <v>-250000000</v>
      </c>
      <c r="W707" s="50">
        <f>Table13678[[#This Row],[PAGU SEMULA]]-Table13678[[#This Row],[PAGU ANGGARAN]]</f>
        <v>-250000000</v>
      </c>
      <c r="X707" t="s">
        <v>984</v>
      </c>
    </row>
    <row r="708" spans="3:24" hidden="1">
      <c r="C708" s="7" t="s">
        <v>29</v>
      </c>
      <c r="D708" s="7" t="s">
        <v>30</v>
      </c>
      <c r="E708" s="7" t="s">
        <v>31</v>
      </c>
      <c r="F708" s="7" t="s">
        <v>32</v>
      </c>
      <c r="G708" s="7" t="s">
        <v>33</v>
      </c>
      <c r="H708" s="8">
        <v>225960000</v>
      </c>
      <c r="I708" s="10" t="s">
        <v>653</v>
      </c>
      <c r="J708" s="7" t="s">
        <v>654</v>
      </c>
      <c r="K708" s="10" t="s">
        <v>235</v>
      </c>
      <c r="L708" s="7" t="s">
        <v>236</v>
      </c>
      <c r="M708" s="7"/>
      <c r="N708" s="7">
        <f>VLOOKUP(J708,[1]Sheet1!$C:$D,2,FALSE)</f>
        <v>3455</v>
      </c>
      <c r="O708" s="7">
        <f>VLOOKUP(J708,[2]Desa!$A:$D,4,FALSE)</f>
        <v>142</v>
      </c>
      <c r="P708" s="7">
        <f>VLOOKUP(J708,[3]Sheet1!$D:$F,3,FALSE)</f>
        <v>20</v>
      </c>
      <c r="Q708" s="7"/>
      <c r="R708" s="7"/>
      <c r="S708" s="12">
        <v>-8.6711976673635007</v>
      </c>
      <c r="T708" s="12">
        <v>116.183753908401</v>
      </c>
      <c r="U708" s="7"/>
      <c r="V708" s="50">
        <f>Table13678[[#This Row],[PAGU SEMULA]]-Table13678[[#This Row],[PAGU ANGGARAN]]</f>
        <v>-225960000</v>
      </c>
      <c r="W708" s="50">
        <f>Table13678[[#This Row],[PAGU SEMULA]]-Table13678[[#This Row],[PAGU ANGGARAN]]</f>
        <v>-225960000</v>
      </c>
      <c r="X708" t="s">
        <v>984</v>
      </c>
    </row>
    <row r="709" spans="3:24" hidden="1">
      <c r="C709" s="7" t="s">
        <v>29</v>
      </c>
      <c r="D709" s="7" t="s">
        <v>30</v>
      </c>
      <c r="E709" s="7" t="s">
        <v>31</v>
      </c>
      <c r="F709" s="7" t="s">
        <v>32</v>
      </c>
      <c r="G709" s="7" t="s">
        <v>34</v>
      </c>
      <c r="H709" s="8">
        <v>18076800</v>
      </c>
      <c r="I709" s="10" t="s">
        <v>653</v>
      </c>
      <c r="J709" s="7" t="s">
        <v>654</v>
      </c>
      <c r="K709" s="10" t="s">
        <v>235</v>
      </c>
      <c r="L709" s="7" t="s">
        <v>236</v>
      </c>
      <c r="M709" s="7"/>
      <c r="N709" s="7">
        <f>VLOOKUP(J709,[1]Sheet1!$C:$D,2,FALSE)</f>
        <v>3455</v>
      </c>
      <c r="O709" s="7">
        <f>VLOOKUP(J709,[2]Desa!$A:$D,4,FALSE)</f>
        <v>142</v>
      </c>
      <c r="P709" s="7">
        <f>VLOOKUP(J709,[3]Sheet1!$D:$F,3,FALSE)</f>
        <v>20</v>
      </c>
      <c r="Q709" s="7"/>
      <c r="R709" s="7"/>
      <c r="S709" s="12">
        <v>-8.6711976673635007</v>
      </c>
      <c r="T709" s="12">
        <v>116.183753908401</v>
      </c>
      <c r="U709" s="7"/>
      <c r="V709" s="50">
        <f>Table13678[[#This Row],[PAGU SEMULA]]-Table13678[[#This Row],[PAGU ANGGARAN]]</f>
        <v>-18076800</v>
      </c>
      <c r="W709" s="50">
        <f>Table13678[[#This Row],[PAGU SEMULA]]-Table13678[[#This Row],[PAGU ANGGARAN]]</f>
        <v>-18076800</v>
      </c>
      <c r="X709" t="s">
        <v>984</v>
      </c>
    </row>
    <row r="710" spans="3:24" hidden="1">
      <c r="C710" s="7" t="s">
        <v>130</v>
      </c>
      <c r="D710" s="7" t="s">
        <v>131</v>
      </c>
      <c r="E710" s="7" t="s">
        <v>132</v>
      </c>
      <c r="F710" s="7" t="s">
        <v>132</v>
      </c>
      <c r="G710" s="7" t="s">
        <v>133</v>
      </c>
      <c r="H710" s="8">
        <v>129450000</v>
      </c>
      <c r="I710" s="10" t="s">
        <v>653</v>
      </c>
      <c r="J710" s="7" t="s">
        <v>654</v>
      </c>
      <c r="K710" s="10" t="s">
        <v>235</v>
      </c>
      <c r="L710" s="7" t="s">
        <v>236</v>
      </c>
      <c r="M710" s="7"/>
      <c r="N710" s="7">
        <f>VLOOKUP(J710,[1]Sheet1!$C:$D,2,FALSE)</f>
        <v>3455</v>
      </c>
      <c r="O710" s="7">
        <f>VLOOKUP(J710,[2]Desa!$A:$D,4,FALSE)</f>
        <v>142</v>
      </c>
      <c r="P710" s="7">
        <f>VLOOKUP(J710,[3]Sheet1!$D:$F,3,FALSE)</f>
        <v>20</v>
      </c>
      <c r="Q710" s="7"/>
      <c r="R710" s="7"/>
      <c r="S710" s="12">
        <v>-8.6711976673635007</v>
      </c>
      <c r="T710" s="12">
        <v>116.183753908401</v>
      </c>
      <c r="U710" s="7"/>
      <c r="V710" s="50">
        <f>Table13678[[#This Row],[PAGU SEMULA]]-Table13678[[#This Row],[PAGU ANGGARAN]]</f>
        <v>-129450000</v>
      </c>
      <c r="W710" s="50">
        <f>Table13678[[#This Row],[PAGU SEMULA]]-Table13678[[#This Row],[PAGU ANGGARAN]]</f>
        <v>-129450000</v>
      </c>
      <c r="X710" t="s">
        <v>986</v>
      </c>
    </row>
    <row r="711" spans="3:24" hidden="1">
      <c r="C711" s="7" t="s">
        <v>35</v>
      </c>
      <c r="D711" s="7" t="s">
        <v>36</v>
      </c>
      <c r="E711" s="7" t="s">
        <v>37</v>
      </c>
      <c r="F711" s="7" t="s">
        <v>38</v>
      </c>
      <c r="G711" s="7" t="s">
        <v>39</v>
      </c>
      <c r="H711" s="15">
        <v>75000000</v>
      </c>
      <c r="I711" s="10" t="s">
        <v>653</v>
      </c>
      <c r="J711" s="7" t="s">
        <v>654</v>
      </c>
      <c r="K711" s="10" t="s">
        <v>235</v>
      </c>
      <c r="L711" s="7" t="s">
        <v>236</v>
      </c>
      <c r="M711" s="7"/>
      <c r="N711" s="7">
        <f>VLOOKUP(J711,[1]Sheet1!$C:$D,2,FALSE)</f>
        <v>3455</v>
      </c>
      <c r="O711" s="7">
        <f>VLOOKUP(J711,[2]Desa!$A:$D,4,FALSE)</f>
        <v>142</v>
      </c>
      <c r="P711" s="7">
        <f>VLOOKUP(J711,[3]Sheet1!$D:$F,3,FALSE)</f>
        <v>20</v>
      </c>
      <c r="Q711" s="7"/>
      <c r="R711" s="7"/>
      <c r="S711" s="12">
        <v>-8.6711976673635007</v>
      </c>
      <c r="T711" s="12">
        <v>116.183753908401</v>
      </c>
      <c r="U711" s="7"/>
      <c r="V711" s="50">
        <f>Table13678[[#This Row],[PAGU SEMULA]]-Table13678[[#This Row],[PAGU ANGGARAN]]</f>
        <v>-75000000</v>
      </c>
      <c r="W711" s="50">
        <f>Table13678[[#This Row],[PAGU SEMULA]]-Table13678[[#This Row],[PAGU ANGGARAN]]</f>
        <v>-75000000</v>
      </c>
      <c r="X711" t="s">
        <v>984</v>
      </c>
    </row>
    <row r="712" spans="3:24" hidden="1">
      <c r="C712" s="7" t="s">
        <v>35</v>
      </c>
      <c r="D712" s="7" t="s">
        <v>42</v>
      </c>
      <c r="E712" s="7" t="s">
        <v>43</v>
      </c>
      <c r="F712" s="7" t="s">
        <v>44</v>
      </c>
      <c r="G712" s="7" t="s">
        <v>655</v>
      </c>
      <c r="H712" s="15">
        <v>270000000</v>
      </c>
      <c r="I712" s="10" t="s">
        <v>653</v>
      </c>
      <c r="J712" s="7" t="s">
        <v>654</v>
      </c>
      <c r="K712" s="10" t="s">
        <v>235</v>
      </c>
      <c r="L712" s="7" t="s">
        <v>236</v>
      </c>
      <c r="M712" s="7"/>
      <c r="N712" s="7">
        <f>VLOOKUP(J712,[1]Sheet1!$C:$D,2,FALSE)</f>
        <v>3455</v>
      </c>
      <c r="O712" s="7">
        <f>VLOOKUP(J712,[2]Desa!$A:$D,4,FALSE)</f>
        <v>142</v>
      </c>
      <c r="P712" s="7">
        <f>VLOOKUP(J712,[3]Sheet1!$D:$F,3,FALSE)</f>
        <v>20</v>
      </c>
      <c r="Q712" s="7"/>
      <c r="R712" s="7"/>
      <c r="S712" s="12">
        <v>-8.6711976673635007</v>
      </c>
      <c r="T712" s="12">
        <v>116.183753908401</v>
      </c>
      <c r="U712" s="7"/>
      <c r="V712" s="50">
        <f>Table13678[[#This Row],[PAGU SEMULA]]-Table13678[[#This Row],[PAGU ANGGARAN]]</f>
        <v>-270000000</v>
      </c>
      <c r="W712" s="50">
        <f>Table13678[[#This Row],[PAGU SEMULA]]-Table13678[[#This Row],[PAGU ANGGARAN]]</f>
        <v>-270000000</v>
      </c>
      <c r="X712" t="s">
        <v>986</v>
      </c>
    </row>
    <row r="713" spans="3:24" hidden="1">
      <c r="C713" s="7" t="s">
        <v>35</v>
      </c>
      <c r="D713" s="7" t="s">
        <v>42</v>
      </c>
      <c r="E713" s="7" t="s">
        <v>43</v>
      </c>
      <c r="F713" s="7" t="s">
        <v>44</v>
      </c>
      <c r="G713" s="7" t="s">
        <v>489</v>
      </c>
      <c r="H713" s="15">
        <v>90000000</v>
      </c>
      <c r="I713" s="10" t="s">
        <v>653</v>
      </c>
      <c r="J713" s="7" t="s">
        <v>654</v>
      </c>
      <c r="K713" s="10" t="s">
        <v>235</v>
      </c>
      <c r="L713" s="7" t="s">
        <v>236</v>
      </c>
      <c r="M713" s="7"/>
      <c r="N713" s="7">
        <f>VLOOKUP(J713,[1]Sheet1!$C:$D,2,FALSE)</f>
        <v>3455</v>
      </c>
      <c r="O713" s="7">
        <f>VLOOKUP(J713,[2]Desa!$A:$D,4,FALSE)</f>
        <v>142</v>
      </c>
      <c r="P713" s="7">
        <f>VLOOKUP(J713,[3]Sheet1!$D:$F,3,FALSE)</f>
        <v>20</v>
      </c>
      <c r="Q713" s="7"/>
      <c r="R713" s="7"/>
      <c r="S713" s="12">
        <v>-8.6711976673635007</v>
      </c>
      <c r="T713" s="12">
        <v>116.183753908401</v>
      </c>
      <c r="U713" s="7"/>
      <c r="V713" s="50">
        <f>Table13678[[#This Row],[PAGU SEMULA]]-Table13678[[#This Row],[PAGU ANGGARAN]]</f>
        <v>-90000000</v>
      </c>
      <c r="W713" s="50">
        <f>Table13678[[#This Row],[PAGU SEMULA]]-Table13678[[#This Row],[PAGU ANGGARAN]]</f>
        <v>-90000000</v>
      </c>
      <c r="X713" t="s">
        <v>986</v>
      </c>
    </row>
    <row r="714" spans="3:24" hidden="1">
      <c r="C714" s="7" t="s">
        <v>35</v>
      </c>
      <c r="D714" s="7" t="s">
        <v>52</v>
      </c>
      <c r="E714" s="7" t="s">
        <v>95</v>
      </c>
      <c r="F714" s="7" t="s">
        <v>96</v>
      </c>
      <c r="G714" s="7" t="s">
        <v>98</v>
      </c>
      <c r="H714" s="17">
        <v>145125000</v>
      </c>
      <c r="I714" s="10" t="s">
        <v>653</v>
      </c>
      <c r="J714" s="7" t="s">
        <v>654</v>
      </c>
      <c r="K714" s="10" t="s">
        <v>235</v>
      </c>
      <c r="L714" s="7" t="s">
        <v>236</v>
      </c>
      <c r="M714" s="7"/>
      <c r="N714" s="7">
        <f>VLOOKUP(J714,[1]Sheet1!$C:$D,2,FALSE)</f>
        <v>3455</v>
      </c>
      <c r="O714" s="7">
        <f>VLOOKUP(J714,[2]Desa!$A:$D,4,FALSE)</f>
        <v>142</v>
      </c>
      <c r="P714" s="7">
        <f>VLOOKUP(J714,[3]Sheet1!$D:$F,3,FALSE)</f>
        <v>20</v>
      </c>
      <c r="Q714" s="7"/>
      <c r="R714" s="7"/>
      <c r="S714" s="12">
        <v>-8.6711976673635007</v>
      </c>
      <c r="T714" s="12">
        <v>116.183753908401</v>
      </c>
      <c r="U714" s="7"/>
      <c r="V714" s="50">
        <f>Table13678[[#This Row],[PAGU SEMULA]]-Table13678[[#This Row],[PAGU ANGGARAN]]</f>
        <v>-145125000</v>
      </c>
      <c r="W714" s="50">
        <f>Table13678[[#This Row],[PAGU SEMULA]]-Table13678[[#This Row],[PAGU ANGGARAN]]</f>
        <v>-145125000</v>
      </c>
      <c r="X714" t="s">
        <v>986</v>
      </c>
    </row>
    <row r="715" spans="3:24" hidden="1">
      <c r="C715" s="7" t="s">
        <v>51</v>
      </c>
      <c r="D715" s="7" t="s">
        <v>52</v>
      </c>
      <c r="E715" s="7" t="s">
        <v>53</v>
      </c>
      <c r="F715" s="7" t="s">
        <v>54</v>
      </c>
      <c r="G715" s="7" t="s">
        <v>73</v>
      </c>
      <c r="H715" s="8">
        <v>189090000</v>
      </c>
      <c r="I715" s="10" t="s">
        <v>653</v>
      </c>
      <c r="J715" s="7" t="s">
        <v>654</v>
      </c>
      <c r="K715" s="10" t="s">
        <v>235</v>
      </c>
      <c r="L715" s="7" t="s">
        <v>236</v>
      </c>
      <c r="M715" s="7"/>
      <c r="N715" s="7">
        <f>VLOOKUP(J715,[1]Sheet1!$C:$D,2,FALSE)</f>
        <v>3455</v>
      </c>
      <c r="O715" s="7">
        <f>VLOOKUP(J715,[2]Desa!$A:$D,4,FALSE)</f>
        <v>142</v>
      </c>
      <c r="P715" s="7">
        <f>VLOOKUP(J715,[3]Sheet1!$D:$F,3,FALSE)</f>
        <v>20</v>
      </c>
      <c r="Q715" s="7"/>
      <c r="R715" s="7"/>
      <c r="S715" s="12">
        <v>-8.6711976673635007</v>
      </c>
      <c r="T715" s="12">
        <v>116.183753908401</v>
      </c>
      <c r="U715" s="7"/>
      <c r="V715" s="50">
        <f>Table13678[[#This Row],[PAGU SEMULA]]-Table13678[[#This Row],[PAGU ANGGARAN]]</f>
        <v>-189090000</v>
      </c>
      <c r="W715" s="50">
        <f>Table13678[[#This Row],[PAGU SEMULA]]-Table13678[[#This Row],[PAGU ANGGARAN]]</f>
        <v>-189090000</v>
      </c>
      <c r="X715" t="s">
        <v>986</v>
      </c>
    </row>
    <row r="716" spans="3:24" hidden="1">
      <c r="C716" s="7" t="s">
        <v>51</v>
      </c>
      <c r="D716" s="7" t="s">
        <v>156</v>
      </c>
      <c r="E716" s="7" t="s">
        <v>656</v>
      </c>
      <c r="F716" s="7" t="s">
        <v>657</v>
      </c>
      <c r="G716" s="7" t="s">
        <v>658</v>
      </c>
      <c r="H716" s="8">
        <v>191000000</v>
      </c>
      <c r="I716" s="10" t="s">
        <v>653</v>
      </c>
      <c r="J716" s="7" t="s">
        <v>654</v>
      </c>
      <c r="K716" s="10" t="s">
        <v>235</v>
      </c>
      <c r="L716" s="7" t="s">
        <v>236</v>
      </c>
      <c r="M716" s="7"/>
      <c r="N716" s="7">
        <f>VLOOKUP(J716,[1]Sheet1!$C:$D,2,FALSE)</f>
        <v>3455</v>
      </c>
      <c r="O716" s="7">
        <f>VLOOKUP(J716,[2]Desa!$A:$D,4,FALSE)</f>
        <v>142</v>
      </c>
      <c r="P716" s="7">
        <f>VLOOKUP(J716,[3]Sheet1!$D:$F,3,FALSE)</f>
        <v>20</v>
      </c>
      <c r="Q716" s="7"/>
      <c r="R716" s="7"/>
      <c r="S716" s="12">
        <v>-8.6711976673635007</v>
      </c>
      <c r="T716" s="12">
        <v>116.183753908401</v>
      </c>
      <c r="U716" s="7"/>
      <c r="V716" s="50">
        <f>Table13678[[#This Row],[PAGU SEMULA]]-Table13678[[#This Row],[PAGU ANGGARAN]]</f>
        <v>-191000000</v>
      </c>
      <c r="W716" s="50">
        <f>Table13678[[#This Row],[PAGU SEMULA]]-Table13678[[#This Row],[PAGU ANGGARAN]]</f>
        <v>-191000000</v>
      </c>
      <c r="X716" t="s">
        <v>986</v>
      </c>
    </row>
    <row r="717" spans="3:24" hidden="1">
      <c r="C717" s="7" t="s">
        <v>20</v>
      </c>
      <c r="D717" s="7" t="s">
        <v>104</v>
      </c>
      <c r="E717" s="7" t="s">
        <v>105</v>
      </c>
      <c r="F717" s="7" t="s">
        <v>284</v>
      </c>
      <c r="G717" s="71" t="s">
        <v>659</v>
      </c>
      <c r="H717" s="15">
        <v>117377500</v>
      </c>
      <c r="I717" s="10" t="s">
        <v>660</v>
      </c>
      <c r="J717" s="7" t="s">
        <v>661</v>
      </c>
      <c r="K717" s="10" t="s">
        <v>235</v>
      </c>
      <c r="L717" s="7" t="s">
        <v>236</v>
      </c>
      <c r="M717" s="7"/>
      <c r="N717" s="7">
        <f>VLOOKUP(J717,[1]Sheet1!$C:$D,2,FALSE)</f>
        <v>10454</v>
      </c>
      <c r="O717" s="7">
        <f>VLOOKUP(J717,[2]Desa!$A:$D,4,FALSE)</f>
        <v>495</v>
      </c>
      <c r="P717" s="7">
        <f>VLOOKUP(J717,[3]Sheet1!$D:$F,3,FALSE)</f>
        <v>72</v>
      </c>
      <c r="Q717" s="7"/>
      <c r="R717" s="7"/>
      <c r="S717" s="12">
        <v>-8.6584279772587802</v>
      </c>
      <c r="T717" s="12">
        <v>116.18258966253001</v>
      </c>
      <c r="U717" s="7"/>
      <c r="V717" s="50">
        <f>Table13678[[#This Row],[PAGU SEMULA]]-Table13678[[#This Row],[PAGU ANGGARAN]]</f>
        <v>-117377500</v>
      </c>
      <c r="W717" s="50">
        <f>Table13678[[#This Row],[PAGU SEMULA]]-Table13678[[#This Row],[PAGU ANGGARAN]]</f>
        <v>-117377500</v>
      </c>
      <c r="X717" t="s">
        <v>984</v>
      </c>
    </row>
    <row r="718" spans="3:24" hidden="1">
      <c r="C718" s="7" t="s">
        <v>20</v>
      </c>
      <c r="D718" s="7" t="s">
        <v>104</v>
      </c>
      <c r="E718" s="7" t="s">
        <v>105</v>
      </c>
      <c r="F718" s="7" t="s">
        <v>240</v>
      </c>
      <c r="G718" s="71" t="s">
        <v>662</v>
      </c>
      <c r="H718" s="15">
        <v>38500000</v>
      </c>
      <c r="I718" s="10" t="s">
        <v>660</v>
      </c>
      <c r="J718" s="7" t="s">
        <v>661</v>
      </c>
      <c r="K718" s="10" t="s">
        <v>235</v>
      </c>
      <c r="L718" s="7" t="s">
        <v>236</v>
      </c>
      <c r="M718" s="7"/>
      <c r="N718" s="7">
        <f>VLOOKUP(J718,[1]Sheet1!$C:$D,2,FALSE)</f>
        <v>10454</v>
      </c>
      <c r="O718" s="7">
        <f>VLOOKUP(J718,[2]Desa!$A:$D,4,FALSE)</f>
        <v>495</v>
      </c>
      <c r="P718" s="7">
        <f>VLOOKUP(J718,[3]Sheet1!$D:$F,3,FALSE)</f>
        <v>72</v>
      </c>
      <c r="Q718" s="7"/>
      <c r="R718" s="7"/>
      <c r="S718" s="12">
        <v>-8.6584279772587802</v>
      </c>
      <c r="T718" s="12">
        <v>116.18258966253001</v>
      </c>
      <c r="U718" s="7"/>
      <c r="V718" s="50">
        <f>Table13678[[#This Row],[PAGU SEMULA]]-Table13678[[#This Row],[PAGU ANGGARAN]]</f>
        <v>-38500000</v>
      </c>
      <c r="W718" s="50">
        <f>Table13678[[#This Row],[PAGU SEMULA]]-Table13678[[#This Row],[PAGU ANGGARAN]]</f>
        <v>-38500000</v>
      </c>
      <c r="X718" t="s">
        <v>984</v>
      </c>
    </row>
    <row r="719" spans="3:24" hidden="1">
      <c r="C719" s="7" t="s">
        <v>20</v>
      </c>
      <c r="D719" s="7" t="s">
        <v>104</v>
      </c>
      <c r="E719" s="7" t="s">
        <v>105</v>
      </c>
      <c r="F719" s="7" t="s">
        <v>138</v>
      </c>
      <c r="G719" s="71" t="s">
        <v>663</v>
      </c>
      <c r="H719" s="15">
        <v>62540500</v>
      </c>
      <c r="I719" s="10" t="s">
        <v>660</v>
      </c>
      <c r="J719" s="7" t="s">
        <v>661</v>
      </c>
      <c r="K719" s="10" t="s">
        <v>235</v>
      </c>
      <c r="L719" s="7" t="s">
        <v>236</v>
      </c>
      <c r="M719" s="7"/>
      <c r="N719" s="7">
        <f>VLOOKUP(J719,[1]Sheet1!$C:$D,2,FALSE)</f>
        <v>10454</v>
      </c>
      <c r="O719" s="7">
        <f>VLOOKUP(J719,[2]Desa!$A:$D,4,FALSE)</f>
        <v>495</v>
      </c>
      <c r="P719" s="7">
        <f>VLOOKUP(J719,[3]Sheet1!$D:$F,3,FALSE)</f>
        <v>72</v>
      </c>
      <c r="Q719" s="7"/>
      <c r="R719" s="7"/>
      <c r="S719" s="12">
        <v>-8.6584279772587802</v>
      </c>
      <c r="T719" s="12">
        <v>116.18258966253001</v>
      </c>
      <c r="U719" s="7"/>
      <c r="V719" s="50">
        <f>Table13678[[#This Row],[PAGU SEMULA]]-Table13678[[#This Row],[PAGU ANGGARAN]]</f>
        <v>-62540500</v>
      </c>
      <c r="W719" s="50">
        <f>Table13678[[#This Row],[PAGU SEMULA]]-Table13678[[#This Row],[PAGU ANGGARAN]]</f>
        <v>-62540500</v>
      </c>
      <c r="X719" t="s">
        <v>984</v>
      </c>
    </row>
    <row r="720" spans="3:24" hidden="1">
      <c r="C720" s="7" t="s">
        <v>20</v>
      </c>
      <c r="D720" s="7" t="s">
        <v>104</v>
      </c>
      <c r="E720" s="7" t="s">
        <v>145</v>
      </c>
      <c r="F720" s="7" t="s">
        <v>243</v>
      </c>
      <c r="G720" s="71" t="s">
        <v>664</v>
      </c>
      <c r="H720" s="15">
        <v>124590000</v>
      </c>
      <c r="I720" s="10" t="s">
        <v>660</v>
      </c>
      <c r="J720" s="7" t="s">
        <v>661</v>
      </c>
      <c r="K720" s="10" t="s">
        <v>235</v>
      </c>
      <c r="L720" s="7" t="s">
        <v>236</v>
      </c>
      <c r="M720" s="7"/>
      <c r="N720" s="7">
        <f>VLOOKUP(J720,[1]Sheet1!$C:$D,2,FALSE)</f>
        <v>10454</v>
      </c>
      <c r="O720" s="7">
        <f>VLOOKUP(J720,[2]Desa!$A:$D,4,FALSE)</f>
        <v>495</v>
      </c>
      <c r="P720" s="7">
        <f>VLOOKUP(J720,[3]Sheet1!$D:$F,3,FALSE)</f>
        <v>72</v>
      </c>
      <c r="Q720" s="7"/>
      <c r="R720" s="7"/>
      <c r="S720" s="12">
        <v>-8.6584279772587802</v>
      </c>
      <c r="T720" s="12">
        <v>116.18258966253001</v>
      </c>
      <c r="U720" s="7"/>
      <c r="V720" s="50">
        <f>Table13678[[#This Row],[PAGU SEMULA]]-Table13678[[#This Row],[PAGU ANGGARAN]]</f>
        <v>-124590000</v>
      </c>
      <c r="W720" s="50">
        <f>Table13678[[#This Row],[PAGU SEMULA]]-Table13678[[#This Row],[PAGU ANGGARAN]]</f>
        <v>-124590000</v>
      </c>
      <c r="X720" t="s">
        <v>984</v>
      </c>
    </row>
    <row r="721" spans="1:24" hidden="1">
      <c r="C721" s="7" t="s">
        <v>20</v>
      </c>
      <c r="D721" s="7" t="s">
        <v>104</v>
      </c>
      <c r="E721" s="7" t="s">
        <v>145</v>
      </c>
      <c r="F721" s="7" t="s">
        <v>146</v>
      </c>
      <c r="G721" s="71" t="s">
        <v>665</v>
      </c>
      <c r="H721" s="15">
        <v>59000000</v>
      </c>
      <c r="I721" s="10" t="s">
        <v>660</v>
      </c>
      <c r="J721" s="7" t="s">
        <v>661</v>
      </c>
      <c r="K721" s="10" t="s">
        <v>235</v>
      </c>
      <c r="L721" s="7" t="s">
        <v>236</v>
      </c>
      <c r="M721" s="7"/>
      <c r="N721" s="7">
        <f>VLOOKUP(J721,[1]Sheet1!$C:$D,2,FALSE)</f>
        <v>10454</v>
      </c>
      <c r="O721" s="7">
        <f>VLOOKUP(J721,[2]Desa!$A:$D,4,FALSE)</f>
        <v>495</v>
      </c>
      <c r="P721" s="7">
        <f>VLOOKUP(J721,[3]Sheet1!$D:$F,3,FALSE)</f>
        <v>72</v>
      </c>
      <c r="Q721" s="7"/>
      <c r="R721" s="7"/>
      <c r="S721" s="12">
        <v>-8.6584279772587802</v>
      </c>
      <c r="T721" s="12">
        <v>116.18258966253001</v>
      </c>
      <c r="U721" s="7"/>
      <c r="V721" s="50">
        <f>Table13678[[#This Row],[PAGU SEMULA]]-Table13678[[#This Row],[PAGU ANGGARAN]]</f>
        <v>-59000000</v>
      </c>
      <c r="W721" s="50">
        <f>Table13678[[#This Row],[PAGU SEMULA]]-Table13678[[#This Row],[PAGU ANGGARAN]]</f>
        <v>-59000000</v>
      </c>
      <c r="X721" t="s">
        <v>984</v>
      </c>
    </row>
    <row r="722" spans="1:24" s="2" customFormat="1" hidden="1">
      <c r="A722"/>
      <c r="B722"/>
      <c r="C722" s="7" t="s">
        <v>29</v>
      </c>
      <c r="D722" s="7" t="s">
        <v>30</v>
      </c>
      <c r="E722" s="7" t="s">
        <v>31</v>
      </c>
      <c r="F722" s="7" t="s">
        <v>32</v>
      </c>
      <c r="G722" s="7" t="s">
        <v>33</v>
      </c>
      <c r="H722" s="8">
        <v>455700000</v>
      </c>
      <c r="I722" s="10" t="s">
        <v>660</v>
      </c>
      <c r="J722" s="7" t="s">
        <v>661</v>
      </c>
      <c r="K722" s="10" t="s">
        <v>235</v>
      </c>
      <c r="L722" s="7" t="s">
        <v>236</v>
      </c>
      <c r="M722" s="7"/>
      <c r="N722" s="7">
        <f>VLOOKUP(J722,[1]Sheet1!$C:$D,2,FALSE)</f>
        <v>10454</v>
      </c>
      <c r="O722" s="7">
        <f>VLOOKUP(J722,[2]Desa!$A:$D,4,FALSE)</f>
        <v>495</v>
      </c>
      <c r="P722" s="7">
        <f>VLOOKUP(J722,[3]Sheet1!$D:$F,3,FALSE)</f>
        <v>72</v>
      </c>
      <c r="Q722" s="7"/>
      <c r="R722" s="7"/>
      <c r="S722" s="12">
        <v>-8.6584279772587802</v>
      </c>
      <c r="T722" s="12">
        <v>116.18258966253001</v>
      </c>
      <c r="U722" s="3"/>
      <c r="V722" s="51">
        <f>Table13678[[#This Row],[PAGU SEMULA]]-Table13678[[#This Row],[PAGU ANGGARAN]]</f>
        <v>-455700000</v>
      </c>
      <c r="W722" s="51">
        <f>Table13678[[#This Row],[PAGU SEMULA]]-Table13678[[#This Row],[PAGU ANGGARAN]]</f>
        <v>-455700000</v>
      </c>
      <c r="X722" t="s">
        <v>984</v>
      </c>
    </row>
    <row r="723" spans="1:24" hidden="1">
      <c r="C723" s="7" t="s">
        <v>29</v>
      </c>
      <c r="D723" s="7" t="s">
        <v>30</v>
      </c>
      <c r="E723" s="7" t="s">
        <v>31</v>
      </c>
      <c r="F723" s="7" t="s">
        <v>32</v>
      </c>
      <c r="G723" s="7" t="s">
        <v>34</v>
      </c>
      <c r="H723" s="8">
        <v>36456000</v>
      </c>
      <c r="I723" s="10" t="s">
        <v>660</v>
      </c>
      <c r="J723" s="7" t="s">
        <v>661</v>
      </c>
      <c r="K723" s="10" t="s">
        <v>235</v>
      </c>
      <c r="L723" s="7" t="s">
        <v>236</v>
      </c>
      <c r="M723" s="7"/>
      <c r="N723" s="7">
        <f>VLOOKUP(J723,[1]Sheet1!$C:$D,2,FALSE)</f>
        <v>10454</v>
      </c>
      <c r="O723" s="7">
        <f>VLOOKUP(J723,[2]Desa!$A:$D,4,FALSE)</f>
        <v>495</v>
      </c>
      <c r="P723" s="7">
        <f>VLOOKUP(J723,[3]Sheet1!$D:$F,3,FALSE)</f>
        <v>72</v>
      </c>
      <c r="Q723" s="7"/>
      <c r="R723" s="7"/>
      <c r="S723" s="12">
        <v>-8.6584279772587802</v>
      </c>
      <c r="T723" s="12">
        <v>116.18258966253001</v>
      </c>
      <c r="U723" s="7"/>
      <c r="V723" s="50">
        <f>Table13678[[#This Row],[PAGU SEMULA]]-Table13678[[#This Row],[PAGU ANGGARAN]]</f>
        <v>-36456000</v>
      </c>
      <c r="W723" s="50">
        <f>Table13678[[#This Row],[PAGU SEMULA]]-Table13678[[#This Row],[PAGU ANGGARAN]]</f>
        <v>-36456000</v>
      </c>
      <c r="X723" t="s">
        <v>984</v>
      </c>
    </row>
    <row r="724" spans="1:24" hidden="1">
      <c r="C724" s="7" t="s">
        <v>84</v>
      </c>
      <c r="D724" s="7" t="s">
        <v>85</v>
      </c>
      <c r="E724" s="7" t="s">
        <v>86</v>
      </c>
      <c r="F724" s="7" t="s">
        <v>87</v>
      </c>
      <c r="G724" s="7" t="s">
        <v>666</v>
      </c>
      <c r="H724" s="8">
        <v>137250000</v>
      </c>
      <c r="I724" s="10" t="s">
        <v>660</v>
      </c>
      <c r="J724" s="7" t="s">
        <v>661</v>
      </c>
      <c r="K724" s="10" t="s">
        <v>235</v>
      </c>
      <c r="L724" s="7" t="s">
        <v>236</v>
      </c>
      <c r="M724" s="7"/>
      <c r="N724" s="7">
        <f>VLOOKUP(J724,[1]Sheet1!$C:$D,2,FALSE)</f>
        <v>10454</v>
      </c>
      <c r="O724" s="7">
        <f>VLOOKUP(J724,[2]Desa!$A:$D,4,FALSE)</f>
        <v>495</v>
      </c>
      <c r="P724" s="7">
        <f>VLOOKUP(J724,[3]Sheet1!$D:$F,3,FALSE)</f>
        <v>72</v>
      </c>
      <c r="Q724" s="7"/>
      <c r="R724" s="7"/>
      <c r="S724" s="12">
        <v>-8.6584279772587802</v>
      </c>
      <c r="T724" s="12">
        <v>116.18258966253001</v>
      </c>
      <c r="U724" s="7"/>
      <c r="V724" s="50">
        <f>Table13678[[#This Row],[PAGU SEMULA]]-Table13678[[#This Row],[PAGU ANGGARAN]]</f>
        <v>-137250000</v>
      </c>
      <c r="W724" s="50">
        <f>Table13678[[#This Row],[PAGU SEMULA]]-Table13678[[#This Row],[PAGU ANGGARAN]]</f>
        <v>-137250000</v>
      </c>
      <c r="X724" t="s">
        <v>982</v>
      </c>
    </row>
    <row r="725" spans="1:24" hidden="1">
      <c r="C725" s="7" t="s">
        <v>110</v>
      </c>
      <c r="D725" s="7" t="s">
        <v>178</v>
      </c>
      <c r="E725" s="7" t="s">
        <v>179</v>
      </c>
      <c r="F725" s="7" t="s">
        <v>180</v>
      </c>
      <c r="G725" s="71" t="s">
        <v>181</v>
      </c>
      <c r="H725" s="8"/>
      <c r="I725" s="10" t="s">
        <v>660</v>
      </c>
      <c r="J725" s="7" t="s">
        <v>661</v>
      </c>
      <c r="K725" s="10" t="s">
        <v>235</v>
      </c>
      <c r="L725" s="7" t="s">
        <v>236</v>
      </c>
      <c r="M725" s="7"/>
      <c r="N725" s="7">
        <f>VLOOKUP(J725,[1]Sheet1!$C:$D,2,FALSE)</f>
        <v>10454</v>
      </c>
      <c r="O725" s="7">
        <f>VLOOKUP(J725,[2]Desa!$A:$D,4,FALSE)</f>
        <v>495</v>
      </c>
      <c r="P725" s="7">
        <f>VLOOKUP(J725,[3]Sheet1!$D:$F,3,FALSE)</f>
        <v>72</v>
      </c>
      <c r="Q725" s="7"/>
      <c r="R725" s="7"/>
      <c r="S725" s="12">
        <v>-8.6584279772587802</v>
      </c>
      <c r="T725" s="12">
        <v>116.18258966253001</v>
      </c>
      <c r="U725" s="7"/>
      <c r="V725" s="50">
        <f>Table13678[[#This Row],[PAGU SEMULA]]-Table13678[[#This Row],[PAGU ANGGARAN]]</f>
        <v>0</v>
      </c>
      <c r="W725" s="50">
        <f>Table13678[[#This Row],[PAGU SEMULA]]-Table13678[[#This Row],[PAGU ANGGARAN]]</f>
        <v>0</v>
      </c>
      <c r="X725" t="s">
        <v>982</v>
      </c>
    </row>
    <row r="726" spans="1:24" hidden="1">
      <c r="C726" s="7" t="s">
        <v>35</v>
      </c>
      <c r="D726" s="7" t="s">
        <v>36</v>
      </c>
      <c r="E726" s="7" t="s">
        <v>37</v>
      </c>
      <c r="F726" s="7" t="s">
        <v>38</v>
      </c>
      <c r="G726" s="7" t="s">
        <v>39</v>
      </c>
      <c r="H726" s="15">
        <v>75000000</v>
      </c>
      <c r="I726" s="10" t="s">
        <v>660</v>
      </c>
      <c r="J726" s="7" t="s">
        <v>661</v>
      </c>
      <c r="K726" s="10" t="s">
        <v>235</v>
      </c>
      <c r="L726" s="7" t="s">
        <v>236</v>
      </c>
      <c r="M726" s="7"/>
      <c r="N726" s="7">
        <f>VLOOKUP(J726,[1]Sheet1!$C:$D,2,FALSE)</f>
        <v>10454</v>
      </c>
      <c r="O726" s="7">
        <f>VLOOKUP(J726,[2]Desa!$A:$D,4,FALSE)</f>
        <v>495</v>
      </c>
      <c r="P726" s="7">
        <f>VLOOKUP(J726,[3]Sheet1!$D:$F,3,FALSE)</f>
        <v>72</v>
      </c>
      <c r="Q726" s="7"/>
      <c r="R726" s="7"/>
      <c r="S726" s="12">
        <v>-8.6584279772587802</v>
      </c>
      <c r="T726" s="12">
        <v>116.18258966253001</v>
      </c>
      <c r="U726" s="7"/>
      <c r="V726" s="50">
        <f>Table13678[[#This Row],[PAGU SEMULA]]-Table13678[[#This Row],[PAGU ANGGARAN]]</f>
        <v>-75000000</v>
      </c>
      <c r="W726" s="50">
        <f>Table13678[[#This Row],[PAGU SEMULA]]-Table13678[[#This Row],[PAGU ANGGARAN]]</f>
        <v>-75000000</v>
      </c>
      <c r="X726" t="s">
        <v>984</v>
      </c>
    </row>
    <row r="727" spans="1:24" hidden="1">
      <c r="C727" s="7" t="s">
        <v>35</v>
      </c>
      <c r="D727" s="7" t="s">
        <v>65</v>
      </c>
      <c r="E727" s="7" t="s">
        <v>66</v>
      </c>
      <c r="F727" s="7" t="s">
        <v>160</v>
      </c>
      <c r="G727" s="7" t="s">
        <v>161</v>
      </c>
      <c r="H727" s="15">
        <v>1325000000</v>
      </c>
      <c r="I727" s="10" t="s">
        <v>660</v>
      </c>
      <c r="J727" s="7" t="s">
        <v>661</v>
      </c>
      <c r="K727" s="10" t="s">
        <v>235</v>
      </c>
      <c r="L727" s="7" t="s">
        <v>236</v>
      </c>
      <c r="M727" s="7"/>
      <c r="N727" s="7">
        <f>VLOOKUP(J727,[1]Sheet1!$C:$D,2,FALSE)</f>
        <v>10454</v>
      </c>
      <c r="O727" s="7">
        <f>VLOOKUP(J727,[2]Desa!$A:$D,4,FALSE)</f>
        <v>495</v>
      </c>
      <c r="P727" s="7">
        <f>VLOOKUP(J727,[3]Sheet1!$D:$F,3,FALSE)</f>
        <v>72</v>
      </c>
      <c r="Q727" s="7"/>
      <c r="R727" s="7"/>
      <c r="S727" s="12">
        <v>-8.6584279772587802</v>
      </c>
      <c r="T727" s="12">
        <v>116.18258966253001</v>
      </c>
      <c r="U727" s="7"/>
      <c r="V727" s="50">
        <f>Table13678[[#This Row],[PAGU SEMULA]]-Table13678[[#This Row],[PAGU ANGGARAN]]</f>
        <v>-1325000000</v>
      </c>
      <c r="W727" s="50">
        <f>Table13678[[#This Row],[PAGU SEMULA]]-Table13678[[#This Row],[PAGU ANGGARAN]]</f>
        <v>-1325000000</v>
      </c>
      <c r="X727" t="s">
        <v>986</v>
      </c>
    </row>
    <row r="728" spans="1:24" hidden="1">
      <c r="C728" s="7" t="s">
        <v>35</v>
      </c>
      <c r="D728" s="7" t="s">
        <v>65</v>
      </c>
      <c r="E728" s="7" t="s">
        <v>66</v>
      </c>
      <c r="F728" s="7" t="s">
        <v>67</v>
      </c>
      <c r="G728" s="7" t="s">
        <v>67</v>
      </c>
      <c r="H728" s="15">
        <v>7612653000</v>
      </c>
      <c r="I728" s="10" t="s">
        <v>660</v>
      </c>
      <c r="J728" s="7" t="s">
        <v>661</v>
      </c>
      <c r="K728" s="10" t="s">
        <v>235</v>
      </c>
      <c r="L728" s="7" t="s">
        <v>236</v>
      </c>
      <c r="M728" s="7"/>
      <c r="N728" s="7">
        <f>VLOOKUP(J728,[1]Sheet1!$C:$D,2,FALSE)</f>
        <v>10454</v>
      </c>
      <c r="O728" s="7">
        <f>VLOOKUP(J728,[2]Desa!$A:$D,4,FALSE)</f>
        <v>495</v>
      </c>
      <c r="P728" s="7">
        <f>VLOOKUP(J728,[3]Sheet1!$D:$F,3,FALSE)</f>
        <v>72</v>
      </c>
      <c r="Q728" s="7"/>
      <c r="R728" s="7"/>
      <c r="S728" s="12">
        <v>-8.6584279772587802</v>
      </c>
      <c r="T728" s="12">
        <v>116.18258966253001</v>
      </c>
      <c r="U728" s="7"/>
      <c r="V728" s="50">
        <f>Table13678[[#This Row],[PAGU SEMULA]]-Table13678[[#This Row],[PAGU ANGGARAN]]</f>
        <v>-7612653000</v>
      </c>
      <c r="W728" s="50">
        <f>Table13678[[#This Row],[PAGU SEMULA]]-Table13678[[#This Row],[PAGU ANGGARAN]]</f>
        <v>-7612653000</v>
      </c>
      <c r="X728" t="s">
        <v>986</v>
      </c>
    </row>
    <row r="729" spans="1:24" hidden="1">
      <c r="C729" s="7" t="s">
        <v>35</v>
      </c>
      <c r="D729" s="7" t="s">
        <v>52</v>
      </c>
      <c r="E729" s="7" t="s">
        <v>95</v>
      </c>
      <c r="F729" s="7" t="s">
        <v>96</v>
      </c>
      <c r="G729" s="7" t="s">
        <v>41</v>
      </c>
      <c r="H729" s="17">
        <v>145125000</v>
      </c>
      <c r="I729" s="10" t="s">
        <v>660</v>
      </c>
      <c r="J729" s="7" t="s">
        <v>661</v>
      </c>
      <c r="K729" s="10" t="s">
        <v>235</v>
      </c>
      <c r="L729" s="7" t="s">
        <v>236</v>
      </c>
      <c r="M729" s="7"/>
      <c r="N729" s="7">
        <f>VLOOKUP(J729,[1]Sheet1!$C:$D,2,FALSE)</f>
        <v>10454</v>
      </c>
      <c r="O729" s="7">
        <f>VLOOKUP(J729,[2]Desa!$A:$D,4,FALSE)</f>
        <v>495</v>
      </c>
      <c r="P729" s="7">
        <f>VLOOKUP(J729,[3]Sheet1!$D:$F,3,FALSE)</f>
        <v>72</v>
      </c>
      <c r="Q729" s="7"/>
      <c r="R729" s="7"/>
      <c r="S729" s="12">
        <v>-8.6584279772587802</v>
      </c>
      <c r="T729" s="12">
        <v>116.18258966253001</v>
      </c>
      <c r="U729" s="7"/>
      <c r="V729" s="50">
        <f>Table13678[[#This Row],[PAGU SEMULA]]-Table13678[[#This Row],[PAGU ANGGARAN]]</f>
        <v>-145125000</v>
      </c>
      <c r="W729" s="50">
        <f>Table13678[[#This Row],[PAGU SEMULA]]-Table13678[[#This Row],[PAGU ANGGARAN]]</f>
        <v>-145125000</v>
      </c>
      <c r="X729" t="s">
        <v>986</v>
      </c>
    </row>
    <row r="730" spans="1:24" hidden="1">
      <c r="C730" s="7" t="s">
        <v>46</v>
      </c>
      <c r="D730" s="7" t="s">
        <v>122</v>
      </c>
      <c r="E730" s="7" t="s">
        <v>123</v>
      </c>
      <c r="F730" s="7" t="s">
        <v>124</v>
      </c>
      <c r="G730" s="7" t="s">
        <v>667</v>
      </c>
      <c r="H730" s="8">
        <v>160000000</v>
      </c>
      <c r="I730" s="10" t="s">
        <v>660</v>
      </c>
      <c r="J730" s="7" t="s">
        <v>661</v>
      </c>
      <c r="K730" s="10" t="s">
        <v>235</v>
      </c>
      <c r="L730" s="7" t="s">
        <v>236</v>
      </c>
      <c r="M730" s="7"/>
      <c r="N730" s="7">
        <f>VLOOKUP(J730,[1]Sheet1!$C:$D,2,FALSE)</f>
        <v>10454</v>
      </c>
      <c r="O730" s="7">
        <f>VLOOKUP(J730,[2]Desa!$A:$D,4,FALSE)</f>
        <v>495</v>
      </c>
      <c r="P730" s="7">
        <f>VLOOKUP(J730,[3]Sheet1!$D:$F,3,FALSE)</f>
        <v>72</v>
      </c>
      <c r="Q730" s="7"/>
      <c r="R730" s="7"/>
      <c r="S730" s="12">
        <v>-8.6584279772587802</v>
      </c>
      <c r="T730" s="12">
        <v>116.18258966253001</v>
      </c>
      <c r="U730" s="7"/>
      <c r="V730" s="50">
        <f>Table13678[[#This Row],[PAGU SEMULA]]-Table13678[[#This Row],[PAGU ANGGARAN]]</f>
        <v>-160000000</v>
      </c>
      <c r="W730" s="50">
        <f>Table13678[[#This Row],[PAGU SEMULA]]-Table13678[[#This Row],[PAGU ANGGARAN]]</f>
        <v>-160000000</v>
      </c>
      <c r="X730" t="s">
        <v>987</v>
      </c>
    </row>
    <row r="731" spans="1:24" hidden="1">
      <c r="C731" s="7" t="s">
        <v>20</v>
      </c>
      <c r="D731" s="7" t="s">
        <v>104</v>
      </c>
      <c r="E731" s="7" t="s">
        <v>105</v>
      </c>
      <c r="F731" s="7" t="s">
        <v>169</v>
      </c>
      <c r="G731" s="71" t="s">
        <v>668</v>
      </c>
      <c r="H731" s="15">
        <v>261937500</v>
      </c>
      <c r="I731" s="10" t="s">
        <v>669</v>
      </c>
      <c r="J731" s="7" t="s">
        <v>670</v>
      </c>
      <c r="K731" s="10" t="s">
        <v>414</v>
      </c>
      <c r="L731" s="7" t="s">
        <v>415</v>
      </c>
      <c r="M731" s="7"/>
      <c r="N731" s="7">
        <f>VLOOKUP(J731,[1]Sheet1!$C:$D,2,FALSE)</f>
        <v>7092</v>
      </c>
      <c r="O731" s="7">
        <f>VLOOKUP(J731,[2]Desa!$A:$D,4,FALSE)</f>
        <v>378</v>
      </c>
      <c r="P731" s="7">
        <f>VLOOKUP(J731,[3]Sheet1!$D:$F,3,FALSE)</f>
        <v>19</v>
      </c>
      <c r="Q731" s="7"/>
      <c r="R731" s="7"/>
      <c r="S731" s="12">
        <v>-8.7274816078884498</v>
      </c>
      <c r="T731" s="12">
        <v>116.08507470667701</v>
      </c>
      <c r="U731" s="7"/>
      <c r="V731" s="50">
        <f>Table13678[[#This Row],[PAGU SEMULA]]-Table13678[[#This Row],[PAGU ANGGARAN]]</f>
        <v>-261937500</v>
      </c>
      <c r="W731" s="50">
        <f>Table13678[[#This Row],[PAGU SEMULA]]-Table13678[[#This Row],[PAGU ANGGARAN]]</f>
        <v>-261937500</v>
      </c>
      <c r="X731" t="s">
        <v>984</v>
      </c>
    </row>
    <row r="732" spans="1:24" hidden="1">
      <c r="C732" s="7" t="s">
        <v>20</v>
      </c>
      <c r="D732" s="7" t="s">
        <v>104</v>
      </c>
      <c r="E732" s="7" t="s">
        <v>105</v>
      </c>
      <c r="F732" s="7" t="s">
        <v>169</v>
      </c>
      <c r="G732" s="71" t="s">
        <v>671</v>
      </c>
      <c r="H732" s="15">
        <v>246705000</v>
      </c>
      <c r="I732" s="10" t="s">
        <v>669</v>
      </c>
      <c r="J732" s="7" t="s">
        <v>670</v>
      </c>
      <c r="K732" s="10" t="s">
        <v>414</v>
      </c>
      <c r="L732" s="7" t="s">
        <v>415</v>
      </c>
      <c r="M732" s="7"/>
      <c r="N732" s="7">
        <f>VLOOKUP(J732,[1]Sheet1!$C:$D,2,FALSE)</f>
        <v>7092</v>
      </c>
      <c r="O732" s="7">
        <f>VLOOKUP(J732,[2]Desa!$A:$D,4,FALSE)</f>
        <v>378</v>
      </c>
      <c r="P732" s="7">
        <f>VLOOKUP(J732,[3]Sheet1!$D:$F,3,FALSE)</f>
        <v>19</v>
      </c>
      <c r="Q732" s="7"/>
      <c r="R732" s="7"/>
      <c r="S732" s="12">
        <v>-8.7274816078884498</v>
      </c>
      <c r="T732" s="12">
        <v>116.08507470667701</v>
      </c>
      <c r="U732" s="7"/>
      <c r="V732" s="50">
        <f>Table13678[[#This Row],[PAGU SEMULA]]-Table13678[[#This Row],[PAGU ANGGARAN]]</f>
        <v>-246705000</v>
      </c>
      <c r="W732" s="50">
        <f>Table13678[[#This Row],[PAGU SEMULA]]-Table13678[[#This Row],[PAGU ANGGARAN]]</f>
        <v>-246705000</v>
      </c>
      <c r="X732" t="s">
        <v>984</v>
      </c>
    </row>
    <row r="733" spans="1:24" hidden="1">
      <c r="C733" s="7" t="s">
        <v>20</v>
      </c>
      <c r="D733" s="7" t="s">
        <v>104</v>
      </c>
      <c r="E733" s="7" t="s">
        <v>105</v>
      </c>
      <c r="F733" s="7" t="s">
        <v>169</v>
      </c>
      <c r="G733" s="71" t="s">
        <v>672</v>
      </c>
      <c r="H733" s="15">
        <v>218219000</v>
      </c>
      <c r="I733" s="10" t="s">
        <v>669</v>
      </c>
      <c r="J733" s="7" t="s">
        <v>670</v>
      </c>
      <c r="K733" s="10" t="s">
        <v>414</v>
      </c>
      <c r="L733" s="7" t="s">
        <v>415</v>
      </c>
      <c r="M733" s="7"/>
      <c r="N733" s="7">
        <f>VLOOKUP(J733,[1]Sheet1!$C:$D,2,FALSE)</f>
        <v>7092</v>
      </c>
      <c r="O733" s="7">
        <f>VLOOKUP(J733,[2]Desa!$A:$D,4,FALSE)</f>
        <v>378</v>
      </c>
      <c r="P733" s="7">
        <f>VLOOKUP(J733,[3]Sheet1!$D:$F,3,FALSE)</f>
        <v>19</v>
      </c>
      <c r="Q733" s="7"/>
      <c r="R733" s="7"/>
      <c r="S733" s="12">
        <v>-8.7274816078884498</v>
      </c>
      <c r="T733" s="12">
        <v>116.08507470667701</v>
      </c>
      <c r="U733" s="7"/>
      <c r="V733" s="50">
        <f>Table13678[[#This Row],[PAGU SEMULA]]-Table13678[[#This Row],[PAGU ANGGARAN]]</f>
        <v>-218219000</v>
      </c>
      <c r="W733" s="50">
        <f>Table13678[[#This Row],[PAGU SEMULA]]-Table13678[[#This Row],[PAGU ANGGARAN]]</f>
        <v>-218219000</v>
      </c>
      <c r="X733" t="s">
        <v>984</v>
      </c>
    </row>
    <row r="734" spans="1:24" hidden="1">
      <c r="C734" s="7" t="s">
        <v>29</v>
      </c>
      <c r="D734" s="7" t="s">
        <v>30</v>
      </c>
      <c r="E734" s="7" t="s">
        <v>31</v>
      </c>
      <c r="F734" s="7" t="s">
        <v>32</v>
      </c>
      <c r="G734" s="7" t="s">
        <v>33</v>
      </c>
      <c r="H734" s="8">
        <v>837060000</v>
      </c>
      <c r="I734" s="10" t="s">
        <v>669</v>
      </c>
      <c r="J734" s="7" t="s">
        <v>670</v>
      </c>
      <c r="K734" s="10" t="s">
        <v>414</v>
      </c>
      <c r="L734" s="7" t="s">
        <v>415</v>
      </c>
      <c r="M734" s="7"/>
      <c r="N734" s="7">
        <f>VLOOKUP(J734,[1]Sheet1!$C:$D,2,FALSE)</f>
        <v>7092</v>
      </c>
      <c r="O734" s="7">
        <f>VLOOKUP(J734,[2]Desa!$A:$D,4,FALSE)</f>
        <v>378</v>
      </c>
      <c r="P734" s="7">
        <f>VLOOKUP(J734,[3]Sheet1!$D:$F,3,FALSE)</f>
        <v>19</v>
      </c>
      <c r="Q734" s="7"/>
      <c r="R734" s="7"/>
      <c r="S734" s="12">
        <v>-8.7274816078884498</v>
      </c>
      <c r="T734" s="12">
        <v>116.08507470667701</v>
      </c>
      <c r="U734" s="7"/>
      <c r="V734" s="50">
        <f>Table13678[[#This Row],[PAGU SEMULA]]-Table13678[[#This Row],[PAGU ANGGARAN]]</f>
        <v>-837060000</v>
      </c>
      <c r="W734" s="50">
        <f>Table13678[[#This Row],[PAGU SEMULA]]-Table13678[[#This Row],[PAGU ANGGARAN]]</f>
        <v>-837060000</v>
      </c>
      <c r="X734" t="s">
        <v>984</v>
      </c>
    </row>
    <row r="735" spans="1:24" hidden="1">
      <c r="C735" s="7" t="s">
        <v>29</v>
      </c>
      <c r="D735" s="7" t="s">
        <v>30</v>
      </c>
      <c r="E735" s="7" t="s">
        <v>31</v>
      </c>
      <c r="F735" s="7" t="s">
        <v>32</v>
      </c>
      <c r="G735" s="7" t="s">
        <v>34</v>
      </c>
      <c r="H735" s="8">
        <v>66964800</v>
      </c>
      <c r="I735" s="10" t="s">
        <v>669</v>
      </c>
      <c r="J735" s="7" t="s">
        <v>670</v>
      </c>
      <c r="K735" s="10" t="s">
        <v>414</v>
      </c>
      <c r="L735" s="7" t="s">
        <v>415</v>
      </c>
      <c r="M735" s="7"/>
      <c r="N735" s="7">
        <f>VLOOKUP(J735,[1]Sheet1!$C:$D,2,FALSE)</f>
        <v>7092</v>
      </c>
      <c r="O735" s="7">
        <f>VLOOKUP(J735,[2]Desa!$A:$D,4,FALSE)</f>
        <v>378</v>
      </c>
      <c r="P735" s="7">
        <f>VLOOKUP(J735,[3]Sheet1!$D:$F,3,FALSE)</f>
        <v>19</v>
      </c>
      <c r="Q735" s="7"/>
      <c r="R735" s="7"/>
      <c r="S735" s="12">
        <v>-8.7274816078884498</v>
      </c>
      <c r="T735" s="12">
        <v>116.08507470667701</v>
      </c>
      <c r="U735" s="7"/>
      <c r="V735" s="50">
        <f>Table13678[[#This Row],[PAGU SEMULA]]-Table13678[[#This Row],[PAGU ANGGARAN]]</f>
        <v>-66964800</v>
      </c>
      <c r="W735" s="50">
        <f>Table13678[[#This Row],[PAGU SEMULA]]-Table13678[[#This Row],[PAGU ANGGARAN]]</f>
        <v>-66964800</v>
      </c>
      <c r="X735" t="s">
        <v>984</v>
      </c>
    </row>
    <row r="736" spans="1:24" hidden="1">
      <c r="C736" s="7" t="s">
        <v>198</v>
      </c>
      <c r="D736" s="7" t="s">
        <v>199</v>
      </c>
      <c r="E736" s="7" t="s">
        <v>200</v>
      </c>
      <c r="F736" s="7" t="s">
        <v>201</v>
      </c>
      <c r="G736" s="7" t="s">
        <v>202</v>
      </c>
      <c r="H736" s="8">
        <v>95697750</v>
      </c>
      <c r="I736" s="10" t="s">
        <v>669</v>
      </c>
      <c r="J736" s="7" t="s">
        <v>670</v>
      </c>
      <c r="K736" s="10" t="s">
        <v>414</v>
      </c>
      <c r="L736" s="7" t="s">
        <v>415</v>
      </c>
      <c r="M736" s="7"/>
      <c r="N736" s="7">
        <f>VLOOKUP(J736,[1]Sheet1!$C:$D,2,FALSE)</f>
        <v>7092</v>
      </c>
      <c r="O736" s="7">
        <f>VLOOKUP(J736,[2]Desa!$A:$D,4,FALSE)</f>
        <v>378</v>
      </c>
      <c r="P736" s="7">
        <f>VLOOKUP(J736,[3]Sheet1!$D:$F,3,FALSE)</f>
        <v>19</v>
      </c>
      <c r="Q736" s="7"/>
      <c r="R736" s="7"/>
      <c r="S736" s="12">
        <v>-8.7274816078884498</v>
      </c>
      <c r="T736" s="12">
        <v>116.08507470667701</v>
      </c>
      <c r="U736" s="7"/>
      <c r="V736" s="50">
        <f>Table13678[[#This Row],[PAGU SEMULA]]-Table13678[[#This Row],[PAGU ANGGARAN]]</f>
        <v>-95697750</v>
      </c>
      <c r="W736" s="50">
        <f>Table13678[[#This Row],[PAGU SEMULA]]-Table13678[[#This Row],[PAGU ANGGARAN]]</f>
        <v>-95697750</v>
      </c>
      <c r="X736" t="s">
        <v>982</v>
      </c>
    </row>
    <row r="737" spans="1:24" hidden="1">
      <c r="C737" s="7" t="s">
        <v>35</v>
      </c>
      <c r="D737" s="7" t="s">
        <v>36</v>
      </c>
      <c r="E737" s="7" t="s">
        <v>37</v>
      </c>
      <c r="F737" s="7" t="s">
        <v>38</v>
      </c>
      <c r="G737" s="7" t="s">
        <v>39</v>
      </c>
      <c r="H737" s="15">
        <v>75000000</v>
      </c>
      <c r="I737" s="10" t="s">
        <v>669</v>
      </c>
      <c r="J737" s="7" t="s">
        <v>670</v>
      </c>
      <c r="K737" s="10" t="s">
        <v>414</v>
      </c>
      <c r="L737" s="7" t="s">
        <v>415</v>
      </c>
      <c r="M737" s="7"/>
      <c r="N737" s="7">
        <f>VLOOKUP(J737,[1]Sheet1!$C:$D,2,FALSE)</f>
        <v>7092</v>
      </c>
      <c r="O737" s="7">
        <f>VLOOKUP(J737,[2]Desa!$A:$D,4,FALSE)</f>
        <v>378</v>
      </c>
      <c r="P737" s="7">
        <f>VLOOKUP(J737,[3]Sheet1!$D:$F,3,FALSE)</f>
        <v>19</v>
      </c>
      <c r="Q737" s="7"/>
      <c r="R737" s="7"/>
      <c r="S737" s="12">
        <v>-8.7274816078884498</v>
      </c>
      <c r="T737" s="12">
        <v>116.08507470667701</v>
      </c>
      <c r="U737" s="7"/>
      <c r="V737" s="50">
        <f>Table13678[[#This Row],[PAGU SEMULA]]-Table13678[[#This Row],[PAGU ANGGARAN]]</f>
        <v>-75000000</v>
      </c>
      <c r="W737" s="50">
        <f>Table13678[[#This Row],[PAGU SEMULA]]-Table13678[[#This Row],[PAGU ANGGARAN]]</f>
        <v>-75000000</v>
      </c>
      <c r="X737" t="s">
        <v>984</v>
      </c>
    </row>
    <row r="738" spans="1:24" hidden="1">
      <c r="C738" s="7" t="s">
        <v>35</v>
      </c>
      <c r="D738" s="7" t="s">
        <v>36</v>
      </c>
      <c r="E738" s="7" t="s">
        <v>37</v>
      </c>
      <c r="F738" s="7" t="s">
        <v>40</v>
      </c>
      <c r="G738" s="7" t="s">
        <v>41</v>
      </c>
      <c r="H738" s="15">
        <v>60000000</v>
      </c>
      <c r="I738" s="10" t="s">
        <v>669</v>
      </c>
      <c r="J738" s="7" t="s">
        <v>670</v>
      </c>
      <c r="K738" s="10" t="s">
        <v>414</v>
      </c>
      <c r="L738" s="7" t="s">
        <v>415</v>
      </c>
      <c r="M738" s="7"/>
      <c r="N738" s="7">
        <f>VLOOKUP(J738,[1]Sheet1!$C:$D,2,FALSE)</f>
        <v>7092</v>
      </c>
      <c r="O738" s="7">
        <f>VLOOKUP(J738,[2]Desa!$A:$D,4,FALSE)</f>
        <v>378</v>
      </c>
      <c r="P738" s="7">
        <f>VLOOKUP(J738,[3]Sheet1!$D:$F,3,FALSE)</f>
        <v>19</v>
      </c>
      <c r="Q738" s="7"/>
      <c r="R738" s="7"/>
      <c r="S738" s="12">
        <v>-8.7274816078884498</v>
      </c>
      <c r="T738" s="12">
        <v>116.08507470667701</v>
      </c>
      <c r="U738" s="7"/>
      <c r="V738" s="50">
        <f>Table13678[[#This Row],[PAGU SEMULA]]-Table13678[[#This Row],[PAGU ANGGARAN]]</f>
        <v>-60000000</v>
      </c>
      <c r="W738" s="50">
        <f>Table13678[[#This Row],[PAGU SEMULA]]-Table13678[[#This Row],[PAGU ANGGARAN]]</f>
        <v>-60000000</v>
      </c>
      <c r="X738" t="s">
        <v>986</v>
      </c>
    </row>
    <row r="739" spans="1:24" hidden="1">
      <c r="C739" s="7" t="s">
        <v>35</v>
      </c>
      <c r="D739" s="7" t="s">
        <v>156</v>
      </c>
      <c r="E739" s="7" t="s">
        <v>157</v>
      </c>
      <c r="F739" s="7" t="s">
        <v>158</v>
      </c>
      <c r="G739" s="7" t="s">
        <v>453</v>
      </c>
      <c r="H739" s="15">
        <v>0</v>
      </c>
      <c r="I739" s="10" t="s">
        <v>669</v>
      </c>
      <c r="J739" s="7" t="s">
        <v>670</v>
      </c>
      <c r="K739" s="10" t="s">
        <v>414</v>
      </c>
      <c r="L739" s="7" t="s">
        <v>415</v>
      </c>
      <c r="M739" s="7"/>
      <c r="N739" s="7">
        <f>VLOOKUP(J739,[1]Sheet1!$C:$D,2,FALSE)</f>
        <v>7092</v>
      </c>
      <c r="O739" s="7">
        <f>VLOOKUP(J739,[2]Desa!$A:$D,4,FALSE)</f>
        <v>378</v>
      </c>
      <c r="P739" s="7">
        <f>VLOOKUP(J739,[3]Sheet1!$D:$F,3,FALSE)</f>
        <v>19</v>
      </c>
      <c r="Q739" s="7"/>
      <c r="R739" s="7"/>
      <c r="S739" s="12">
        <v>-8.7274816078884498</v>
      </c>
      <c r="T739" s="12">
        <v>116.08507470667701</v>
      </c>
      <c r="U739" s="7"/>
      <c r="V739" s="50">
        <f>Table13678[[#This Row],[PAGU SEMULA]]-Table13678[[#This Row],[PAGU ANGGARAN]]</f>
        <v>0</v>
      </c>
      <c r="W739" s="50">
        <f>Table13678[[#This Row],[PAGU SEMULA]]-Table13678[[#This Row],[PAGU ANGGARAN]]</f>
        <v>0</v>
      </c>
      <c r="X739" t="s">
        <v>986</v>
      </c>
    </row>
    <row r="740" spans="1:24" hidden="1">
      <c r="C740" s="7" t="s">
        <v>46</v>
      </c>
      <c r="D740" s="7" t="s">
        <v>47</v>
      </c>
      <c r="E740" s="7" t="s">
        <v>48</v>
      </c>
      <c r="F740" s="7" t="s">
        <v>203</v>
      </c>
      <c r="G740" s="71" t="s">
        <v>204</v>
      </c>
      <c r="H740" s="8">
        <v>94220000</v>
      </c>
      <c r="I740" s="10" t="s">
        <v>669</v>
      </c>
      <c r="J740" s="7" t="s">
        <v>670</v>
      </c>
      <c r="K740" s="10" t="s">
        <v>414</v>
      </c>
      <c r="L740" s="7" t="s">
        <v>415</v>
      </c>
      <c r="M740" s="7"/>
      <c r="N740" s="7">
        <f>VLOOKUP(J740,[1]Sheet1!$C:$D,2,FALSE)</f>
        <v>7092</v>
      </c>
      <c r="O740" s="7">
        <f>VLOOKUP(J740,[2]Desa!$A:$D,4,FALSE)</f>
        <v>378</v>
      </c>
      <c r="P740" s="7">
        <f>VLOOKUP(J740,[3]Sheet1!$D:$F,3,FALSE)</f>
        <v>19</v>
      </c>
      <c r="Q740" s="7"/>
      <c r="R740" s="7"/>
      <c r="S740" s="12">
        <v>-8.7274816078884498</v>
      </c>
      <c r="T740" s="12">
        <v>116.08507470667701</v>
      </c>
      <c r="U740" s="7"/>
      <c r="V740" s="50">
        <f>Table13678[[#This Row],[PAGU SEMULA]]-Table13678[[#This Row],[PAGU ANGGARAN]]</f>
        <v>-94220000</v>
      </c>
      <c r="W740" s="50">
        <f>Table13678[[#This Row],[PAGU SEMULA]]-Table13678[[#This Row],[PAGU ANGGARAN]]</f>
        <v>-94220000</v>
      </c>
      <c r="X740" t="s">
        <v>987</v>
      </c>
    </row>
    <row r="741" spans="1:24" hidden="1">
      <c r="C741" s="7" t="s">
        <v>46</v>
      </c>
      <c r="D741" s="7" t="s">
        <v>47</v>
      </c>
      <c r="E741" s="7" t="s">
        <v>48</v>
      </c>
      <c r="F741" s="7" t="s">
        <v>282</v>
      </c>
      <c r="G741" s="7" t="s">
        <v>283</v>
      </c>
      <c r="H741" s="8">
        <v>99000000</v>
      </c>
      <c r="I741" s="10" t="s">
        <v>669</v>
      </c>
      <c r="J741" s="7" t="s">
        <v>670</v>
      </c>
      <c r="K741" s="10" t="s">
        <v>414</v>
      </c>
      <c r="L741" s="7" t="s">
        <v>415</v>
      </c>
      <c r="M741" s="7"/>
      <c r="N741" s="7">
        <f>VLOOKUP(J741,[1]Sheet1!$C:$D,2,FALSE)</f>
        <v>7092</v>
      </c>
      <c r="O741" s="7">
        <f>VLOOKUP(J741,[2]Desa!$A:$D,4,FALSE)</f>
        <v>378</v>
      </c>
      <c r="P741" s="7">
        <f>VLOOKUP(J741,[3]Sheet1!$D:$F,3,FALSE)</f>
        <v>19</v>
      </c>
      <c r="Q741" s="7"/>
      <c r="R741" s="7"/>
      <c r="S741" s="12">
        <v>-8.7274816078884498</v>
      </c>
      <c r="T741" s="12">
        <v>116.08507470667701</v>
      </c>
      <c r="U741" s="7"/>
      <c r="V741" s="50">
        <f>Table13678[[#This Row],[PAGU SEMULA]]-Table13678[[#This Row],[PAGU ANGGARAN]]</f>
        <v>-99000000</v>
      </c>
      <c r="W741" s="50">
        <f>Table13678[[#This Row],[PAGU SEMULA]]-Table13678[[#This Row],[PAGU ANGGARAN]]</f>
        <v>-99000000</v>
      </c>
      <c r="X741" t="s">
        <v>987</v>
      </c>
    </row>
    <row r="742" spans="1:24" hidden="1">
      <c r="C742" s="7" t="s">
        <v>51</v>
      </c>
      <c r="D742" s="7" t="s">
        <v>52</v>
      </c>
      <c r="E742" s="7" t="s">
        <v>53</v>
      </c>
      <c r="F742" s="7" t="s">
        <v>54</v>
      </c>
      <c r="G742" s="7" t="s">
        <v>73</v>
      </c>
      <c r="H742" s="8">
        <v>189090000</v>
      </c>
      <c r="I742" s="10" t="s">
        <v>669</v>
      </c>
      <c r="J742" s="7" t="s">
        <v>670</v>
      </c>
      <c r="K742" s="10" t="s">
        <v>414</v>
      </c>
      <c r="L742" s="7" t="s">
        <v>415</v>
      </c>
      <c r="M742" s="7"/>
      <c r="N742" s="7">
        <f>VLOOKUP(J742,[1]Sheet1!$C:$D,2,FALSE)</f>
        <v>7092</v>
      </c>
      <c r="O742" s="7">
        <f>VLOOKUP(J742,[2]Desa!$A:$D,4,FALSE)</f>
        <v>378</v>
      </c>
      <c r="P742" s="7">
        <f>VLOOKUP(J742,[3]Sheet1!$D:$F,3,FALSE)</f>
        <v>19</v>
      </c>
      <c r="Q742" s="7"/>
      <c r="R742" s="7"/>
      <c r="S742" s="12">
        <v>-8.7274816078884498</v>
      </c>
      <c r="T742" s="12">
        <v>116.08507470667701</v>
      </c>
      <c r="U742" s="7"/>
      <c r="V742" s="50">
        <f>Table13678[[#This Row],[PAGU SEMULA]]-Table13678[[#This Row],[PAGU ANGGARAN]]</f>
        <v>-189090000</v>
      </c>
      <c r="W742" s="50">
        <f>Table13678[[#This Row],[PAGU SEMULA]]-Table13678[[#This Row],[PAGU ANGGARAN]]</f>
        <v>-189090000</v>
      </c>
      <c r="X742" t="s">
        <v>986</v>
      </c>
    </row>
    <row r="743" spans="1:24" hidden="1">
      <c r="C743" s="7" t="s">
        <v>20</v>
      </c>
      <c r="D743" s="7" t="s">
        <v>104</v>
      </c>
      <c r="E743" s="7" t="s">
        <v>145</v>
      </c>
      <c r="F743" s="7" t="s">
        <v>146</v>
      </c>
      <c r="G743" s="71" t="s">
        <v>673</v>
      </c>
      <c r="H743" s="15">
        <v>59000000</v>
      </c>
      <c r="I743" s="10" t="s">
        <v>674</v>
      </c>
      <c r="J743" s="7" t="s">
        <v>83</v>
      </c>
      <c r="K743" s="10" t="s">
        <v>82</v>
      </c>
      <c r="L743" s="7" t="s">
        <v>83</v>
      </c>
      <c r="M743" s="7"/>
      <c r="N743" s="7">
        <f>VLOOKUP(J743,[1]Sheet1!$C:$D,2,FALSE)</f>
        <v>4965</v>
      </c>
      <c r="O743" s="7">
        <f>VLOOKUP(J743,[2]Desa!$A:$D,4,FALSE)</f>
        <v>105</v>
      </c>
      <c r="P743" s="7">
        <f>VLOOKUP(J743,[3]Sheet1!$D:$F,3,FALSE)</f>
        <v>9</v>
      </c>
      <c r="Q743" s="7"/>
      <c r="R743" s="7"/>
      <c r="S743" s="12">
        <v>-8.6264707198591193</v>
      </c>
      <c r="T743" s="12">
        <v>116.124375494801</v>
      </c>
      <c r="U743" s="7"/>
      <c r="V743" s="50">
        <f>Table13678[[#This Row],[PAGU SEMULA]]-Table13678[[#This Row],[PAGU ANGGARAN]]</f>
        <v>-59000000</v>
      </c>
      <c r="W743" s="50">
        <f>Table13678[[#This Row],[PAGU SEMULA]]-Table13678[[#This Row],[PAGU ANGGARAN]]</f>
        <v>-59000000</v>
      </c>
      <c r="X743" t="s">
        <v>984</v>
      </c>
    </row>
    <row r="744" spans="1:24" hidden="1">
      <c r="C744" s="7" t="s">
        <v>29</v>
      </c>
      <c r="D744" s="7" t="s">
        <v>30</v>
      </c>
      <c r="E744" s="7" t="s">
        <v>31</v>
      </c>
      <c r="F744" s="7" t="s">
        <v>32</v>
      </c>
      <c r="G744" s="7" t="s">
        <v>33</v>
      </c>
      <c r="H744" s="8">
        <v>213360000</v>
      </c>
      <c r="I744" s="10" t="s">
        <v>674</v>
      </c>
      <c r="J744" s="7" t="s">
        <v>83</v>
      </c>
      <c r="K744" s="10" t="s">
        <v>82</v>
      </c>
      <c r="L744" s="7" t="s">
        <v>83</v>
      </c>
      <c r="M744" s="7"/>
      <c r="N744" s="7">
        <f>VLOOKUP(J744,[1]Sheet1!$C:$D,2,FALSE)</f>
        <v>4965</v>
      </c>
      <c r="O744" s="7">
        <f>VLOOKUP(J744,[2]Desa!$A:$D,4,FALSE)</f>
        <v>105</v>
      </c>
      <c r="P744" s="7">
        <f>VLOOKUP(J744,[3]Sheet1!$D:$F,3,FALSE)</f>
        <v>9</v>
      </c>
      <c r="Q744" s="7"/>
      <c r="R744" s="7"/>
      <c r="S744" s="12">
        <v>-8.6264707198591193</v>
      </c>
      <c r="T744" s="12">
        <v>116.124375494801</v>
      </c>
      <c r="U744" s="7"/>
      <c r="V744" s="50">
        <f>Table13678[[#This Row],[PAGU SEMULA]]-Table13678[[#This Row],[PAGU ANGGARAN]]</f>
        <v>-213360000</v>
      </c>
      <c r="W744" s="50">
        <f>Table13678[[#This Row],[PAGU SEMULA]]-Table13678[[#This Row],[PAGU ANGGARAN]]</f>
        <v>-213360000</v>
      </c>
      <c r="X744" t="s">
        <v>984</v>
      </c>
    </row>
    <row r="745" spans="1:24" hidden="1">
      <c r="C745" s="7" t="s">
        <v>29</v>
      </c>
      <c r="D745" s="7" t="s">
        <v>30</v>
      </c>
      <c r="E745" s="7" t="s">
        <v>31</v>
      </c>
      <c r="F745" s="7" t="s">
        <v>32</v>
      </c>
      <c r="G745" s="7" t="s">
        <v>34</v>
      </c>
      <c r="H745" s="8">
        <v>17068800</v>
      </c>
      <c r="I745" s="10" t="s">
        <v>674</v>
      </c>
      <c r="J745" s="7" t="s">
        <v>83</v>
      </c>
      <c r="K745" s="10" t="s">
        <v>82</v>
      </c>
      <c r="L745" s="7" t="s">
        <v>83</v>
      </c>
      <c r="M745" s="7"/>
      <c r="N745" s="7">
        <f>VLOOKUP(J745,[1]Sheet1!$C:$D,2,FALSE)</f>
        <v>4965</v>
      </c>
      <c r="O745" s="7">
        <f>VLOOKUP(J745,[2]Desa!$A:$D,4,FALSE)</f>
        <v>105</v>
      </c>
      <c r="P745" s="7">
        <f>VLOOKUP(J745,[3]Sheet1!$D:$F,3,FALSE)</f>
        <v>9</v>
      </c>
      <c r="Q745" s="7"/>
      <c r="R745" s="7"/>
      <c r="S745" s="12">
        <v>-8.6264707198591193</v>
      </c>
      <c r="T745" s="12">
        <v>116.124375494801</v>
      </c>
      <c r="U745" s="7"/>
      <c r="V745" s="50">
        <f>Table13678[[#This Row],[PAGU SEMULA]]-Table13678[[#This Row],[PAGU ANGGARAN]]</f>
        <v>-17068800</v>
      </c>
      <c r="W745" s="50">
        <f>Table13678[[#This Row],[PAGU SEMULA]]-Table13678[[#This Row],[PAGU ANGGARAN]]</f>
        <v>-17068800</v>
      </c>
      <c r="X745" t="s">
        <v>984</v>
      </c>
    </row>
    <row r="746" spans="1:24" hidden="1">
      <c r="C746" s="7" t="s">
        <v>35</v>
      </c>
      <c r="D746" s="7" t="s">
        <v>36</v>
      </c>
      <c r="E746" s="7" t="s">
        <v>37</v>
      </c>
      <c r="F746" s="7" t="s">
        <v>38</v>
      </c>
      <c r="G746" s="7" t="s">
        <v>39</v>
      </c>
      <c r="H746" s="15">
        <v>75000000</v>
      </c>
      <c r="I746" s="10" t="s">
        <v>674</v>
      </c>
      <c r="J746" s="7" t="s">
        <v>83</v>
      </c>
      <c r="K746" s="10" t="s">
        <v>82</v>
      </c>
      <c r="L746" s="7" t="s">
        <v>83</v>
      </c>
      <c r="M746" s="7"/>
      <c r="N746" s="7">
        <f>VLOOKUP(J746,[1]Sheet1!$C:$D,2,FALSE)</f>
        <v>4965</v>
      </c>
      <c r="O746" s="7">
        <f>VLOOKUP(J746,[2]Desa!$A:$D,4,FALSE)</f>
        <v>105</v>
      </c>
      <c r="P746" s="7">
        <f>VLOOKUP(J746,[3]Sheet1!$D:$F,3,FALSE)</f>
        <v>9</v>
      </c>
      <c r="Q746" s="7"/>
      <c r="R746" s="7"/>
      <c r="S746" s="12">
        <v>-8.6264707198591193</v>
      </c>
      <c r="T746" s="12">
        <v>116.124375494801</v>
      </c>
      <c r="U746" s="7"/>
      <c r="V746" s="50">
        <f>Table13678[[#This Row],[PAGU SEMULA]]-Table13678[[#This Row],[PAGU ANGGARAN]]</f>
        <v>-75000000</v>
      </c>
      <c r="W746" s="50">
        <f>Table13678[[#This Row],[PAGU SEMULA]]-Table13678[[#This Row],[PAGU ANGGARAN]]</f>
        <v>-75000000</v>
      </c>
      <c r="X746" t="s">
        <v>984</v>
      </c>
    </row>
    <row r="747" spans="1:24" hidden="1">
      <c r="C747" s="7" t="s">
        <v>35</v>
      </c>
      <c r="D747" s="7" t="s">
        <v>354</v>
      </c>
      <c r="E747" s="7" t="s">
        <v>355</v>
      </c>
      <c r="F747" s="7" t="s">
        <v>356</v>
      </c>
      <c r="G747" s="7" t="s">
        <v>675</v>
      </c>
      <c r="H747" s="15">
        <v>100000000</v>
      </c>
      <c r="I747" s="10" t="s">
        <v>674</v>
      </c>
      <c r="J747" s="7" t="s">
        <v>83</v>
      </c>
      <c r="K747" s="10" t="s">
        <v>82</v>
      </c>
      <c r="L747" s="7" t="s">
        <v>83</v>
      </c>
      <c r="M747" s="7"/>
      <c r="N747" s="7">
        <f>VLOOKUP(J747,[1]Sheet1!$C:$D,2,FALSE)</f>
        <v>4965</v>
      </c>
      <c r="O747" s="7">
        <f>VLOOKUP(J747,[2]Desa!$A:$D,4,FALSE)</f>
        <v>105</v>
      </c>
      <c r="P747" s="7">
        <f>VLOOKUP(J747,[3]Sheet1!$D:$F,3,FALSE)</f>
        <v>9</v>
      </c>
      <c r="Q747" s="7"/>
      <c r="R747" s="7"/>
      <c r="S747" s="12">
        <v>-8.6264707198591193</v>
      </c>
      <c r="T747" s="12">
        <v>116.124375494801</v>
      </c>
      <c r="U747" s="7"/>
      <c r="V747" s="50">
        <f>Table13678[[#This Row],[PAGU SEMULA]]-Table13678[[#This Row],[PAGU ANGGARAN]]</f>
        <v>-100000000</v>
      </c>
      <c r="W747" s="50">
        <f>Table13678[[#This Row],[PAGU SEMULA]]-Table13678[[#This Row],[PAGU ANGGARAN]]</f>
        <v>-100000000</v>
      </c>
      <c r="X747" t="s">
        <v>986</v>
      </c>
    </row>
    <row r="748" spans="1:24" hidden="1">
      <c r="C748" s="7" t="s">
        <v>35</v>
      </c>
      <c r="D748" s="7" t="s">
        <v>65</v>
      </c>
      <c r="E748" s="7" t="s">
        <v>66</v>
      </c>
      <c r="F748" s="7" t="s">
        <v>93</v>
      </c>
      <c r="G748" s="7" t="s">
        <v>386</v>
      </c>
      <c r="H748" s="15">
        <v>2158875000</v>
      </c>
      <c r="I748" s="10" t="s">
        <v>674</v>
      </c>
      <c r="J748" s="7" t="s">
        <v>83</v>
      </c>
      <c r="K748" s="10" t="s">
        <v>82</v>
      </c>
      <c r="L748" s="7" t="s">
        <v>83</v>
      </c>
      <c r="M748" s="7"/>
      <c r="N748" s="7">
        <f>VLOOKUP(J748,[1]Sheet1!$C:$D,2,FALSE)</f>
        <v>4965</v>
      </c>
      <c r="O748" s="7">
        <f>VLOOKUP(J748,[2]Desa!$A:$D,4,FALSE)</f>
        <v>105</v>
      </c>
      <c r="P748" s="7">
        <f>VLOOKUP(J748,[3]Sheet1!$D:$F,3,FALSE)</f>
        <v>9</v>
      </c>
      <c r="Q748" s="7"/>
      <c r="R748" s="7"/>
      <c r="S748" s="12">
        <v>-8.6264707198591193</v>
      </c>
      <c r="T748" s="12">
        <v>116.124375494801</v>
      </c>
      <c r="U748" s="7"/>
      <c r="V748" s="50">
        <f>Table13678[[#This Row],[PAGU SEMULA]]-Table13678[[#This Row],[PAGU ANGGARAN]]</f>
        <v>-2158875000</v>
      </c>
      <c r="W748" s="50">
        <f>Table13678[[#This Row],[PAGU SEMULA]]-Table13678[[#This Row],[PAGU ANGGARAN]]</f>
        <v>-2158875000</v>
      </c>
      <c r="X748" t="s">
        <v>986</v>
      </c>
    </row>
    <row r="749" spans="1:24" hidden="1">
      <c r="C749" s="7" t="s">
        <v>20</v>
      </c>
      <c r="D749" s="7" t="s">
        <v>104</v>
      </c>
      <c r="E749" s="7" t="s">
        <v>105</v>
      </c>
      <c r="F749" s="7" t="s">
        <v>284</v>
      </c>
      <c r="G749" s="71" t="s">
        <v>676</v>
      </c>
      <c r="H749" s="15">
        <v>221940000</v>
      </c>
      <c r="I749" s="10" t="s">
        <v>677</v>
      </c>
      <c r="J749" s="7" t="s">
        <v>678</v>
      </c>
      <c r="K749" s="10" t="s">
        <v>167</v>
      </c>
      <c r="L749" s="7" t="s">
        <v>168</v>
      </c>
      <c r="M749" s="7"/>
      <c r="N749" s="7">
        <f>VLOOKUP(J749,[1]Sheet1!$C:$D,2,FALSE)</f>
        <v>7737</v>
      </c>
      <c r="O749" s="7">
        <f>VLOOKUP(J749,[2]Desa!$A:$D,4,FALSE)</f>
        <v>253</v>
      </c>
      <c r="P749" s="7">
        <f>VLOOKUP(J749,[3]Sheet1!$D:$F,3,FALSE)</f>
        <v>65</v>
      </c>
      <c r="Q749" s="7"/>
      <c r="R749" s="7"/>
      <c r="S749" s="12">
        <v>-8.5571229744323798</v>
      </c>
      <c r="T749" s="12">
        <v>116.163704722033</v>
      </c>
      <c r="U749" s="7"/>
      <c r="V749" s="50">
        <f>Table13678[[#This Row],[PAGU SEMULA]]-Table13678[[#This Row],[PAGU ANGGARAN]]</f>
        <v>-221940000</v>
      </c>
      <c r="W749" s="50">
        <f>Table13678[[#This Row],[PAGU SEMULA]]-Table13678[[#This Row],[PAGU ANGGARAN]]</f>
        <v>-221940000</v>
      </c>
      <c r="X749" t="s">
        <v>984</v>
      </c>
    </row>
    <row r="750" spans="1:24" s="2" customFormat="1" hidden="1">
      <c r="A750"/>
      <c r="B750"/>
      <c r="C750" s="7" t="s">
        <v>29</v>
      </c>
      <c r="D750" s="7" t="s">
        <v>30</v>
      </c>
      <c r="E750" s="7" t="s">
        <v>148</v>
      </c>
      <c r="F750" s="7" t="s">
        <v>679</v>
      </c>
      <c r="G750" s="7" t="s">
        <v>680</v>
      </c>
      <c r="H750" s="8">
        <v>300000000</v>
      </c>
      <c r="I750" s="10" t="s">
        <v>677</v>
      </c>
      <c r="J750" s="7" t="s">
        <v>678</v>
      </c>
      <c r="K750" s="10" t="s">
        <v>167</v>
      </c>
      <c r="L750" s="7" t="s">
        <v>168</v>
      </c>
      <c r="M750" s="7"/>
      <c r="N750" s="7">
        <f>VLOOKUP(J750,[1]Sheet1!$C:$D,2,FALSE)</f>
        <v>7737</v>
      </c>
      <c r="O750" s="7">
        <f>VLOOKUP(J750,[2]Desa!$A:$D,4,FALSE)</f>
        <v>253</v>
      </c>
      <c r="P750" s="7">
        <f>VLOOKUP(J750,[3]Sheet1!$D:$F,3,FALSE)</f>
        <v>65</v>
      </c>
      <c r="Q750" s="7"/>
      <c r="R750" s="7"/>
      <c r="S750" s="12">
        <v>-8.5571229744323798</v>
      </c>
      <c r="T750" s="12">
        <v>116.163704722033</v>
      </c>
      <c r="U750" s="3"/>
      <c r="V750" s="51">
        <f>Table13678[[#This Row],[PAGU SEMULA]]-Table13678[[#This Row],[PAGU ANGGARAN]]</f>
        <v>-300000000</v>
      </c>
      <c r="W750" s="51">
        <f>Table13678[[#This Row],[PAGU SEMULA]]-Table13678[[#This Row],[PAGU ANGGARAN]]</f>
        <v>-300000000</v>
      </c>
      <c r="X750" t="s">
        <v>984</v>
      </c>
    </row>
    <row r="751" spans="1:24" hidden="1">
      <c r="C751" s="7" t="s">
        <v>29</v>
      </c>
      <c r="D751" s="7" t="s">
        <v>30</v>
      </c>
      <c r="E751" s="7" t="s">
        <v>31</v>
      </c>
      <c r="F751" s="7" t="s">
        <v>32</v>
      </c>
      <c r="G751" s="7" t="s">
        <v>33</v>
      </c>
      <c r="H751" s="8">
        <v>522480000</v>
      </c>
      <c r="I751" s="10" t="s">
        <v>677</v>
      </c>
      <c r="J751" s="7" t="s">
        <v>678</v>
      </c>
      <c r="K751" s="10" t="s">
        <v>167</v>
      </c>
      <c r="L751" s="7" t="s">
        <v>168</v>
      </c>
      <c r="M751" s="7"/>
      <c r="N751" s="7">
        <f>VLOOKUP(J751,[1]Sheet1!$C:$D,2,FALSE)</f>
        <v>7737</v>
      </c>
      <c r="O751" s="7">
        <f>VLOOKUP(J751,[2]Desa!$A:$D,4,FALSE)</f>
        <v>253</v>
      </c>
      <c r="P751" s="7">
        <f>VLOOKUP(J751,[3]Sheet1!$D:$F,3,FALSE)</f>
        <v>65</v>
      </c>
      <c r="Q751" s="7"/>
      <c r="R751" s="7"/>
      <c r="S751" s="12">
        <v>-8.5571229744323798</v>
      </c>
      <c r="T751" s="12">
        <v>116.163704722033</v>
      </c>
      <c r="U751" s="7"/>
      <c r="V751" s="50">
        <f>Table13678[[#This Row],[PAGU SEMULA]]-Table13678[[#This Row],[PAGU ANGGARAN]]</f>
        <v>-522480000</v>
      </c>
      <c r="W751" s="50">
        <f>Table13678[[#This Row],[PAGU SEMULA]]-Table13678[[#This Row],[PAGU ANGGARAN]]</f>
        <v>-522480000</v>
      </c>
      <c r="X751" t="s">
        <v>984</v>
      </c>
    </row>
    <row r="752" spans="1:24" hidden="1">
      <c r="C752" s="7" t="s">
        <v>29</v>
      </c>
      <c r="D752" s="7" t="s">
        <v>30</v>
      </c>
      <c r="E752" s="7" t="s">
        <v>31</v>
      </c>
      <c r="F752" s="7" t="s">
        <v>32</v>
      </c>
      <c r="G752" s="7" t="s">
        <v>34</v>
      </c>
      <c r="H752" s="8">
        <v>41798400</v>
      </c>
      <c r="I752" s="10" t="s">
        <v>677</v>
      </c>
      <c r="J752" s="7" t="s">
        <v>678</v>
      </c>
      <c r="K752" s="10" t="s">
        <v>167</v>
      </c>
      <c r="L752" s="7" t="s">
        <v>168</v>
      </c>
      <c r="M752" s="7"/>
      <c r="N752" s="7">
        <f>VLOOKUP(J752,[1]Sheet1!$C:$D,2,FALSE)</f>
        <v>7737</v>
      </c>
      <c r="O752" s="7">
        <f>VLOOKUP(J752,[2]Desa!$A:$D,4,FALSE)</f>
        <v>253</v>
      </c>
      <c r="P752" s="7">
        <f>VLOOKUP(J752,[3]Sheet1!$D:$F,3,FALSE)</f>
        <v>65</v>
      </c>
      <c r="Q752" s="7"/>
      <c r="R752" s="7"/>
      <c r="S752" s="12">
        <v>-8.5571229744323798</v>
      </c>
      <c r="T752" s="12">
        <v>116.163704722033</v>
      </c>
      <c r="U752" s="7"/>
      <c r="V752" s="50">
        <f>Table13678[[#This Row],[PAGU SEMULA]]-Table13678[[#This Row],[PAGU ANGGARAN]]</f>
        <v>-41798400</v>
      </c>
      <c r="W752" s="50">
        <f>Table13678[[#This Row],[PAGU SEMULA]]-Table13678[[#This Row],[PAGU ANGGARAN]]</f>
        <v>-41798400</v>
      </c>
      <c r="X752" t="s">
        <v>984</v>
      </c>
    </row>
    <row r="753" spans="3:24" hidden="1">
      <c r="C753" s="7" t="s">
        <v>35</v>
      </c>
      <c r="D753" s="7" t="s">
        <v>36</v>
      </c>
      <c r="E753" s="7" t="s">
        <v>37</v>
      </c>
      <c r="F753" s="7" t="s">
        <v>38</v>
      </c>
      <c r="G753" s="7" t="s">
        <v>39</v>
      </c>
      <c r="H753" s="15">
        <v>75000000</v>
      </c>
      <c r="I753" s="10" t="s">
        <v>677</v>
      </c>
      <c r="J753" s="7" t="s">
        <v>678</v>
      </c>
      <c r="K753" s="10" t="s">
        <v>167</v>
      </c>
      <c r="L753" s="7" t="s">
        <v>168</v>
      </c>
      <c r="M753" s="7"/>
      <c r="N753" s="7">
        <f>VLOOKUP(J753,[1]Sheet1!$C:$D,2,FALSE)</f>
        <v>7737</v>
      </c>
      <c r="O753" s="7">
        <f>VLOOKUP(J753,[2]Desa!$A:$D,4,FALSE)</f>
        <v>253</v>
      </c>
      <c r="P753" s="7">
        <f>VLOOKUP(J753,[3]Sheet1!$D:$F,3,FALSE)</f>
        <v>65</v>
      </c>
      <c r="Q753" s="7"/>
      <c r="R753" s="7"/>
      <c r="S753" s="12">
        <v>-8.5571229744323798</v>
      </c>
      <c r="T753" s="12">
        <v>116.163704722033</v>
      </c>
      <c r="U753" s="7"/>
      <c r="V753" s="50">
        <f>Table13678[[#This Row],[PAGU SEMULA]]-Table13678[[#This Row],[PAGU ANGGARAN]]</f>
        <v>-75000000</v>
      </c>
      <c r="W753" s="50">
        <f>Table13678[[#This Row],[PAGU SEMULA]]-Table13678[[#This Row],[PAGU ANGGARAN]]</f>
        <v>-75000000</v>
      </c>
      <c r="X753" t="s">
        <v>984</v>
      </c>
    </row>
    <row r="754" spans="3:24" hidden="1">
      <c r="C754" s="7" t="s">
        <v>51</v>
      </c>
      <c r="D754" s="7" t="s">
        <v>52</v>
      </c>
      <c r="E754" s="7" t="s">
        <v>53</v>
      </c>
      <c r="F754" s="7" t="s">
        <v>54</v>
      </c>
      <c r="G754" s="7" t="s">
        <v>174</v>
      </c>
      <c r="H754" s="8">
        <v>189090000</v>
      </c>
      <c r="I754" s="10" t="s">
        <v>677</v>
      </c>
      <c r="J754" s="7" t="s">
        <v>678</v>
      </c>
      <c r="K754" s="10" t="s">
        <v>167</v>
      </c>
      <c r="L754" s="7" t="s">
        <v>168</v>
      </c>
      <c r="M754" s="7"/>
      <c r="N754" s="7">
        <f>VLOOKUP(J754,[1]Sheet1!$C:$D,2,FALSE)</f>
        <v>7737</v>
      </c>
      <c r="O754" s="7">
        <f>VLOOKUP(J754,[2]Desa!$A:$D,4,FALSE)</f>
        <v>253</v>
      </c>
      <c r="P754" s="7">
        <f>VLOOKUP(J754,[3]Sheet1!$D:$F,3,FALSE)</f>
        <v>65</v>
      </c>
      <c r="Q754" s="7"/>
      <c r="R754" s="7"/>
      <c r="S754" s="12">
        <v>-8.5571229744323798</v>
      </c>
      <c r="T754" s="12">
        <v>116.163704722033</v>
      </c>
      <c r="U754" s="7"/>
      <c r="V754" s="50">
        <f>Table13678[[#This Row],[PAGU SEMULA]]-Table13678[[#This Row],[PAGU ANGGARAN]]</f>
        <v>-189090000</v>
      </c>
      <c r="W754" s="50">
        <f>Table13678[[#This Row],[PAGU SEMULA]]-Table13678[[#This Row],[PAGU ANGGARAN]]</f>
        <v>-189090000</v>
      </c>
      <c r="X754" t="s">
        <v>986</v>
      </c>
    </row>
    <row r="755" spans="3:24" hidden="1">
      <c r="C755" s="7" t="s">
        <v>51</v>
      </c>
      <c r="D755" s="7" t="s">
        <v>255</v>
      </c>
      <c r="E755" s="7" t="s">
        <v>611</v>
      </c>
      <c r="F755" s="7" t="s">
        <v>612</v>
      </c>
      <c r="G755" s="7" t="s">
        <v>681</v>
      </c>
      <c r="H755" s="8">
        <v>374000000</v>
      </c>
      <c r="I755" s="10" t="s">
        <v>677</v>
      </c>
      <c r="J755" s="7" t="s">
        <v>678</v>
      </c>
      <c r="K755" s="10" t="s">
        <v>167</v>
      </c>
      <c r="L755" s="7" t="s">
        <v>168</v>
      </c>
      <c r="M755" s="7"/>
      <c r="N755" s="7">
        <f>VLOOKUP(J755,[1]Sheet1!$C:$D,2,FALSE)</f>
        <v>7737</v>
      </c>
      <c r="O755" s="7">
        <f>VLOOKUP(J755,[2]Desa!$A:$D,4,FALSE)</f>
        <v>253</v>
      </c>
      <c r="P755" s="7">
        <f>VLOOKUP(J755,[3]Sheet1!$D:$F,3,FALSE)</f>
        <v>65</v>
      </c>
      <c r="Q755" s="7"/>
      <c r="R755" s="7"/>
      <c r="S755" s="12">
        <v>-8.5571229744323798</v>
      </c>
      <c r="T755" s="12">
        <v>116.163704722033</v>
      </c>
      <c r="U755" s="7"/>
      <c r="V755" s="50">
        <f>Table13678[[#This Row],[PAGU SEMULA]]-Table13678[[#This Row],[PAGU ANGGARAN]]</f>
        <v>-374000000</v>
      </c>
      <c r="W755" s="50">
        <f>Table13678[[#This Row],[PAGU SEMULA]]-Table13678[[#This Row],[PAGU ANGGARAN]]</f>
        <v>-374000000</v>
      </c>
      <c r="X755" t="s">
        <v>986</v>
      </c>
    </row>
    <row r="756" spans="3:24" hidden="1">
      <c r="C756" s="7" t="s">
        <v>51</v>
      </c>
      <c r="D756" s="7" t="s">
        <v>255</v>
      </c>
      <c r="E756" s="7" t="s">
        <v>611</v>
      </c>
      <c r="F756" s="7" t="s">
        <v>612</v>
      </c>
      <c r="G756" s="7" t="s">
        <v>682</v>
      </c>
      <c r="H756" s="8">
        <v>374000000</v>
      </c>
      <c r="I756" s="10" t="s">
        <v>677</v>
      </c>
      <c r="J756" s="7" t="s">
        <v>678</v>
      </c>
      <c r="K756" s="10" t="s">
        <v>167</v>
      </c>
      <c r="L756" s="7" t="s">
        <v>168</v>
      </c>
      <c r="M756" s="7"/>
      <c r="N756" s="7">
        <f>VLOOKUP(J756,[1]Sheet1!$C:$D,2,FALSE)</f>
        <v>7737</v>
      </c>
      <c r="O756" s="7">
        <f>VLOOKUP(J756,[2]Desa!$A:$D,4,FALSE)</f>
        <v>253</v>
      </c>
      <c r="P756" s="7">
        <f>VLOOKUP(J756,[3]Sheet1!$D:$F,3,FALSE)</f>
        <v>65</v>
      </c>
      <c r="Q756" s="7"/>
      <c r="R756" s="7"/>
      <c r="S756" s="12">
        <v>-8.5571229744323798</v>
      </c>
      <c r="T756" s="12">
        <v>116.163704722033</v>
      </c>
      <c r="U756" s="7"/>
      <c r="V756" s="50">
        <f>Table13678[[#This Row],[PAGU SEMULA]]-Table13678[[#This Row],[PAGU ANGGARAN]]</f>
        <v>-374000000</v>
      </c>
      <c r="W756" s="50">
        <f>Table13678[[#This Row],[PAGU SEMULA]]-Table13678[[#This Row],[PAGU ANGGARAN]]</f>
        <v>-374000000</v>
      </c>
      <c r="X756" t="s">
        <v>986</v>
      </c>
    </row>
    <row r="757" spans="3:24" hidden="1">
      <c r="C757" s="7" t="s">
        <v>51</v>
      </c>
      <c r="D757" s="7" t="s">
        <v>156</v>
      </c>
      <c r="E757" s="7" t="s">
        <v>372</v>
      </c>
      <c r="F757" s="7" t="s">
        <v>373</v>
      </c>
      <c r="G757" s="7" t="s">
        <v>373</v>
      </c>
      <c r="H757" s="8">
        <v>144000000</v>
      </c>
      <c r="I757" s="10" t="s">
        <v>677</v>
      </c>
      <c r="J757" s="7" t="s">
        <v>678</v>
      </c>
      <c r="K757" s="10" t="s">
        <v>167</v>
      </c>
      <c r="L757" s="7" t="s">
        <v>168</v>
      </c>
      <c r="M757" s="7"/>
      <c r="N757" s="7">
        <f>VLOOKUP(J757,[1]Sheet1!$C:$D,2,FALSE)</f>
        <v>7737</v>
      </c>
      <c r="O757" s="7">
        <f>VLOOKUP(J757,[2]Desa!$A:$D,4,FALSE)</f>
        <v>253</v>
      </c>
      <c r="P757" s="7">
        <f>VLOOKUP(J757,[3]Sheet1!$D:$F,3,FALSE)</f>
        <v>65</v>
      </c>
      <c r="Q757" s="7"/>
      <c r="R757" s="7"/>
      <c r="S757" s="12">
        <v>-8.5571229744323798</v>
      </c>
      <c r="T757" s="12">
        <v>116.163704722033</v>
      </c>
      <c r="U757" s="7"/>
      <c r="V757" s="50">
        <f>Table13678[[#This Row],[PAGU SEMULA]]-Table13678[[#This Row],[PAGU ANGGARAN]]</f>
        <v>-144000000</v>
      </c>
      <c r="W757" s="50">
        <f>Table13678[[#This Row],[PAGU SEMULA]]-Table13678[[#This Row],[PAGU ANGGARAN]]</f>
        <v>-144000000</v>
      </c>
      <c r="X757" t="s">
        <v>986</v>
      </c>
    </row>
    <row r="758" spans="3:24" hidden="1">
      <c r="C758" s="7" t="s">
        <v>74</v>
      </c>
      <c r="D758" s="7" t="s">
        <v>75</v>
      </c>
      <c r="E758" s="7" t="s">
        <v>76</v>
      </c>
      <c r="F758" s="7" t="s">
        <v>77</v>
      </c>
      <c r="G758" s="7" t="s">
        <v>79</v>
      </c>
      <c r="H758" s="8">
        <v>57000000</v>
      </c>
      <c r="I758" s="10" t="s">
        <v>677</v>
      </c>
      <c r="J758" s="7" t="s">
        <v>678</v>
      </c>
      <c r="K758" s="10" t="s">
        <v>167</v>
      </c>
      <c r="L758" s="7" t="s">
        <v>168</v>
      </c>
      <c r="M758" s="7"/>
      <c r="N758" s="7">
        <f>VLOOKUP(J758,[1]Sheet1!$C:$D,2,FALSE)</f>
        <v>7737</v>
      </c>
      <c r="O758" s="7">
        <f>VLOOKUP(J758,[2]Desa!$A:$D,4,FALSE)</f>
        <v>253</v>
      </c>
      <c r="P758" s="7">
        <f>VLOOKUP(J758,[3]Sheet1!$D:$F,3,FALSE)</f>
        <v>65</v>
      </c>
      <c r="Q758" s="7"/>
      <c r="R758" s="7"/>
      <c r="S758" s="12">
        <v>-8.5571229744323798</v>
      </c>
      <c r="T758" s="12">
        <v>116.163704722033</v>
      </c>
      <c r="U758" s="7"/>
      <c r="V758" s="50">
        <f>Table13678[[#This Row],[PAGU SEMULA]]-Table13678[[#This Row],[PAGU ANGGARAN]]</f>
        <v>-57000000</v>
      </c>
      <c r="W758" s="50">
        <f>Table13678[[#This Row],[PAGU SEMULA]]-Table13678[[#This Row],[PAGU ANGGARAN]]</f>
        <v>-57000000</v>
      </c>
      <c r="X758" t="s">
        <v>982</v>
      </c>
    </row>
    <row r="759" spans="3:24" hidden="1">
      <c r="C759" s="7" t="s">
        <v>323</v>
      </c>
      <c r="D759" s="7" t="s">
        <v>324</v>
      </c>
      <c r="E759" s="7" t="s">
        <v>325</v>
      </c>
      <c r="F759" s="7" t="s">
        <v>326</v>
      </c>
      <c r="G759" s="7" t="s">
        <v>78</v>
      </c>
      <c r="H759" s="8">
        <v>37000000</v>
      </c>
      <c r="I759" s="10" t="s">
        <v>677</v>
      </c>
      <c r="J759" s="7" t="s">
        <v>678</v>
      </c>
      <c r="K759" s="10" t="s">
        <v>167</v>
      </c>
      <c r="L759" s="7" t="s">
        <v>168</v>
      </c>
      <c r="M759" s="7"/>
      <c r="N759" s="7">
        <f>VLOOKUP(J759,[1]Sheet1!$C:$D,2,FALSE)</f>
        <v>7737</v>
      </c>
      <c r="O759" s="7">
        <f>VLOOKUP(J759,[2]Desa!$A:$D,4,FALSE)</f>
        <v>253</v>
      </c>
      <c r="P759" s="7">
        <f>VLOOKUP(J759,[3]Sheet1!$D:$F,3,FALSE)</f>
        <v>65</v>
      </c>
      <c r="Q759" s="7"/>
      <c r="R759" s="7"/>
      <c r="S759" s="12">
        <v>-8.5571229744323798</v>
      </c>
      <c r="T759" s="12">
        <v>116.163704722033</v>
      </c>
      <c r="U759" s="7"/>
      <c r="V759" s="50">
        <f>Table13678[[#This Row],[PAGU SEMULA]]-Table13678[[#This Row],[PAGU ANGGARAN]]</f>
        <v>-37000000</v>
      </c>
      <c r="W759" s="50">
        <f>Table13678[[#This Row],[PAGU SEMULA]]-Table13678[[#This Row],[PAGU ANGGARAN]]</f>
        <v>-37000000</v>
      </c>
      <c r="X759" t="s">
        <v>982</v>
      </c>
    </row>
    <row r="760" spans="3:24" hidden="1">
      <c r="C760" s="7" t="s">
        <v>323</v>
      </c>
      <c r="D760" s="7" t="s">
        <v>324</v>
      </c>
      <c r="E760" s="7" t="s">
        <v>325</v>
      </c>
      <c r="F760" s="7" t="s">
        <v>326</v>
      </c>
      <c r="G760" s="7" t="s">
        <v>78</v>
      </c>
      <c r="H760" s="8">
        <v>65000000</v>
      </c>
      <c r="I760" s="10" t="s">
        <v>677</v>
      </c>
      <c r="J760" s="7" t="s">
        <v>678</v>
      </c>
      <c r="K760" s="10" t="s">
        <v>167</v>
      </c>
      <c r="L760" s="7" t="s">
        <v>168</v>
      </c>
      <c r="M760" s="7"/>
      <c r="N760" s="7">
        <f>VLOOKUP(J760,[1]Sheet1!$C:$D,2,FALSE)</f>
        <v>7737</v>
      </c>
      <c r="O760" s="7">
        <f>VLOOKUP(J760,[2]Desa!$A:$D,4,FALSE)</f>
        <v>253</v>
      </c>
      <c r="P760" s="7">
        <f>VLOOKUP(J760,[3]Sheet1!$D:$F,3,FALSE)</f>
        <v>65</v>
      </c>
      <c r="Q760" s="7"/>
      <c r="R760" s="7"/>
      <c r="S760" s="12">
        <v>-8.5571229744323798</v>
      </c>
      <c r="T760" s="12">
        <v>116.163704722033</v>
      </c>
      <c r="U760" s="7"/>
      <c r="V760" s="50">
        <f>Table13678[[#This Row],[PAGU SEMULA]]-Table13678[[#This Row],[PAGU ANGGARAN]]</f>
        <v>-65000000</v>
      </c>
      <c r="W760" s="50">
        <f>Table13678[[#This Row],[PAGU SEMULA]]-Table13678[[#This Row],[PAGU ANGGARAN]]</f>
        <v>-65000000</v>
      </c>
      <c r="X760" t="s">
        <v>982</v>
      </c>
    </row>
    <row r="761" spans="3:24" hidden="1">
      <c r="C761" s="7" t="s">
        <v>20</v>
      </c>
      <c r="D761" s="7" t="s">
        <v>104</v>
      </c>
      <c r="E761" s="7" t="s">
        <v>105</v>
      </c>
      <c r="F761" s="7" t="s">
        <v>106</v>
      </c>
      <c r="G761" s="71" t="s">
        <v>683</v>
      </c>
      <c r="H761" s="19">
        <v>298750000</v>
      </c>
      <c r="I761" s="10" t="s">
        <v>684</v>
      </c>
      <c r="J761" s="7" t="s">
        <v>685</v>
      </c>
      <c r="K761" s="10" t="s">
        <v>58</v>
      </c>
      <c r="L761" s="7" t="s">
        <v>59</v>
      </c>
      <c r="M761" s="7"/>
      <c r="N761" s="7">
        <f>VLOOKUP(J761,[1]Sheet1!$C:$D,2,FALSE)</f>
        <v>5167</v>
      </c>
      <c r="O761" s="7">
        <f>VLOOKUP(J761,[2]Desa!$A:$D,4,FALSE)</f>
        <v>250</v>
      </c>
      <c r="P761" s="7">
        <f>VLOOKUP(J761,[3]Sheet1!$D:$F,3,FALSE)</f>
        <v>44</v>
      </c>
      <c r="Q761" s="7"/>
      <c r="R761" s="7"/>
      <c r="S761" s="12">
        <v>-8.5457975959946992</v>
      </c>
      <c r="T761" s="12">
        <v>116.26848929318299</v>
      </c>
      <c r="U761" s="7"/>
      <c r="V761" s="50">
        <f>Table13678[[#This Row],[PAGU SEMULA]]-Table13678[[#This Row],[PAGU ANGGARAN]]</f>
        <v>-298750000</v>
      </c>
      <c r="W761" s="50">
        <f>Table13678[[#This Row],[PAGU SEMULA]]-Table13678[[#This Row],[PAGU ANGGARAN]]</f>
        <v>-298750000</v>
      </c>
      <c r="X761" t="s">
        <v>984</v>
      </c>
    </row>
    <row r="762" spans="3:24" hidden="1">
      <c r="C762" s="7" t="s">
        <v>20</v>
      </c>
      <c r="D762" s="7" t="s">
        <v>104</v>
      </c>
      <c r="E762" s="7" t="s">
        <v>105</v>
      </c>
      <c r="F762" s="7" t="s">
        <v>138</v>
      </c>
      <c r="G762" s="71" t="s">
        <v>686</v>
      </c>
      <c r="H762" s="15">
        <v>71680000</v>
      </c>
      <c r="I762" s="10" t="s">
        <v>684</v>
      </c>
      <c r="J762" s="7" t="s">
        <v>685</v>
      </c>
      <c r="K762" s="10" t="s">
        <v>58</v>
      </c>
      <c r="L762" s="7" t="s">
        <v>59</v>
      </c>
      <c r="M762" s="7"/>
      <c r="N762" s="7">
        <f>VLOOKUP(J762,[1]Sheet1!$C:$D,2,FALSE)</f>
        <v>5167</v>
      </c>
      <c r="O762" s="7">
        <f>VLOOKUP(J762,[2]Desa!$A:$D,4,FALSE)</f>
        <v>250</v>
      </c>
      <c r="P762" s="7">
        <f>VLOOKUP(J762,[3]Sheet1!$D:$F,3,FALSE)</f>
        <v>44</v>
      </c>
      <c r="Q762" s="7"/>
      <c r="R762" s="7"/>
      <c r="S762" s="12">
        <v>-8.5457975959946992</v>
      </c>
      <c r="T762" s="12">
        <v>116.26848929318299</v>
      </c>
      <c r="U762" s="7"/>
      <c r="V762" s="50">
        <f>Table13678[[#This Row],[PAGU SEMULA]]-Table13678[[#This Row],[PAGU ANGGARAN]]</f>
        <v>-71680000</v>
      </c>
      <c r="W762" s="50">
        <f>Table13678[[#This Row],[PAGU SEMULA]]-Table13678[[#This Row],[PAGU ANGGARAN]]</f>
        <v>-71680000</v>
      </c>
      <c r="X762" t="s">
        <v>984</v>
      </c>
    </row>
    <row r="763" spans="3:24" hidden="1">
      <c r="C763" s="7" t="s">
        <v>29</v>
      </c>
      <c r="D763" s="7" t="s">
        <v>30</v>
      </c>
      <c r="E763" s="7" t="s">
        <v>31</v>
      </c>
      <c r="F763" s="7" t="s">
        <v>32</v>
      </c>
      <c r="G763" s="7" t="s">
        <v>33</v>
      </c>
      <c r="H763" s="8">
        <v>636720000</v>
      </c>
      <c r="I763" s="10" t="s">
        <v>684</v>
      </c>
      <c r="J763" s="7" t="s">
        <v>685</v>
      </c>
      <c r="K763" s="10" t="s">
        <v>58</v>
      </c>
      <c r="L763" s="7" t="s">
        <v>59</v>
      </c>
      <c r="M763" s="7"/>
      <c r="N763" s="7">
        <f>VLOOKUP(J763,[1]Sheet1!$C:$D,2,FALSE)</f>
        <v>5167</v>
      </c>
      <c r="O763" s="7">
        <f>VLOOKUP(J763,[2]Desa!$A:$D,4,FALSE)</f>
        <v>250</v>
      </c>
      <c r="P763" s="7">
        <f>VLOOKUP(J763,[3]Sheet1!$D:$F,3,FALSE)</f>
        <v>44</v>
      </c>
      <c r="Q763" s="7"/>
      <c r="R763" s="7"/>
      <c r="S763" s="12">
        <v>-8.5457975959946992</v>
      </c>
      <c r="T763" s="12">
        <v>116.26848929318299</v>
      </c>
      <c r="U763" s="7"/>
      <c r="V763" s="50">
        <f>Table13678[[#This Row],[PAGU SEMULA]]-Table13678[[#This Row],[PAGU ANGGARAN]]</f>
        <v>-636720000</v>
      </c>
      <c r="W763" s="50">
        <f>Table13678[[#This Row],[PAGU SEMULA]]-Table13678[[#This Row],[PAGU ANGGARAN]]</f>
        <v>-636720000</v>
      </c>
      <c r="X763" t="s">
        <v>984</v>
      </c>
    </row>
    <row r="764" spans="3:24" hidden="1">
      <c r="C764" s="7" t="s">
        <v>29</v>
      </c>
      <c r="D764" s="7" t="s">
        <v>30</v>
      </c>
      <c r="E764" s="7" t="s">
        <v>31</v>
      </c>
      <c r="F764" s="7" t="s">
        <v>32</v>
      </c>
      <c r="G764" s="7" t="s">
        <v>34</v>
      </c>
      <c r="H764" s="8">
        <v>50937600</v>
      </c>
      <c r="I764" s="10" t="s">
        <v>684</v>
      </c>
      <c r="J764" s="7" t="s">
        <v>685</v>
      </c>
      <c r="K764" s="10" t="s">
        <v>58</v>
      </c>
      <c r="L764" s="7" t="s">
        <v>59</v>
      </c>
      <c r="M764" s="7"/>
      <c r="N764" s="7">
        <f>VLOOKUP(J764,[1]Sheet1!$C:$D,2,FALSE)</f>
        <v>5167</v>
      </c>
      <c r="O764" s="7">
        <f>VLOOKUP(J764,[2]Desa!$A:$D,4,FALSE)</f>
        <v>250</v>
      </c>
      <c r="P764" s="7">
        <f>VLOOKUP(J764,[3]Sheet1!$D:$F,3,FALSE)</f>
        <v>44</v>
      </c>
      <c r="Q764" s="7"/>
      <c r="R764" s="7"/>
      <c r="S764" s="12">
        <v>-8.5457975959946992</v>
      </c>
      <c r="T764" s="12">
        <v>116.26848929318299</v>
      </c>
      <c r="U764" s="7"/>
      <c r="V764" s="50">
        <f>Table13678[[#This Row],[PAGU SEMULA]]-Table13678[[#This Row],[PAGU ANGGARAN]]</f>
        <v>-50937600</v>
      </c>
      <c r="W764" s="50">
        <f>Table13678[[#This Row],[PAGU SEMULA]]-Table13678[[#This Row],[PAGU ANGGARAN]]</f>
        <v>-50937600</v>
      </c>
      <c r="X764" t="s">
        <v>984</v>
      </c>
    </row>
    <row r="765" spans="3:24" hidden="1">
      <c r="C765" s="7" t="s">
        <v>35</v>
      </c>
      <c r="D765" s="7" t="s">
        <v>36</v>
      </c>
      <c r="E765" s="7" t="s">
        <v>37</v>
      </c>
      <c r="F765" s="7" t="s">
        <v>38</v>
      </c>
      <c r="G765" s="7" t="s">
        <v>39</v>
      </c>
      <c r="H765" s="15">
        <v>75000000</v>
      </c>
      <c r="I765" s="10" t="s">
        <v>684</v>
      </c>
      <c r="J765" s="7" t="s">
        <v>685</v>
      </c>
      <c r="K765" s="10" t="s">
        <v>58</v>
      </c>
      <c r="L765" s="7" t="s">
        <v>59</v>
      </c>
      <c r="M765" s="7"/>
      <c r="N765" s="7">
        <f>VLOOKUP(J765,[1]Sheet1!$C:$D,2,FALSE)</f>
        <v>5167</v>
      </c>
      <c r="O765" s="7">
        <f>VLOOKUP(J765,[2]Desa!$A:$D,4,FALSE)</f>
        <v>250</v>
      </c>
      <c r="P765" s="7">
        <f>VLOOKUP(J765,[3]Sheet1!$D:$F,3,FALSE)</f>
        <v>44</v>
      </c>
      <c r="Q765" s="7"/>
      <c r="R765" s="7"/>
      <c r="S765" s="12">
        <v>-8.5457975959946992</v>
      </c>
      <c r="T765" s="12">
        <v>116.26848929318299</v>
      </c>
      <c r="U765" s="7"/>
      <c r="V765" s="50">
        <f>Table13678[[#This Row],[PAGU SEMULA]]-Table13678[[#This Row],[PAGU ANGGARAN]]</f>
        <v>-75000000</v>
      </c>
      <c r="W765" s="50">
        <f>Table13678[[#This Row],[PAGU SEMULA]]-Table13678[[#This Row],[PAGU ANGGARAN]]</f>
        <v>-75000000</v>
      </c>
      <c r="X765" t="s">
        <v>984</v>
      </c>
    </row>
    <row r="766" spans="3:24" hidden="1">
      <c r="C766" s="7" t="s">
        <v>46</v>
      </c>
      <c r="D766" s="7" t="s">
        <v>47</v>
      </c>
      <c r="E766" s="7" t="s">
        <v>48</v>
      </c>
      <c r="F766" s="7" t="s">
        <v>49</v>
      </c>
      <c r="G766" s="7" t="s">
        <v>371</v>
      </c>
      <c r="H766" s="8">
        <v>30774000</v>
      </c>
      <c r="I766" s="10" t="s">
        <v>684</v>
      </c>
      <c r="J766" s="7" t="s">
        <v>685</v>
      </c>
      <c r="K766" s="10" t="s">
        <v>58</v>
      </c>
      <c r="L766" s="7" t="s">
        <v>59</v>
      </c>
      <c r="M766" s="7"/>
      <c r="N766" s="7">
        <f>VLOOKUP(J766,[1]Sheet1!$C:$D,2,FALSE)</f>
        <v>5167</v>
      </c>
      <c r="O766" s="7">
        <f>VLOOKUP(J766,[2]Desa!$A:$D,4,FALSE)</f>
        <v>250</v>
      </c>
      <c r="P766" s="7">
        <f>VLOOKUP(J766,[3]Sheet1!$D:$F,3,FALSE)</f>
        <v>44</v>
      </c>
      <c r="Q766" s="7"/>
      <c r="R766" s="7"/>
      <c r="S766" s="12">
        <v>-8.5457975959946992</v>
      </c>
      <c r="T766" s="12">
        <v>116.26848929318299</v>
      </c>
      <c r="U766" s="7"/>
      <c r="V766" s="50">
        <f>Table13678[[#This Row],[PAGU SEMULA]]-Table13678[[#This Row],[PAGU ANGGARAN]]</f>
        <v>-30774000</v>
      </c>
      <c r="W766" s="50">
        <f>Table13678[[#This Row],[PAGU SEMULA]]-Table13678[[#This Row],[PAGU ANGGARAN]]</f>
        <v>-30774000</v>
      </c>
      <c r="X766" t="s">
        <v>987</v>
      </c>
    </row>
    <row r="767" spans="3:24" hidden="1">
      <c r="C767" s="7" t="s">
        <v>46</v>
      </c>
      <c r="D767" s="7" t="s">
        <v>100</v>
      </c>
      <c r="E767" s="7" t="s">
        <v>101</v>
      </c>
      <c r="F767" s="7" t="s">
        <v>102</v>
      </c>
      <c r="G767" s="7" t="s">
        <v>327</v>
      </c>
      <c r="H767" s="8">
        <v>19948600</v>
      </c>
      <c r="I767" s="10" t="s">
        <v>684</v>
      </c>
      <c r="J767" s="7" t="s">
        <v>685</v>
      </c>
      <c r="K767" s="10" t="s">
        <v>58</v>
      </c>
      <c r="L767" s="7" t="s">
        <v>59</v>
      </c>
      <c r="M767" s="7"/>
      <c r="N767" s="7">
        <f>VLOOKUP(J767,[1]Sheet1!$C:$D,2,FALSE)</f>
        <v>5167</v>
      </c>
      <c r="O767" s="7">
        <f>VLOOKUP(J767,[2]Desa!$A:$D,4,FALSE)</f>
        <v>250</v>
      </c>
      <c r="P767" s="7">
        <f>VLOOKUP(J767,[3]Sheet1!$D:$F,3,FALSE)</f>
        <v>44</v>
      </c>
      <c r="Q767" s="7"/>
      <c r="R767" s="7"/>
      <c r="S767" s="12">
        <v>-8.5457975959946992</v>
      </c>
      <c r="T767" s="12">
        <v>116.26848929318299</v>
      </c>
      <c r="U767" s="7"/>
      <c r="V767" s="50">
        <f>Table13678[[#This Row],[PAGU SEMULA]]-Table13678[[#This Row],[PAGU ANGGARAN]]</f>
        <v>-19948600</v>
      </c>
      <c r="W767" s="50">
        <f>Table13678[[#This Row],[PAGU SEMULA]]-Table13678[[#This Row],[PAGU ANGGARAN]]</f>
        <v>-19948600</v>
      </c>
      <c r="X767" t="s">
        <v>987</v>
      </c>
    </row>
    <row r="768" spans="3:24" hidden="1">
      <c r="C768" s="7" t="s">
        <v>51</v>
      </c>
      <c r="D768" s="7" t="s">
        <v>52</v>
      </c>
      <c r="E768" s="7" t="s">
        <v>53</v>
      </c>
      <c r="F768" s="7" t="s">
        <v>54</v>
      </c>
      <c r="G768" s="7" t="s">
        <v>73</v>
      </c>
      <c r="H768" s="8">
        <v>94545000</v>
      </c>
      <c r="I768" s="10" t="s">
        <v>684</v>
      </c>
      <c r="J768" s="7" t="s">
        <v>685</v>
      </c>
      <c r="K768" s="10" t="s">
        <v>58</v>
      </c>
      <c r="L768" s="7" t="s">
        <v>59</v>
      </c>
      <c r="M768" s="7"/>
      <c r="N768" s="7">
        <f>VLOOKUP(J768,[1]Sheet1!$C:$D,2,FALSE)</f>
        <v>5167</v>
      </c>
      <c r="O768" s="7">
        <f>VLOOKUP(J768,[2]Desa!$A:$D,4,FALSE)</f>
        <v>250</v>
      </c>
      <c r="P768" s="7">
        <f>VLOOKUP(J768,[3]Sheet1!$D:$F,3,FALSE)</f>
        <v>44</v>
      </c>
      <c r="Q768" s="7"/>
      <c r="R768" s="7"/>
      <c r="S768" s="12">
        <v>-8.5457975959946992</v>
      </c>
      <c r="T768" s="12">
        <v>116.26848929318299</v>
      </c>
      <c r="U768" s="7"/>
      <c r="V768" s="50">
        <f>Table13678[[#This Row],[PAGU SEMULA]]-Table13678[[#This Row],[PAGU ANGGARAN]]</f>
        <v>-94545000</v>
      </c>
      <c r="W768" s="50">
        <f>Table13678[[#This Row],[PAGU SEMULA]]-Table13678[[#This Row],[PAGU ANGGARAN]]</f>
        <v>-94545000</v>
      </c>
      <c r="X768" t="s">
        <v>986</v>
      </c>
    </row>
    <row r="769" spans="3:24" hidden="1">
      <c r="C769" s="7" t="s">
        <v>29</v>
      </c>
      <c r="D769" s="7" t="s">
        <v>30</v>
      </c>
      <c r="E769" s="7" t="s">
        <v>31</v>
      </c>
      <c r="F769" s="7" t="s">
        <v>32</v>
      </c>
      <c r="G769" s="7" t="s">
        <v>33</v>
      </c>
      <c r="H769" s="8">
        <v>207060000</v>
      </c>
      <c r="I769" s="10" t="s">
        <v>687</v>
      </c>
      <c r="J769" s="7" t="s">
        <v>688</v>
      </c>
      <c r="K769" s="10" t="s">
        <v>142</v>
      </c>
      <c r="L769" s="7" t="s">
        <v>143</v>
      </c>
      <c r="M769" s="7"/>
      <c r="N769" s="7">
        <f>VLOOKUP(J769,[1]Sheet1!$C:$D,2,FALSE)</f>
        <v>4066</v>
      </c>
      <c r="O769" s="7">
        <f>VLOOKUP(J769,[2]Desa!$A:$D,4,FALSE)</f>
        <v>117</v>
      </c>
      <c r="P769" s="7">
        <f>VLOOKUP(J769,[3]Sheet1!$D:$F,3,FALSE)</f>
        <v>39</v>
      </c>
      <c r="Q769" s="7"/>
      <c r="R769" s="7"/>
      <c r="S769" s="12">
        <v>-8.6515575968168399</v>
      </c>
      <c r="T769" s="12">
        <v>116.119504494908</v>
      </c>
      <c r="U769" s="7"/>
      <c r="V769" s="50">
        <f>Table13678[[#This Row],[PAGU SEMULA]]-Table13678[[#This Row],[PAGU ANGGARAN]]</f>
        <v>-207060000</v>
      </c>
      <c r="W769" s="50">
        <f>Table13678[[#This Row],[PAGU SEMULA]]-Table13678[[#This Row],[PAGU ANGGARAN]]</f>
        <v>-207060000</v>
      </c>
      <c r="X769" t="s">
        <v>984</v>
      </c>
    </row>
    <row r="770" spans="3:24" hidden="1">
      <c r="C770" s="7" t="s">
        <v>29</v>
      </c>
      <c r="D770" s="7" t="s">
        <v>30</v>
      </c>
      <c r="E770" s="7" t="s">
        <v>31</v>
      </c>
      <c r="F770" s="7" t="s">
        <v>32</v>
      </c>
      <c r="G770" s="7" t="s">
        <v>34</v>
      </c>
      <c r="H770" s="8">
        <v>16564800</v>
      </c>
      <c r="I770" s="10" t="s">
        <v>687</v>
      </c>
      <c r="J770" s="7" t="s">
        <v>688</v>
      </c>
      <c r="K770" s="10" t="s">
        <v>142</v>
      </c>
      <c r="L770" s="7" t="s">
        <v>143</v>
      </c>
      <c r="M770" s="7"/>
      <c r="N770" s="7">
        <f>VLOOKUP(J770,[1]Sheet1!$C:$D,2,FALSE)</f>
        <v>4066</v>
      </c>
      <c r="O770" s="7">
        <f>VLOOKUP(J770,[2]Desa!$A:$D,4,FALSE)</f>
        <v>117</v>
      </c>
      <c r="P770" s="7">
        <f>VLOOKUP(J770,[3]Sheet1!$D:$F,3,FALSE)</f>
        <v>39</v>
      </c>
      <c r="Q770" s="7"/>
      <c r="R770" s="7"/>
      <c r="S770" s="12">
        <v>-8.6515575968168399</v>
      </c>
      <c r="T770" s="12">
        <v>116.119504494908</v>
      </c>
      <c r="U770" s="7"/>
      <c r="V770" s="50">
        <f>Table13678[[#This Row],[PAGU SEMULA]]-Table13678[[#This Row],[PAGU ANGGARAN]]</f>
        <v>-16564800</v>
      </c>
      <c r="W770" s="50">
        <f>Table13678[[#This Row],[PAGU SEMULA]]-Table13678[[#This Row],[PAGU ANGGARAN]]</f>
        <v>-16564800</v>
      </c>
      <c r="X770" t="s">
        <v>984</v>
      </c>
    </row>
    <row r="771" spans="3:24" hidden="1">
      <c r="C771" s="7" t="s">
        <v>84</v>
      </c>
      <c r="D771" s="7" t="s">
        <v>85</v>
      </c>
      <c r="E771" s="7" t="s">
        <v>86</v>
      </c>
      <c r="F771" s="7" t="s">
        <v>87</v>
      </c>
      <c r="G771" s="7" t="s">
        <v>486</v>
      </c>
      <c r="H771" s="8">
        <v>449140000</v>
      </c>
      <c r="I771" s="10" t="s">
        <v>687</v>
      </c>
      <c r="J771" s="7" t="s">
        <v>688</v>
      </c>
      <c r="K771" s="10" t="s">
        <v>142</v>
      </c>
      <c r="L771" s="7" t="s">
        <v>143</v>
      </c>
      <c r="M771" s="7"/>
      <c r="N771" s="7">
        <f>VLOOKUP(J771,[1]Sheet1!$C:$D,2,FALSE)</f>
        <v>4066</v>
      </c>
      <c r="O771" s="7">
        <f>VLOOKUP(J771,[2]Desa!$A:$D,4,FALSE)</f>
        <v>117</v>
      </c>
      <c r="P771" s="7">
        <f>VLOOKUP(J771,[3]Sheet1!$D:$F,3,FALSE)</f>
        <v>39</v>
      </c>
      <c r="Q771" s="7"/>
      <c r="R771" s="7"/>
      <c r="S771" s="12">
        <v>-8.6515575968168399</v>
      </c>
      <c r="T771" s="12">
        <v>116.119504494908</v>
      </c>
      <c r="U771" s="7"/>
      <c r="V771" s="50">
        <f>Table13678[[#This Row],[PAGU SEMULA]]-Table13678[[#This Row],[PAGU ANGGARAN]]</f>
        <v>-449140000</v>
      </c>
      <c r="W771" s="50">
        <f>Table13678[[#This Row],[PAGU SEMULA]]-Table13678[[#This Row],[PAGU ANGGARAN]]</f>
        <v>-449140000</v>
      </c>
      <c r="X771" t="s">
        <v>982</v>
      </c>
    </row>
    <row r="772" spans="3:24" hidden="1">
      <c r="C772" s="7" t="s">
        <v>151</v>
      </c>
      <c r="D772" s="7" t="s">
        <v>152</v>
      </c>
      <c r="E772" s="7" t="s">
        <v>153</v>
      </c>
      <c r="F772" s="7" t="s">
        <v>154</v>
      </c>
      <c r="G772" s="7" t="s">
        <v>155</v>
      </c>
      <c r="H772" s="8">
        <v>100000000</v>
      </c>
      <c r="I772" s="10" t="s">
        <v>687</v>
      </c>
      <c r="J772" s="7" t="s">
        <v>688</v>
      </c>
      <c r="K772" s="10" t="s">
        <v>142</v>
      </c>
      <c r="L772" s="7" t="s">
        <v>143</v>
      </c>
      <c r="M772" s="7"/>
      <c r="N772" s="7">
        <f>VLOOKUP(J772,[1]Sheet1!$C:$D,2,FALSE)</f>
        <v>4066</v>
      </c>
      <c r="O772" s="7">
        <f>VLOOKUP(J772,[2]Desa!$A:$D,4,FALSE)</f>
        <v>117</v>
      </c>
      <c r="P772" s="7">
        <f>VLOOKUP(J772,[3]Sheet1!$D:$F,3,FALSE)</f>
        <v>39</v>
      </c>
      <c r="Q772" s="7"/>
      <c r="R772" s="7"/>
      <c r="S772" s="12">
        <v>-8.6515575968168399</v>
      </c>
      <c r="T772" s="12">
        <v>116.119504494908</v>
      </c>
      <c r="U772" s="7"/>
      <c r="V772" s="50">
        <f>Table13678[[#This Row],[PAGU SEMULA]]-Table13678[[#This Row],[PAGU ANGGARAN]]</f>
        <v>-100000000</v>
      </c>
      <c r="W772" s="50">
        <f>Table13678[[#This Row],[PAGU SEMULA]]-Table13678[[#This Row],[PAGU ANGGARAN]]</f>
        <v>-100000000</v>
      </c>
      <c r="X772" t="s">
        <v>987</v>
      </c>
    </row>
    <row r="773" spans="3:24" hidden="1">
      <c r="C773" s="7" t="s">
        <v>35</v>
      </c>
      <c r="D773" s="7" t="s">
        <v>36</v>
      </c>
      <c r="E773" s="7" t="s">
        <v>37</v>
      </c>
      <c r="F773" s="7" t="s">
        <v>38</v>
      </c>
      <c r="G773" s="7" t="s">
        <v>39</v>
      </c>
      <c r="H773" s="15">
        <v>75000000</v>
      </c>
      <c r="I773" s="10" t="s">
        <v>687</v>
      </c>
      <c r="J773" s="7" t="s">
        <v>688</v>
      </c>
      <c r="K773" s="10" t="s">
        <v>142</v>
      </c>
      <c r="L773" s="7" t="s">
        <v>143</v>
      </c>
      <c r="M773" s="7"/>
      <c r="N773" s="7">
        <f>VLOOKUP(J773,[1]Sheet1!$C:$D,2,FALSE)</f>
        <v>4066</v>
      </c>
      <c r="O773" s="7">
        <f>VLOOKUP(J773,[2]Desa!$A:$D,4,FALSE)</f>
        <v>117</v>
      </c>
      <c r="P773" s="7">
        <f>VLOOKUP(J773,[3]Sheet1!$D:$F,3,FALSE)</f>
        <v>39</v>
      </c>
      <c r="Q773" s="7"/>
      <c r="R773" s="7"/>
      <c r="S773" s="12">
        <v>-8.6515575968168399</v>
      </c>
      <c r="T773" s="12">
        <v>116.119504494908</v>
      </c>
      <c r="U773" s="7"/>
      <c r="V773" s="50">
        <f>Table13678[[#This Row],[PAGU SEMULA]]-Table13678[[#This Row],[PAGU ANGGARAN]]</f>
        <v>-75000000</v>
      </c>
      <c r="W773" s="50">
        <f>Table13678[[#This Row],[PAGU SEMULA]]-Table13678[[#This Row],[PAGU ANGGARAN]]</f>
        <v>-75000000</v>
      </c>
      <c r="X773" t="s">
        <v>984</v>
      </c>
    </row>
    <row r="774" spans="3:24" hidden="1">
      <c r="C774" s="7" t="s">
        <v>35</v>
      </c>
      <c r="D774" s="7" t="s">
        <v>156</v>
      </c>
      <c r="E774" s="7" t="s">
        <v>252</v>
      </c>
      <c r="F774" s="7" t="s">
        <v>253</v>
      </c>
      <c r="G774" s="7" t="s">
        <v>620</v>
      </c>
      <c r="H774" s="17">
        <v>215000000</v>
      </c>
      <c r="I774" s="10" t="s">
        <v>687</v>
      </c>
      <c r="J774" s="7" t="s">
        <v>688</v>
      </c>
      <c r="K774" s="10" t="s">
        <v>142</v>
      </c>
      <c r="L774" s="7" t="s">
        <v>143</v>
      </c>
      <c r="M774" s="7"/>
      <c r="N774" s="7">
        <f>VLOOKUP(J774,[1]Sheet1!$C:$D,2,FALSE)</f>
        <v>4066</v>
      </c>
      <c r="O774" s="7">
        <f>VLOOKUP(J774,[2]Desa!$A:$D,4,FALSE)</f>
        <v>117</v>
      </c>
      <c r="P774" s="7">
        <f>VLOOKUP(J774,[3]Sheet1!$D:$F,3,FALSE)</f>
        <v>39</v>
      </c>
      <c r="Q774" s="7"/>
      <c r="R774" s="7"/>
      <c r="S774" s="12">
        <v>-8.6515575968168399</v>
      </c>
      <c r="T774" s="12">
        <v>116.119504494908</v>
      </c>
      <c r="U774" s="7"/>
      <c r="V774" s="50">
        <f>Table13678[[#This Row],[PAGU SEMULA]]-Table13678[[#This Row],[PAGU ANGGARAN]]</f>
        <v>-215000000</v>
      </c>
      <c r="W774" s="50">
        <f>Table13678[[#This Row],[PAGU SEMULA]]-Table13678[[#This Row],[PAGU ANGGARAN]]</f>
        <v>-215000000</v>
      </c>
      <c r="X774" t="s">
        <v>986</v>
      </c>
    </row>
    <row r="775" spans="3:24" hidden="1">
      <c r="C775" s="7" t="s">
        <v>35</v>
      </c>
      <c r="D775" s="7" t="s">
        <v>52</v>
      </c>
      <c r="E775" s="7" t="s">
        <v>95</v>
      </c>
      <c r="F775" s="7" t="s">
        <v>96</v>
      </c>
      <c r="G775" s="7" t="s">
        <v>41</v>
      </c>
      <c r="H775" s="17">
        <v>241875000</v>
      </c>
      <c r="I775" s="10" t="s">
        <v>687</v>
      </c>
      <c r="J775" s="7" t="s">
        <v>688</v>
      </c>
      <c r="K775" s="10" t="s">
        <v>142</v>
      </c>
      <c r="L775" s="7" t="s">
        <v>143</v>
      </c>
      <c r="M775" s="7"/>
      <c r="N775" s="7">
        <f>VLOOKUP(J775,[1]Sheet1!$C:$D,2,FALSE)</f>
        <v>4066</v>
      </c>
      <c r="O775" s="7">
        <f>VLOOKUP(J775,[2]Desa!$A:$D,4,FALSE)</f>
        <v>117</v>
      </c>
      <c r="P775" s="7">
        <f>VLOOKUP(J775,[3]Sheet1!$D:$F,3,FALSE)</f>
        <v>39</v>
      </c>
      <c r="Q775" s="7"/>
      <c r="R775" s="7"/>
      <c r="S775" s="12">
        <v>-8.6515575968168399</v>
      </c>
      <c r="T775" s="12">
        <v>116.119504494908</v>
      </c>
      <c r="U775" s="7"/>
      <c r="V775" s="50">
        <f>Table13678[[#This Row],[PAGU SEMULA]]-Table13678[[#This Row],[PAGU ANGGARAN]]</f>
        <v>-241875000</v>
      </c>
      <c r="W775" s="50">
        <f>Table13678[[#This Row],[PAGU SEMULA]]-Table13678[[#This Row],[PAGU ANGGARAN]]</f>
        <v>-241875000</v>
      </c>
      <c r="X775" t="s">
        <v>986</v>
      </c>
    </row>
    <row r="776" spans="3:24" hidden="1">
      <c r="C776" s="7" t="s">
        <v>51</v>
      </c>
      <c r="D776" s="7" t="s">
        <v>52</v>
      </c>
      <c r="E776" s="7" t="s">
        <v>53</v>
      </c>
      <c r="F776" s="7" t="s">
        <v>54</v>
      </c>
      <c r="G776" s="7" t="s">
        <v>73</v>
      </c>
      <c r="H776" s="8">
        <v>189090000</v>
      </c>
      <c r="I776" s="10" t="s">
        <v>687</v>
      </c>
      <c r="J776" s="7" t="s">
        <v>688</v>
      </c>
      <c r="K776" s="10" t="s">
        <v>142</v>
      </c>
      <c r="L776" s="7" t="s">
        <v>143</v>
      </c>
      <c r="M776" s="7"/>
      <c r="N776" s="7">
        <f>VLOOKUP(J776,[1]Sheet1!$C:$D,2,FALSE)</f>
        <v>4066</v>
      </c>
      <c r="O776" s="7">
        <f>VLOOKUP(J776,[2]Desa!$A:$D,4,FALSE)</f>
        <v>117</v>
      </c>
      <c r="P776" s="7">
        <f>VLOOKUP(J776,[3]Sheet1!$D:$F,3,FALSE)</f>
        <v>39</v>
      </c>
      <c r="Q776" s="7"/>
      <c r="R776" s="7"/>
      <c r="S776" s="12">
        <v>-8.6515575968168399</v>
      </c>
      <c r="T776" s="12">
        <v>116.119504494908</v>
      </c>
      <c r="U776" s="7"/>
      <c r="V776" s="50">
        <f>Table13678[[#This Row],[PAGU SEMULA]]-Table13678[[#This Row],[PAGU ANGGARAN]]</f>
        <v>-189090000</v>
      </c>
      <c r="W776" s="50">
        <f>Table13678[[#This Row],[PAGU SEMULA]]-Table13678[[#This Row],[PAGU ANGGARAN]]</f>
        <v>-189090000</v>
      </c>
      <c r="X776" t="s">
        <v>986</v>
      </c>
    </row>
    <row r="777" spans="3:24" hidden="1">
      <c r="C777" s="7" t="s">
        <v>51</v>
      </c>
      <c r="D777" s="7" t="s">
        <v>607</v>
      </c>
      <c r="E777" s="7" t="s">
        <v>608</v>
      </c>
      <c r="F777" s="7" t="s">
        <v>689</v>
      </c>
      <c r="G777" s="7" t="s">
        <v>347</v>
      </c>
      <c r="H777" s="8">
        <v>95000000</v>
      </c>
      <c r="I777" s="10" t="s">
        <v>687</v>
      </c>
      <c r="J777" s="7" t="s">
        <v>688</v>
      </c>
      <c r="K777" s="10" t="s">
        <v>142</v>
      </c>
      <c r="L777" s="7" t="s">
        <v>143</v>
      </c>
      <c r="M777" s="7"/>
      <c r="N777" s="7">
        <f>VLOOKUP(J777,[1]Sheet1!$C:$D,2,FALSE)</f>
        <v>4066</v>
      </c>
      <c r="O777" s="7">
        <f>VLOOKUP(J777,[2]Desa!$A:$D,4,FALSE)</f>
        <v>117</v>
      </c>
      <c r="P777" s="7">
        <f>VLOOKUP(J777,[3]Sheet1!$D:$F,3,FALSE)</f>
        <v>39</v>
      </c>
      <c r="Q777" s="7"/>
      <c r="R777" s="7"/>
      <c r="S777" s="12">
        <v>-8.6515575968168399</v>
      </c>
      <c r="T777" s="12">
        <v>116.119504494908</v>
      </c>
      <c r="U777" s="7"/>
      <c r="V777" s="50">
        <f>Table13678[[#This Row],[PAGU SEMULA]]-Table13678[[#This Row],[PAGU ANGGARAN]]</f>
        <v>-95000000</v>
      </c>
      <c r="W777" s="50">
        <f>Table13678[[#This Row],[PAGU SEMULA]]-Table13678[[#This Row],[PAGU ANGGARAN]]</f>
        <v>-95000000</v>
      </c>
      <c r="X777" t="s">
        <v>986</v>
      </c>
    </row>
    <row r="778" spans="3:24" hidden="1">
      <c r="C778" s="7" t="s">
        <v>20</v>
      </c>
      <c r="D778" s="7" t="s">
        <v>104</v>
      </c>
      <c r="E778" s="7" t="s">
        <v>105</v>
      </c>
      <c r="F778" s="7" t="s">
        <v>106</v>
      </c>
      <c r="G778" s="71" t="s">
        <v>690</v>
      </c>
      <c r="H778" s="19">
        <v>298750000</v>
      </c>
      <c r="I778" s="10" t="s">
        <v>691</v>
      </c>
      <c r="J778" s="7" t="s">
        <v>692</v>
      </c>
      <c r="K778" s="10" t="s">
        <v>207</v>
      </c>
      <c r="L778" s="7" t="s">
        <v>206</v>
      </c>
      <c r="M778" s="7"/>
      <c r="N778" s="7">
        <f>VLOOKUP(J778,[1]Sheet1!$C:$D,2,FALSE)</f>
        <v>3505</v>
      </c>
      <c r="O778" s="7">
        <f>VLOOKUP(J778,[2]Desa!$A:$D,4,FALSE)</f>
        <v>110</v>
      </c>
      <c r="P778" s="7">
        <f>VLOOKUP(J778,[3]Sheet1!$D:$F,3,FALSE)</f>
        <v>28</v>
      </c>
      <c r="Q778" s="7"/>
      <c r="R778" s="7"/>
      <c r="S778" s="12">
        <v>-8.5189894949282099</v>
      </c>
      <c r="T778" s="12">
        <v>116.098351298426</v>
      </c>
      <c r="U778" s="7"/>
      <c r="V778" s="50">
        <f>Table13678[[#This Row],[PAGU SEMULA]]-Table13678[[#This Row],[PAGU ANGGARAN]]</f>
        <v>-298750000</v>
      </c>
      <c r="W778" s="50">
        <f>Table13678[[#This Row],[PAGU SEMULA]]-Table13678[[#This Row],[PAGU ANGGARAN]]</f>
        <v>-298750000</v>
      </c>
      <c r="X778" t="s">
        <v>984</v>
      </c>
    </row>
    <row r="779" spans="3:24" hidden="1">
      <c r="C779" s="7" t="s">
        <v>29</v>
      </c>
      <c r="D779" s="7" t="s">
        <v>30</v>
      </c>
      <c r="E779" s="7" t="s">
        <v>31</v>
      </c>
      <c r="F779" s="7" t="s">
        <v>32</v>
      </c>
      <c r="G779" s="7" t="s">
        <v>33</v>
      </c>
      <c r="H779" s="8">
        <v>296940000</v>
      </c>
      <c r="I779" s="10" t="s">
        <v>691</v>
      </c>
      <c r="J779" s="7" t="s">
        <v>692</v>
      </c>
      <c r="K779" s="10" t="s">
        <v>207</v>
      </c>
      <c r="L779" s="7" t="s">
        <v>206</v>
      </c>
      <c r="M779" s="7"/>
      <c r="N779" s="7">
        <f>VLOOKUP(J779,[1]Sheet1!$C:$D,2,FALSE)</f>
        <v>3505</v>
      </c>
      <c r="O779" s="7">
        <f>VLOOKUP(J779,[2]Desa!$A:$D,4,FALSE)</f>
        <v>110</v>
      </c>
      <c r="P779" s="7">
        <f>VLOOKUP(J779,[3]Sheet1!$D:$F,3,FALSE)</f>
        <v>28</v>
      </c>
      <c r="Q779" s="7"/>
      <c r="R779" s="7"/>
      <c r="S779" s="12">
        <v>-8.5189894949282099</v>
      </c>
      <c r="T779" s="12">
        <v>116.098351298426</v>
      </c>
      <c r="U779" s="7"/>
      <c r="V779" s="50">
        <f>Table13678[[#This Row],[PAGU SEMULA]]-Table13678[[#This Row],[PAGU ANGGARAN]]</f>
        <v>-296940000</v>
      </c>
      <c r="W779" s="50">
        <f>Table13678[[#This Row],[PAGU SEMULA]]-Table13678[[#This Row],[PAGU ANGGARAN]]</f>
        <v>-296940000</v>
      </c>
      <c r="X779" t="s">
        <v>984</v>
      </c>
    </row>
    <row r="780" spans="3:24" hidden="1">
      <c r="C780" s="7" t="s">
        <v>29</v>
      </c>
      <c r="D780" s="7" t="s">
        <v>30</v>
      </c>
      <c r="E780" s="7" t="s">
        <v>31</v>
      </c>
      <c r="F780" s="7" t="s">
        <v>32</v>
      </c>
      <c r="G780" s="7" t="s">
        <v>34</v>
      </c>
      <c r="H780" s="8">
        <v>23755200</v>
      </c>
      <c r="I780" s="10" t="s">
        <v>691</v>
      </c>
      <c r="J780" s="7" t="s">
        <v>692</v>
      </c>
      <c r="K780" s="10" t="s">
        <v>207</v>
      </c>
      <c r="L780" s="7" t="s">
        <v>206</v>
      </c>
      <c r="M780" s="7"/>
      <c r="N780" s="7">
        <f>VLOOKUP(J780,[1]Sheet1!$C:$D,2,FALSE)</f>
        <v>3505</v>
      </c>
      <c r="O780" s="7">
        <f>VLOOKUP(J780,[2]Desa!$A:$D,4,FALSE)</f>
        <v>110</v>
      </c>
      <c r="P780" s="7">
        <f>VLOOKUP(J780,[3]Sheet1!$D:$F,3,FALSE)</f>
        <v>28</v>
      </c>
      <c r="Q780" s="7"/>
      <c r="R780" s="7"/>
      <c r="S780" s="12">
        <v>-8.5189894949282099</v>
      </c>
      <c r="T780" s="12">
        <v>116.098351298426</v>
      </c>
      <c r="U780" s="7"/>
      <c r="V780" s="50">
        <f>Table13678[[#This Row],[PAGU SEMULA]]-Table13678[[#This Row],[PAGU ANGGARAN]]</f>
        <v>-23755200</v>
      </c>
      <c r="W780" s="50">
        <f>Table13678[[#This Row],[PAGU SEMULA]]-Table13678[[#This Row],[PAGU ANGGARAN]]</f>
        <v>-23755200</v>
      </c>
      <c r="X780" t="s">
        <v>984</v>
      </c>
    </row>
    <row r="781" spans="3:24">
      <c r="C781" s="7" t="s">
        <v>60</v>
      </c>
      <c r="D781" s="7" t="s">
        <v>61</v>
      </c>
      <c r="E781" s="7" t="s">
        <v>62</v>
      </c>
      <c r="F781" s="7" t="s">
        <v>63</v>
      </c>
      <c r="G781" s="71" t="s">
        <v>693</v>
      </c>
      <c r="H781" s="15">
        <v>40000000</v>
      </c>
      <c r="I781" s="10" t="s">
        <v>691</v>
      </c>
      <c r="J781" s="7" t="s">
        <v>692</v>
      </c>
      <c r="K781" s="10" t="s">
        <v>207</v>
      </c>
      <c r="L781" s="7" t="s">
        <v>206</v>
      </c>
      <c r="M781" s="7"/>
      <c r="N781" s="7">
        <f>VLOOKUP(J781,[1]Sheet1!$C:$D,2,FALSE)</f>
        <v>3505</v>
      </c>
      <c r="O781" s="7">
        <f>VLOOKUP(J781,[2]Desa!$A:$D,4,FALSE)</f>
        <v>110</v>
      </c>
      <c r="P781" s="7">
        <f>VLOOKUP(J781,[3]Sheet1!$D:$F,3,FALSE)</f>
        <v>28</v>
      </c>
      <c r="Q781" s="7"/>
      <c r="R781" s="7"/>
      <c r="S781" s="12">
        <v>-8.5189894949282099</v>
      </c>
      <c r="T781" s="12">
        <v>116.098351298426</v>
      </c>
      <c r="U781" s="7"/>
      <c r="V781" s="50">
        <f>Table13678[[#This Row],[PAGU SEMULA]]-Table13678[[#This Row],[PAGU ANGGARAN]]</f>
        <v>-40000000</v>
      </c>
      <c r="W781" s="50">
        <f>Table13678[[#This Row],[PAGU SEMULA]]-Table13678[[#This Row],[PAGU ANGGARAN]]</f>
        <v>-40000000</v>
      </c>
      <c r="X781" t="s">
        <v>987</v>
      </c>
    </row>
    <row r="782" spans="3:24" hidden="1">
      <c r="C782" s="7" t="s">
        <v>546</v>
      </c>
      <c r="D782" s="7" t="s">
        <v>75</v>
      </c>
      <c r="E782" s="7" t="s">
        <v>547</v>
      </c>
      <c r="F782" s="7" t="s">
        <v>548</v>
      </c>
      <c r="G782" s="7" t="s">
        <v>549</v>
      </c>
      <c r="H782" s="8">
        <v>40000000</v>
      </c>
      <c r="I782" s="10" t="s">
        <v>691</v>
      </c>
      <c r="J782" s="7" t="s">
        <v>692</v>
      </c>
      <c r="K782" s="10" t="s">
        <v>207</v>
      </c>
      <c r="L782" s="7" t="s">
        <v>206</v>
      </c>
      <c r="M782" s="7"/>
      <c r="N782" s="7">
        <f>VLOOKUP(J782,[1]Sheet1!$C:$D,2,FALSE)</f>
        <v>3505</v>
      </c>
      <c r="O782" s="7">
        <f>VLOOKUP(J782,[2]Desa!$A:$D,4,FALSE)</f>
        <v>110</v>
      </c>
      <c r="P782" s="7">
        <f>VLOOKUP(J782,[3]Sheet1!$D:$F,3,FALSE)</f>
        <v>28</v>
      </c>
      <c r="Q782" s="7"/>
      <c r="R782" s="7"/>
      <c r="S782" s="12">
        <v>-8.5189894949282099</v>
      </c>
      <c r="T782" s="12">
        <v>116.098351298426</v>
      </c>
      <c r="U782" s="7"/>
      <c r="V782" s="50">
        <f>Table13678[[#This Row],[PAGU SEMULA]]-Table13678[[#This Row],[PAGU ANGGARAN]]</f>
        <v>-40000000</v>
      </c>
      <c r="W782" s="50">
        <f>Table13678[[#This Row],[PAGU SEMULA]]-Table13678[[#This Row],[PAGU ANGGARAN]]</f>
        <v>-40000000</v>
      </c>
      <c r="X782" t="s">
        <v>982</v>
      </c>
    </row>
    <row r="783" spans="3:24" hidden="1">
      <c r="C783" s="7" t="s">
        <v>35</v>
      </c>
      <c r="D783" s="7" t="s">
        <v>36</v>
      </c>
      <c r="E783" s="7" t="s">
        <v>37</v>
      </c>
      <c r="F783" s="7" t="s">
        <v>38</v>
      </c>
      <c r="G783" s="7" t="s">
        <v>39</v>
      </c>
      <c r="H783" s="15">
        <v>75000000</v>
      </c>
      <c r="I783" s="10" t="s">
        <v>691</v>
      </c>
      <c r="J783" s="7" t="s">
        <v>692</v>
      </c>
      <c r="K783" s="10" t="s">
        <v>207</v>
      </c>
      <c r="L783" s="7" t="s">
        <v>206</v>
      </c>
      <c r="M783" s="7"/>
      <c r="N783" s="7">
        <f>VLOOKUP(J783,[1]Sheet1!$C:$D,2,FALSE)</f>
        <v>3505</v>
      </c>
      <c r="O783" s="7">
        <f>VLOOKUP(J783,[2]Desa!$A:$D,4,FALSE)</f>
        <v>110</v>
      </c>
      <c r="P783" s="7">
        <f>VLOOKUP(J783,[3]Sheet1!$D:$F,3,FALSE)</f>
        <v>28</v>
      </c>
      <c r="Q783" s="7"/>
      <c r="R783" s="7"/>
      <c r="S783" s="12">
        <v>-8.5189894949282099</v>
      </c>
      <c r="T783" s="12">
        <v>116.098351298426</v>
      </c>
      <c r="U783" s="7"/>
      <c r="V783" s="50">
        <f>Table13678[[#This Row],[PAGU SEMULA]]-Table13678[[#This Row],[PAGU ANGGARAN]]</f>
        <v>-75000000</v>
      </c>
      <c r="W783" s="50">
        <f>Table13678[[#This Row],[PAGU SEMULA]]-Table13678[[#This Row],[PAGU ANGGARAN]]</f>
        <v>-75000000</v>
      </c>
      <c r="X783" t="s">
        <v>984</v>
      </c>
    </row>
    <row r="784" spans="3:24" hidden="1">
      <c r="C784" s="7" t="s">
        <v>35</v>
      </c>
      <c r="D784" s="7" t="s">
        <v>65</v>
      </c>
      <c r="E784" s="7" t="s">
        <v>66</v>
      </c>
      <c r="F784" s="7" t="s">
        <v>322</v>
      </c>
      <c r="G784" s="7" t="s">
        <v>322</v>
      </c>
      <c r="H784" s="15">
        <v>34151000</v>
      </c>
      <c r="I784" s="10" t="s">
        <v>691</v>
      </c>
      <c r="J784" s="7" t="s">
        <v>692</v>
      </c>
      <c r="K784" s="10" t="s">
        <v>207</v>
      </c>
      <c r="L784" s="7" t="s">
        <v>206</v>
      </c>
      <c r="M784" s="7"/>
      <c r="N784" s="7">
        <f>VLOOKUP(J784,[1]Sheet1!$C:$D,2,FALSE)</f>
        <v>3505</v>
      </c>
      <c r="O784" s="7">
        <f>VLOOKUP(J784,[2]Desa!$A:$D,4,FALSE)</f>
        <v>110</v>
      </c>
      <c r="P784" s="7">
        <f>VLOOKUP(J784,[3]Sheet1!$D:$F,3,FALSE)</f>
        <v>28</v>
      </c>
      <c r="Q784" s="7"/>
      <c r="R784" s="7"/>
      <c r="S784" s="12">
        <v>-8.5189894949282099</v>
      </c>
      <c r="T784" s="12">
        <v>116.098351298426</v>
      </c>
      <c r="U784" s="7"/>
      <c r="V784" s="50">
        <f>Table13678[[#This Row],[PAGU SEMULA]]-Table13678[[#This Row],[PAGU ANGGARAN]]</f>
        <v>-34151000</v>
      </c>
      <c r="W784" s="50">
        <f>Table13678[[#This Row],[PAGU SEMULA]]-Table13678[[#This Row],[PAGU ANGGARAN]]</f>
        <v>-34151000</v>
      </c>
      <c r="X784" t="s">
        <v>986</v>
      </c>
    </row>
    <row r="785" spans="3:24" hidden="1">
      <c r="C785" s="7" t="s">
        <v>35</v>
      </c>
      <c r="D785" s="7" t="s">
        <v>52</v>
      </c>
      <c r="E785" s="7" t="s">
        <v>95</v>
      </c>
      <c r="F785" s="7" t="s">
        <v>96</v>
      </c>
      <c r="G785" s="7" t="s">
        <v>318</v>
      </c>
      <c r="H785" s="17">
        <v>96750000</v>
      </c>
      <c r="I785" s="10" t="s">
        <v>691</v>
      </c>
      <c r="J785" s="7" t="s">
        <v>692</v>
      </c>
      <c r="K785" s="10" t="s">
        <v>207</v>
      </c>
      <c r="L785" s="7" t="s">
        <v>206</v>
      </c>
      <c r="M785" s="7"/>
      <c r="N785" s="7">
        <f>VLOOKUP(J785,[1]Sheet1!$C:$D,2,FALSE)</f>
        <v>3505</v>
      </c>
      <c r="O785" s="7">
        <f>VLOOKUP(J785,[2]Desa!$A:$D,4,FALSE)</f>
        <v>110</v>
      </c>
      <c r="P785" s="7">
        <f>VLOOKUP(J785,[3]Sheet1!$D:$F,3,FALSE)</f>
        <v>28</v>
      </c>
      <c r="Q785" s="7"/>
      <c r="R785" s="7"/>
      <c r="S785" s="12">
        <v>-8.5189894949282099</v>
      </c>
      <c r="T785" s="12">
        <v>116.098351298426</v>
      </c>
      <c r="U785" s="7"/>
      <c r="V785" s="50">
        <f>Table13678[[#This Row],[PAGU SEMULA]]-Table13678[[#This Row],[PAGU ANGGARAN]]</f>
        <v>-96750000</v>
      </c>
      <c r="W785" s="50">
        <f>Table13678[[#This Row],[PAGU SEMULA]]-Table13678[[#This Row],[PAGU ANGGARAN]]</f>
        <v>-96750000</v>
      </c>
      <c r="X785" t="s">
        <v>986</v>
      </c>
    </row>
    <row r="786" spans="3:24" hidden="1">
      <c r="C786" s="7" t="s">
        <v>35</v>
      </c>
      <c r="D786" s="7" t="s">
        <v>52</v>
      </c>
      <c r="E786" s="7" t="s">
        <v>95</v>
      </c>
      <c r="F786" s="7" t="s">
        <v>96</v>
      </c>
      <c r="G786" s="7" t="s">
        <v>694</v>
      </c>
      <c r="H786" s="18">
        <v>241875000</v>
      </c>
      <c r="I786" s="10" t="s">
        <v>691</v>
      </c>
      <c r="J786" s="7" t="s">
        <v>692</v>
      </c>
      <c r="K786" s="10" t="s">
        <v>207</v>
      </c>
      <c r="L786" s="7" t="s">
        <v>206</v>
      </c>
      <c r="M786" s="7"/>
      <c r="N786" s="7">
        <f>VLOOKUP(J786,[1]Sheet1!$C:$D,2,FALSE)</f>
        <v>3505</v>
      </c>
      <c r="O786" s="7">
        <f>VLOOKUP(J786,[2]Desa!$A:$D,4,FALSE)</f>
        <v>110</v>
      </c>
      <c r="P786" s="7">
        <f>VLOOKUP(J786,[3]Sheet1!$D:$F,3,FALSE)</f>
        <v>28</v>
      </c>
      <c r="Q786" s="7"/>
      <c r="R786" s="7"/>
      <c r="S786" s="12">
        <v>-8.5189894949282099</v>
      </c>
      <c r="T786" s="12">
        <v>116.098351298426</v>
      </c>
      <c r="U786" s="7"/>
      <c r="V786" s="50">
        <f>Table13678[[#This Row],[PAGU SEMULA]]-Table13678[[#This Row],[PAGU ANGGARAN]]</f>
        <v>-241875000</v>
      </c>
      <c r="W786" s="50">
        <f>Table13678[[#This Row],[PAGU SEMULA]]-Table13678[[#This Row],[PAGU ANGGARAN]]</f>
        <v>-241875000</v>
      </c>
      <c r="X786" t="s">
        <v>986</v>
      </c>
    </row>
    <row r="787" spans="3:24" hidden="1">
      <c r="C787" s="7" t="s">
        <v>20</v>
      </c>
      <c r="D787" s="7" t="s">
        <v>104</v>
      </c>
      <c r="E787" s="7" t="s">
        <v>105</v>
      </c>
      <c r="F787" s="7" t="s">
        <v>138</v>
      </c>
      <c r="G787" s="71" t="s">
        <v>695</v>
      </c>
      <c r="H787" s="15">
        <v>71680000</v>
      </c>
      <c r="I787" s="10" t="s">
        <v>696</v>
      </c>
      <c r="J787" s="7" t="s">
        <v>415</v>
      </c>
      <c r="K787" s="10" t="s">
        <v>414</v>
      </c>
      <c r="L787" s="7" t="s">
        <v>415</v>
      </c>
      <c r="M787" s="7"/>
      <c r="N787" s="7">
        <f>VLOOKUP(J787,[1]Sheet1!$C:$D,2,FALSE)</f>
        <v>5858</v>
      </c>
      <c r="O787" s="7">
        <f>VLOOKUP(J787,[2]Desa!$A:$D,4,FALSE)</f>
        <v>304</v>
      </c>
      <c r="P787" s="7">
        <f>VLOOKUP(J787,[3]Sheet1!$D:$F,3,FALSE)</f>
        <v>48</v>
      </c>
      <c r="Q787" s="7"/>
      <c r="R787" s="7"/>
      <c r="S787" s="12">
        <v>-8.6988118808480195</v>
      </c>
      <c r="T787" s="12">
        <v>116.07192002670401</v>
      </c>
      <c r="U787" s="7"/>
      <c r="V787" s="50">
        <f>Table13678[[#This Row],[PAGU SEMULA]]-Table13678[[#This Row],[PAGU ANGGARAN]]</f>
        <v>-71680000</v>
      </c>
      <c r="W787" s="50">
        <f>Table13678[[#This Row],[PAGU SEMULA]]-Table13678[[#This Row],[PAGU ANGGARAN]]</f>
        <v>-71680000</v>
      </c>
      <c r="X787" t="s">
        <v>984</v>
      </c>
    </row>
    <row r="788" spans="3:24" hidden="1">
      <c r="C788" s="7" t="s">
        <v>29</v>
      </c>
      <c r="D788" s="7" t="s">
        <v>30</v>
      </c>
      <c r="E788" s="7" t="s">
        <v>148</v>
      </c>
      <c r="F788" s="7" t="s">
        <v>149</v>
      </c>
      <c r="G788" s="7" t="s">
        <v>697</v>
      </c>
      <c r="H788" s="8">
        <v>820200000</v>
      </c>
      <c r="I788" s="10" t="s">
        <v>696</v>
      </c>
      <c r="J788" s="7" t="s">
        <v>415</v>
      </c>
      <c r="K788" s="10" t="s">
        <v>414</v>
      </c>
      <c r="L788" s="7" t="s">
        <v>415</v>
      </c>
      <c r="M788" s="7"/>
      <c r="N788" s="7">
        <f>VLOOKUP(J788,[1]Sheet1!$C:$D,2,FALSE)</f>
        <v>5858</v>
      </c>
      <c r="O788" s="7">
        <f>VLOOKUP(J788,[2]Desa!$A:$D,4,FALSE)</f>
        <v>304</v>
      </c>
      <c r="P788" s="7">
        <f>VLOOKUP(J788,[3]Sheet1!$D:$F,3,FALSE)</f>
        <v>48</v>
      </c>
      <c r="Q788" s="7"/>
      <c r="R788" s="7"/>
      <c r="S788" s="12">
        <v>-8.6988118808480195</v>
      </c>
      <c r="T788" s="12">
        <v>116.07192002670401</v>
      </c>
      <c r="U788" s="7"/>
      <c r="V788" s="50">
        <f>Table13678[[#This Row],[PAGU SEMULA]]-Table13678[[#This Row],[PAGU ANGGARAN]]</f>
        <v>-820200000</v>
      </c>
      <c r="W788" s="50">
        <f>Table13678[[#This Row],[PAGU SEMULA]]-Table13678[[#This Row],[PAGU ANGGARAN]]</f>
        <v>-820200000</v>
      </c>
      <c r="X788" t="s">
        <v>984</v>
      </c>
    </row>
    <row r="789" spans="3:24" hidden="1">
      <c r="C789" s="7" t="s">
        <v>29</v>
      </c>
      <c r="D789" s="7" t="s">
        <v>30</v>
      </c>
      <c r="E789" s="7" t="s">
        <v>31</v>
      </c>
      <c r="F789" s="7" t="s">
        <v>32</v>
      </c>
      <c r="G789" s="7" t="s">
        <v>33</v>
      </c>
      <c r="H789" s="8">
        <v>515760000</v>
      </c>
      <c r="I789" s="10" t="s">
        <v>696</v>
      </c>
      <c r="J789" s="7" t="s">
        <v>415</v>
      </c>
      <c r="K789" s="10" t="s">
        <v>414</v>
      </c>
      <c r="L789" s="7" t="s">
        <v>415</v>
      </c>
      <c r="M789" s="7"/>
      <c r="N789" s="7">
        <f>VLOOKUP(J789,[1]Sheet1!$C:$D,2,FALSE)</f>
        <v>5858</v>
      </c>
      <c r="O789" s="7">
        <f>VLOOKUP(J789,[2]Desa!$A:$D,4,FALSE)</f>
        <v>304</v>
      </c>
      <c r="P789" s="7">
        <f>VLOOKUP(J789,[3]Sheet1!$D:$F,3,FALSE)</f>
        <v>48</v>
      </c>
      <c r="Q789" s="7"/>
      <c r="R789" s="7"/>
      <c r="S789" s="12">
        <v>-8.6988118808480195</v>
      </c>
      <c r="T789" s="12">
        <v>116.07192002670401</v>
      </c>
      <c r="U789" s="7"/>
      <c r="V789" s="50">
        <f>Table13678[[#This Row],[PAGU SEMULA]]-Table13678[[#This Row],[PAGU ANGGARAN]]</f>
        <v>-515760000</v>
      </c>
      <c r="W789" s="50">
        <f>Table13678[[#This Row],[PAGU SEMULA]]-Table13678[[#This Row],[PAGU ANGGARAN]]</f>
        <v>-515760000</v>
      </c>
      <c r="X789" t="s">
        <v>984</v>
      </c>
    </row>
    <row r="790" spans="3:24" hidden="1">
      <c r="C790" s="7" t="s">
        <v>29</v>
      </c>
      <c r="D790" s="7" t="s">
        <v>30</v>
      </c>
      <c r="E790" s="7" t="s">
        <v>31</v>
      </c>
      <c r="F790" s="7" t="s">
        <v>32</v>
      </c>
      <c r="G790" s="7" t="s">
        <v>34</v>
      </c>
      <c r="H790" s="8">
        <v>41260800</v>
      </c>
      <c r="I790" s="10" t="s">
        <v>696</v>
      </c>
      <c r="J790" s="7" t="s">
        <v>415</v>
      </c>
      <c r="K790" s="10" t="s">
        <v>414</v>
      </c>
      <c r="L790" s="7" t="s">
        <v>415</v>
      </c>
      <c r="M790" s="7"/>
      <c r="N790" s="7">
        <f>VLOOKUP(J790,[1]Sheet1!$C:$D,2,FALSE)</f>
        <v>5858</v>
      </c>
      <c r="O790" s="7">
        <f>VLOOKUP(J790,[2]Desa!$A:$D,4,FALSE)</f>
        <v>304</v>
      </c>
      <c r="P790" s="7">
        <f>VLOOKUP(J790,[3]Sheet1!$D:$F,3,FALSE)</f>
        <v>48</v>
      </c>
      <c r="Q790" s="7"/>
      <c r="R790" s="7"/>
      <c r="S790" s="12">
        <v>-8.6988118808480195</v>
      </c>
      <c r="T790" s="12">
        <v>116.07192002670401</v>
      </c>
      <c r="U790" s="7"/>
      <c r="V790" s="50">
        <f>Table13678[[#This Row],[PAGU SEMULA]]-Table13678[[#This Row],[PAGU ANGGARAN]]</f>
        <v>-41260800</v>
      </c>
      <c r="W790" s="50">
        <f>Table13678[[#This Row],[PAGU SEMULA]]-Table13678[[#This Row],[PAGU ANGGARAN]]</f>
        <v>-41260800</v>
      </c>
      <c r="X790" t="s">
        <v>984</v>
      </c>
    </row>
    <row r="791" spans="3:24" hidden="1">
      <c r="C791" s="7" t="s">
        <v>60</v>
      </c>
      <c r="D791" s="7" t="s">
        <v>61</v>
      </c>
      <c r="E791" s="7" t="s">
        <v>62</v>
      </c>
      <c r="F791" s="7" t="s">
        <v>63</v>
      </c>
      <c r="G791" s="71" t="s">
        <v>251</v>
      </c>
      <c r="H791" s="15">
        <v>46950000</v>
      </c>
      <c r="I791" s="10" t="s">
        <v>696</v>
      </c>
      <c r="J791" s="7" t="s">
        <v>415</v>
      </c>
      <c r="K791" s="10" t="s">
        <v>414</v>
      </c>
      <c r="L791" s="7" t="s">
        <v>415</v>
      </c>
      <c r="M791" s="7"/>
      <c r="N791" s="7">
        <f>VLOOKUP(J791,[1]Sheet1!$C:$D,2,FALSE)</f>
        <v>5858</v>
      </c>
      <c r="O791" s="7">
        <f>VLOOKUP(J791,[2]Desa!$A:$D,4,FALSE)</f>
        <v>304</v>
      </c>
      <c r="P791" s="7">
        <f>VLOOKUP(J791,[3]Sheet1!$D:$F,3,FALSE)</f>
        <v>48</v>
      </c>
      <c r="Q791" s="7"/>
      <c r="R791" s="7"/>
      <c r="S791" s="12">
        <v>-8.6988118808480195</v>
      </c>
      <c r="T791" s="12">
        <v>116.07192002670401</v>
      </c>
      <c r="U791" s="7"/>
      <c r="V791" s="50">
        <f>Table13678[[#This Row],[PAGU SEMULA]]-Table13678[[#This Row],[PAGU ANGGARAN]]</f>
        <v>-46950000</v>
      </c>
      <c r="W791" s="50">
        <f>Table13678[[#This Row],[PAGU SEMULA]]-Table13678[[#This Row],[PAGU ANGGARAN]]</f>
        <v>-46950000</v>
      </c>
      <c r="X791" t="s">
        <v>987</v>
      </c>
    </row>
    <row r="792" spans="3:24" hidden="1">
      <c r="C792" s="7" t="s">
        <v>84</v>
      </c>
      <c r="D792" s="7" t="s">
        <v>89</v>
      </c>
      <c r="E792" s="7" t="s">
        <v>90</v>
      </c>
      <c r="F792" s="7" t="s">
        <v>272</v>
      </c>
      <c r="G792" s="7" t="s">
        <v>436</v>
      </c>
      <c r="H792" s="8">
        <v>141254736</v>
      </c>
      <c r="I792" s="10" t="s">
        <v>696</v>
      </c>
      <c r="J792" s="7" t="s">
        <v>415</v>
      </c>
      <c r="K792" s="10" t="s">
        <v>414</v>
      </c>
      <c r="L792" s="7" t="s">
        <v>415</v>
      </c>
      <c r="M792" s="7"/>
      <c r="N792" s="7">
        <f>VLOOKUP(J792,[1]Sheet1!$C:$D,2,FALSE)</f>
        <v>5858</v>
      </c>
      <c r="O792" s="7">
        <f>VLOOKUP(J792,[2]Desa!$A:$D,4,FALSE)</f>
        <v>304</v>
      </c>
      <c r="P792" s="7">
        <f>VLOOKUP(J792,[3]Sheet1!$D:$F,3,FALSE)</f>
        <v>48</v>
      </c>
      <c r="Q792" s="7"/>
      <c r="R792" s="7"/>
      <c r="S792" s="12">
        <v>-8.6988118808480195</v>
      </c>
      <c r="T792" s="12">
        <v>116.07192002670401</v>
      </c>
      <c r="U792" s="7"/>
      <c r="V792" s="50">
        <f>Table13678[[#This Row],[PAGU SEMULA]]-Table13678[[#This Row],[PAGU ANGGARAN]]</f>
        <v>-141254736</v>
      </c>
      <c r="W792" s="50">
        <f>Table13678[[#This Row],[PAGU SEMULA]]-Table13678[[#This Row],[PAGU ANGGARAN]]</f>
        <v>-141254736</v>
      </c>
      <c r="X792" t="s">
        <v>982</v>
      </c>
    </row>
    <row r="793" spans="3:24" hidden="1">
      <c r="C793" s="7" t="s">
        <v>110</v>
      </c>
      <c r="D793" s="7" t="s">
        <v>178</v>
      </c>
      <c r="E793" s="7" t="s">
        <v>179</v>
      </c>
      <c r="F793" s="7" t="s">
        <v>180</v>
      </c>
      <c r="G793" s="71" t="s">
        <v>698</v>
      </c>
      <c r="H793" s="8">
        <v>35000000</v>
      </c>
      <c r="I793" s="10" t="s">
        <v>696</v>
      </c>
      <c r="J793" s="7" t="s">
        <v>415</v>
      </c>
      <c r="K793" s="10" t="s">
        <v>414</v>
      </c>
      <c r="L793" s="7" t="s">
        <v>415</v>
      </c>
      <c r="M793" s="7"/>
      <c r="N793" s="7">
        <f>VLOOKUP(J793,[1]Sheet1!$C:$D,2,FALSE)</f>
        <v>5858</v>
      </c>
      <c r="O793" s="7">
        <f>VLOOKUP(J793,[2]Desa!$A:$D,4,FALSE)</f>
        <v>304</v>
      </c>
      <c r="P793" s="7">
        <f>VLOOKUP(J793,[3]Sheet1!$D:$F,3,FALSE)</f>
        <v>48</v>
      </c>
      <c r="Q793" s="7"/>
      <c r="R793" s="7"/>
      <c r="S793" s="12">
        <v>-8.6988118808480195</v>
      </c>
      <c r="T793" s="12">
        <v>116.07192002670401</v>
      </c>
      <c r="U793" s="7"/>
      <c r="V793" s="50">
        <f>Table13678[[#This Row],[PAGU SEMULA]]-Table13678[[#This Row],[PAGU ANGGARAN]]</f>
        <v>-35000000</v>
      </c>
      <c r="W793" s="50">
        <f>Table13678[[#This Row],[PAGU SEMULA]]-Table13678[[#This Row],[PAGU ANGGARAN]]</f>
        <v>-35000000</v>
      </c>
      <c r="X793" t="s">
        <v>982</v>
      </c>
    </row>
    <row r="794" spans="3:24" hidden="1">
      <c r="C794" s="7" t="s">
        <v>110</v>
      </c>
      <c r="D794" s="7" t="s">
        <v>178</v>
      </c>
      <c r="E794" s="7" t="s">
        <v>179</v>
      </c>
      <c r="F794" s="7" t="s">
        <v>180</v>
      </c>
      <c r="G794" s="71" t="s">
        <v>640</v>
      </c>
      <c r="H794" s="8">
        <v>75000000</v>
      </c>
      <c r="I794" s="10" t="s">
        <v>696</v>
      </c>
      <c r="J794" s="7" t="s">
        <v>415</v>
      </c>
      <c r="K794" s="10" t="s">
        <v>414</v>
      </c>
      <c r="L794" s="7" t="s">
        <v>415</v>
      </c>
      <c r="M794" s="7"/>
      <c r="N794" s="7">
        <f>VLOOKUP(J794,[1]Sheet1!$C:$D,2,FALSE)</f>
        <v>5858</v>
      </c>
      <c r="O794" s="7">
        <f>VLOOKUP(J794,[2]Desa!$A:$D,4,FALSE)</f>
        <v>304</v>
      </c>
      <c r="P794" s="7">
        <f>VLOOKUP(J794,[3]Sheet1!$D:$F,3,FALSE)</f>
        <v>48</v>
      </c>
      <c r="Q794" s="7"/>
      <c r="R794" s="7"/>
      <c r="S794" s="12">
        <v>-8.6988118808480195</v>
      </c>
      <c r="T794" s="12">
        <v>116.07192002670401</v>
      </c>
      <c r="U794" s="7"/>
      <c r="V794" s="50">
        <f>Table13678[[#This Row],[PAGU SEMULA]]-Table13678[[#This Row],[PAGU ANGGARAN]]</f>
        <v>-75000000</v>
      </c>
      <c r="W794" s="50">
        <f>Table13678[[#This Row],[PAGU SEMULA]]-Table13678[[#This Row],[PAGU ANGGARAN]]</f>
        <v>-75000000</v>
      </c>
      <c r="X794" t="s">
        <v>982</v>
      </c>
    </row>
    <row r="795" spans="3:24" hidden="1">
      <c r="C795" s="7" t="s">
        <v>110</v>
      </c>
      <c r="D795" s="7" t="s">
        <v>178</v>
      </c>
      <c r="E795" s="7" t="s">
        <v>179</v>
      </c>
      <c r="F795" s="7" t="s">
        <v>180</v>
      </c>
      <c r="G795" s="71" t="s">
        <v>699</v>
      </c>
      <c r="H795" s="8">
        <v>69900000</v>
      </c>
      <c r="I795" s="10" t="s">
        <v>696</v>
      </c>
      <c r="J795" s="7" t="s">
        <v>415</v>
      </c>
      <c r="K795" s="10" t="s">
        <v>414</v>
      </c>
      <c r="L795" s="7" t="s">
        <v>415</v>
      </c>
      <c r="M795" s="7"/>
      <c r="N795" s="7">
        <f>VLOOKUP(J795,[1]Sheet1!$C:$D,2,FALSE)</f>
        <v>5858</v>
      </c>
      <c r="O795" s="7">
        <f>VLOOKUP(J795,[2]Desa!$A:$D,4,FALSE)</f>
        <v>304</v>
      </c>
      <c r="P795" s="7">
        <f>VLOOKUP(J795,[3]Sheet1!$D:$F,3,FALSE)</f>
        <v>48</v>
      </c>
      <c r="Q795" s="7"/>
      <c r="R795" s="7"/>
      <c r="S795" s="12">
        <v>-8.6988118808480195</v>
      </c>
      <c r="T795" s="12">
        <v>116.07192002670401</v>
      </c>
      <c r="U795" s="7"/>
      <c r="V795" s="50">
        <f>Table13678[[#This Row],[PAGU SEMULA]]-Table13678[[#This Row],[PAGU ANGGARAN]]</f>
        <v>-69900000</v>
      </c>
      <c r="W795" s="50">
        <f>Table13678[[#This Row],[PAGU SEMULA]]-Table13678[[#This Row],[PAGU ANGGARAN]]</f>
        <v>-69900000</v>
      </c>
      <c r="X795" t="s">
        <v>982</v>
      </c>
    </row>
    <row r="796" spans="3:24" hidden="1">
      <c r="C796" s="7" t="s">
        <v>35</v>
      </c>
      <c r="D796" s="7" t="s">
        <v>36</v>
      </c>
      <c r="E796" s="7" t="s">
        <v>37</v>
      </c>
      <c r="F796" s="7" t="s">
        <v>38</v>
      </c>
      <c r="G796" s="7" t="s">
        <v>39</v>
      </c>
      <c r="H796" s="15">
        <v>75000000</v>
      </c>
      <c r="I796" s="10" t="s">
        <v>696</v>
      </c>
      <c r="J796" s="7" t="s">
        <v>415</v>
      </c>
      <c r="K796" s="10" t="s">
        <v>414</v>
      </c>
      <c r="L796" s="7" t="s">
        <v>415</v>
      </c>
      <c r="M796" s="7"/>
      <c r="N796" s="7">
        <f>VLOOKUP(J796,[1]Sheet1!$C:$D,2,FALSE)</f>
        <v>5858</v>
      </c>
      <c r="O796" s="7">
        <f>VLOOKUP(J796,[2]Desa!$A:$D,4,FALSE)</f>
        <v>304</v>
      </c>
      <c r="P796" s="7">
        <f>VLOOKUP(J796,[3]Sheet1!$D:$F,3,FALSE)</f>
        <v>48</v>
      </c>
      <c r="Q796" s="7"/>
      <c r="R796" s="7"/>
      <c r="S796" s="12">
        <v>-8.6988118808480195</v>
      </c>
      <c r="T796" s="12">
        <v>116.07192002670401</v>
      </c>
      <c r="U796" s="7"/>
      <c r="V796" s="50">
        <f>Table13678[[#This Row],[PAGU SEMULA]]-Table13678[[#This Row],[PAGU ANGGARAN]]</f>
        <v>-75000000</v>
      </c>
      <c r="W796" s="50">
        <f>Table13678[[#This Row],[PAGU SEMULA]]-Table13678[[#This Row],[PAGU ANGGARAN]]</f>
        <v>-75000000</v>
      </c>
      <c r="X796" t="s">
        <v>984</v>
      </c>
    </row>
    <row r="797" spans="3:24" hidden="1">
      <c r="C797" s="7" t="s">
        <v>35</v>
      </c>
      <c r="D797" s="7" t="s">
        <v>134</v>
      </c>
      <c r="E797" s="7" t="s">
        <v>700</v>
      </c>
      <c r="F797" s="7" t="s">
        <v>701</v>
      </c>
      <c r="G797" s="7" t="s">
        <v>702</v>
      </c>
      <c r="H797" s="17">
        <v>202100000</v>
      </c>
      <c r="I797" s="10" t="s">
        <v>696</v>
      </c>
      <c r="J797" s="7" t="s">
        <v>415</v>
      </c>
      <c r="K797" s="10" t="s">
        <v>414</v>
      </c>
      <c r="L797" s="7" t="s">
        <v>415</v>
      </c>
      <c r="M797" s="7"/>
      <c r="N797" s="7">
        <f>VLOOKUP(J797,[1]Sheet1!$C:$D,2,FALSE)</f>
        <v>5858</v>
      </c>
      <c r="O797" s="7">
        <f>VLOOKUP(J797,[2]Desa!$A:$D,4,FALSE)</f>
        <v>304</v>
      </c>
      <c r="P797" s="7">
        <f>VLOOKUP(J797,[3]Sheet1!$D:$F,3,FALSE)</f>
        <v>48</v>
      </c>
      <c r="Q797" s="7"/>
      <c r="R797" s="7"/>
      <c r="S797" s="12">
        <v>-8.6988118808480195</v>
      </c>
      <c r="T797" s="12">
        <v>116.07192002670401</v>
      </c>
      <c r="U797" s="7"/>
      <c r="V797" s="50">
        <f>Table13678[[#This Row],[PAGU SEMULA]]-Table13678[[#This Row],[PAGU ANGGARAN]]</f>
        <v>-202100000</v>
      </c>
      <c r="W797" s="50">
        <f>Table13678[[#This Row],[PAGU SEMULA]]-Table13678[[#This Row],[PAGU ANGGARAN]]</f>
        <v>-202100000</v>
      </c>
      <c r="X797" t="s">
        <v>986</v>
      </c>
    </row>
    <row r="798" spans="3:24" hidden="1">
      <c r="C798" s="7" t="s">
        <v>46</v>
      </c>
      <c r="D798" s="7" t="s">
        <v>122</v>
      </c>
      <c r="E798" s="7" t="s">
        <v>123</v>
      </c>
      <c r="F798" s="7" t="s">
        <v>124</v>
      </c>
      <c r="G798" s="7" t="s">
        <v>369</v>
      </c>
      <c r="H798" s="8">
        <v>37500000</v>
      </c>
      <c r="I798" s="10" t="s">
        <v>696</v>
      </c>
      <c r="J798" s="7" t="s">
        <v>415</v>
      </c>
      <c r="K798" s="10" t="s">
        <v>414</v>
      </c>
      <c r="L798" s="7" t="s">
        <v>415</v>
      </c>
      <c r="M798" s="7"/>
      <c r="N798" s="7">
        <f>VLOOKUP(J798,[1]Sheet1!$C:$D,2,FALSE)</f>
        <v>5858</v>
      </c>
      <c r="O798" s="7">
        <f>VLOOKUP(J798,[2]Desa!$A:$D,4,FALSE)</f>
        <v>304</v>
      </c>
      <c r="P798" s="7">
        <f>VLOOKUP(J798,[3]Sheet1!$D:$F,3,FALSE)</f>
        <v>48</v>
      </c>
      <c r="Q798" s="7"/>
      <c r="R798" s="7"/>
      <c r="S798" s="12">
        <v>-8.6988118808480195</v>
      </c>
      <c r="T798" s="12">
        <v>116.07192002670401</v>
      </c>
      <c r="U798" s="7"/>
      <c r="V798" s="50">
        <f>Table13678[[#This Row],[PAGU SEMULA]]-Table13678[[#This Row],[PAGU ANGGARAN]]</f>
        <v>-37500000</v>
      </c>
      <c r="W798" s="50">
        <f>Table13678[[#This Row],[PAGU SEMULA]]-Table13678[[#This Row],[PAGU ANGGARAN]]</f>
        <v>-37500000</v>
      </c>
      <c r="X798" t="s">
        <v>987</v>
      </c>
    </row>
    <row r="799" spans="3:24" hidden="1">
      <c r="C799" s="7" t="s">
        <v>46</v>
      </c>
      <c r="D799" s="7" t="s">
        <v>122</v>
      </c>
      <c r="E799" s="7" t="s">
        <v>123</v>
      </c>
      <c r="F799" s="7" t="s">
        <v>124</v>
      </c>
      <c r="G799" s="7" t="s">
        <v>370</v>
      </c>
      <c r="H799" s="8">
        <v>12450000</v>
      </c>
      <c r="I799" s="10" t="s">
        <v>696</v>
      </c>
      <c r="J799" s="7" t="s">
        <v>415</v>
      </c>
      <c r="K799" s="10" t="s">
        <v>414</v>
      </c>
      <c r="L799" s="7" t="s">
        <v>415</v>
      </c>
      <c r="M799" s="7"/>
      <c r="N799" s="7">
        <f>VLOOKUP(J799,[1]Sheet1!$C:$D,2,FALSE)</f>
        <v>5858</v>
      </c>
      <c r="O799" s="7">
        <f>VLOOKUP(J799,[2]Desa!$A:$D,4,FALSE)</f>
        <v>304</v>
      </c>
      <c r="P799" s="7">
        <f>VLOOKUP(J799,[3]Sheet1!$D:$F,3,FALSE)</f>
        <v>48</v>
      </c>
      <c r="Q799" s="7"/>
      <c r="R799" s="7"/>
      <c r="S799" s="12">
        <v>-8.6988118808480195</v>
      </c>
      <c r="T799" s="12">
        <v>116.07192002670401</v>
      </c>
      <c r="U799" s="7"/>
      <c r="V799" s="50">
        <f>Table13678[[#This Row],[PAGU SEMULA]]-Table13678[[#This Row],[PAGU ANGGARAN]]</f>
        <v>-12450000</v>
      </c>
      <c r="W799" s="50">
        <f>Table13678[[#This Row],[PAGU SEMULA]]-Table13678[[#This Row],[PAGU ANGGARAN]]</f>
        <v>-12450000</v>
      </c>
      <c r="X799" t="s">
        <v>987</v>
      </c>
    </row>
    <row r="800" spans="3:24" hidden="1">
      <c r="C800" s="7" t="s">
        <v>46</v>
      </c>
      <c r="D800" s="7" t="s">
        <v>122</v>
      </c>
      <c r="E800" s="7" t="s">
        <v>123</v>
      </c>
      <c r="F800" s="7" t="s">
        <v>124</v>
      </c>
      <c r="G800" s="71" t="s">
        <v>125</v>
      </c>
      <c r="H800" s="8">
        <v>49139500</v>
      </c>
      <c r="I800" s="10" t="s">
        <v>696</v>
      </c>
      <c r="J800" s="7" t="s">
        <v>415</v>
      </c>
      <c r="K800" s="10" t="s">
        <v>414</v>
      </c>
      <c r="L800" s="7" t="s">
        <v>415</v>
      </c>
      <c r="M800" s="7"/>
      <c r="N800" s="7">
        <f>VLOOKUP(J800,[1]Sheet1!$C:$D,2,FALSE)</f>
        <v>5858</v>
      </c>
      <c r="O800" s="7">
        <f>VLOOKUP(J800,[2]Desa!$A:$D,4,FALSE)</f>
        <v>304</v>
      </c>
      <c r="P800" s="7">
        <f>VLOOKUP(J800,[3]Sheet1!$D:$F,3,FALSE)</f>
        <v>48</v>
      </c>
      <c r="Q800" s="7"/>
      <c r="R800" s="7"/>
      <c r="S800" s="12">
        <v>-8.6988118808480195</v>
      </c>
      <c r="T800" s="12">
        <v>116.07192002670401</v>
      </c>
      <c r="U800" s="7"/>
      <c r="V800" s="50">
        <f>Table13678[[#This Row],[PAGU SEMULA]]-Table13678[[#This Row],[PAGU ANGGARAN]]</f>
        <v>-49139500</v>
      </c>
      <c r="W800" s="50">
        <f>Table13678[[#This Row],[PAGU SEMULA]]-Table13678[[#This Row],[PAGU ANGGARAN]]</f>
        <v>-49139500</v>
      </c>
      <c r="X800" t="s">
        <v>987</v>
      </c>
    </row>
    <row r="801" spans="1:24" hidden="1">
      <c r="C801" s="7" t="s">
        <v>29</v>
      </c>
      <c r="D801" s="7" t="s">
        <v>30</v>
      </c>
      <c r="E801" s="7" t="s">
        <v>31</v>
      </c>
      <c r="F801" s="7" t="s">
        <v>32</v>
      </c>
      <c r="G801" s="7" t="s">
        <v>33</v>
      </c>
      <c r="H801" s="8">
        <v>790860000</v>
      </c>
      <c r="I801" s="10" t="s">
        <v>703</v>
      </c>
      <c r="J801" s="7" t="s">
        <v>704</v>
      </c>
      <c r="K801" s="10" t="s">
        <v>414</v>
      </c>
      <c r="L801" s="7" t="s">
        <v>415</v>
      </c>
      <c r="M801" s="7"/>
      <c r="N801" s="7">
        <f>VLOOKUP(J801,[1]Sheet1!$C:$D,2,FALSE)</f>
        <v>12680</v>
      </c>
      <c r="O801" s="7">
        <f>VLOOKUP(J801,[2]Desa!$A:$D,4,FALSE)</f>
        <v>323</v>
      </c>
      <c r="P801" s="7">
        <f>VLOOKUP(J801,[3]Sheet1!$D:$F,3,FALSE)</f>
        <v>96</v>
      </c>
      <c r="Q801" s="7"/>
      <c r="R801" s="7"/>
      <c r="S801" s="12">
        <v>-8.71907808859185</v>
      </c>
      <c r="T801" s="12">
        <v>116.07284146434201</v>
      </c>
      <c r="U801" s="7"/>
      <c r="V801" s="50">
        <f>Table13678[[#This Row],[PAGU SEMULA]]-Table13678[[#This Row],[PAGU ANGGARAN]]</f>
        <v>-790860000</v>
      </c>
      <c r="W801" s="50">
        <f>Table13678[[#This Row],[PAGU SEMULA]]-Table13678[[#This Row],[PAGU ANGGARAN]]</f>
        <v>-790860000</v>
      </c>
      <c r="X801" t="s">
        <v>984</v>
      </c>
    </row>
    <row r="802" spans="1:24" s="2" customFormat="1" hidden="1">
      <c r="A802"/>
      <c r="B802"/>
      <c r="C802" s="7" t="s">
        <v>29</v>
      </c>
      <c r="D802" s="7" t="s">
        <v>30</v>
      </c>
      <c r="E802" s="7" t="s">
        <v>31</v>
      </c>
      <c r="F802" s="7" t="s">
        <v>32</v>
      </c>
      <c r="G802" s="7" t="s">
        <v>34</v>
      </c>
      <c r="H802" s="8">
        <v>63268800</v>
      </c>
      <c r="I802" s="10" t="s">
        <v>703</v>
      </c>
      <c r="J802" s="7" t="s">
        <v>704</v>
      </c>
      <c r="K802" s="10" t="s">
        <v>414</v>
      </c>
      <c r="L802" s="7" t="s">
        <v>415</v>
      </c>
      <c r="M802" s="7"/>
      <c r="N802" s="7">
        <f>VLOOKUP(J802,[1]Sheet1!$C:$D,2,FALSE)</f>
        <v>12680</v>
      </c>
      <c r="O802" s="7">
        <f>VLOOKUP(J802,[2]Desa!$A:$D,4,FALSE)</f>
        <v>323</v>
      </c>
      <c r="P802" s="7">
        <f>VLOOKUP(J802,[3]Sheet1!$D:$F,3,FALSE)</f>
        <v>96</v>
      </c>
      <c r="Q802" s="7"/>
      <c r="R802" s="7"/>
      <c r="S802" s="12">
        <v>-8.71907808859185</v>
      </c>
      <c r="T802" s="12">
        <v>116.07284146434201</v>
      </c>
      <c r="U802" s="3"/>
      <c r="V802" s="51">
        <f>Table13678[[#This Row],[PAGU SEMULA]]-Table13678[[#This Row],[PAGU ANGGARAN]]</f>
        <v>-63268800</v>
      </c>
      <c r="W802" s="51">
        <f>Table13678[[#This Row],[PAGU SEMULA]]-Table13678[[#This Row],[PAGU ANGGARAN]]</f>
        <v>-63268800</v>
      </c>
      <c r="X802" t="s">
        <v>984</v>
      </c>
    </row>
    <row r="803" spans="1:24" s="3" customFormat="1" hidden="1">
      <c r="A803"/>
      <c r="B803"/>
      <c r="C803" s="7" t="s">
        <v>60</v>
      </c>
      <c r="D803" s="7" t="s">
        <v>61</v>
      </c>
      <c r="E803" s="7" t="s">
        <v>62</v>
      </c>
      <c r="F803" s="7" t="s">
        <v>63</v>
      </c>
      <c r="G803" s="71" t="s">
        <v>251</v>
      </c>
      <c r="H803" s="15">
        <v>36000000</v>
      </c>
      <c r="I803" s="10" t="s">
        <v>703</v>
      </c>
      <c r="J803" s="7" t="s">
        <v>704</v>
      </c>
      <c r="K803" s="10" t="s">
        <v>414</v>
      </c>
      <c r="L803" s="7" t="s">
        <v>415</v>
      </c>
      <c r="M803" s="7"/>
      <c r="N803" s="7">
        <f>VLOOKUP(J803,[1]Sheet1!$C:$D,2,FALSE)</f>
        <v>12680</v>
      </c>
      <c r="O803" s="7">
        <f>VLOOKUP(J803,[2]Desa!$A:$D,4,FALSE)</f>
        <v>323</v>
      </c>
      <c r="P803" s="7">
        <f>VLOOKUP(J803,[3]Sheet1!$D:$F,3,FALSE)</f>
        <v>96</v>
      </c>
      <c r="Q803" s="7"/>
      <c r="R803" s="7"/>
      <c r="S803" s="12">
        <v>-8.71907808859185</v>
      </c>
      <c r="T803" s="12">
        <v>116.07284146434201</v>
      </c>
      <c r="V803" s="51">
        <f>Table13678[[#This Row],[PAGU SEMULA]]-Table13678[[#This Row],[PAGU ANGGARAN]]</f>
        <v>-36000000</v>
      </c>
      <c r="W803" s="51">
        <f>Table13678[[#This Row],[PAGU SEMULA]]-Table13678[[#This Row],[PAGU ANGGARAN]]</f>
        <v>-36000000</v>
      </c>
      <c r="X803" t="s">
        <v>987</v>
      </c>
    </row>
    <row r="804" spans="1:24" hidden="1">
      <c r="C804" s="7" t="s">
        <v>60</v>
      </c>
      <c r="D804" s="7" t="s">
        <v>61</v>
      </c>
      <c r="E804" s="7" t="s">
        <v>62</v>
      </c>
      <c r="F804" s="7" t="s">
        <v>63</v>
      </c>
      <c r="G804" s="71" t="s">
        <v>705</v>
      </c>
      <c r="H804" s="15">
        <v>20000000</v>
      </c>
      <c r="I804" s="10" t="s">
        <v>703</v>
      </c>
      <c r="J804" s="7" t="s">
        <v>704</v>
      </c>
      <c r="K804" s="10" t="s">
        <v>414</v>
      </c>
      <c r="L804" s="7" t="s">
        <v>415</v>
      </c>
      <c r="M804" s="7"/>
      <c r="N804" s="7">
        <f>VLOOKUP(J804,[1]Sheet1!$C:$D,2,FALSE)</f>
        <v>12680</v>
      </c>
      <c r="O804" s="7">
        <f>VLOOKUP(J804,[2]Desa!$A:$D,4,FALSE)</f>
        <v>323</v>
      </c>
      <c r="P804" s="7">
        <f>VLOOKUP(J804,[3]Sheet1!$D:$F,3,FALSE)</f>
        <v>96</v>
      </c>
      <c r="Q804" s="7"/>
      <c r="R804" s="7"/>
      <c r="S804" s="12">
        <v>-8.71907808859185</v>
      </c>
      <c r="T804" s="12">
        <v>116.07284146434201</v>
      </c>
      <c r="U804" s="7"/>
      <c r="V804" s="50">
        <f>Table13678[[#This Row],[PAGU SEMULA]]-Table13678[[#This Row],[PAGU ANGGARAN]]</f>
        <v>-20000000</v>
      </c>
      <c r="W804" s="50">
        <f>Table13678[[#This Row],[PAGU SEMULA]]-Table13678[[#This Row],[PAGU ANGGARAN]]</f>
        <v>-20000000</v>
      </c>
      <c r="X804" t="s">
        <v>987</v>
      </c>
    </row>
    <row r="805" spans="1:24" hidden="1">
      <c r="C805" s="7" t="s">
        <v>60</v>
      </c>
      <c r="D805" s="7" t="s">
        <v>61</v>
      </c>
      <c r="E805" s="7" t="s">
        <v>62</v>
      </c>
      <c r="F805" s="7" t="s">
        <v>63</v>
      </c>
      <c r="G805" s="71" t="s">
        <v>706</v>
      </c>
      <c r="H805" s="15">
        <v>2700000</v>
      </c>
      <c r="I805" s="10" t="s">
        <v>703</v>
      </c>
      <c r="J805" s="7" t="s">
        <v>704</v>
      </c>
      <c r="K805" s="10" t="s">
        <v>414</v>
      </c>
      <c r="L805" s="7" t="s">
        <v>415</v>
      </c>
      <c r="M805" s="7"/>
      <c r="N805" s="7">
        <f>VLOOKUP(J805,[1]Sheet1!$C:$D,2,FALSE)</f>
        <v>12680</v>
      </c>
      <c r="O805" s="7">
        <f>VLOOKUP(J805,[2]Desa!$A:$D,4,FALSE)</f>
        <v>323</v>
      </c>
      <c r="P805" s="7">
        <f>VLOOKUP(J805,[3]Sheet1!$D:$F,3,FALSE)</f>
        <v>96</v>
      </c>
      <c r="Q805" s="7"/>
      <c r="R805" s="7"/>
      <c r="S805" s="12">
        <v>-8.71907808859185</v>
      </c>
      <c r="T805" s="12">
        <v>116.07284146434201</v>
      </c>
      <c r="U805" s="7"/>
      <c r="V805" s="50">
        <f>Table13678[[#This Row],[PAGU SEMULA]]-Table13678[[#This Row],[PAGU ANGGARAN]]</f>
        <v>-2700000</v>
      </c>
      <c r="W805" s="50">
        <f>Table13678[[#This Row],[PAGU SEMULA]]-Table13678[[#This Row],[PAGU ANGGARAN]]</f>
        <v>-2700000</v>
      </c>
      <c r="X805" t="s">
        <v>987</v>
      </c>
    </row>
    <row r="806" spans="1:24" hidden="1">
      <c r="C806" s="7" t="s">
        <v>60</v>
      </c>
      <c r="D806" s="7" t="s">
        <v>61</v>
      </c>
      <c r="E806" s="7" t="s">
        <v>62</v>
      </c>
      <c r="F806" s="7" t="s">
        <v>63</v>
      </c>
      <c r="G806" s="71" t="s">
        <v>707</v>
      </c>
      <c r="H806" s="15">
        <v>4875000</v>
      </c>
      <c r="I806" s="10" t="s">
        <v>703</v>
      </c>
      <c r="J806" s="7" t="s">
        <v>704</v>
      </c>
      <c r="K806" s="10" t="s">
        <v>414</v>
      </c>
      <c r="L806" s="7" t="s">
        <v>415</v>
      </c>
      <c r="M806" s="7"/>
      <c r="N806" s="7">
        <f>VLOOKUP(J806,[1]Sheet1!$C:$D,2,FALSE)</f>
        <v>12680</v>
      </c>
      <c r="O806" s="7">
        <f>VLOOKUP(J806,[2]Desa!$A:$D,4,FALSE)</f>
        <v>323</v>
      </c>
      <c r="P806" s="7">
        <f>VLOOKUP(J806,[3]Sheet1!$D:$F,3,FALSE)</f>
        <v>96</v>
      </c>
      <c r="Q806" s="7"/>
      <c r="R806" s="7"/>
      <c r="S806" s="12">
        <v>-8.71907808859185</v>
      </c>
      <c r="T806" s="12">
        <v>116.07284146434201</v>
      </c>
      <c r="U806" s="7"/>
      <c r="V806" s="50">
        <f>Table13678[[#This Row],[PAGU SEMULA]]-Table13678[[#This Row],[PAGU ANGGARAN]]</f>
        <v>-4875000</v>
      </c>
      <c r="W806" s="50">
        <f>Table13678[[#This Row],[PAGU SEMULA]]-Table13678[[#This Row],[PAGU ANGGARAN]]</f>
        <v>-4875000</v>
      </c>
      <c r="X806" t="s">
        <v>987</v>
      </c>
    </row>
    <row r="807" spans="1:24" hidden="1">
      <c r="C807" s="7" t="s">
        <v>198</v>
      </c>
      <c r="D807" s="7" t="s">
        <v>199</v>
      </c>
      <c r="E807" s="7" t="s">
        <v>200</v>
      </c>
      <c r="F807" s="7" t="s">
        <v>201</v>
      </c>
      <c r="G807" s="7" t="s">
        <v>708</v>
      </c>
      <c r="H807" s="8">
        <v>96045500</v>
      </c>
      <c r="I807" s="10" t="s">
        <v>703</v>
      </c>
      <c r="J807" s="7" t="s">
        <v>704</v>
      </c>
      <c r="K807" s="10" t="s">
        <v>414</v>
      </c>
      <c r="L807" s="7" t="s">
        <v>415</v>
      </c>
      <c r="M807" s="7"/>
      <c r="N807" s="7">
        <f>VLOOKUP(J807,[1]Sheet1!$C:$D,2,FALSE)</f>
        <v>12680</v>
      </c>
      <c r="O807" s="7">
        <f>VLOOKUP(J807,[2]Desa!$A:$D,4,FALSE)</f>
        <v>323</v>
      </c>
      <c r="P807" s="7">
        <f>VLOOKUP(J807,[3]Sheet1!$D:$F,3,FALSE)</f>
        <v>96</v>
      </c>
      <c r="Q807" s="7"/>
      <c r="R807" s="7"/>
      <c r="S807" s="12">
        <v>-8.71907808859185</v>
      </c>
      <c r="T807" s="12">
        <v>116.07284146434201</v>
      </c>
      <c r="U807" s="7"/>
      <c r="V807" s="50">
        <f>Table13678[[#This Row],[PAGU SEMULA]]-Table13678[[#This Row],[PAGU ANGGARAN]]</f>
        <v>-96045500</v>
      </c>
      <c r="W807" s="50">
        <f>Table13678[[#This Row],[PAGU SEMULA]]-Table13678[[#This Row],[PAGU ANGGARAN]]</f>
        <v>-96045500</v>
      </c>
      <c r="X807" t="s">
        <v>982</v>
      </c>
    </row>
    <row r="808" spans="1:24" hidden="1">
      <c r="C808" s="7" t="s">
        <v>198</v>
      </c>
      <c r="D808" s="7" t="s">
        <v>199</v>
      </c>
      <c r="E808" s="7" t="s">
        <v>200</v>
      </c>
      <c r="F808" s="7" t="s">
        <v>201</v>
      </c>
      <c r="G808" s="7" t="s">
        <v>202</v>
      </c>
      <c r="H808" s="8">
        <v>76542000</v>
      </c>
      <c r="I808" s="10" t="s">
        <v>703</v>
      </c>
      <c r="J808" s="7" t="s">
        <v>704</v>
      </c>
      <c r="K808" s="10" t="s">
        <v>414</v>
      </c>
      <c r="L808" s="7" t="s">
        <v>415</v>
      </c>
      <c r="M808" s="7"/>
      <c r="N808" s="7">
        <f>VLOOKUP(J808,[1]Sheet1!$C:$D,2,FALSE)</f>
        <v>12680</v>
      </c>
      <c r="O808" s="7">
        <f>VLOOKUP(J808,[2]Desa!$A:$D,4,FALSE)</f>
        <v>323</v>
      </c>
      <c r="P808" s="7">
        <f>VLOOKUP(J808,[3]Sheet1!$D:$F,3,FALSE)</f>
        <v>96</v>
      </c>
      <c r="Q808" s="7"/>
      <c r="R808" s="7"/>
      <c r="S808" s="12">
        <v>-8.71907808859185</v>
      </c>
      <c r="T808" s="12">
        <v>116.07284146434201</v>
      </c>
      <c r="U808" s="7"/>
      <c r="V808" s="50">
        <f>Table13678[[#This Row],[PAGU SEMULA]]-Table13678[[#This Row],[PAGU ANGGARAN]]</f>
        <v>-76542000</v>
      </c>
      <c r="W808" s="50">
        <f>Table13678[[#This Row],[PAGU SEMULA]]-Table13678[[#This Row],[PAGU ANGGARAN]]</f>
        <v>-76542000</v>
      </c>
      <c r="X808" t="s">
        <v>982</v>
      </c>
    </row>
    <row r="809" spans="1:24" hidden="1">
      <c r="C809" s="7" t="s">
        <v>198</v>
      </c>
      <c r="D809" s="7" t="s">
        <v>332</v>
      </c>
      <c r="E809" s="7" t="s">
        <v>333</v>
      </c>
      <c r="F809" s="7" t="s">
        <v>334</v>
      </c>
      <c r="G809" s="7" t="s">
        <v>709</v>
      </c>
      <c r="H809" s="8">
        <v>91500000</v>
      </c>
      <c r="I809" s="10" t="s">
        <v>703</v>
      </c>
      <c r="J809" s="7" t="s">
        <v>704</v>
      </c>
      <c r="K809" s="10" t="s">
        <v>414</v>
      </c>
      <c r="L809" s="7" t="s">
        <v>415</v>
      </c>
      <c r="M809" s="7"/>
      <c r="N809" s="7">
        <f>VLOOKUP(J809,[1]Sheet1!$C:$D,2,FALSE)</f>
        <v>12680</v>
      </c>
      <c r="O809" s="7">
        <f>VLOOKUP(J809,[2]Desa!$A:$D,4,FALSE)</f>
        <v>323</v>
      </c>
      <c r="P809" s="7">
        <f>VLOOKUP(J809,[3]Sheet1!$D:$F,3,FALSE)</f>
        <v>96</v>
      </c>
      <c r="Q809" s="7"/>
      <c r="R809" s="7"/>
      <c r="S809" s="12">
        <v>-8.71907808859185</v>
      </c>
      <c r="T809" s="12">
        <v>116.07284146434201</v>
      </c>
      <c r="U809" s="7"/>
      <c r="V809" s="50">
        <f>Table13678[[#This Row],[PAGU SEMULA]]-Table13678[[#This Row],[PAGU ANGGARAN]]</f>
        <v>-91500000</v>
      </c>
      <c r="W809" s="50">
        <f>Table13678[[#This Row],[PAGU SEMULA]]-Table13678[[#This Row],[PAGU ANGGARAN]]</f>
        <v>-91500000</v>
      </c>
      <c r="X809" t="s">
        <v>982</v>
      </c>
    </row>
    <row r="810" spans="1:24" hidden="1">
      <c r="C810" s="7" t="s">
        <v>110</v>
      </c>
      <c r="D810" s="7" t="s">
        <v>208</v>
      </c>
      <c r="E810" s="7" t="s">
        <v>209</v>
      </c>
      <c r="F810" s="7" t="s">
        <v>210</v>
      </c>
      <c r="G810" s="71" t="s">
        <v>211</v>
      </c>
      <c r="H810" s="8">
        <v>53500000</v>
      </c>
      <c r="I810" s="10" t="s">
        <v>703</v>
      </c>
      <c r="J810" s="7" t="s">
        <v>704</v>
      </c>
      <c r="K810" s="10" t="s">
        <v>414</v>
      </c>
      <c r="L810" s="7" t="s">
        <v>415</v>
      </c>
      <c r="M810" s="7"/>
      <c r="N810" s="7">
        <f>VLOOKUP(J810,[1]Sheet1!$C:$D,2,FALSE)</f>
        <v>12680</v>
      </c>
      <c r="O810" s="7">
        <f>VLOOKUP(J810,[2]Desa!$A:$D,4,FALSE)</f>
        <v>323</v>
      </c>
      <c r="P810" s="7">
        <f>VLOOKUP(J810,[3]Sheet1!$D:$F,3,FALSE)</f>
        <v>96</v>
      </c>
      <c r="Q810" s="7"/>
      <c r="R810" s="7"/>
      <c r="S810" s="12">
        <v>-8.71907808859185</v>
      </c>
      <c r="T810" s="12">
        <v>116.07284146434201</v>
      </c>
      <c r="U810" s="7"/>
      <c r="V810" s="50">
        <f>Table13678[[#This Row],[PAGU SEMULA]]-Table13678[[#This Row],[PAGU ANGGARAN]]</f>
        <v>-53500000</v>
      </c>
      <c r="W810" s="50">
        <f>Table13678[[#This Row],[PAGU SEMULA]]-Table13678[[#This Row],[PAGU ANGGARAN]]</f>
        <v>-53500000</v>
      </c>
      <c r="X810" t="s">
        <v>982</v>
      </c>
    </row>
    <row r="811" spans="1:24" hidden="1">
      <c r="C811" s="7" t="s">
        <v>35</v>
      </c>
      <c r="D811" s="7" t="s">
        <v>36</v>
      </c>
      <c r="E811" s="7" t="s">
        <v>37</v>
      </c>
      <c r="F811" s="7" t="s">
        <v>38</v>
      </c>
      <c r="G811" s="7" t="s">
        <v>39</v>
      </c>
      <c r="H811" s="15">
        <v>75000000</v>
      </c>
      <c r="I811" s="10" t="s">
        <v>703</v>
      </c>
      <c r="J811" s="7" t="s">
        <v>704</v>
      </c>
      <c r="K811" s="10" t="s">
        <v>414</v>
      </c>
      <c r="L811" s="7" t="s">
        <v>415</v>
      </c>
      <c r="M811" s="7"/>
      <c r="N811" s="7">
        <f>VLOOKUP(J811,[1]Sheet1!$C:$D,2,FALSE)</f>
        <v>12680</v>
      </c>
      <c r="O811" s="7">
        <f>VLOOKUP(J811,[2]Desa!$A:$D,4,FALSE)</f>
        <v>323</v>
      </c>
      <c r="P811" s="7">
        <f>VLOOKUP(J811,[3]Sheet1!$D:$F,3,FALSE)</f>
        <v>96</v>
      </c>
      <c r="Q811" s="7"/>
      <c r="R811" s="7"/>
      <c r="S811" s="12">
        <v>-8.71907808859185</v>
      </c>
      <c r="T811" s="12">
        <v>116.07284146434201</v>
      </c>
      <c r="U811" s="7"/>
      <c r="V811" s="50">
        <f>Table13678[[#This Row],[PAGU SEMULA]]-Table13678[[#This Row],[PAGU ANGGARAN]]</f>
        <v>-75000000</v>
      </c>
      <c r="W811" s="50">
        <f>Table13678[[#This Row],[PAGU SEMULA]]-Table13678[[#This Row],[PAGU ANGGARAN]]</f>
        <v>-75000000</v>
      </c>
      <c r="X811" t="s">
        <v>984</v>
      </c>
    </row>
    <row r="812" spans="1:24" hidden="1">
      <c r="C812" s="7" t="s">
        <v>35</v>
      </c>
      <c r="D812" s="7" t="s">
        <v>36</v>
      </c>
      <c r="E812" s="7" t="s">
        <v>37</v>
      </c>
      <c r="F812" s="7" t="s">
        <v>40</v>
      </c>
      <c r="G812" s="7" t="s">
        <v>98</v>
      </c>
      <c r="H812" s="15">
        <v>90000000</v>
      </c>
      <c r="I812" s="10" t="s">
        <v>703</v>
      </c>
      <c r="J812" s="7" t="s">
        <v>704</v>
      </c>
      <c r="K812" s="10" t="s">
        <v>414</v>
      </c>
      <c r="L812" s="7" t="s">
        <v>415</v>
      </c>
      <c r="M812" s="7"/>
      <c r="N812" s="7">
        <f>VLOOKUP(J812,[1]Sheet1!$C:$D,2,FALSE)</f>
        <v>12680</v>
      </c>
      <c r="O812" s="7">
        <f>VLOOKUP(J812,[2]Desa!$A:$D,4,FALSE)</f>
        <v>323</v>
      </c>
      <c r="P812" s="7">
        <f>VLOOKUP(J812,[3]Sheet1!$D:$F,3,FALSE)</f>
        <v>96</v>
      </c>
      <c r="Q812" s="7"/>
      <c r="R812" s="7"/>
      <c r="S812" s="12">
        <v>-8.71907808859185</v>
      </c>
      <c r="T812" s="12">
        <v>116.07284146434201</v>
      </c>
      <c r="U812" s="7"/>
      <c r="V812" s="50">
        <f>Table13678[[#This Row],[PAGU SEMULA]]-Table13678[[#This Row],[PAGU ANGGARAN]]</f>
        <v>-90000000</v>
      </c>
      <c r="W812" s="50">
        <f>Table13678[[#This Row],[PAGU SEMULA]]-Table13678[[#This Row],[PAGU ANGGARAN]]</f>
        <v>-90000000</v>
      </c>
      <c r="X812" t="s">
        <v>986</v>
      </c>
    </row>
    <row r="813" spans="1:24" hidden="1">
      <c r="C813" s="7" t="s">
        <v>35</v>
      </c>
      <c r="D813" s="7" t="s">
        <v>42</v>
      </c>
      <c r="E813" s="7" t="s">
        <v>43</v>
      </c>
      <c r="F813" s="7" t="s">
        <v>44</v>
      </c>
      <c r="G813" s="7" t="s">
        <v>710</v>
      </c>
      <c r="H813" s="15">
        <v>3883140480</v>
      </c>
      <c r="I813" s="10" t="s">
        <v>703</v>
      </c>
      <c r="J813" s="7" t="s">
        <v>704</v>
      </c>
      <c r="K813" s="10" t="s">
        <v>414</v>
      </c>
      <c r="L813" s="7" t="s">
        <v>415</v>
      </c>
      <c r="M813" s="7"/>
      <c r="N813" s="7">
        <f>VLOOKUP(J813,[1]Sheet1!$C:$D,2,FALSE)</f>
        <v>12680</v>
      </c>
      <c r="O813" s="7">
        <f>VLOOKUP(J813,[2]Desa!$A:$D,4,FALSE)</f>
        <v>323</v>
      </c>
      <c r="P813" s="7">
        <f>VLOOKUP(J813,[3]Sheet1!$D:$F,3,FALSE)</f>
        <v>96</v>
      </c>
      <c r="Q813" s="7"/>
      <c r="R813" s="7"/>
      <c r="S813" s="12">
        <v>-8.71907808859185</v>
      </c>
      <c r="T813" s="12">
        <v>116.07284146434201</v>
      </c>
      <c r="U813" s="7"/>
      <c r="V813" s="50">
        <f>Table13678[[#This Row],[PAGU SEMULA]]-Table13678[[#This Row],[PAGU ANGGARAN]]</f>
        <v>-3883140480</v>
      </c>
      <c r="W813" s="50">
        <f>Table13678[[#This Row],[PAGU SEMULA]]-Table13678[[#This Row],[PAGU ANGGARAN]]</f>
        <v>-3883140480</v>
      </c>
      <c r="X813" t="s">
        <v>986</v>
      </c>
    </row>
    <row r="814" spans="1:24" hidden="1">
      <c r="C814" s="7" t="s">
        <v>35</v>
      </c>
      <c r="D814" s="7" t="s">
        <v>354</v>
      </c>
      <c r="E814" s="7" t="s">
        <v>355</v>
      </c>
      <c r="F814" s="7" t="s">
        <v>356</v>
      </c>
      <c r="G814" s="7" t="s">
        <v>711</v>
      </c>
      <c r="H814" s="17">
        <v>2700000000</v>
      </c>
      <c r="I814" s="10" t="s">
        <v>703</v>
      </c>
      <c r="J814" s="7" t="s">
        <v>704</v>
      </c>
      <c r="K814" s="10" t="s">
        <v>414</v>
      </c>
      <c r="L814" s="7" t="s">
        <v>415</v>
      </c>
      <c r="M814" s="7"/>
      <c r="N814" s="7">
        <f>VLOOKUP(J814,[1]Sheet1!$C:$D,2,FALSE)</f>
        <v>12680</v>
      </c>
      <c r="O814" s="7">
        <f>VLOOKUP(J814,[2]Desa!$A:$D,4,FALSE)</f>
        <v>323</v>
      </c>
      <c r="P814" s="7">
        <f>VLOOKUP(J814,[3]Sheet1!$D:$F,3,FALSE)</f>
        <v>96</v>
      </c>
      <c r="Q814" s="7"/>
      <c r="R814" s="7"/>
      <c r="S814" s="12">
        <v>-8.71907808859185</v>
      </c>
      <c r="T814" s="12">
        <v>116.07284146434201</v>
      </c>
      <c r="U814" s="7"/>
      <c r="V814" s="50">
        <f>Table13678[[#This Row],[PAGU SEMULA]]-Table13678[[#This Row],[PAGU ANGGARAN]]</f>
        <v>-2700000000</v>
      </c>
      <c r="W814" s="50">
        <f>Table13678[[#This Row],[PAGU SEMULA]]-Table13678[[#This Row],[PAGU ANGGARAN]]</f>
        <v>-2700000000</v>
      </c>
      <c r="X814" t="s">
        <v>986</v>
      </c>
    </row>
    <row r="815" spans="1:24" hidden="1">
      <c r="C815" s="7" t="s">
        <v>46</v>
      </c>
      <c r="D815" s="7" t="s">
        <v>122</v>
      </c>
      <c r="E815" s="7" t="s">
        <v>123</v>
      </c>
      <c r="F815" s="7" t="s">
        <v>124</v>
      </c>
      <c r="G815" s="7" t="s">
        <v>369</v>
      </c>
      <c r="H815" s="8">
        <v>100000000</v>
      </c>
      <c r="I815" s="10" t="s">
        <v>703</v>
      </c>
      <c r="J815" s="7" t="s">
        <v>704</v>
      </c>
      <c r="K815" s="10" t="s">
        <v>414</v>
      </c>
      <c r="L815" s="7" t="s">
        <v>415</v>
      </c>
      <c r="M815" s="7"/>
      <c r="N815" s="7">
        <f>VLOOKUP(J815,[1]Sheet1!$C:$D,2,FALSE)</f>
        <v>12680</v>
      </c>
      <c r="O815" s="7">
        <f>VLOOKUP(J815,[2]Desa!$A:$D,4,FALSE)</f>
        <v>323</v>
      </c>
      <c r="P815" s="7">
        <f>VLOOKUP(J815,[3]Sheet1!$D:$F,3,FALSE)</f>
        <v>96</v>
      </c>
      <c r="Q815" s="7"/>
      <c r="R815" s="7"/>
      <c r="S815" s="12">
        <v>-8.71907808859185</v>
      </c>
      <c r="T815" s="12">
        <v>116.07284146434201</v>
      </c>
      <c r="U815" s="7"/>
      <c r="V815" s="50">
        <f>Table13678[[#This Row],[PAGU SEMULA]]-Table13678[[#This Row],[PAGU ANGGARAN]]</f>
        <v>-100000000</v>
      </c>
      <c r="W815" s="50">
        <f>Table13678[[#This Row],[PAGU SEMULA]]-Table13678[[#This Row],[PAGU ANGGARAN]]</f>
        <v>-100000000</v>
      </c>
      <c r="X815" t="s">
        <v>987</v>
      </c>
    </row>
    <row r="816" spans="1:24" hidden="1">
      <c r="C816" s="7" t="s">
        <v>51</v>
      </c>
      <c r="D816" s="7" t="s">
        <v>52</v>
      </c>
      <c r="E816" s="7" t="s">
        <v>53</v>
      </c>
      <c r="F816" s="7" t="s">
        <v>54</v>
      </c>
      <c r="G816" s="7" t="s">
        <v>73</v>
      </c>
      <c r="H816" s="8">
        <v>189090000</v>
      </c>
      <c r="I816" s="10" t="s">
        <v>703</v>
      </c>
      <c r="J816" s="7" t="s">
        <v>704</v>
      </c>
      <c r="K816" s="10" t="s">
        <v>414</v>
      </c>
      <c r="L816" s="7" t="s">
        <v>415</v>
      </c>
      <c r="M816" s="7"/>
      <c r="N816" s="7">
        <f>VLOOKUP(J816,[1]Sheet1!$C:$D,2,FALSE)</f>
        <v>12680</v>
      </c>
      <c r="O816" s="7">
        <f>VLOOKUP(J816,[2]Desa!$A:$D,4,FALSE)</f>
        <v>323</v>
      </c>
      <c r="P816" s="7">
        <f>VLOOKUP(J816,[3]Sheet1!$D:$F,3,FALSE)</f>
        <v>96</v>
      </c>
      <c r="Q816" s="7"/>
      <c r="R816" s="7"/>
      <c r="S816" s="12">
        <v>-8.71907808859185</v>
      </c>
      <c r="T816" s="12">
        <v>116.07284146434201</v>
      </c>
      <c r="U816" s="7"/>
      <c r="V816" s="50">
        <f>Table13678[[#This Row],[PAGU SEMULA]]-Table13678[[#This Row],[PAGU ANGGARAN]]</f>
        <v>-189090000</v>
      </c>
      <c r="W816" s="50">
        <f>Table13678[[#This Row],[PAGU SEMULA]]-Table13678[[#This Row],[PAGU ANGGARAN]]</f>
        <v>-189090000</v>
      </c>
      <c r="X816" t="s">
        <v>986</v>
      </c>
    </row>
    <row r="817" spans="3:24" hidden="1">
      <c r="C817" s="7" t="s">
        <v>20</v>
      </c>
      <c r="D817" s="7" t="s">
        <v>104</v>
      </c>
      <c r="E817" s="7" t="s">
        <v>145</v>
      </c>
      <c r="F817" s="7" t="s">
        <v>243</v>
      </c>
      <c r="G817" s="71" t="s">
        <v>712</v>
      </c>
      <c r="H817" s="15">
        <v>118040000</v>
      </c>
      <c r="I817" s="10" t="s">
        <v>713</v>
      </c>
      <c r="J817" s="7" t="s">
        <v>714</v>
      </c>
      <c r="K817" s="10" t="s">
        <v>58</v>
      </c>
      <c r="L817" s="7" t="s">
        <v>59</v>
      </c>
      <c r="M817" s="7"/>
      <c r="N817" s="7">
        <f>VLOOKUP(J817,[1]Sheet1!$C:$D,2,FALSE)</f>
        <v>5780</v>
      </c>
      <c r="O817" s="7">
        <f>VLOOKUP(J817,[2]Desa!$A:$D,4,FALSE)</f>
        <v>74</v>
      </c>
      <c r="P817" s="7">
        <f>VLOOKUP(J817,[3]Sheet1!$D:$F,3,FALSE)</f>
        <v>40</v>
      </c>
      <c r="Q817" s="7"/>
      <c r="R817" s="7"/>
      <c r="S817" s="12">
        <v>-8.5916667060055492</v>
      </c>
      <c r="T817" s="12">
        <v>116.202319406686</v>
      </c>
      <c r="U817" s="7"/>
      <c r="V817" s="50">
        <f>Table13678[[#This Row],[PAGU SEMULA]]-Table13678[[#This Row],[PAGU ANGGARAN]]</f>
        <v>-118040000</v>
      </c>
      <c r="W817" s="50">
        <f>Table13678[[#This Row],[PAGU SEMULA]]-Table13678[[#This Row],[PAGU ANGGARAN]]</f>
        <v>-118040000</v>
      </c>
      <c r="X817" t="s">
        <v>984</v>
      </c>
    </row>
    <row r="818" spans="3:24" hidden="1">
      <c r="C818" s="7" t="s">
        <v>29</v>
      </c>
      <c r="D818" s="7" t="s">
        <v>30</v>
      </c>
      <c r="E818" s="7" t="s">
        <v>31</v>
      </c>
      <c r="F818" s="7" t="s">
        <v>32</v>
      </c>
      <c r="G818" s="7" t="s">
        <v>33</v>
      </c>
      <c r="H818" s="8">
        <v>201600000</v>
      </c>
      <c r="I818" s="10" t="s">
        <v>713</v>
      </c>
      <c r="J818" s="7" t="s">
        <v>714</v>
      </c>
      <c r="K818" s="10" t="s">
        <v>58</v>
      </c>
      <c r="L818" s="7" t="s">
        <v>59</v>
      </c>
      <c r="M818" s="7"/>
      <c r="N818" s="7">
        <f>VLOOKUP(J818,[1]Sheet1!$C:$D,2,FALSE)</f>
        <v>5780</v>
      </c>
      <c r="O818" s="7">
        <f>VLOOKUP(J818,[2]Desa!$A:$D,4,FALSE)</f>
        <v>74</v>
      </c>
      <c r="P818" s="7">
        <f>VLOOKUP(J818,[3]Sheet1!$D:$F,3,FALSE)</f>
        <v>40</v>
      </c>
      <c r="Q818" s="7"/>
      <c r="R818" s="7"/>
      <c r="S818" s="12">
        <v>-8.5916667060055492</v>
      </c>
      <c r="T818" s="12">
        <v>116.202319406686</v>
      </c>
      <c r="U818" s="7"/>
      <c r="V818" s="50">
        <f>Table13678[[#This Row],[PAGU SEMULA]]-Table13678[[#This Row],[PAGU ANGGARAN]]</f>
        <v>-201600000</v>
      </c>
      <c r="W818" s="50">
        <f>Table13678[[#This Row],[PAGU SEMULA]]-Table13678[[#This Row],[PAGU ANGGARAN]]</f>
        <v>-201600000</v>
      </c>
      <c r="X818" t="s">
        <v>984</v>
      </c>
    </row>
    <row r="819" spans="3:24" hidden="1">
      <c r="C819" s="7" t="s">
        <v>29</v>
      </c>
      <c r="D819" s="7" t="s">
        <v>30</v>
      </c>
      <c r="E819" s="7" t="s">
        <v>31</v>
      </c>
      <c r="F819" s="7" t="s">
        <v>32</v>
      </c>
      <c r="G819" s="7" t="s">
        <v>34</v>
      </c>
      <c r="H819" s="8">
        <v>16128000</v>
      </c>
      <c r="I819" s="10" t="s">
        <v>713</v>
      </c>
      <c r="J819" s="7" t="s">
        <v>714</v>
      </c>
      <c r="K819" s="10" t="s">
        <v>58</v>
      </c>
      <c r="L819" s="7" t="s">
        <v>59</v>
      </c>
      <c r="M819" s="7"/>
      <c r="N819" s="7">
        <f>VLOOKUP(J819,[1]Sheet1!$C:$D,2,FALSE)</f>
        <v>5780</v>
      </c>
      <c r="O819" s="7">
        <f>VLOOKUP(J819,[2]Desa!$A:$D,4,FALSE)</f>
        <v>74</v>
      </c>
      <c r="P819" s="7">
        <f>VLOOKUP(J819,[3]Sheet1!$D:$F,3,FALSE)</f>
        <v>40</v>
      </c>
      <c r="Q819" s="7"/>
      <c r="R819" s="7"/>
      <c r="S819" s="12">
        <v>-8.5916667060055492</v>
      </c>
      <c r="T819" s="12">
        <v>116.202319406686</v>
      </c>
      <c r="U819" s="7"/>
      <c r="V819" s="50">
        <f>Table13678[[#This Row],[PAGU SEMULA]]-Table13678[[#This Row],[PAGU ANGGARAN]]</f>
        <v>-16128000</v>
      </c>
      <c r="W819" s="50">
        <f>Table13678[[#This Row],[PAGU SEMULA]]-Table13678[[#This Row],[PAGU ANGGARAN]]</f>
        <v>-16128000</v>
      </c>
      <c r="X819" t="s">
        <v>984</v>
      </c>
    </row>
    <row r="820" spans="3:24" hidden="1">
      <c r="C820" s="7" t="s">
        <v>60</v>
      </c>
      <c r="D820" s="7" t="s">
        <v>61</v>
      </c>
      <c r="E820" s="7" t="s">
        <v>62</v>
      </c>
      <c r="F820" s="7" t="s">
        <v>63</v>
      </c>
      <c r="G820" s="71" t="s">
        <v>64</v>
      </c>
      <c r="H820" s="15">
        <v>0</v>
      </c>
      <c r="I820" s="10" t="s">
        <v>713</v>
      </c>
      <c r="J820" s="7" t="s">
        <v>714</v>
      </c>
      <c r="K820" s="10" t="s">
        <v>58</v>
      </c>
      <c r="L820" s="7" t="s">
        <v>59</v>
      </c>
      <c r="M820" s="7"/>
      <c r="N820" s="7">
        <f>VLOOKUP(J820,[1]Sheet1!$C:$D,2,FALSE)</f>
        <v>5780</v>
      </c>
      <c r="O820" s="7">
        <f>VLOOKUP(J820,[2]Desa!$A:$D,4,FALSE)</f>
        <v>74</v>
      </c>
      <c r="P820" s="7">
        <f>VLOOKUP(J820,[3]Sheet1!$D:$F,3,FALSE)</f>
        <v>40</v>
      </c>
      <c r="Q820" s="7"/>
      <c r="R820" s="7"/>
      <c r="S820" s="12">
        <v>-8.5916667060055492</v>
      </c>
      <c r="T820" s="12">
        <v>116.202319406686</v>
      </c>
      <c r="U820" s="7"/>
      <c r="V820" s="50">
        <f>Table13678[[#This Row],[PAGU SEMULA]]-Table13678[[#This Row],[PAGU ANGGARAN]]</f>
        <v>0</v>
      </c>
      <c r="W820" s="50">
        <f>Table13678[[#This Row],[PAGU SEMULA]]-Table13678[[#This Row],[PAGU ANGGARAN]]</f>
        <v>0</v>
      </c>
      <c r="X820" t="s">
        <v>987</v>
      </c>
    </row>
    <row r="821" spans="3:24" hidden="1">
      <c r="C821" s="7" t="s">
        <v>110</v>
      </c>
      <c r="D821" s="7" t="s">
        <v>178</v>
      </c>
      <c r="E821" s="7" t="s">
        <v>179</v>
      </c>
      <c r="F821" s="7" t="s">
        <v>180</v>
      </c>
      <c r="G821" s="71" t="s">
        <v>181</v>
      </c>
      <c r="H821" s="8">
        <v>0</v>
      </c>
      <c r="I821" s="10" t="s">
        <v>713</v>
      </c>
      <c r="J821" s="7" t="s">
        <v>714</v>
      </c>
      <c r="K821" s="10" t="s">
        <v>58</v>
      </c>
      <c r="L821" s="7" t="s">
        <v>59</v>
      </c>
      <c r="M821" s="7"/>
      <c r="N821" s="7">
        <f>VLOOKUP(J821,[1]Sheet1!$C:$D,2,FALSE)</f>
        <v>5780</v>
      </c>
      <c r="O821" s="7">
        <f>VLOOKUP(J821,[2]Desa!$A:$D,4,FALSE)</f>
        <v>74</v>
      </c>
      <c r="P821" s="7">
        <f>VLOOKUP(J821,[3]Sheet1!$D:$F,3,FALSE)</f>
        <v>40</v>
      </c>
      <c r="Q821" s="7"/>
      <c r="R821" s="7"/>
      <c r="S821" s="12">
        <v>-8.5916667060055492</v>
      </c>
      <c r="T821" s="12">
        <v>116.202319406686</v>
      </c>
      <c r="U821" s="7"/>
      <c r="V821" s="50">
        <f>Table13678[[#This Row],[PAGU SEMULA]]-Table13678[[#This Row],[PAGU ANGGARAN]]</f>
        <v>0</v>
      </c>
      <c r="W821" s="50">
        <f>Table13678[[#This Row],[PAGU SEMULA]]-Table13678[[#This Row],[PAGU ANGGARAN]]</f>
        <v>0</v>
      </c>
      <c r="X821" t="s">
        <v>982</v>
      </c>
    </row>
    <row r="822" spans="3:24" hidden="1">
      <c r="C822" s="7" t="s">
        <v>35</v>
      </c>
      <c r="D822" s="7" t="s">
        <v>36</v>
      </c>
      <c r="E822" s="7" t="s">
        <v>37</v>
      </c>
      <c r="F822" s="7" t="s">
        <v>38</v>
      </c>
      <c r="G822" s="7" t="s">
        <v>39</v>
      </c>
      <c r="H822" s="15">
        <v>75000000</v>
      </c>
      <c r="I822" s="10" t="s">
        <v>713</v>
      </c>
      <c r="J822" s="7" t="s">
        <v>714</v>
      </c>
      <c r="K822" s="10" t="s">
        <v>58</v>
      </c>
      <c r="L822" s="7" t="s">
        <v>59</v>
      </c>
      <c r="M822" s="7"/>
      <c r="N822" s="7">
        <f>VLOOKUP(J822,[1]Sheet1!$C:$D,2,FALSE)</f>
        <v>5780</v>
      </c>
      <c r="O822" s="7">
        <f>VLOOKUP(J822,[2]Desa!$A:$D,4,FALSE)</f>
        <v>74</v>
      </c>
      <c r="P822" s="7">
        <f>VLOOKUP(J822,[3]Sheet1!$D:$F,3,FALSE)</f>
        <v>40</v>
      </c>
      <c r="Q822" s="7"/>
      <c r="R822" s="7"/>
      <c r="S822" s="12">
        <v>-8.5916667060055492</v>
      </c>
      <c r="T822" s="12">
        <v>116.202319406686</v>
      </c>
      <c r="U822" s="7"/>
      <c r="V822" s="50">
        <f>Table13678[[#This Row],[PAGU SEMULA]]-Table13678[[#This Row],[PAGU ANGGARAN]]</f>
        <v>-75000000</v>
      </c>
      <c r="W822" s="50">
        <f>Table13678[[#This Row],[PAGU SEMULA]]-Table13678[[#This Row],[PAGU ANGGARAN]]</f>
        <v>-75000000</v>
      </c>
      <c r="X822" t="s">
        <v>984</v>
      </c>
    </row>
    <row r="823" spans="3:24" hidden="1">
      <c r="C823" s="7" t="s">
        <v>35</v>
      </c>
      <c r="D823" s="7" t="s">
        <v>36</v>
      </c>
      <c r="E823" s="7" t="s">
        <v>37</v>
      </c>
      <c r="F823" s="7" t="s">
        <v>40</v>
      </c>
      <c r="G823" s="7" t="s">
        <v>715</v>
      </c>
      <c r="H823" s="17">
        <v>180000000</v>
      </c>
      <c r="I823" s="10" t="s">
        <v>713</v>
      </c>
      <c r="J823" s="7" t="s">
        <v>714</v>
      </c>
      <c r="K823" s="10" t="s">
        <v>58</v>
      </c>
      <c r="L823" s="7" t="s">
        <v>59</v>
      </c>
      <c r="M823" s="7"/>
      <c r="N823" s="7">
        <f>VLOOKUP(J823,[1]Sheet1!$C:$D,2,FALSE)</f>
        <v>5780</v>
      </c>
      <c r="O823" s="7">
        <f>VLOOKUP(J823,[2]Desa!$A:$D,4,FALSE)</f>
        <v>74</v>
      </c>
      <c r="P823" s="7">
        <f>VLOOKUP(J823,[3]Sheet1!$D:$F,3,FALSE)</f>
        <v>40</v>
      </c>
      <c r="Q823" s="7"/>
      <c r="R823" s="7"/>
      <c r="S823" s="12">
        <v>-8.5916667060055492</v>
      </c>
      <c r="T823" s="12">
        <v>116.202319406686</v>
      </c>
      <c r="U823" s="7"/>
      <c r="V823" s="50">
        <f>Table13678[[#This Row],[PAGU SEMULA]]-Table13678[[#This Row],[PAGU ANGGARAN]]</f>
        <v>-180000000</v>
      </c>
      <c r="W823" s="50">
        <f>Table13678[[#This Row],[PAGU SEMULA]]-Table13678[[#This Row],[PAGU ANGGARAN]]</f>
        <v>-180000000</v>
      </c>
      <c r="X823" t="s">
        <v>986</v>
      </c>
    </row>
    <row r="824" spans="3:24" hidden="1">
      <c r="C824" s="7" t="s">
        <v>35</v>
      </c>
      <c r="D824" s="7" t="s">
        <v>52</v>
      </c>
      <c r="E824" s="7" t="s">
        <v>95</v>
      </c>
      <c r="F824" s="7" t="s">
        <v>96</v>
      </c>
      <c r="G824" s="7" t="s">
        <v>716</v>
      </c>
      <c r="H824" s="17">
        <v>96750000</v>
      </c>
      <c r="I824" s="10" t="s">
        <v>713</v>
      </c>
      <c r="J824" s="7" t="s">
        <v>714</v>
      </c>
      <c r="K824" s="10" t="s">
        <v>58</v>
      </c>
      <c r="L824" s="7" t="s">
        <v>59</v>
      </c>
      <c r="M824" s="7"/>
      <c r="N824" s="7">
        <f>VLOOKUP(J824,[1]Sheet1!$C:$D,2,FALSE)</f>
        <v>5780</v>
      </c>
      <c r="O824" s="7">
        <f>VLOOKUP(J824,[2]Desa!$A:$D,4,FALSE)</f>
        <v>74</v>
      </c>
      <c r="P824" s="7">
        <f>VLOOKUP(J824,[3]Sheet1!$D:$F,3,FALSE)</f>
        <v>40</v>
      </c>
      <c r="Q824" s="7"/>
      <c r="R824" s="7"/>
      <c r="S824" s="12">
        <v>-8.5916667060055492</v>
      </c>
      <c r="T824" s="12">
        <v>116.202319406686</v>
      </c>
      <c r="U824" s="7"/>
      <c r="V824" s="50">
        <f>Table13678[[#This Row],[PAGU SEMULA]]-Table13678[[#This Row],[PAGU ANGGARAN]]</f>
        <v>-96750000</v>
      </c>
      <c r="W824" s="50">
        <f>Table13678[[#This Row],[PAGU SEMULA]]-Table13678[[#This Row],[PAGU ANGGARAN]]</f>
        <v>-96750000</v>
      </c>
      <c r="X824" t="s">
        <v>986</v>
      </c>
    </row>
    <row r="825" spans="3:24" hidden="1">
      <c r="C825" s="7" t="s">
        <v>46</v>
      </c>
      <c r="D825" s="7" t="s">
        <v>122</v>
      </c>
      <c r="E825" s="7" t="s">
        <v>123</v>
      </c>
      <c r="F825" s="7" t="s">
        <v>124</v>
      </c>
      <c r="G825" s="7" t="s">
        <v>563</v>
      </c>
      <c r="H825" s="8">
        <v>99900000</v>
      </c>
      <c r="I825" s="10" t="s">
        <v>713</v>
      </c>
      <c r="J825" s="7" t="s">
        <v>714</v>
      </c>
      <c r="K825" s="10" t="s">
        <v>58</v>
      </c>
      <c r="L825" s="7" t="s">
        <v>59</v>
      </c>
      <c r="M825" s="7"/>
      <c r="N825" s="7">
        <f>VLOOKUP(J825,[1]Sheet1!$C:$D,2,FALSE)</f>
        <v>5780</v>
      </c>
      <c r="O825" s="7">
        <f>VLOOKUP(J825,[2]Desa!$A:$D,4,FALSE)</f>
        <v>74</v>
      </c>
      <c r="P825" s="7">
        <f>VLOOKUP(J825,[3]Sheet1!$D:$F,3,FALSE)</f>
        <v>40</v>
      </c>
      <c r="Q825" s="7"/>
      <c r="R825" s="7"/>
      <c r="S825" s="12">
        <v>-8.5916667060055492</v>
      </c>
      <c r="T825" s="12">
        <v>116.202319406686</v>
      </c>
      <c r="U825" s="7"/>
      <c r="V825" s="50">
        <f>Table13678[[#This Row],[PAGU SEMULA]]-Table13678[[#This Row],[PAGU ANGGARAN]]</f>
        <v>-99900000</v>
      </c>
      <c r="W825" s="50">
        <f>Table13678[[#This Row],[PAGU SEMULA]]-Table13678[[#This Row],[PAGU ANGGARAN]]</f>
        <v>-99900000</v>
      </c>
      <c r="X825" t="s">
        <v>987</v>
      </c>
    </row>
    <row r="826" spans="3:24" hidden="1">
      <c r="C826" s="7" t="s">
        <v>46</v>
      </c>
      <c r="D826" s="7" t="s">
        <v>122</v>
      </c>
      <c r="E826" s="7" t="s">
        <v>123</v>
      </c>
      <c r="F826" s="7" t="s">
        <v>124</v>
      </c>
      <c r="G826" s="7" t="s">
        <v>369</v>
      </c>
      <c r="H826" s="8">
        <v>100000000</v>
      </c>
      <c r="I826" s="10" t="s">
        <v>713</v>
      </c>
      <c r="J826" s="7" t="s">
        <v>714</v>
      </c>
      <c r="K826" s="10" t="s">
        <v>58</v>
      </c>
      <c r="L826" s="7" t="s">
        <v>59</v>
      </c>
      <c r="M826" s="7"/>
      <c r="N826" s="7">
        <f>VLOOKUP(J826,[1]Sheet1!$C:$D,2,FALSE)</f>
        <v>5780</v>
      </c>
      <c r="O826" s="7">
        <f>VLOOKUP(J826,[2]Desa!$A:$D,4,FALSE)</f>
        <v>74</v>
      </c>
      <c r="P826" s="7">
        <f>VLOOKUP(J826,[3]Sheet1!$D:$F,3,FALSE)</f>
        <v>40</v>
      </c>
      <c r="Q826" s="7"/>
      <c r="R826" s="7"/>
      <c r="S826" s="12">
        <v>-8.5916667060055492</v>
      </c>
      <c r="T826" s="12">
        <v>116.202319406686</v>
      </c>
      <c r="U826" s="7"/>
      <c r="V826" s="50">
        <f>Table13678[[#This Row],[PAGU SEMULA]]-Table13678[[#This Row],[PAGU ANGGARAN]]</f>
        <v>-100000000</v>
      </c>
      <c r="W826" s="50">
        <f>Table13678[[#This Row],[PAGU SEMULA]]-Table13678[[#This Row],[PAGU ANGGARAN]]</f>
        <v>-100000000</v>
      </c>
      <c r="X826" t="s">
        <v>987</v>
      </c>
    </row>
    <row r="827" spans="3:24" hidden="1">
      <c r="C827" s="7" t="s">
        <v>51</v>
      </c>
      <c r="D827" s="7" t="s">
        <v>52</v>
      </c>
      <c r="E827" s="7" t="s">
        <v>53</v>
      </c>
      <c r="F827" s="7" t="s">
        <v>54</v>
      </c>
      <c r="G827" s="7" t="s">
        <v>73</v>
      </c>
      <c r="H827" s="8">
        <v>189090000</v>
      </c>
      <c r="I827" s="10" t="s">
        <v>713</v>
      </c>
      <c r="J827" s="7" t="s">
        <v>714</v>
      </c>
      <c r="K827" s="10" t="s">
        <v>58</v>
      </c>
      <c r="L827" s="7" t="s">
        <v>59</v>
      </c>
      <c r="M827" s="7"/>
      <c r="N827" s="7">
        <f>VLOOKUP(J827,[1]Sheet1!$C:$D,2,FALSE)</f>
        <v>5780</v>
      </c>
      <c r="O827" s="7">
        <f>VLOOKUP(J827,[2]Desa!$A:$D,4,FALSE)</f>
        <v>74</v>
      </c>
      <c r="P827" s="7">
        <f>VLOOKUP(J827,[3]Sheet1!$D:$F,3,FALSE)</f>
        <v>40</v>
      </c>
      <c r="Q827" s="7"/>
      <c r="R827" s="7"/>
      <c r="S827" s="12">
        <v>-8.5916667060055492</v>
      </c>
      <c r="T827" s="12">
        <v>116.202319406686</v>
      </c>
      <c r="U827" s="7"/>
      <c r="V827" s="50">
        <f>Table13678[[#This Row],[PAGU SEMULA]]-Table13678[[#This Row],[PAGU ANGGARAN]]</f>
        <v>-189090000</v>
      </c>
      <c r="W827" s="50">
        <f>Table13678[[#This Row],[PAGU SEMULA]]-Table13678[[#This Row],[PAGU ANGGARAN]]</f>
        <v>-189090000</v>
      </c>
      <c r="X827" t="s">
        <v>986</v>
      </c>
    </row>
    <row r="828" spans="3:24" hidden="1">
      <c r="C828" s="7" t="s">
        <v>20</v>
      </c>
      <c r="D828" s="7" t="s">
        <v>104</v>
      </c>
      <c r="E828" s="7" t="s">
        <v>105</v>
      </c>
      <c r="F828" s="7" t="s">
        <v>284</v>
      </c>
      <c r="G828" s="71" t="s">
        <v>717</v>
      </c>
      <c r="H828" s="15">
        <v>221790000</v>
      </c>
      <c r="I828" s="10" t="s">
        <v>718</v>
      </c>
      <c r="J828" s="7" t="s">
        <v>168</v>
      </c>
      <c r="K828" s="10" t="s">
        <v>167</v>
      </c>
      <c r="L828" s="7" t="s">
        <v>168</v>
      </c>
      <c r="M828" s="7"/>
      <c r="N828" s="7">
        <f>VLOOKUP(J828,[1]Sheet1!$C:$D,2,FALSE)</f>
        <v>5274</v>
      </c>
      <c r="O828" s="7">
        <f>VLOOKUP(J828,[2]Desa!$A:$D,4,FALSE)</f>
        <v>113</v>
      </c>
      <c r="P828" s="7">
        <f>VLOOKUP(J828,[3]Sheet1!$D:$F,3,FALSE)</f>
        <v>10</v>
      </c>
      <c r="Q828" s="7"/>
      <c r="R828" s="7"/>
      <c r="S828" s="12">
        <v>-8.5729858839588999</v>
      </c>
      <c r="T828" s="12">
        <v>116.18087359446299</v>
      </c>
      <c r="U828" s="7"/>
      <c r="V828" s="50">
        <f>Table13678[[#This Row],[PAGU SEMULA]]-Table13678[[#This Row],[PAGU ANGGARAN]]</f>
        <v>-221790000</v>
      </c>
      <c r="W828" s="50">
        <f>Table13678[[#This Row],[PAGU SEMULA]]-Table13678[[#This Row],[PAGU ANGGARAN]]</f>
        <v>-221790000</v>
      </c>
      <c r="X828" t="s">
        <v>984</v>
      </c>
    </row>
    <row r="829" spans="3:24" hidden="1">
      <c r="C829" s="7" t="s">
        <v>20</v>
      </c>
      <c r="D829" s="7" t="s">
        <v>104</v>
      </c>
      <c r="E829" s="7" t="s">
        <v>145</v>
      </c>
      <c r="F829" s="7" t="s">
        <v>146</v>
      </c>
      <c r="G829" s="71" t="s">
        <v>719</v>
      </c>
      <c r="H829" s="15">
        <v>59000000</v>
      </c>
      <c r="I829" s="10" t="s">
        <v>718</v>
      </c>
      <c r="J829" s="7" t="s">
        <v>168</v>
      </c>
      <c r="K829" s="10" t="s">
        <v>167</v>
      </c>
      <c r="L829" s="7" t="s">
        <v>168</v>
      </c>
      <c r="M829" s="7"/>
      <c r="N829" s="7">
        <f>VLOOKUP(J829,[1]Sheet1!$C:$D,2,FALSE)</f>
        <v>5274</v>
      </c>
      <c r="O829" s="7">
        <f>VLOOKUP(J829,[2]Desa!$A:$D,4,FALSE)</f>
        <v>113</v>
      </c>
      <c r="P829" s="7">
        <f>VLOOKUP(J829,[3]Sheet1!$D:$F,3,FALSE)</f>
        <v>10</v>
      </c>
      <c r="Q829" s="7"/>
      <c r="R829" s="7"/>
      <c r="S829" s="12">
        <v>-8.5729858839588999</v>
      </c>
      <c r="T829" s="12">
        <v>116.18087359446299</v>
      </c>
      <c r="U829" s="7"/>
      <c r="V829" s="50">
        <f>Table13678[[#This Row],[PAGU SEMULA]]-Table13678[[#This Row],[PAGU ANGGARAN]]</f>
        <v>-59000000</v>
      </c>
      <c r="W829" s="50">
        <f>Table13678[[#This Row],[PAGU SEMULA]]-Table13678[[#This Row],[PAGU ANGGARAN]]</f>
        <v>-59000000</v>
      </c>
      <c r="X829" t="s">
        <v>984</v>
      </c>
    </row>
    <row r="830" spans="3:24" hidden="1">
      <c r="C830" s="7" t="s">
        <v>29</v>
      </c>
      <c r="D830" s="7" t="s">
        <v>30</v>
      </c>
      <c r="E830" s="7" t="s">
        <v>31</v>
      </c>
      <c r="F830" s="7" t="s">
        <v>32</v>
      </c>
      <c r="G830" s="7" t="s">
        <v>33</v>
      </c>
      <c r="H830" s="8">
        <v>291900000</v>
      </c>
      <c r="I830" s="10" t="s">
        <v>718</v>
      </c>
      <c r="J830" s="7" t="s">
        <v>168</v>
      </c>
      <c r="K830" s="10" t="s">
        <v>167</v>
      </c>
      <c r="L830" s="7" t="s">
        <v>168</v>
      </c>
      <c r="M830" s="7"/>
      <c r="N830" s="7">
        <f>VLOOKUP(J830,[1]Sheet1!$C:$D,2,FALSE)</f>
        <v>5274</v>
      </c>
      <c r="O830" s="7">
        <f>VLOOKUP(J830,[2]Desa!$A:$D,4,FALSE)</f>
        <v>113</v>
      </c>
      <c r="P830" s="7">
        <f>VLOOKUP(J830,[3]Sheet1!$D:$F,3,FALSE)</f>
        <v>10</v>
      </c>
      <c r="Q830" s="7"/>
      <c r="R830" s="7"/>
      <c r="S830" s="12">
        <v>-8.5729858839588999</v>
      </c>
      <c r="T830" s="12">
        <v>116.18087359446299</v>
      </c>
      <c r="U830" s="7"/>
      <c r="V830" s="50">
        <f>Table13678[[#This Row],[PAGU SEMULA]]-Table13678[[#This Row],[PAGU ANGGARAN]]</f>
        <v>-291900000</v>
      </c>
      <c r="W830" s="50">
        <f>Table13678[[#This Row],[PAGU SEMULA]]-Table13678[[#This Row],[PAGU ANGGARAN]]</f>
        <v>-291900000</v>
      </c>
      <c r="X830" t="s">
        <v>984</v>
      </c>
    </row>
    <row r="831" spans="3:24" hidden="1">
      <c r="C831" s="7" t="s">
        <v>29</v>
      </c>
      <c r="D831" s="7" t="s">
        <v>30</v>
      </c>
      <c r="E831" s="7" t="s">
        <v>31</v>
      </c>
      <c r="F831" s="7" t="s">
        <v>32</v>
      </c>
      <c r="G831" s="7" t="s">
        <v>34</v>
      </c>
      <c r="H831" s="8">
        <v>23352000</v>
      </c>
      <c r="I831" s="10" t="s">
        <v>718</v>
      </c>
      <c r="J831" s="7" t="s">
        <v>168</v>
      </c>
      <c r="K831" s="10" t="s">
        <v>167</v>
      </c>
      <c r="L831" s="7" t="s">
        <v>168</v>
      </c>
      <c r="M831" s="7"/>
      <c r="N831" s="7">
        <f>VLOOKUP(J831,[1]Sheet1!$C:$D,2,FALSE)</f>
        <v>5274</v>
      </c>
      <c r="O831" s="7">
        <f>VLOOKUP(J831,[2]Desa!$A:$D,4,FALSE)</f>
        <v>113</v>
      </c>
      <c r="P831" s="7">
        <f>VLOOKUP(J831,[3]Sheet1!$D:$F,3,FALSE)</f>
        <v>10</v>
      </c>
      <c r="Q831" s="7"/>
      <c r="R831" s="7"/>
      <c r="S831" s="12">
        <v>-8.5729858839588999</v>
      </c>
      <c r="T831" s="12">
        <v>116.18087359446299</v>
      </c>
      <c r="U831" s="7"/>
      <c r="V831" s="50">
        <f>Table13678[[#This Row],[PAGU SEMULA]]-Table13678[[#This Row],[PAGU ANGGARAN]]</f>
        <v>-23352000</v>
      </c>
      <c r="W831" s="50">
        <f>Table13678[[#This Row],[PAGU SEMULA]]-Table13678[[#This Row],[PAGU ANGGARAN]]</f>
        <v>-23352000</v>
      </c>
      <c r="X831" t="s">
        <v>984</v>
      </c>
    </row>
    <row r="832" spans="3:24" hidden="1">
      <c r="C832" s="7" t="s">
        <v>60</v>
      </c>
      <c r="D832" s="7" t="s">
        <v>61</v>
      </c>
      <c r="E832" s="7" t="s">
        <v>62</v>
      </c>
      <c r="F832" s="7" t="s">
        <v>720</v>
      </c>
      <c r="G832" s="71" t="s">
        <v>721</v>
      </c>
      <c r="H832" s="15">
        <v>190000000</v>
      </c>
      <c r="I832" s="10" t="s">
        <v>718</v>
      </c>
      <c r="J832" s="7" t="s">
        <v>168</v>
      </c>
      <c r="K832" s="10" t="s">
        <v>167</v>
      </c>
      <c r="L832" s="7" t="s">
        <v>168</v>
      </c>
      <c r="M832" s="7"/>
      <c r="N832" s="7">
        <f>VLOOKUP(J832,[1]Sheet1!$C:$D,2,FALSE)</f>
        <v>5274</v>
      </c>
      <c r="O832" s="7">
        <f>VLOOKUP(J832,[2]Desa!$A:$D,4,FALSE)</f>
        <v>113</v>
      </c>
      <c r="P832" s="7">
        <f>VLOOKUP(J832,[3]Sheet1!$D:$F,3,FALSE)</f>
        <v>10</v>
      </c>
      <c r="Q832" s="7"/>
      <c r="R832" s="7"/>
      <c r="S832" s="12">
        <v>-8.5729858839588999</v>
      </c>
      <c r="T832" s="12">
        <v>116.18087359446299</v>
      </c>
      <c r="U832" s="7"/>
      <c r="V832" s="50">
        <f>Table13678[[#This Row],[PAGU SEMULA]]-Table13678[[#This Row],[PAGU ANGGARAN]]</f>
        <v>-190000000</v>
      </c>
      <c r="W832" s="50">
        <f>Table13678[[#This Row],[PAGU SEMULA]]-Table13678[[#This Row],[PAGU ANGGARAN]]</f>
        <v>-190000000</v>
      </c>
      <c r="X832" t="s">
        <v>987</v>
      </c>
    </row>
    <row r="833" spans="3:24" hidden="1">
      <c r="C833" s="7" t="s">
        <v>60</v>
      </c>
      <c r="D833" s="7" t="s">
        <v>61</v>
      </c>
      <c r="E833" s="7" t="s">
        <v>62</v>
      </c>
      <c r="F833" s="7" t="s">
        <v>720</v>
      </c>
      <c r="G833" s="71" t="s">
        <v>722</v>
      </c>
      <c r="H833" s="15">
        <v>150000000</v>
      </c>
      <c r="I833" s="10" t="s">
        <v>718</v>
      </c>
      <c r="J833" s="7" t="s">
        <v>168</v>
      </c>
      <c r="K833" s="10" t="s">
        <v>167</v>
      </c>
      <c r="L833" s="7" t="s">
        <v>168</v>
      </c>
      <c r="M833" s="7"/>
      <c r="N833" s="7">
        <f>VLOOKUP(J833,[1]Sheet1!$C:$D,2,FALSE)</f>
        <v>5274</v>
      </c>
      <c r="O833" s="7">
        <f>VLOOKUP(J833,[2]Desa!$A:$D,4,FALSE)</f>
        <v>113</v>
      </c>
      <c r="P833" s="7">
        <f>VLOOKUP(J833,[3]Sheet1!$D:$F,3,FALSE)</f>
        <v>10</v>
      </c>
      <c r="Q833" s="7"/>
      <c r="R833" s="7"/>
      <c r="S833" s="12">
        <v>-8.5729858839588999</v>
      </c>
      <c r="T833" s="12">
        <v>116.18087359446299</v>
      </c>
      <c r="U833" s="7"/>
      <c r="V833" s="50">
        <f>Table13678[[#This Row],[PAGU SEMULA]]-Table13678[[#This Row],[PAGU ANGGARAN]]</f>
        <v>-150000000</v>
      </c>
      <c r="W833" s="50">
        <f>Table13678[[#This Row],[PAGU SEMULA]]-Table13678[[#This Row],[PAGU ANGGARAN]]</f>
        <v>-150000000</v>
      </c>
      <c r="X833" t="s">
        <v>987</v>
      </c>
    </row>
    <row r="834" spans="3:24" hidden="1">
      <c r="C834" s="7" t="s">
        <v>130</v>
      </c>
      <c r="D834" s="7" t="s">
        <v>131</v>
      </c>
      <c r="E834" s="7" t="s">
        <v>132</v>
      </c>
      <c r="F834" s="7" t="s">
        <v>132</v>
      </c>
      <c r="G834" s="7" t="s">
        <v>133</v>
      </c>
      <c r="H834" s="8">
        <v>2784900000</v>
      </c>
      <c r="I834" s="10" t="s">
        <v>718</v>
      </c>
      <c r="J834" s="7" t="s">
        <v>168</v>
      </c>
      <c r="K834" s="10" t="s">
        <v>167</v>
      </c>
      <c r="L834" s="7" t="s">
        <v>168</v>
      </c>
      <c r="M834" s="7"/>
      <c r="N834" s="7">
        <f>VLOOKUP(J834,[1]Sheet1!$C:$D,2,FALSE)</f>
        <v>5274</v>
      </c>
      <c r="O834" s="7">
        <f>VLOOKUP(J834,[2]Desa!$A:$D,4,FALSE)</f>
        <v>113</v>
      </c>
      <c r="P834" s="7">
        <f>VLOOKUP(J834,[3]Sheet1!$D:$F,3,FALSE)</f>
        <v>10</v>
      </c>
      <c r="Q834" s="7"/>
      <c r="R834" s="7"/>
      <c r="S834" s="12">
        <v>-8.5729858839588999</v>
      </c>
      <c r="T834" s="12">
        <v>116.18087359446299</v>
      </c>
      <c r="U834" s="7"/>
      <c r="V834" s="50">
        <f>Table13678[[#This Row],[PAGU SEMULA]]-Table13678[[#This Row],[PAGU ANGGARAN]]</f>
        <v>-2784900000</v>
      </c>
      <c r="W834" s="50">
        <f>Table13678[[#This Row],[PAGU SEMULA]]-Table13678[[#This Row],[PAGU ANGGARAN]]</f>
        <v>-2784900000</v>
      </c>
      <c r="X834" t="s">
        <v>986</v>
      </c>
    </row>
    <row r="835" spans="3:24" hidden="1">
      <c r="C835" s="7" t="s">
        <v>110</v>
      </c>
      <c r="D835" s="7" t="s">
        <v>208</v>
      </c>
      <c r="E835" s="7" t="s">
        <v>209</v>
      </c>
      <c r="F835" s="7" t="s">
        <v>210</v>
      </c>
      <c r="G835" s="71" t="s">
        <v>723</v>
      </c>
      <c r="H835" s="8">
        <v>100000000</v>
      </c>
      <c r="I835" s="10" t="s">
        <v>718</v>
      </c>
      <c r="J835" s="7" t="s">
        <v>168</v>
      </c>
      <c r="K835" s="10" t="s">
        <v>167</v>
      </c>
      <c r="L835" s="7" t="s">
        <v>168</v>
      </c>
      <c r="M835" s="7"/>
      <c r="N835" s="7">
        <f>VLOOKUP(J835,[1]Sheet1!$C:$D,2,FALSE)</f>
        <v>5274</v>
      </c>
      <c r="O835" s="7">
        <f>VLOOKUP(J835,[2]Desa!$A:$D,4,FALSE)</f>
        <v>113</v>
      </c>
      <c r="P835" s="7">
        <f>VLOOKUP(J835,[3]Sheet1!$D:$F,3,FALSE)</f>
        <v>10</v>
      </c>
      <c r="Q835" s="7"/>
      <c r="R835" s="7"/>
      <c r="S835" s="12">
        <v>-8.5729858839588999</v>
      </c>
      <c r="T835" s="12">
        <v>116.18087359446299</v>
      </c>
      <c r="U835" s="7"/>
      <c r="V835" s="50">
        <f>Table13678[[#This Row],[PAGU SEMULA]]-Table13678[[#This Row],[PAGU ANGGARAN]]</f>
        <v>-100000000</v>
      </c>
      <c r="W835" s="50">
        <f>Table13678[[#This Row],[PAGU SEMULA]]-Table13678[[#This Row],[PAGU ANGGARAN]]</f>
        <v>-100000000</v>
      </c>
      <c r="X835" t="s">
        <v>982</v>
      </c>
    </row>
    <row r="836" spans="3:24" hidden="1">
      <c r="C836" s="7" t="s">
        <v>35</v>
      </c>
      <c r="D836" s="7" t="s">
        <v>36</v>
      </c>
      <c r="E836" s="7" t="s">
        <v>37</v>
      </c>
      <c r="F836" s="7" t="s">
        <v>38</v>
      </c>
      <c r="G836" s="7" t="s">
        <v>39</v>
      </c>
      <c r="H836" s="15">
        <v>75000000</v>
      </c>
      <c r="I836" s="10" t="s">
        <v>718</v>
      </c>
      <c r="J836" s="7" t="s">
        <v>168</v>
      </c>
      <c r="K836" s="10" t="s">
        <v>167</v>
      </c>
      <c r="L836" s="7" t="s">
        <v>168</v>
      </c>
      <c r="M836" s="7"/>
      <c r="N836" s="7">
        <f>VLOOKUP(J836,[1]Sheet1!$C:$D,2,FALSE)</f>
        <v>5274</v>
      </c>
      <c r="O836" s="7">
        <f>VLOOKUP(J836,[2]Desa!$A:$D,4,FALSE)</f>
        <v>113</v>
      </c>
      <c r="P836" s="7">
        <f>VLOOKUP(J836,[3]Sheet1!$D:$F,3,FALSE)</f>
        <v>10</v>
      </c>
      <c r="Q836" s="7"/>
      <c r="R836" s="7"/>
      <c r="S836" s="12">
        <v>-8.5729858839588999</v>
      </c>
      <c r="T836" s="12">
        <v>116.18087359446299</v>
      </c>
      <c r="U836" s="7"/>
      <c r="V836" s="50">
        <f>Table13678[[#This Row],[PAGU SEMULA]]-Table13678[[#This Row],[PAGU ANGGARAN]]</f>
        <v>-75000000</v>
      </c>
      <c r="W836" s="50">
        <f>Table13678[[#This Row],[PAGU SEMULA]]-Table13678[[#This Row],[PAGU ANGGARAN]]</f>
        <v>-75000000</v>
      </c>
      <c r="X836" t="s">
        <v>984</v>
      </c>
    </row>
    <row r="837" spans="3:24" hidden="1">
      <c r="C837" s="7" t="s">
        <v>35</v>
      </c>
      <c r="D837" s="7" t="s">
        <v>65</v>
      </c>
      <c r="E837" s="7" t="s">
        <v>66</v>
      </c>
      <c r="F837" s="7" t="s">
        <v>322</v>
      </c>
      <c r="G837" s="7" t="s">
        <v>322</v>
      </c>
      <c r="H837" s="15">
        <v>51226500</v>
      </c>
      <c r="I837" s="10" t="s">
        <v>718</v>
      </c>
      <c r="J837" s="7" t="s">
        <v>168</v>
      </c>
      <c r="K837" s="10" t="s">
        <v>167</v>
      </c>
      <c r="L837" s="7" t="s">
        <v>168</v>
      </c>
      <c r="M837" s="7"/>
      <c r="N837" s="7">
        <f>VLOOKUP(J837,[1]Sheet1!$C:$D,2,FALSE)</f>
        <v>5274</v>
      </c>
      <c r="O837" s="7">
        <f>VLOOKUP(J837,[2]Desa!$A:$D,4,FALSE)</f>
        <v>113</v>
      </c>
      <c r="P837" s="7">
        <f>VLOOKUP(J837,[3]Sheet1!$D:$F,3,FALSE)</f>
        <v>10</v>
      </c>
      <c r="Q837" s="7"/>
      <c r="R837" s="7"/>
      <c r="S837" s="12">
        <v>-8.5729858839588999</v>
      </c>
      <c r="T837" s="12">
        <v>116.18087359446299</v>
      </c>
      <c r="U837" s="7"/>
      <c r="V837" s="50">
        <f>Table13678[[#This Row],[PAGU SEMULA]]-Table13678[[#This Row],[PAGU ANGGARAN]]</f>
        <v>-51226500</v>
      </c>
      <c r="W837" s="50">
        <f>Table13678[[#This Row],[PAGU SEMULA]]-Table13678[[#This Row],[PAGU ANGGARAN]]</f>
        <v>-51226500</v>
      </c>
      <c r="X837" t="s">
        <v>986</v>
      </c>
    </row>
    <row r="838" spans="3:24" hidden="1">
      <c r="C838" s="7" t="s">
        <v>35</v>
      </c>
      <c r="D838" s="7" t="s">
        <v>65</v>
      </c>
      <c r="E838" s="7" t="s">
        <v>66</v>
      </c>
      <c r="F838" s="7" t="s">
        <v>322</v>
      </c>
      <c r="G838" s="7" t="s">
        <v>322</v>
      </c>
      <c r="H838" s="15">
        <v>34151000</v>
      </c>
      <c r="I838" s="10" t="s">
        <v>718</v>
      </c>
      <c r="J838" s="7" t="s">
        <v>168</v>
      </c>
      <c r="K838" s="10" t="s">
        <v>167</v>
      </c>
      <c r="L838" s="7" t="s">
        <v>168</v>
      </c>
      <c r="M838" s="7"/>
      <c r="N838" s="7">
        <f>VLOOKUP(J838,[1]Sheet1!$C:$D,2,FALSE)</f>
        <v>5274</v>
      </c>
      <c r="O838" s="7">
        <f>VLOOKUP(J838,[2]Desa!$A:$D,4,FALSE)</f>
        <v>113</v>
      </c>
      <c r="P838" s="7">
        <f>VLOOKUP(J838,[3]Sheet1!$D:$F,3,FALSE)</f>
        <v>10</v>
      </c>
      <c r="Q838" s="7"/>
      <c r="R838" s="7"/>
      <c r="S838" s="12">
        <v>-8.5729858839588999</v>
      </c>
      <c r="T838" s="12">
        <v>116.18087359446299</v>
      </c>
      <c r="U838" s="7"/>
      <c r="V838" s="50">
        <f>Table13678[[#This Row],[PAGU SEMULA]]-Table13678[[#This Row],[PAGU ANGGARAN]]</f>
        <v>-34151000</v>
      </c>
      <c r="W838" s="50">
        <f>Table13678[[#This Row],[PAGU SEMULA]]-Table13678[[#This Row],[PAGU ANGGARAN]]</f>
        <v>-34151000</v>
      </c>
      <c r="X838" t="s">
        <v>986</v>
      </c>
    </row>
    <row r="839" spans="3:24" hidden="1">
      <c r="C839" s="7" t="s">
        <v>35</v>
      </c>
      <c r="D839" s="7" t="s">
        <v>65</v>
      </c>
      <c r="E839" s="7" t="s">
        <v>66</v>
      </c>
      <c r="F839" s="7" t="s">
        <v>93</v>
      </c>
      <c r="G839" s="7" t="s">
        <v>724</v>
      </c>
      <c r="H839" s="17">
        <v>161250000</v>
      </c>
      <c r="I839" s="10" t="s">
        <v>718</v>
      </c>
      <c r="J839" s="7" t="s">
        <v>168</v>
      </c>
      <c r="K839" s="10" t="s">
        <v>167</v>
      </c>
      <c r="L839" s="7" t="s">
        <v>168</v>
      </c>
      <c r="M839" s="7"/>
      <c r="N839" s="7">
        <f>VLOOKUP(J839,[1]Sheet1!$C:$D,2,FALSE)</f>
        <v>5274</v>
      </c>
      <c r="O839" s="7">
        <f>VLOOKUP(J839,[2]Desa!$A:$D,4,FALSE)</f>
        <v>113</v>
      </c>
      <c r="P839" s="7">
        <f>VLOOKUP(J839,[3]Sheet1!$D:$F,3,FALSE)</f>
        <v>10</v>
      </c>
      <c r="Q839" s="7"/>
      <c r="R839" s="7"/>
      <c r="S839" s="12">
        <v>-8.5729858839588999</v>
      </c>
      <c r="T839" s="12">
        <v>116.18087359446299</v>
      </c>
      <c r="U839" s="7"/>
      <c r="V839" s="50">
        <f>Table13678[[#This Row],[PAGU SEMULA]]-Table13678[[#This Row],[PAGU ANGGARAN]]</f>
        <v>-161250000</v>
      </c>
      <c r="W839" s="50">
        <f>Table13678[[#This Row],[PAGU SEMULA]]-Table13678[[#This Row],[PAGU ANGGARAN]]</f>
        <v>-161250000</v>
      </c>
      <c r="X839" t="s">
        <v>986</v>
      </c>
    </row>
    <row r="840" spans="3:24" hidden="1">
      <c r="C840" s="7" t="s">
        <v>46</v>
      </c>
      <c r="D840" s="7" t="s">
        <v>122</v>
      </c>
      <c r="E840" s="7" t="s">
        <v>123</v>
      </c>
      <c r="F840" s="7" t="s">
        <v>124</v>
      </c>
      <c r="G840" s="7" t="s">
        <v>369</v>
      </c>
      <c r="H840" s="8">
        <v>37500000</v>
      </c>
      <c r="I840" s="10" t="s">
        <v>718</v>
      </c>
      <c r="J840" s="7" t="s">
        <v>168</v>
      </c>
      <c r="K840" s="10" t="s">
        <v>167</v>
      </c>
      <c r="L840" s="7" t="s">
        <v>168</v>
      </c>
      <c r="M840" s="7"/>
      <c r="N840" s="7">
        <f>VLOOKUP(J840,[1]Sheet1!$C:$D,2,FALSE)</f>
        <v>5274</v>
      </c>
      <c r="O840" s="7">
        <f>VLOOKUP(J840,[2]Desa!$A:$D,4,FALSE)</f>
        <v>113</v>
      </c>
      <c r="P840" s="7">
        <f>VLOOKUP(J840,[3]Sheet1!$D:$F,3,FALSE)</f>
        <v>10</v>
      </c>
      <c r="Q840" s="7"/>
      <c r="R840" s="7"/>
      <c r="S840" s="12">
        <v>-8.5729858839588999</v>
      </c>
      <c r="T840" s="12">
        <v>116.18087359446299</v>
      </c>
      <c r="U840" s="7"/>
      <c r="V840" s="50">
        <f>Table13678[[#This Row],[PAGU SEMULA]]-Table13678[[#This Row],[PAGU ANGGARAN]]</f>
        <v>-37500000</v>
      </c>
      <c r="W840" s="50">
        <f>Table13678[[#This Row],[PAGU SEMULA]]-Table13678[[#This Row],[PAGU ANGGARAN]]</f>
        <v>-37500000</v>
      </c>
      <c r="X840" t="s">
        <v>987</v>
      </c>
    </row>
    <row r="841" spans="3:24" hidden="1">
      <c r="C841" s="7" t="s">
        <v>46</v>
      </c>
      <c r="D841" s="7" t="s">
        <v>122</v>
      </c>
      <c r="E841" s="7" t="s">
        <v>123</v>
      </c>
      <c r="F841" s="7" t="s">
        <v>124</v>
      </c>
      <c r="G841" s="7" t="s">
        <v>370</v>
      </c>
      <c r="H841" s="8">
        <v>12450000</v>
      </c>
      <c r="I841" s="10" t="s">
        <v>718</v>
      </c>
      <c r="J841" s="7" t="s">
        <v>168</v>
      </c>
      <c r="K841" s="10" t="s">
        <v>167</v>
      </c>
      <c r="L841" s="7" t="s">
        <v>168</v>
      </c>
      <c r="M841" s="7"/>
      <c r="N841" s="7">
        <f>VLOOKUP(J841,[1]Sheet1!$C:$D,2,FALSE)</f>
        <v>5274</v>
      </c>
      <c r="O841" s="7">
        <f>VLOOKUP(J841,[2]Desa!$A:$D,4,FALSE)</f>
        <v>113</v>
      </c>
      <c r="P841" s="7">
        <f>VLOOKUP(J841,[3]Sheet1!$D:$F,3,FALSE)</f>
        <v>10</v>
      </c>
      <c r="Q841" s="7"/>
      <c r="R841" s="7"/>
      <c r="S841" s="12">
        <v>-8.5729858839588999</v>
      </c>
      <c r="T841" s="12">
        <v>116.18087359446299</v>
      </c>
      <c r="U841" s="7"/>
      <c r="V841" s="50">
        <f>Table13678[[#This Row],[PAGU SEMULA]]-Table13678[[#This Row],[PAGU ANGGARAN]]</f>
        <v>-12450000</v>
      </c>
      <c r="W841" s="50">
        <f>Table13678[[#This Row],[PAGU SEMULA]]-Table13678[[#This Row],[PAGU ANGGARAN]]</f>
        <v>-12450000</v>
      </c>
      <c r="X841" t="s">
        <v>987</v>
      </c>
    </row>
    <row r="842" spans="3:24" hidden="1">
      <c r="C842" s="7" t="s">
        <v>46</v>
      </c>
      <c r="D842" s="7" t="s">
        <v>100</v>
      </c>
      <c r="E842" s="7" t="s">
        <v>101</v>
      </c>
      <c r="F842" s="7" t="s">
        <v>102</v>
      </c>
      <c r="G842" s="7" t="s">
        <v>327</v>
      </c>
      <c r="H842" s="8">
        <v>19948600</v>
      </c>
      <c r="I842" s="10" t="s">
        <v>718</v>
      </c>
      <c r="J842" s="7" t="s">
        <v>168</v>
      </c>
      <c r="K842" s="10" t="s">
        <v>167</v>
      </c>
      <c r="L842" s="7" t="s">
        <v>168</v>
      </c>
      <c r="M842" s="7"/>
      <c r="N842" s="7">
        <f>VLOOKUP(J842,[1]Sheet1!$C:$D,2,FALSE)</f>
        <v>5274</v>
      </c>
      <c r="O842" s="7">
        <f>VLOOKUP(J842,[2]Desa!$A:$D,4,FALSE)</f>
        <v>113</v>
      </c>
      <c r="P842" s="7">
        <f>VLOOKUP(J842,[3]Sheet1!$D:$F,3,FALSE)</f>
        <v>10</v>
      </c>
      <c r="Q842" s="7"/>
      <c r="R842" s="7"/>
      <c r="S842" s="12">
        <v>-8.5729858839588999</v>
      </c>
      <c r="T842" s="12">
        <v>116.18087359446299</v>
      </c>
      <c r="U842" s="7"/>
      <c r="V842" s="50">
        <f>Table13678[[#This Row],[PAGU SEMULA]]-Table13678[[#This Row],[PAGU ANGGARAN]]</f>
        <v>-19948600</v>
      </c>
      <c r="W842" s="50">
        <f>Table13678[[#This Row],[PAGU SEMULA]]-Table13678[[#This Row],[PAGU ANGGARAN]]</f>
        <v>-19948600</v>
      </c>
      <c r="X842" t="s">
        <v>987</v>
      </c>
    </row>
    <row r="843" spans="3:24" hidden="1">
      <c r="C843" s="7" t="s">
        <v>51</v>
      </c>
      <c r="D843" s="7" t="s">
        <v>52</v>
      </c>
      <c r="E843" s="7" t="s">
        <v>53</v>
      </c>
      <c r="F843" s="7" t="s">
        <v>54</v>
      </c>
      <c r="G843" s="7" t="s">
        <v>174</v>
      </c>
      <c r="H843" s="8">
        <v>189090000</v>
      </c>
      <c r="I843" s="10" t="s">
        <v>718</v>
      </c>
      <c r="J843" s="7" t="s">
        <v>168</v>
      </c>
      <c r="K843" s="10" t="s">
        <v>167</v>
      </c>
      <c r="L843" s="7" t="s">
        <v>168</v>
      </c>
      <c r="M843" s="7"/>
      <c r="N843" s="7">
        <f>VLOOKUP(J843,[1]Sheet1!$C:$D,2,FALSE)</f>
        <v>5274</v>
      </c>
      <c r="O843" s="7">
        <f>VLOOKUP(J843,[2]Desa!$A:$D,4,FALSE)</f>
        <v>113</v>
      </c>
      <c r="P843" s="7">
        <f>VLOOKUP(J843,[3]Sheet1!$D:$F,3,FALSE)</f>
        <v>10</v>
      </c>
      <c r="Q843" s="7"/>
      <c r="R843" s="7"/>
      <c r="S843" s="12">
        <v>-8.5729858839588999</v>
      </c>
      <c r="T843" s="12">
        <v>116.18087359446299</v>
      </c>
      <c r="U843" s="7"/>
      <c r="V843" s="50">
        <f>Table13678[[#This Row],[PAGU SEMULA]]-Table13678[[#This Row],[PAGU ANGGARAN]]</f>
        <v>-189090000</v>
      </c>
      <c r="W843" s="50">
        <f>Table13678[[#This Row],[PAGU SEMULA]]-Table13678[[#This Row],[PAGU ANGGARAN]]</f>
        <v>-189090000</v>
      </c>
      <c r="X843" t="s">
        <v>986</v>
      </c>
    </row>
    <row r="844" spans="3:24" hidden="1">
      <c r="C844" s="7" t="s">
        <v>51</v>
      </c>
      <c r="D844" s="7" t="s">
        <v>52</v>
      </c>
      <c r="E844" s="7" t="s">
        <v>53</v>
      </c>
      <c r="F844" s="7" t="s">
        <v>54</v>
      </c>
      <c r="G844" s="7" t="s">
        <v>174</v>
      </c>
      <c r="H844" s="8">
        <v>189090000</v>
      </c>
      <c r="I844" s="10" t="s">
        <v>718</v>
      </c>
      <c r="J844" s="7" t="s">
        <v>168</v>
      </c>
      <c r="K844" s="10" t="s">
        <v>167</v>
      </c>
      <c r="L844" s="7" t="s">
        <v>168</v>
      </c>
      <c r="M844" s="7"/>
      <c r="N844" s="7">
        <f>VLOOKUP(J844,[1]Sheet1!$C:$D,2,FALSE)</f>
        <v>5274</v>
      </c>
      <c r="O844" s="7">
        <f>VLOOKUP(J844,[2]Desa!$A:$D,4,FALSE)</f>
        <v>113</v>
      </c>
      <c r="P844" s="7">
        <f>VLOOKUP(J844,[3]Sheet1!$D:$F,3,FALSE)</f>
        <v>10</v>
      </c>
      <c r="Q844" s="7"/>
      <c r="R844" s="7"/>
      <c r="S844" s="12">
        <v>-8.5729858839588999</v>
      </c>
      <c r="T844" s="12">
        <v>116.18087359446299</v>
      </c>
      <c r="U844" s="7"/>
      <c r="V844" s="50">
        <f>Table13678[[#This Row],[PAGU SEMULA]]-Table13678[[#This Row],[PAGU ANGGARAN]]</f>
        <v>-189090000</v>
      </c>
      <c r="W844" s="50">
        <f>Table13678[[#This Row],[PAGU SEMULA]]-Table13678[[#This Row],[PAGU ANGGARAN]]</f>
        <v>-189090000</v>
      </c>
      <c r="X844" t="s">
        <v>986</v>
      </c>
    </row>
    <row r="845" spans="3:24" hidden="1">
      <c r="C845" s="7" t="s">
        <v>51</v>
      </c>
      <c r="D845" s="7" t="s">
        <v>156</v>
      </c>
      <c r="E845" s="7" t="s">
        <v>656</v>
      </c>
      <c r="F845" s="7" t="s">
        <v>657</v>
      </c>
      <c r="G845" s="7" t="s">
        <v>725</v>
      </c>
      <c r="H845" s="8">
        <v>191000000</v>
      </c>
      <c r="I845" s="10" t="s">
        <v>718</v>
      </c>
      <c r="J845" s="7" t="s">
        <v>168</v>
      </c>
      <c r="K845" s="10" t="s">
        <v>167</v>
      </c>
      <c r="L845" s="7" t="s">
        <v>168</v>
      </c>
      <c r="M845" s="7"/>
      <c r="N845" s="7">
        <f>VLOOKUP(J845,[1]Sheet1!$C:$D,2,FALSE)</f>
        <v>5274</v>
      </c>
      <c r="O845" s="7">
        <f>VLOOKUP(J845,[2]Desa!$A:$D,4,FALSE)</f>
        <v>113</v>
      </c>
      <c r="P845" s="7">
        <f>VLOOKUP(J845,[3]Sheet1!$D:$F,3,FALSE)</f>
        <v>10</v>
      </c>
      <c r="Q845" s="7"/>
      <c r="R845" s="7"/>
      <c r="S845" s="12">
        <v>-8.5729858839588999</v>
      </c>
      <c r="T845" s="12">
        <v>116.18087359446299</v>
      </c>
      <c r="U845" s="7"/>
      <c r="V845" s="50">
        <f>Table13678[[#This Row],[PAGU SEMULA]]-Table13678[[#This Row],[PAGU ANGGARAN]]</f>
        <v>-191000000</v>
      </c>
      <c r="W845" s="50">
        <f>Table13678[[#This Row],[PAGU SEMULA]]-Table13678[[#This Row],[PAGU ANGGARAN]]</f>
        <v>-191000000</v>
      </c>
      <c r="X845" t="s">
        <v>986</v>
      </c>
    </row>
    <row r="846" spans="3:24" hidden="1">
      <c r="C846" s="7" t="s">
        <v>74</v>
      </c>
      <c r="D846" s="7" t="s">
        <v>75</v>
      </c>
      <c r="E846" s="7" t="s">
        <v>76</v>
      </c>
      <c r="F846" s="7" t="s">
        <v>77</v>
      </c>
      <c r="G846" s="7" t="s">
        <v>79</v>
      </c>
      <c r="H846" s="8">
        <v>47500000</v>
      </c>
      <c r="I846" s="10" t="s">
        <v>718</v>
      </c>
      <c r="J846" s="7" t="s">
        <v>168</v>
      </c>
      <c r="K846" s="10" t="s">
        <v>167</v>
      </c>
      <c r="L846" s="7" t="s">
        <v>168</v>
      </c>
      <c r="M846" s="7"/>
      <c r="N846" s="7">
        <f>VLOOKUP(J846,[1]Sheet1!$C:$D,2,FALSE)</f>
        <v>5274</v>
      </c>
      <c r="O846" s="7">
        <f>VLOOKUP(J846,[2]Desa!$A:$D,4,FALSE)</f>
        <v>113</v>
      </c>
      <c r="P846" s="7">
        <f>VLOOKUP(J846,[3]Sheet1!$D:$F,3,FALSE)</f>
        <v>10</v>
      </c>
      <c r="Q846" s="7"/>
      <c r="R846" s="7"/>
      <c r="S846" s="12">
        <v>-8.5729858839588999</v>
      </c>
      <c r="T846" s="12">
        <v>116.18087359446299</v>
      </c>
      <c r="U846" s="7"/>
      <c r="V846" s="50">
        <f>Table13678[[#This Row],[PAGU SEMULA]]-Table13678[[#This Row],[PAGU ANGGARAN]]</f>
        <v>-47500000</v>
      </c>
      <c r="W846" s="50">
        <f>Table13678[[#This Row],[PAGU SEMULA]]-Table13678[[#This Row],[PAGU ANGGARAN]]</f>
        <v>-47500000</v>
      </c>
      <c r="X846" t="s">
        <v>982</v>
      </c>
    </row>
    <row r="847" spans="3:24" hidden="1">
      <c r="C847" s="7" t="s">
        <v>29</v>
      </c>
      <c r="D847" s="7" t="s">
        <v>30</v>
      </c>
      <c r="E847" s="7" t="s">
        <v>31</v>
      </c>
      <c r="F847" s="7" t="s">
        <v>32</v>
      </c>
      <c r="G847" s="7" t="s">
        <v>33</v>
      </c>
      <c r="H847" s="8">
        <v>179760000</v>
      </c>
      <c r="I847" s="10" t="s">
        <v>726</v>
      </c>
      <c r="J847" s="7" t="s">
        <v>727</v>
      </c>
      <c r="K847" s="10" t="s">
        <v>288</v>
      </c>
      <c r="L847" s="7" t="s">
        <v>289</v>
      </c>
      <c r="M847" s="7"/>
      <c r="N847" s="7">
        <f>VLOOKUP(J847,[1]Sheet1!$C:$D,2,FALSE)</f>
        <v>3696</v>
      </c>
      <c r="O847" s="7">
        <f>VLOOKUP(J847,[2]Desa!$A:$D,4,FALSE)</f>
        <v>229</v>
      </c>
      <c r="P847" s="7">
        <f>VLOOKUP(J847,[3]Sheet1!$D:$F,3,FALSE)</f>
        <v>27</v>
      </c>
      <c r="Q847" s="7"/>
      <c r="R847" s="7"/>
      <c r="S847" s="12">
        <v>-8.54955321849061</v>
      </c>
      <c r="T847" s="12">
        <v>116.126761423742</v>
      </c>
      <c r="U847" s="7"/>
      <c r="V847" s="50">
        <f>Table13678[[#This Row],[PAGU SEMULA]]-Table13678[[#This Row],[PAGU ANGGARAN]]</f>
        <v>-179760000</v>
      </c>
      <c r="W847" s="50">
        <f>Table13678[[#This Row],[PAGU SEMULA]]-Table13678[[#This Row],[PAGU ANGGARAN]]</f>
        <v>-179760000</v>
      </c>
      <c r="X847" t="s">
        <v>984</v>
      </c>
    </row>
    <row r="848" spans="3:24" hidden="1">
      <c r="C848" s="7" t="s">
        <v>29</v>
      </c>
      <c r="D848" s="7" t="s">
        <v>30</v>
      </c>
      <c r="E848" s="7" t="s">
        <v>31</v>
      </c>
      <c r="F848" s="7" t="s">
        <v>32</v>
      </c>
      <c r="G848" s="7" t="s">
        <v>34</v>
      </c>
      <c r="H848" s="8">
        <v>14380800</v>
      </c>
      <c r="I848" s="10" t="s">
        <v>726</v>
      </c>
      <c r="J848" s="7" t="s">
        <v>727</v>
      </c>
      <c r="K848" s="10" t="s">
        <v>288</v>
      </c>
      <c r="L848" s="7" t="s">
        <v>289</v>
      </c>
      <c r="M848" s="7"/>
      <c r="N848" s="7">
        <f>VLOOKUP(J848,[1]Sheet1!$C:$D,2,FALSE)</f>
        <v>3696</v>
      </c>
      <c r="O848" s="7">
        <f>VLOOKUP(J848,[2]Desa!$A:$D,4,FALSE)</f>
        <v>229</v>
      </c>
      <c r="P848" s="7">
        <f>VLOOKUP(J848,[3]Sheet1!$D:$F,3,FALSE)</f>
        <v>27</v>
      </c>
      <c r="Q848" s="7"/>
      <c r="R848" s="7"/>
      <c r="S848" s="12">
        <v>-8.54955321849061</v>
      </c>
      <c r="T848" s="12">
        <v>116.126761423742</v>
      </c>
      <c r="U848" s="7"/>
      <c r="V848" s="50">
        <f>Table13678[[#This Row],[PAGU SEMULA]]-Table13678[[#This Row],[PAGU ANGGARAN]]</f>
        <v>-14380800</v>
      </c>
      <c r="W848" s="50">
        <f>Table13678[[#This Row],[PAGU SEMULA]]-Table13678[[#This Row],[PAGU ANGGARAN]]</f>
        <v>-14380800</v>
      </c>
      <c r="X848" t="s">
        <v>984</v>
      </c>
    </row>
    <row r="849" spans="3:24" hidden="1">
      <c r="C849" s="7" t="s">
        <v>60</v>
      </c>
      <c r="D849" s="7" t="s">
        <v>728</v>
      </c>
      <c r="E849" s="7" t="s">
        <v>729</v>
      </c>
      <c r="F849" s="7" t="s">
        <v>730</v>
      </c>
      <c r="G849" s="71" t="s">
        <v>731</v>
      </c>
      <c r="H849" s="15">
        <v>75000000</v>
      </c>
      <c r="I849" s="10" t="s">
        <v>726</v>
      </c>
      <c r="J849" s="7" t="s">
        <v>727</v>
      </c>
      <c r="K849" s="10" t="s">
        <v>288</v>
      </c>
      <c r="L849" s="7" t="s">
        <v>289</v>
      </c>
      <c r="M849" s="7"/>
      <c r="N849" s="7">
        <f>VLOOKUP(J849,[1]Sheet1!$C:$D,2,FALSE)</f>
        <v>3696</v>
      </c>
      <c r="O849" s="7">
        <f>VLOOKUP(J849,[2]Desa!$A:$D,4,FALSE)</f>
        <v>229</v>
      </c>
      <c r="P849" s="7">
        <f>VLOOKUP(J849,[3]Sheet1!$D:$F,3,FALSE)</f>
        <v>27</v>
      </c>
      <c r="Q849" s="7"/>
      <c r="R849" s="7"/>
      <c r="S849" s="12">
        <v>-8.54955321849061</v>
      </c>
      <c r="T849" s="12">
        <v>116.126761423742</v>
      </c>
      <c r="U849" s="7"/>
      <c r="V849" s="50">
        <f>Table13678[[#This Row],[PAGU SEMULA]]-Table13678[[#This Row],[PAGU ANGGARAN]]</f>
        <v>-75000000</v>
      </c>
      <c r="W849" s="50">
        <f>Table13678[[#This Row],[PAGU SEMULA]]-Table13678[[#This Row],[PAGU ANGGARAN]]</f>
        <v>-75000000</v>
      </c>
      <c r="X849" t="s">
        <v>987</v>
      </c>
    </row>
    <row r="850" spans="3:24" hidden="1">
      <c r="C850" s="7" t="s">
        <v>60</v>
      </c>
      <c r="D850" s="7" t="s">
        <v>185</v>
      </c>
      <c r="E850" s="7" t="s">
        <v>186</v>
      </c>
      <c r="F850" s="7" t="s">
        <v>187</v>
      </c>
      <c r="G850" s="71" t="s">
        <v>645</v>
      </c>
      <c r="H850" s="15">
        <v>18605000</v>
      </c>
      <c r="I850" s="10" t="s">
        <v>726</v>
      </c>
      <c r="J850" s="7" t="s">
        <v>727</v>
      </c>
      <c r="K850" s="10" t="s">
        <v>288</v>
      </c>
      <c r="L850" s="7" t="s">
        <v>289</v>
      </c>
      <c r="M850" s="7"/>
      <c r="N850" s="7">
        <f>VLOOKUP(J850,[1]Sheet1!$C:$D,2,FALSE)</f>
        <v>3696</v>
      </c>
      <c r="O850" s="7">
        <f>VLOOKUP(J850,[2]Desa!$A:$D,4,FALSE)</f>
        <v>229</v>
      </c>
      <c r="P850" s="7">
        <f>VLOOKUP(J850,[3]Sheet1!$D:$F,3,FALSE)</f>
        <v>27</v>
      </c>
      <c r="Q850" s="7"/>
      <c r="R850" s="7"/>
      <c r="S850" s="12">
        <v>-8.54955321849061</v>
      </c>
      <c r="T850" s="12">
        <v>116.126761423742</v>
      </c>
      <c r="U850" s="7"/>
      <c r="V850" s="50">
        <f>Table13678[[#This Row],[PAGU SEMULA]]-Table13678[[#This Row],[PAGU ANGGARAN]]</f>
        <v>-18605000</v>
      </c>
      <c r="W850" s="50">
        <f>Table13678[[#This Row],[PAGU SEMULA]]-Table13678[[#This Row],[PAGU ANGGARAN]]</f>
        <v>-18605000</v>
      </c>
      <c r="X850" t="s">
        <v>987</v>
      </c>
    </row>
    <row r="851" spans="3:24" hidden="1">
      <c r="C851" s="7" t="s">
        <v>84</v>
      </c>
      <c r="D851" s="7" t="s">
        <v>85</v>
      </c>
      <c r="E851" s="7" t="s">
        <v>86</v>
      </c>
      <c r="F851" s="7" t="s">
        <v>87</v>
      </c>
      <c r="G851" s="7" t="s">
        <v>732</v>
      </c>
      <c r="H851" s="8">
        <v>43500000</v>
      </c>
      <c r="I851" s="10" t="s">
        <v>726</v>
      </c>
      <c r="J851" s="7" t="s">
        <v>727</v>
      </c>
      <c r="K851" s="10" t="s">
        <v>288</v>
      </c>
      <c r="L851" s="7" t="s">
        <v>289</v>
      </c>
      <c r="M851" s="7"/>
      <c r="N851" s="7">
        <f>VLOOKUP(J851,[1]Sheet1!$C:$D,2,FALSE)</f>
        <v>3696</v>
      </c>
      <c r="O851" s="7">
        <f>VLOOKUP(J851,[2]Desa!$A:$D,4,FALSE)</f>
        <v>229</v>
      </c>
      <c r="P851" s="7">
        <f>VLOOKUP(J851,[3]Sheet1!$D:$F,3,FALSE)</f>
        <v>27</v>
      </c>
      <c r="Q851" s="7"/>
      <c r="R851" s="7"/>
      <c r="S851" s="12">
        <v>-8.54955321849061</v>
      </c>
      <c r="T851" s="12">
        <v>116.126761423742</v>
      </c>
      <c r="U851" s="7"/>
      <c r="V851" s="50">
        <f>Table13678[[#This Row],[PAGU SEMULA]]-Table13678[[#This Row],[PAGU ANGGARAN]]</f>
        <v>-43500000</v>
      </c>
      <c r="W851" s="50">
        <f>Table13678[[#This Row],[PAGU SEMULA]]-Table13678[[#This Row],[PAGU ANGGARAN]]</f>
        <v>-43500000</v>
      </c>
      <c r="X851" t="s">
        <v>982</v>
      </c>
    </row>
    <row r="852" spans="3:24" hidden="1">
      <c r="C852" s="7" t="s">
        <v>84</v>
      </c>
      <c r="D852" s="7" t="s">
        <v>89</v>
      </c>
      <c r="E852" s="7" t="s">
        <v>90</v>
      </c>
      <c r="F852" s="7" t="s">
        <v>272</v>
      </c>
      <c r="G852" s="7" t="s">
        <v>436</v>
      </c>
      <c r="H852" s="8">
        <v>184976440</v>
      </c>
      <c r="I852" s="10" t="s">
        <v>726</v>
      </c>
      <c r="J852" s="7" t="s">
        <v>727</v>
      </c>
      <c r="K852" s="10" t="s">
        <v>288</v>
      </c>
      <c r="L852" s="7" t="s">
        <v>289</v>
      </c>
      <c r="M852" s="7"/>
      <c r="N852" s="7">
        <f>VLOOKUP(J852,[1]Sheet1!$C:$D,2,FALSE)</f>
        <v>3696</v>
      </c>
      <c r="O852" s="7">
        <f>VLOOKUP(J852,[2]Desa!$A:$D,4,FALSE)</f>
        <v>229</v>
      </c>
      <c r="P852" s="7">
        <f>VLOOKUP(J852,[3]Sheet1!$D:$F,3,FALSE)</f>
        <v>27</v>
      </c>
      <c r="Q852" s="7"/>
      <c r="R852" s="7"/>
      <c r="S852" s="12">
        <v>-8.54955321849061</v>
      </c>
      <c r="T852" s="12">
        <v>116.126761423742</v>
      </c>
      <c r="U852" s="7"/>
      <c r="V852" s="50">
        <f>Table13678[[#This Row],[PAGU SEMULA]]-Table13678[[#This Row],[PAGU ANGGARAN]]</f>
        <v>-184976440</v>
      </c>
      <c r="W852" s="50">
        <f>Table13678[[#This Row],[PAGU SEMULA]]-Table13678[[#This Row],[PAGU ANGGARAN]]</f>
        <v>-184976440</v>
      </c>
      <c r="X852" t="s">
        <v>982</v>
      </c>
    </row>
    <row r="853" spans="3:24" hidden="1">
      <c r="C853" s="7" t="s">
        <v>35</v>
      </c>
      <c r="D853" s="7" t="s">
        <v>52</v>
      </c>
      <c r="E853" s="7" t="s">
        <v>95</v>
      </c>
      <c r="F853" s="7" t="s">
        <v>96</v>
      </c>
      <c r="G853" s="7" t="s">
        <v>182</v>
      </c>
      <c r="H853" s="17">
        <v>241875000</v>
      </c>
      <c r="I853" s="10" t="s">
        <v>726</v>
      </c>
      <c r="J853" s="7" t="s">
        <v>727</v>
      </c>
      <c r="K853" s="10" t="s">
        <v>288</v>
      </c>
      <c r="L853" s="7" t="s">
        <v>289</v>
      </c>
      <c r="M853" s="7"/>
      <c r="N853" s="7">
        <f>VLOOKUP(J853,[1]Sheet1!$C:$D,2,FALSE)</f>
        <v>3696</v>
      </c>
      <c r="O853" s="7">
        <f>VLOOKUP(J853,[2]Desa!$A:$D,4,FALSE)</f>
        <v>229</v>
      </c>
      <c r="P853" s="7">
        <f>VLOOKUP(J853,[3]Sheet1!$D:$F,3,FALSE)</f>
        <v>27</v>
      </c>
      <c r="Q853" s="7"/>
      <c r="R853" s="7"/>
      <c r="S853" s="12">
        <v>-8.54955321849061</v>
      </c>
      <c r="T853" s="12">
        <v>116.126761423742</v>
      </c>
      <c r="U853" s="7"/>
      <c r="V853" s="50">
        <f>Table13678[[#This Row],[PAGU SEMULA]]-Table13678[[#This Row],[PAGU ANGGARAN]]</f>
        <v>-241875000</v>
      </c>
      <c r="W853" s="50">
        <f>Table13678[[#This Row],[PAGU SEMULA]]-Table13678[[#This Row],[PAGU ANGGARAN]]</f>
        <v>-241875000</v>
      </c>
      <c r="X853" t="s">
        <v>986</v>
      </c>
    </row>
    <row r="854" spans="3:24" hidden="1">
      <c r="C854" s="7" t="s">
        <v>35</v>
      </c>
      <c r="D854" s="7" t="s">
        <v>36</v>
      </c>
      <c r="E854" s="7" t="s">
        <v>37</v>
      </c>
      <c r="F854" s="7" t="s">
        <v>38</v>
      </c>
      <c r="G854" s="7" t="s">
        <v>39</v>
      </c>
      <c r="H854" s="15">
        <v>75000000</v>
      </c>
      <c r="I854" s="10" t="s">
        <v>726</v>
      </c>
      <c r="J854" s="7" t="s">
        <v>727</v>
      </c>
      <c r="K854" s="10" t="s">
        <v>288</v>
      </c>
      <c r="L854" s="7" t="s">
        <v>289</v>
      </c>
      <c r="M854" s="7"/>
      <c r="N854" s="7">
        <f>VLOOKUP(J854,[1]Sheet1!$C:$D,2,FALSE)</f>
        <v>3696</v>
      </c>
      <c r="O854" s="7">
        <f>VLOOKUP(J854,[2]Desa!$A:$D,4,FALSE)</f>
        <v>229</v>
      </c>
      <c r="P854" s="7">
        <f>VLOOKUP(J854,[3]Sheet1!$D:$F,3,FALSE)</f>
        <v>27</v>
      </c>
      <c r="Q854" s="7"/>
      <c r="R854" s="7"/>
      <c r="S854" s="12">
        <v>-8.54955321849061</v>
      </c>
      <c r="T854" s="12">
        <v>116.126761423742</v>
      </c>
      <c r="U854" s="7"/>
      <c r="V854" s="50">
        <f>Table13678[[#This Row],[PAGU SEMULA]]-Table13678[[#This Row],[PAGU ANGGARAN]]</f>
        <v>-75000000</v>
      </c>
      <c r="W854" s="50">
        <f>Table13678[[#This Row],[PAGU SEMULA]]-Table13678[[#This Row],[PAGU ANGGARAN]]</f>
        <v>-75000000</v>
      </c>
      <c r="X854" t="s">
        <v>984</v>
      </c>
    </row>
    <row r="855" spans="3:24" hidden="1">
      <c r="C855" s="7" t="s">
        <v>35</v>
      </c>
      <c r="D855" s="7" t="s">
        <v>65</v>
      </c>
      <c r="E855" s="7" t="s">
        <v>66</v>
      </c>
      <c r="F855" s="7" t="s">
        <v>322</v>
      </c>
      <c r="G855" s="7" t="s">
        <v>322</v>
      </c>
      <c r="H855" s="15">
        <v>51226500</v>
      </c>
      <c r="I855" s="10" t="s">
        <v>726</v>
      </c>
      <c r="J855" s="7" t="s">
        <v>727</v>
      </c>
      <c r="K855" s="10" t="s">
        <v>288</v>
      </c>
      <c r="L855" s="7" t="s">
        <v>289</v>
      </c>
      <c r="M855" s="7"/>
      <c r="N855" s="7">
        <f>VLOOKUP(J855,[1]Sheet1!$C:$D,2,FALSE)</f>
        <v>3696</v>
      </c>
      <c r="O855" s="7">
        <f>VLOOKUP(J855,[2]Desa!$A:$D,4,FALSE)</f>
        <v>229</v>
      </c>
      <c r="P855" s="7">
        <f>VLOOKUP(J855,[3]Sheet1!$D:$F,3,FALSE)</f>
        <v>27</v>
      </c>
      <c r="Q855" s="7"/>
      <c r="R855" s="7"/>
      <c r="S855" s="12">
        <v>-8.54955321849061</v>
      </c>
      <c r="T855" s="12">
        <v>116.126761423742</v>
      </c>
      <c r="U855" s="7"/>
      <c r="V855" s="50">
        <f>Table13678[[#This Row],[PAGU SEMULA]]-Table13678[[#This Row],[PAGU ANGGARAN]]</f>
        <v>-51226500</v>
      </c>
      <c r="W855" s="50">
        <f>Table13678[[#This Row],[PAGU SEMULA]]-Table13678[[#This Row],[PAGU ANGGARAN]]</f>
        <v>-51226500</v>
      </c>
      <c r="X855" t="s">
        <v>986</v>
      </c>
    </row>
    <row r="856" spans="3:24" hidden="1">
      <c r="C856" s="7" t="s">
        <v>35</v>
      </c>
      <c r="D856" s="7" t="s">
        <v>52</v>
      </c>
      <c r="E856" s="7" t="s">
        <v>95</v>
      </c>
      <c r="F856" s="7" t="s">
        <v>96</v>
      </c>
      <c r="G856" s="7" t="s">
        <v>459</v>
      </c>
      <c r="H856" s="17">
        <v>96750000</v>
      </c>
      <c r="I856" s="10" t="s">
        <v>726</v>
      </c>
      <c r="J856" s="7" t="s">
        <v>727</v>
      </c>
      <c r="K856" s="10" t="s">
        <v>288</v>
      </c>
      <c r="L856" s="7" t="s">
        <v>289</v>
      </c>
      <c r="M856" s="7"/>
      <c r="N856" s="7">
        <f>VLOOKUP(J856,[1]Sheet1!$C:$D,2,FALSE)</f>
        <v>3696</v>
      </c>
      <c r="O856" s="7">
        <f>VLOOKUP(J856,[2]Desa!$A:$D,4,FALSE)</f>
        <v>229</v>
      </c>
      <c r="P856" s="7">
        <f>VLOOKUP(J856,[3]Sheet1!$D:$F,3,FALSE)</f>
        <v>27</v>
      </c>
      <c r="Q856" s="7"/>
      <c r="R856" s="7"/>
      <c r="S856" s="12">
        <v>-8.54955321849061</v>
      </c>
      <c r="T856" s="12">
        <v>116.126761423742</v>
      </c>
      <c r="U856" s="7"/>
      <c r="V856" s="50">
        <f>Table13678[[#This Row],[PAGU SEMULA]]-Table13678[[#This Row],[PAGU ANGGARAN]]</f>
        <v>-96750000</v>
      </c>
      <c r="W856" s="50">
        <f>Table13678[[#This Row],[PAGU SEMULA]]-Table13678[[#This Row],[PAGU ANGGARAN]]</f>
        <v>-96750000</v>
      </c>
      <c r="X856" t="s">
        <v>986</v>
      </c>
    </row>
    <row r="857" spans="3:24" hidden="1">
      <c r="C857" s="7" t="s">
        <v>46</v>
      </c>
      <c r="D857" s="7" t="s">
        <v>100</v>
      </c>
      <c r="E857" s="7" t="s">
        <v>101</v>
      </c>
      <c r="F857" s="7" t="s">
        <v>102</v>
      </c>
      <c r="G857" s="71" t="s">
        <v>577</v>
      </c>
      <c r="H857" s="8">
        <v>99880000</v>
      </c>
      <c r="I857" s="10" t="s">
        <v>726</v>
      </c>
      <c r="J857" s="7" t="s">
        <v>727</v>
      </c>
      <c r="K857" s="10" t="s">
        <v>288</v>
      </c>
      <c r="L857" s="7" t="s">
        <v>289</v>
      </c>
      <c r="M857" s="7"/>
      <c r="N857" s="7">
        <f>VLOOKUP(J857,[1]Sheet1!$C:$D,2,FALSE)</f>
        <v>3696</v>
      </c>
      <c r="O857" s="7">
        <f>VLOOKUP(J857,[2]Desa!$A:$D,4,FALSE)</f>
        <v>229</v>
      </c>
      <c r="P857" s="7">
        <f>VLOOKUP(J857,[3]Sheet1!$D:$F,3,FALSE)</f>
        <v>27</v>
      </c>
      <c r="Q857" s="7"/>
      <c r="R857" s="7"/>
      <c r="S857" s="12">
        <v>-8.54955321849061</v>
      </c>
      <c r="T857" s="12">
        <v>116.126761423742</v>
      </c>
      <c r="U857" s="7"/>
      <c r="V857" s="50">
        <f>Table13678[[#This Row],[PAGU SEMULA]]-Table13678[[#This Row],[PAGU ANGGARAN]]</f>
        <v>-99880000</v>
      </c>
      <c r="W857" s="50">
        <f>Table13678[[#This Row],[PAGU SEMULA]]-Table13678[[#This Row],[PAGU ANGGARAN]]</f>
        <v>-99880000</v>
      </c>
      <c r="X857" t="s">
        <v>987</v>
      </c>
    </row>
    <row r="858" spans="3:24" hidden="1">
      <c r="C858" s="7" t="s">
        <v>29</v>
      </c>
      <c r="D858" s="7" t="s">
        <v>30</v>
      </c>
      <c r="E858" s="7" t="s">
        <v>31</v>
      </c>
      <c r="F858" s="7" t="s">
        <v>32</v>
      </c>
      <c r="G858" s="7" t="s">
        <v>33</v>
      </c>
      <c r="H858" s="8">
        <v>688800000</v>
      </c>
      <c r="I858" s="10" t="s">
        <v>733</v>
      </c>
      <c r="J858" s="7" t="s">
        <v>734</v>
      </c>
      <c r="K858" s="10" t="s">
        <v>414</v>
      </c>
      <c r="L858" s="7" t="s">
        <v>415</v>
      </c>
      <c r="M858" s="7"/>
      <c r="N858" s="7">
        <f>VLOOKUP(J858,[1]Sheet1!$C:$D,2,FALSE)</f>
        <v>4965</v>
      </c>
      <c r="O858" s="7">
        <f>VLOOKUP(J858,[2]Desa!$A:$D,4,FALSE)</f>
        <v>333</v>
      </c>
      <c r="P858" s="7">
        <f>VLOOKUP(J858,[3]Sheet1!$D:$F,3,FALSE)</f>
        <v>24</v>
      </c>
      <c r="Q858" s="7"/>
      <c r="R858" s="7"/>
      <c r="S858" s="12">
        <v>-8.7895700401234897</v>
      </c>
      <c r="T858" s="12">
        <v>116.103311065215</v>
      </c>
      <c r="U858" s="7"/>
      <c r="V858" s="50">
        <f>Table13678[[#This Row],[PAGU SEMULA]]-Table13678[[#This Row],[PAGU ANGGARAN]]</f>
        <v>-688800000</v>
      </c>
      <c r="W858" s="50">
        <f>Table13678[[#This Row],[PAGU SEMULA]]-Table13678[[#This Row],[PAGU ANGGARAN]]</f>
        <v>-688800000</v>
      </c>
      <c r="X858" t="s">
        <v>984</v>
      </c>
    </row>
    <row r="859" spans="3:24" hidden="1">
      <c r="C859" s="7" t="s">
        <v>29</v>
      </c>
      <c r="D859" s="7" t="s">
        <v>30</v>
      </c>
      <c r="E859" s="7" t="s">
        <v>31</v>
      </c>
      <c r="F859" s="7" t="s">
        <v>32</v>
      </c>
      <c r="G859" s="7" t="s">
        <v>34</v>
      </c>
      <c r="H859" s="8">
        <v>55104000</v>
      </c>
      <c r="I859" s="10" t="s">
        <v>733</v>
      </c>
      <c r="J859" s="7" t="s">
        <v>734</v>
      </c>
      <c r="K859" s="10" t="s">
        <v>414</v>
      </c>
      <c r="L859" s="7" t="s">
        <v>415</v>
      </c>
      <c r="M859" s="7"/>
      <c r="N859" s="7">
        <f>VLOOKUP(J859,[1]Sheet1!$C:$D,2,FALSE)</f>
        <v>4965</v>
      </c>
      <c r="O859" s="7">
        <f>VLOOKUP(J859,[2]Desa!$A:$D,4,FALSE)</f>
        <v>333</v>
      </c>
      <c r="P859" s="7">
        <f>VLOOKUP(J859,[3]Sheet1!$D:$F,3,FALSE)</f>
        <v>24</v>
      </c>
      <c r="Q859" s="7"/>
      <c r="R859" s="7"/>
      <c r="S859" s="12">
        <v>-8.7895700401234897</v>
      </c>
      <c r="T859" s="12">
        <v>116.103311065215</v>
      </c>
      <c r="U859" s="7"/>
      <c r="V859" s="50">
        <f>Table13678[[#This Row],[PAGU SEMULA]]-Table13678[[#This Row],[PAGU ANGGARAN]]</f>
        <v>-55104000</v>
      </c>
      <c r="W859" s="50">
        <f>Table13678[[#This Row],[PAGU SEMULA]]-Table13678[[#This Row],[PAGU ANGGARAN]]</f>
        <v>-55104000</v>
      </c>
      <c r="X859" t="s">
        <v>984</v>
      </c>
    </row>
    <row r="860" spans="3:24" hidden="1">
      <c r="C860" s="7" t="s">
        <v>84</v>
      </c>
      <c r="D860" s="7" t="s">
        <v>85</v>
      </c>
      <c r="E860" s="7" t="s">
        <v>86</v>
      </c>
      <c r="F860" s="7" t="s">
        <v>87</v>
      </c>
      <c r="G860" s="7" t="s">
        <v>735</v>
      </c>
      <c r="H860" s="8">
        <v>130650000</v>
      </c>
      <c r="I860" s="10" t="s">
        <v>733</v>
      </c>
      <c r="J860" s="7" t="s">
        <v>734</v>
      </c>
      <c r="K860" s="10" t="s">
        <v>414</v>
      </c>
      <c r="L860" s="7" t="s">
        <v>415</v>
      </c>
      <c r="M860" s="7"/>
      <c r="N860" s="7">
        <f>VLOOKUP(J860,[1]Sheet1!$C:$D,2,FALSE)</f>
        <v>4965</v>
      </c>
      <c r="O860" s="7">
        <f>VLOOKUP(J860,[2]Desa!$A:$D,4,FALSE)</f>
        <v>333</v>
      </c>
      <c r="P860" s="7">
        <f>VLOOKUP(J860,[3]Sheet1!$D:$F,3,FALSE)</f>
        <v>24</v>
      </c>
      <c r="Q860" s="7"/>
      <c r="R860" s="7"/>
      <c r="S860" s="12">
        <v>-8.7895700401234897</v>
      </c>
      <c r="T860" s="12">
        <v>116.103311065215</v>
      </c>
      <c r="U860" s="7"/>
      <c r="V860" s="50">
        <f>Table13678[[#This Row],[PAGU SEMULA]]-Table13678[[#This Row],[PAGU ANGGARAN]]</f>
        <v>-130650000</v>
      </c>
      <c r="W860" s="50">
        <f>Table13678[[#This Row],[PAGU SEMULA]]-Table13678[[#This Row],[PAGU ANGGARAN]]</f>
        <v>-130650000</v>
      </c>
      <c r="X860" t="s">
        <v>982</v>
      </c>
    </row>
    <row r="861" spans="3:24" hidden="1">
      <c r="C861" s="7" t="s">
        <v>110</v>
      </c>
      <c r="D861" s="7" t="s">
        <v>111</v>
      </c>
      <c r="E861" s="7" t="s">
        <v>112</v>
      </c>
      <c r="F861" s="7" t="s">
        <v>113</v>
      </c>
      <c r="G861" s="71" t="s">
        <v>736</v>
      </c>
      <c r="H861" s="8">
        <v>145322500</v>
      </c>
      <c r="I861" s="10" t="s">
        <v>733</v>
      </c>
      <c r="J861" s="7" t="s">
        <v>734</v>
      </c>
      <c r="K861" s="10" t="s">
        <v>414</v>
      </c>
      <c r="L861" s="7" t="s">
        <v>415</v>
      </c>
      <c r="M861" s="7"/>
      <c r="N861" s="7">
        <f>VLOOKUP(J861,[1]Sheet1!$C:$D,2,FALSE)</f>
        <v>4965</v>
      </c>
      <c r="O861" s="7">
        <f>VLOOKUP(J861,[2]Desa!$A:$D,4,FALSE)</f>
        <v>333</v>
      </c>
      <c r="P861" s="7">
        <f>VLOOKUP(J861,[3]Sheet1!$D:$F,3,FALSE)</f>
        <v>24</v>
      </c>
      <c r="Q861" s="7"/>
      <c r="R861" s="7"/>
      <c r="S861" s="12">
        <v>-8.7895700401234897</v>
      </c>
      <c r="T861" s="12">
        <v>116.103311065215</v>
      </c>
      <c r="U861" s="7"/>
      <c r="V861" s="50">
        <f>Table13678[[#This Row],[PAGU SEMULA]]-Table13678[[#This Row],[PAGU ANGGARAN]]</f>
        <v>-145322500</v>
      </c>
      <c r="W861" s="50">
        <f>Table13678[[#This Row],[PAGU SEMULA]]-Table13678[[#This Row],[PAGU ANGGARAN]]</f>
        <v>-145322500</v>
      </c>
      <c r="X861" t="s">
        <v>982</v>
      </c>
    </row>
    <row r="862" spans="3:24" hidden="1">
      <c r="C862" s="7" t="s">
        <v>110</v>
      </c>
      <c r="D862" s="7" t="s">
        <v>291</v>
      </c>
      <c r="E862" s="7" t="s">
        <v>292</v>
      </c>
      <c r="F862" s="7" t="s">
        <v>293</v>
      </c>
      <c r="G862" s="71" t="s">
        <v>294</v>
      </c>
      <c r="H862" s="8">
        <v>0</v>
      </c>
      <c r="I862" s="10" t="s">
        <v>733</v>
      </c>
      <c r="J862" s="7" t="s">
        <v>734</v>
      </c>
      <c r="K862" s="10" t="s">
        <v>414</v>
      </c>
      <c r="L862" s="7" t="s">
        <v>415</v>
      </c>
      <c r="M862" s="7"/>
      <c r="N862" s="7">
        <f>VLOOKUP(J862,[1]Sheet1!$C:$D,2,FALSE)</f>
        <v>4965</v>
      </c>
      <c r="O862" s="7">
        <f>VLOOKUP(J862,[2]Desa!$A:$D,4,FALSE)</f>
        <v>333</v>
      </c>
      <c r="P862" s="7">
        <f>VLOOKUP(J862,[3]Sheet1!$D:$F,3,FALSE)</f>
        <v>24</v>
      </c>
      <c r="Q862" s="7"/>
      <c r="R862" s="7"/>
      <c r="S862" s="12">
        <v>-8.7895700401234897</v>
      </c>
      <c r="T862" s="12">
        <v>116.103311065215</v>
      </c>
      <c r="U862" s="7"/>
      <c r="V862" s="50">
        <f>Table13678[[#This Row],[PAGU SEMULA]]-Table13678[[#This Row],[PAGU ANGGARAN]]</f>
        <v>0</v>
      </c>
      <c r="W862" s="50">
        <f>Table13678[[#This Row],[PAGU SEMULA]]-Table13678[[#This Row],[PAGU ANGGARAN]]</f>
        <v>0</v>
      </c>
      <c r="X862" t="s">
        <v>982</v>
      </c>
    </row>
    <row r="863" spans="3:24" hidden="1">
      <c r="C863" s="7" t="s">
        <v>35</v>
      </c>
      <c r="D863" s="7" t="s">
        <v>36</v>
      </c>
      <c r="E863" s="7" t="s">
        <v>37</v>
      </c>
      <c r="F863" s="7" t="s">
        <v>38</v>
      </c>
      <c r="G863" s="7" t="s">
        <v>39</v>
      </c>
      <c r="H863" s="15">
        <v>105000000</v>
      </c>
      <c r="I863" s="10" t="s">
        <v>733</v>
      </c>
      <c r="J863" s="7" t="s">
        <v>734</v>
      </c>
      <c r="K863" s="10" t="s">
        <v>414</v>
      </c>
      <c r="L863" s="7" t="s">
        <v>415</v>
      </c>
      <c r="M863" s="7"/>
      <c r="N863" s="7">
        <f>VLOOKUP(J863,[1]Sheet1!$C:$D,2,FALSE)</f>
        <v>4965</v>
      </c>
      <c r="O863" s="7">
        <f>VLOOKUP(J863,[2]Desa!$A:$D,4,FALSE)</f>
        <v>333</v>
      </c>
      <c r="P863" s="7">
        <f>VLOOKUP(J863,[3]Sheet1!$D:$F,3,FALSE)</f>
        <v>24</v>
      </c>
      <c r="Q863" s="7"/>
      <c r="R863" s="7"/>
      <c r="S863" s="12">
        <v>-8.7895700401234897</v>
      </c>
      <c r="T863" s="12">
        <v>116.103311065215</v>
      </c>
      <c r="U863" s="7"/>
      <c r="V863" s="50">
        <f>Table13678[[#This Row],[PAGU SEMULA]]-Table13678[[#This Row],[PAGU ANGGARAN]]</f>
        <v>-105000000</v>
      </c>
      <c r="W863" s="50">
        <f>Table13678[[#This Row],[PAGU SEMULA]]-Table13678[[#This Row],[PAGU ANGGARAN]]</f>
        <v>-105000000</v>
      </c>
      <c r="X863" t="s">
        <v>984</v>
      </c>
    </row>
    <row r="864" spans="3:24" hidden="1">
      <c r="C864" s="7" t="s">
        <v>35</v>
      </c>
      <c r="D864" s="7" t="s">
        <v>156</v>
      </c>
      <c r="E864" s="7" t="s">
        <v>157</v>
      </c>
      <c r="F864" s="7" t="s">
        <v>158</v>
      </c>
      <c r="G864" s="7" t="s">
        <v>737</v>
      </c>
      <c r="H864" s="15">
        <v>0</v>
      </c>
      <c r="I864" s="10" t="s">
        <v>733</v>
      </c>
      <c r="J864" s="7" t="s">
        <v>734</v>
      </c>
      <c r="K864" s="10" t="s">
        <v>414</v>
      </c>
      <c r="L864" s="7" t="s">
        <v>415</v>
      </c>
      <c r="M864" s="7"/>
      <c r="N864" s="7">
        <f>VLOOKUP(J864,[1]Sheet1!$C:$D,2,FALSE)</f>
        <v>4965</v>
      </c>
      <c r="O864" s="7">
        <f>VLOOKUP(J864,[2]Desa!$A:$D,4,FALSE)</f>
        <v>333</v>
      </c>
      <c r="P864" s="7">
        <f>VLOOKUP(J864,[3]Sheet1!$D:$F,3,FALSE)</f>
        <v>24</v>
      </c>
      <c r="Q864" s="7"/>
      <c r="R864" s="7"/>
      <c r="S864" s="12">
        <v>-8.7895700401234897</v>
      </c>
      <c r="T864" s="12">
        <v>116.103311065215</v>
      </c>
      <c r="U864" s="7"/>
      <c r="V864" s="50">
        <f>Table13678[[#This Row],[PAGU SEMULA]]-Table13678[[#This Row],[PAGU ANGGARAN]]</f>
        <v>0</v>
      </c>
      <c r="W864" s="50">
        <f>Table13678[[#This Row],[PAGU SEMULA]]-Table13678[[#This Row],[PAGU ANGGARAN]]</f>
        <v>0</v>
      </c>
      <c r="X864" t="s">
        <v>986</v>
      </c>
    </row>
    <row r="865" spans="3:24" hidden="1">
      <c r="C865" s="7" t="s">
        <v>35</v>
      </c>
      <c r="D865" s="7" t="s">
        <v>65</v>
      </c>
      <c r="E865" s="7" t="s">
        <v>66</v>
      </c>
      <c r="F865" s="7" t="s">
        <v>322</v>
      </c>
      <c r="G865" s="7" t="s">
        <v>322</v>
      </c>
      <c r="H865" s="15">
        <v>68302000</v>
      </c>
      <c r="I865" s="10" t="s">
        <v>733</v>
      </c>
      <c r="J865" s="7" t="s">
        <v>734</v>
      </c>
      <c r="K865" s="10" t="s">
        <v>414</v>
      </c>
      <c r="L865" s="7" t="s">
        <v>415</v>
      </c>
      <c r="M865" s="7"/>
      <c r="N865" s="7">
        <f>VLOOKUP(J865,[1]Sheet1!$C:$D,2,FALSE)</f>
        <v>4965</v>
      </c>
      <c r="O865" s="7">
        <f>VLOOKUP(J865,[2]Desa!$A:$D,4,FALSE)</f>
        <v>333</v>
      </c>
      <c r="P865" s="7">
        <f>VLOOKUP(J865,[3]Sheet1!$D:$F,3,FALSE)</f>
        <v>24</v>
      </c>
      <c r="Q865" s="7"/>
      <c r="R865" s="7"/>
      <c r="S865" s="12">
        <v>-8.7895700401234897</v>
      </c>
      <c r="T865" s="12">
        <v>116.103311065215</v>
      </c>
      <c r="U865" s="14"/>
      <c r="V865" s="52">
        <f>Table13678[[#This Row],[PAGU SEMULA]]-Table13678[[#This Row],[PAGU ANGGARAN]]</f>
        <v>-68302000</v>
      </c>
      <c r="W865" s="52">
        <f>Table13678[[#This Row],[PAGU SEMULA]]-Table13678[[#This Row],[PAGU ANGGARAN]]</f>
        <v>-68302000</v>
      </c>
      <c r="X865" t="s">
        <v>986</v>
      </c>
    </row>
    <row r="866" spans="3:24" hidden="1">
      <c r="C866" s="7" t="s">
        <v>35</v>
      </c>
      <c r="D866" s="7" t="s">
        <v>52</v>
      </c>
      <c r="E866" s="7" t="s">
        <v>95</v>
      </c>
      <c r="F866" s="7" t="s">
        <v>96</v>
      </c>
      <c r="G866" s="7" t="s">
        <v>367</v>
      </c>
      <c r="H866" s="17">
        <v>120937500</v>
      </c>
      <c r="I866" s="10" t="s">
        <v>733</v>
      </c>
      <c r="J866" s="7" t="s">
        <v>734</v>
      </c>
      <c r="K866" s="10" t="s">
        <v>414</v>
      </c>
      <c r="L866" s="7" t="s">
        <v>415</v>
      </c>
      <c r="M866" s="7"/>
      <c r="N866" s="7">
        <f>VLOOKUP(J866,[1]Sheet1!$C:$D,2,FALSE)</f>
        <v>4965</v>
      </c>
      <c r="O866" s="7">
        <f>VLOOKUP(J866,[2]Desa!$A:$D,4,FALSE)</f>
        <v>333</v>
      </c>
      <c r="P866" s="7">
        <f>VLOOKUP(J866,[3]Sheet1!$D:$F,3,FALSE)</f>
        <v>24</v>
      </c>
      <c r="Q866" s="7"/>
      <c r="R866" s="7"/>
      <c r="S866" s="12">
        <v>-8.7895700401234897</v>
      </c>
      <c r="T866" s="12">
        <v>116.103311065215</v>
      </c>
      <c r="U866" s="7"/>
      <c r="V866" s="50">
        <f>Table13678[[#This Row],[PAGU SEMULA]]-Table13678[[#This Row],[PAGU ANGGARAN]]</f>
        <v>-120937500</v>
      </c>
      <c r="W866" s="50">
        <f>Table13678[[#This Row],[PAGU SEMULA]]-Table13678[[#This Row],[PAGU ANGGARAN]]</f>
        <v>-120937500</v>
      </c>
      <c r="X866" t="s">
        <v>986</v>
      </c>
    </row>
    <row r="867" spans="3:24" hidden="1">
      <c r="C867" s="7" t="s">
        <v>46</v>
      </c>
      <c r="D867" s="7" t="s">
        <v>122</v>
      </c>
      <c r="E867" s="7" t="s">
        <v>123</v>
      </c>
      <c r="F867" s="7" t="s">
        <v>124</v>
      </c>
      <c r="G867" s="71" t="s">
        <v>125</v>
      </c>
      <c r="H867" s="8">
        <v>29837200</v>
      </c>
      <c r="I867" s="10" t="s">
        <v>733</v>
      </c>
      <c r="J867" s="7" t="s">
        <v>734</v>
      </c>
      <c r="K867" s="10" t="s">
        <v>414</v>
      </c>
      <c r="L867" s="7" t="s">
        <v>415</v>
      </c>
      <c r="M867" s="7"/>
      <c r="N867" s="7">
        <f>VLOOKUP(J867,[1]Sheet1!$C:$D,2,FALSE)</f>
        <v>4965</v>
      </c>
      <c r="O867" s="7">
        <f>VLOOKUP(J867,[2]Desa!$A:$D,4,FALSE)</f>
        <v>333</v>
      </c>
      <c r="P867" s="7">
        <f>VLOOKUP(J867,[3]Sheet1!$D:$F,3,FALSE)</f>
        <v>24</v>
      </c>
      <c r="Q867" s="7"/>
      <c r="R867" s="7"/>
      <c r="S867" s="12">
        <v>-8.7895700401234897</v>
      </c>
      <c r="T867" s="12">
        <v>116.103311065215</v>
      </c>
      <c r="U867" s="7"/>
      <c r="V867" s="50">
        <f>Table13678[[#This Row],[PAGU SEMULA]]-Table13678[[#This Row],[PAGU ANGGARAN]]</f>
        <v>-29837200</v>
      </c>
      <c r="W867" s="50">
        <f>Table13678[[#This Row],[PAGU SEMULA]]-Table13678[[#This Row],[PAGU ANGGARAN]]</f>
        <v>-29837200</v>
      </c>
      <c r="X867" t="s">
        <v>987</v>
      </c>
    </row>
    <row r="868" spans="3:24" hidden="1">
      <c r="C868" s="7" t="s">
        <v>51</v>
      </c>
      <c r="D868" s="7" t="s">
        <v>52</v>
      </c>
      <c r="E868" s="7" t="s">
        <v>53</v>
      </c>
      <c r="F868" s="7" t="s">
        <v>54</v>
      </c>
      <c r="G868" s="7" t="s">
        <v>73</v>
      </c>
      <c r="H868" s="8">
        <v>189090000</v>
      </c>
      <c r="I868" s="10" t="s">
        <v>733</v>
      </c>
      <c r="J868" s="7" t="s">
        <v>734</v>
      </c>
      <c r="K868" s="10" t="s">
        <v>414</v>
      </c>
      <c r="L868" s="7" t="s">
        <v>415</v>
      </c>
      <c r="M868" s="7"/>
      <c r="N868" s="7">
        <f>VLOOKUP(J868,[1]Sheet1!$C:$D,2,FALSE)</f>
        <v>4965</v>
      </c>
      <c r="O868" s="7">
        <f>VLOOKUP(J868,[2]Desa!$A:$D,4,FALSE)</f>
        <v>333</v>
      </c>
      <c r="P868" s="7">
        <f>VLOOKUP(J868,[3]Sheet1!$D:$F,3,FALSE)</f>
        <v>24</v>
      </c>
      <c r="Q868" s="7"/>
      <c r="R868" s="7"/>
      <c r="S868" s="12">
        <v>-8.7895700401234897</v>
      </c>
      <c r="T868" s="12">
        <v>116.103311065215</v>
      </c>
      <c r="U868" s="7"/>
      <c r="V868" s="50">
        <f>Table13678[[#This Row],[PAGU SEMULA]]-Table13678[[#This Row],[PAGU ANGGARAN]]</f>
        <v>-189090000</v>
      </c>
      <c r="W868" s="50">
        <f>Table13678[[#This Row],[PAGU SEMULA]]-Table13678[[#This Row],[PAGU ANGGARAN]]</f>
        <v>-189090000</v>
      </c>
      <c r="X868" t="s">
        <v>986</v>
      </c>
    </row>
    <row r="869" spans="3:24" hidden="1">
      <c r="C869" s="7" t="s">
        <v>51</v>
      </c>
      <c r="D869" s="7" t="s">
        <v>52</v>
      </c>
      <c r="E869" s="7" t="s">
        <v>53</v>
      </c>
      <c r="F869" s="7" t="s">
        <v>54</v>
      </c>
      <c r="G869" s="7" t="s">
        <v>73</v>
      </c>
      <c r="H869" s="8">
        <v>189090000</v>
      </c>
      <c r="I869" s="10" t="s">
        <v>733</v>
      </c>
      <c r="J869" s="7" t="s">
        <v>734</v>
      </c>
      <c r="K869" s="10" t="s">
        <v>414</v>
      </c>
      <c r="L869" s="7" t="s">
        <v>415</v>
      </c>
      <c r="M869" s="7"/>
      <c r="N869" s="7">
        <f>VLOOKUP(J869,[1]Sheet1!$C:$D,2,FALSE)</f>
        <v>4965</v>
      </c>
      <c r="O869" s="7">
        <f>VLOOKUP(J869,[2]Desa!$A:$D,4,FALSE)</f>
        <v>333</v>
      </c>
      <c r="P869" s="7">
        <f>VLOOKUP(J869,[3]Sheet1!$D:$F,3,FALSE)</f>
        <v>24</v>
      </c>
      <c r="Q869" s="7"/>
      <c r="R869" s="7"/>
      <c r="S869" s="12">
        <v>-8.7895700401234897</v>
      </c>
      <c r="T869" s="12">
        <v>116.103311065215</v>
      </c>
      <c r="U869" s="7"/>
      <c r="V869" s="50">
        <f>Table13678[[#This Row],[PAGU SEMULA]]-Table13678[[#This Row],[PAGU ANGGARAN]]</f>
        <v>-189090000</v>
      </c>
      <c r="W869" s="50">
        <f>Table13678[[#This Row],[PAGU SEMULA]]-Table13678[[#This Row],[PAGU ANGGARAN]]</f>
        <v>-189090000</v>
      </c>
      <c r="X869" t="s">
        <v>986</v>
      </c>
    </row>
    <row r="870" spans="3:24" hidden="1">
      <c r="C870" s="7" t="s">
        <v>51</v>
      </c>
      <c r="D870" s="7" t="s">
        <v>52</v>
      </c>
      <c r="E870" s="7" t="s">
        <v>53</v>
      </c>
      <c r="F870" s="7" t="s">
        <v>54</v>
      </c>
      <c r="G870" s="7" t="s">
        <v>73</v>
      </c>
      <c r="H870" s="8">
        <v>189090000</v>
      </c>
      <c r="I870" s="10" t="s">
        <v>733</v>
      </c>
      <c r="J870" s="7" t="s">
        <v>734</v>
      </c>
      <c r="K870" s="10" t="s">
        <v>414</v>
      </c>
      <c r="L870" s="7" t="s">
        <v>415</v>
      </c>
      <c r="M870" s="7"/>
      <c r="N870" s="7">
        <f>VLOOKUP(J870,[1]Sheet1!$C:$D,2,FALSE)</f>
        <v>4965</v>
      </c>
      <c r="O870" s="7">
        <f>VLOOKUP(J870,[2]Desa!$A:$D,4,FALSE)</f>
        <v>333</v>
      </c>
      <c r="P870" s="7">
        <f>VLOOKUP(J870,[3]Sheet1!$D:$F,3,FALSE)</f>
        <v>24</v>
      </c>
      <c r="Q870" s="7"/>
      <c r="R870" s="7"/>
      <c r="S870" s="12">
        <v>-8.7895700401234897</v>
      </c>
      <c r="T870" s="12">
        <v>116.103311065215</v>
      </c>
      <c r="U870" s="7"/>
      <c r="V870" s="50">
        <f>Table13678[[#This Row],[PAGU SEMULA]]-Table13678[[#This Row],[PAGU ANGGARAN]]</f>
        <v>-189090000</v>
      </c>
      <c r="W870" s="50">
        <f>Table13678[[#This Row],[PAGU SEMULA]]-Table13678[[#This Row],[PAGU ANGGARAN]]</f>
        <v>-189090000</v>
      </c>
      <c r="X870" t="s">
        <v>986</v>
      </c>
    </row>
    <row r="871" spans="3:24" hidden="1">
      <c r="C871" s="7" t="s">
        <v>29</v>
      </c>
      <c r="D871" s="7" t="s">
        <v>30</v>
      </c>
      <c r="E871" s="7" t="s">
        <v>31</v>
      </c>
      <c r="F871" s="7" t="s">
        <v>32</v>
      </c>
      <c r="G871" s="7" t="s">
        <v>33</v>
      </c>
      <c r="H871" s="8">
        <v>569520000</v>
      </c>
      <c r="I871" s="10" t="s">
        <v>738</v>
      </c>
      <c r="J871" s="7" t="s">
        <v>739</v>
      </c>
      <c r="K871" s="10" t="s">
        <v>414</v>
      </c>
      <c r="L871" s="7" t="s">
        <v>415</v>
      </c>
      <c r="M871" s="7"/>
      <c r="N871" s="7">
        <f>VLOOKUP(J871,[1]Sheet1!$C:$D,2,FALSE)</f>
        <v>3812</v>
      </c>
      <c r="O871" s="7">
        <f>VLOOKUP(J871,[2]Desa!$A:$D,4,FALSE)</f>
        <v>227</v>
      </c>
      <c r="P871" s="7">
        <f>VLOOKUP(J871,[3]Sheet1!$D:$F,3,FALSE)</f>
        <v>19</v>
      </c>
      <c r="Q871" s="7"/>
      <c r="R871" s="7"/>
      <c r="S871" s="12">
        <v>-8.7721249321874399</v>
      </c>
      <c r="T871" s="12">
        <v>116.115664536206</v>
      </c>
      <c r="U871" s="7"/>
      <c r="V871" s="50">
        <f>Table13678[[#This Row],[PAGU SEMULA]]-Table13678[[#This Row],[PAGU ANGGARAN]]</f>
        <v>-569520000</v>
      </c>
      <c r="W871" s="50">
        <f>Table13678[[#This Row],[PAGU SEMULA]]-Table13678[[#This Row],[PAGU ANGGARAN]]</f>
        <v>-569520000</v>
      </c>
      <c r="X871" t="s">
        <v>984</v>
      </c>
    </row>
    <row r="872" spans="3:24" hidden="1">
      <c r="C872" s="7" t="s">
        <v>29</v>
      </c>
      <c r="D872" s="7" t="s">
        <v>30</v>
      </c>
      <c r="E872" s="7" t="s">
        <v>31</v>
      </c>
      <c r="F872" s="7" t="s">
        <v>32</v>
      </c>
      <c r="G872" s="7" t="s">
        <v>34</v>
      </c>
      <c r="H872" s="8">
        <v>45561600</v>
      </c>
      <c r="I872" s="10" t="s">
        <v>738</v>
      </c>
      <c r="J872" s="7" t="s">
        <v>739</v>
      </c>
      <c r="K872" s="10" t="s">
        <v>414</v>
      </c>
      <c r="L872" s="7" t="s">
        <v>415</v>
      </c>
      <c r="M872" s="7"/>
      <c r="N872" s="7">
        <f>VLOOKUP(J872,[1]Sheet1!$C:$D,2,FALSE)</f>
        <v>3812</v>
      </c>
      <c r="O872" s="7">
        <f>VLOOKUP(J872,[2]Desa!$A:$D,4,FALSE)</f>
        <v>227</v>
      </c>
      <c r="P872" s="7">
        <f>VLOOKUP(J872,[3]Sheet1!$D:$F,3,FALSE)</f>
        <v>19</v>
      </c>
      <c r="Q872" s="7"/>
      <c r="R872" s="7"/>
      <c r="S872" s="12">
        <v>-8.7721249321874399</v>
      </c>
      <c r="T872" s="12">
        <v>116.115664536206</v>
      </c>
      <c r="U872" s="7"/>
      <c r="V872" s="50">
        <f>Table13678[[#This Row],[PAGU SEMULA]]-Table13678[[#This Row],[PAGU ANGGARAN]]</f>
        <v>-45561600</v>
      </c>
      <c r="W872" s="50">
        <f>Table13678[[#This Row],[PAGU SEMULA]]-Table13678[[#This Row],[PAGU ANGGARAN]]</f>
        <v>-45561600</v>
      </c>
      <c r="X872" t="s">
        <v>984</v>
      </c>
    </row>
    <row r="873" spans="3:24" hidden="1">
      <c r="C873" s="7" t="s">
        <v>84</v>
      </c>
      <c r="D873" s="7" t="s">
        <v>85</v>
      </c>
      <c r="E873" s="7" t="s">
        <v>189</v>
      </c>
      <c r="F873" s="7" t="s">
        <v>190</v>
      </c>
      <c r="G873" s="7" t="s">
        <v>191</v>
      </c>
      <c r="H873" s="8">
        <v>83000000</v>
      </c>
      <c r="I873" s="10" t="s">
        <v>738</v>
      </c>
      <c r="J873" s="7" t="s">
        <v>739</v>
      </c>
      <c r="K873" s="10" t="s">
        <v>414</v>
      </c>
      <c r="L873" s="7" t="s">
        <v>415</v>
      </c>
      <c r="M873" s="7"/>
      <c r="N873" s="7">
        <f>VLOOKUP(J873,[1]Sheet1!$C:$D,2,FALSE)</f>
        <v>3812</v>
      </c>
      <c r="O873" s="7">
        <f>VLOOKUP(J873,[2]Desa!$A:$D,4,FALSE)</f>
        <v>227</v>
      </c>
      <c r="P873" s="7">
        <f>VLOOKUP(J873,[3]Sheet1!$D:$F,3,FALSE)</f>
        <v>19</v>
      </c>
      <c r="Q873" s="7"/>
      <c r="R873" s="7"/>
      <c r="S873" s="12">
        <v>-8.7721249321874399</v>
      </c>
      <c r="T873" s="12">
        <v>116.115664536206</v>
      </c>
      <c r="U873" s="7"/>
      <c r="V873" s="50">
        <f>Table13678[[#This Row],[PAGU SEMULA]]-Table13678[[#This Row],[PAGU ANGGARAN]]</f>
        <v>-83000000</v>
      </c>
      <c r="W873" s="50">
        <f>Table13678[[#This Row],[PAGU SEMULA]]-Table13678[[#This Row],[PAGU ANGGARAN]]</f>
        <v>-83000000</v>
      </c>
      <c r="X873" t="s">
        <v>982</v>
      </c>
    </row>
    <row r="874" spans="3:24" hidden="1">
      <c r="C874" s="7" t="s">
        <v>84</v>
      </c>
      <c r="D874" s="7" t="s">
        <v>89</v>
      </c>
      <c r="E874" s="7" t="s">
        <v>90</v>
      </c>
      <c r="F874" s="7" t="s">
        <v>91</v>
      </c>
      <c r="G874" s="7" t="s">
        <v>740</v>
      </c>
      <c r="H874" s="8">
        <v>90750000</v>
      </c>
      <c r="I874" s="10" t="s">
        <v>738</v>
      </c>
      <c r="J874" s="7" t="s">
        <v>739</v>
      </c>
      <c r="K874" s="10" t="s">
        <v>414</v>
      </c>
      <c r="L874" s="7" t="s">
        <v>415</v>
      </c>
      <c r="M874" s="7"/>
      <c r="N874" s="7">
        <f>VLOOKUP(J874,[1]Sheet1!$C:$D,2,FALSE)</f>
        <v>3812</v>
      </c>
      <c r="O874" s="7">
        <f>VLOOKUP(J874,[2]Desa!$A:$D,4,FALSE)</f>
        <v>227</v>
      </c>
      <c r="P874" s="7">
        <f>VLOOKUP(J874,[3]Sheet1!$D:$F,3,FALSE)</f>
        <v>19</v>
      </c>
      <c r="Q874" s="7"/>
      <c r="R874" s="7"/>
      <c r="S874" s="12">
        <v>-8.7721249321874399</v>
      </c>
      <c r="T874" s="12">
        <v>116.115664536206</v>
      </c>
      <c r="U874" s="7"/>
      <c r="V874" s="50">
        <f>Table13678[[#This Row],[PAGU SEMULA]]-Table13678[[#This Row],[PAGU ANGGARAN]]</f>
        <v>-90750000</v>
      </c>
      <c r="W874" s="50">
        <f>Table13678[[#This Row],[PAGU SEMULA]]-Table13678[[#This Row],[PAGU ANGGARAN]]</f>
        <v>-90750000</v>
      </c>
      <c r="X874" t="s">
        <v>982</v>
      </c>
    </row>
    <row r="875" spans="3:24" hidden="1">
      <c r="C875" s="29"/>
      <c r="D875" s="29"/>
      <c r="E875" s="29"/>
      <c r="F875" s="29"/>
      <c r="G875" s="29"/>
      <c r="H875" s="8"/>
      <c r="I875" s="31"/>
      <c r="J875" s="29"/>
      <c r="K875" s="31"/>
      <c r="L875" s="29"/>
      <c r="M875" s="29"/>
      <c r="N875" s="29" t="e">
        <f>VLOOKUP(J875,[1]Sheet1!$C:$D,2,FALSE)</f>
        <v>#N/A</v>
      </c>
      <c r="O875" s="29" t="e">
        <f>VLOOKUP(J875,[2]Desa!$A:$D,4,FALSE)</f>
        <v>#N/A</v>
      </c>
      <c r="P875" s="29" t="e">
        <f>VLOOKUP(J875,[3]Sheet1!$D:$F,3,FALSE)</f>
        <v>#N/A</v>
      </c>
      <c r="Q875" s="29"/>
      <c r="R875" s="35"/>
      <c r="S875" s="36"/>
      <c r="T875" s="32"/>
      <c r="U875" s="25"/>
      <c r="V875" s="54">
        <f>Table13678[[#This Row],[PAGU SEMULA]]-Table13678[[#This Row],[PAGU ANGGARAN]]</f>
        <v>0</v>
      </c>
      <c r="W875" s="54">
        <f>Table13678[[#This Row],[PAGU SEMULA]]-Table13678[[#This Row],[PAGU ANGGARAN]]</f>
        <v>0</v>
      </c>
      <c r="X875" t="s">
        <v>987</v>
      </c>
    </row>
    <row r="876" spans="3:24" hidden="1">
      <c r="C876" s="73" t="s">
        <v>46</v>
      </c>
      <c r="D876" s="29"/>
      <c r="E876" s="29"/>
      <c r="F876" s="29"/>
      <c r="G876" s="29" t="s">
        <v>960</v>
      </c>
      <c r="H876" s="8">
        <v>140000000</v>
      </c>
      <c r="I876" s="10" t="s">
        <v>738</v>
      </c>
      <c r="J876" s="7" t="s">
        <v>739</v>
      </c>
      <c r="K876" s="10" t="s">
        <v>414</v>
      </c>
      <c r="L876" s="7" t="s">
        <v>415</v>
      </c>
      <c r="M876" s="29"/>
      <c r="N876" s="29">
        <f>VLOOKUP(J876,[1]Sheet1!$C:$D,2,FALSE)</f>
        <v>3812</v>
      </c>
      <c r="O876" s="29">
        <f>VLOOKUP(J876,[2]Desa!$A:$D,4,FALSE)</f>
        <v>227</v>
      </c>
      <c r="P876" s="29">
        <f>VLOOKUP(J876,[3]Sheet1!$D:$F,3,FALSE)</f>
        <v>19</v>
      </c>
      <c r="Q876" s="29"/>
      <c r="R876" s="35"/>
      <c r="S876" s="36"/>
      <c r="T876" s="32"/>
      <c r="U876" s="25"/>
      <c r="V876" s="54">
        <f>Table13678[[#This Row],[PAGU SEMULA]]-Table13678[[#This Row],[PAGU ANGGARAN]]</f>
        <v>-140000000</v>
      </c>
      <c r="W876" s="54">
        <f>Table13678[[#This Row],[PAGU SEMULA]]-Table13678[[#This Row],[PAGU ANGGARAN]]</f>
        <v>-140000000</v>
      </c>
      <c r="X876" t="s">
        <v>987</v>
      </c>
    </row>
    <row r="877" spans="3:24" hidden="1">
      <c r="C877" s="7" t="s">
        <v>35</v>
      </c>
      <c r="D877" s="7" t="s">
        <v>36</v>
      </c>
      <c r="E877" s="7" t="s">
        <v>37</v>
      </c>
      <c r="F877" s="7" t="s">
        <v>38</v>
      </c>
      <c r="G877" s="7" t="s">
        <v>39</v>
      </c>
      <c r="H877" s="67">
        <f>105000000+(5.4%*105000000)</f>
        <v>110670000</v>
      </c>
      <c r="I877" s="10" t="s">
        <v>738</v>
      </c>
      <c r="J877" s="7" t="s">
        <v>739</v>
      </c>
      <c r="K877" s="10" t="s">
        <v>414</v>
      </c>
      <c r="L877" s="7" t="s">
        <v>415</v>
      </c>
      <c r="M877" s="7"/>
      <c r="N877" s="7">
        <f>VLOOKUP(J877,[1]Sheet1!$C:$D,2,FALSE)</f>
        <v>3812</v>
      </c>
      <c r="O877" s="7">
        <f>VLOOKUP(J877,[2]Desa!$A:$D,4,FALSE)</f>
        <v>227</v>
      </c>
      <c r="P877" s="7">
        <f>VLOOKUP(J877,[3]Sheet1!$D:$F,3,FALSE)</f>
        <v>19</v>
      </c>
      <c r="Q877" s="7"/>
      <c r="R877" s="7"/>
      <c r="S877" s="12">
        <v>-8.7721249321874399</v>
      </c>
      <c r="T877" s="12">
        <v>116.115664536206</v>
      </c>
      <c r="U877" s="7"/>
      <c r="V877" s="50">
        <f>Table13678[[#This Row],[PAGU SEMULA]]-Table13678[[#This Row],[PAGU ANGGARAN]]</f>
        <v>-110670000</v>
      </c>
      <c r="W877" s="50">
        <f>Table13678[[#This Row],[PAGU SEMULA]]-Table13678[[#This Row],[PAGU ANGGARAN]]</f>
        <v>-110670000</v>
      </c>
      <c r="X877" t="s">
        <v>984</v>
      </c>
    </row>
    <row r="878" spans="3:24" hidden="1">
      <c r="C878" s="7" t="s">
        <v>35</v>
      </c>
      <c r="D878" s="7" t="s">
        <v>156</v>
      </c>
      <c r="E878" s="7" t="s">
        <v>157</v>
      </c>
      <c r="F878" s="7" t="s">
        <v>158</v>
      </c>
      <c r="G878" s="7" t="s">
        <v>737</v>
      </c>
      <c r="H878" s="61">
        <v>0</v>
      </c>
      <c r="I878" s="10" t="s">
        <v>738</v>
      </c>
      <c r="J878" s="7" t="s">
        <v>739</v>
      </c>
      <c r="K878" s="10" t="s">
        <v>414</v>
      </c>
      <c r="L878" s="7" t="s">
        <v>415</v>
      </c>
      <c r="M878" s="7"/>
      <c r="N878" s="7">
        <f>VLOOKUP(J878,[1]Sheet1!$C:$D,2,FALSE)</f>
        <v>3812</v>
      </c>
      <c r="O878" s="7">
        <f>VLOOKUP(J878,[2]Desa!$A:$D,4,FALSE)</f>
        <v>227</v>
      </c>
      <c r="P878" s="7">
        <f>VLOOKUP(J878,[3]Sheet1!$D:$F,3,FALSE)</f>
        <v>19</v>
      </c>
      <c r="Q878" s="7"/>
      <c r="R878" s="7"/>
      <c r="S878" s="12">
        <v>-8.7721249321874399</v>
      </c>
      <c r="T878" s="12">
        <v>116.115664536206</v>
      </c>
      <c r="U878" s="63">
        <v>4000000000</v>
      </c>
      <c r="V878" s="57">
        <f>Table13678[[#This Row],[PAGU SEMULA]]-Table13678[[#This Row],[PAGU ANGGARAN]]</f>
        <v>4000000000</v>
      </c>
      <c r="W878" s="50">
        <f>Table13678[[#This Row],[PAGU SEMULA]]-Table13678[[#This Row],[PAGU ANGGARAN]]</f>
        <v>4000000000</v>
      </c>
      <c r="X878" t="s">
        <v>986</v>
      </c>
    </row>
    <row r="879" spans="3:24" hidden="1">
      <c r="C879" s="7" t="s">
        <v>35</v>
      </c>
      <c r="D879" s="7" t="s">
        <v>52</v>
      </c>
      <c r="E879" s="7" t="s">
        <v>95</v>
      </c>
      <c r="F879" s="7" t="s">
        <v>96</v>
      </c>
      <c r="G879" s="7" t="s">
        <v>459</v>
      </c>
      <c r="H879" s="60">
        <v>75000000</v>
      </c>
      <c r="I879" s="10" t="s">
        <v>738</v>
      </c>
      <c r="J879" s="7" t="s">
        <v>739</v>
      </c>
      <c r="K879" s="10" t="s">
        <v>414</v>
      </c>
      <c r="L879" s="7" t="s">
        <v>415</v>
      </c>
      <c r="M879" s="7"/>
      <c r="N879" s="7">
        <f>VLOOKUP(J879,[1]Sheet1!$C:$D,2,FALSE)</f>
        <v>3812</v>
      </c>
      <c r="O879" s="7">
        <f>VLOOKUP(J879,[2]Desa!$A:$D,4,FALSE)</f>
        <v>227</v>
      </c>
      <c r="P879" s="7">
        <f>VLOOKUP(J879,[3]Sheet1!$D:$F,3,FALSE)</f>
        <v>19</v>
      </c>
      <c r="Q879" s="7"/>
      <c r="R879" s="7"/>
      <c r="S879" s="12">
        <v>-8.7721249321874399</v>
      </c>
      <c r="T879" s="12">
        <v>116.115664536206</v>
      </c>
      <c r="U879" s="63">
        <v>90500000</v>
      </c>
      <c r="V879" s="57">
        <f>Table13678[[#This Row],[PAGU SEMULA]]-Table13678[[#This Row],[PAGU ANGGARAN]]</f>
        <v>15500000</v>
      </c>
      <c r="W879" s="50">
        <f>Table13678[[#This Row],[PAGU SEMULA]]-Table13678[[#This Row],[PAGU ANGGARAN]]</f>
        <v>15500000</v>
      </c>
      <c r="X879" t="s">
        <v>986</v>
      </c>
    </row>
    <row r="880" spans="3:24" hidden="1">
      <c r="C880" s="7" t="s">
        <v>29</v>
      </c>
      <c r="D880" s="7" t="s">
        <v>30</v>
      </c>
      <c r="E880" s="7" t="s">
        <v>31</v>
      </c>
      <c r="F880" s="7" t="s">
        <v>32</v>
      </c>
      <c r="G880" s="7" t="s">
        <v>33</v>
      </c>
      <c r="H880" s="15">
        <v>378840000</v>
      </c>
      <c r="I880" s="10" t="s">
        <v>741</v>
      </c>
      <c r="J880" s="16" t="s">
        <v>745</v>
      </c>
      <c r="K880" s="10" t="s">
        <v>58</v>
      </c>
      <c r="L880" s="7" t="s">
        <v>289</v>
      </c>
      <c r="M880" s="7"/>
      <c r="N880" s="7">
        <f>VLOOKUP(J880,[1]Sheet1!$C:$D,2,FALSE)</f>
        <v>2305</v>
      </c>
      <c r="O880" s="7">
        <f>VLOOKUP(J880,[2]Desa!$A:$D,4,FALSE)</f>
        <v>111</v>
      </c>
      <c r="P880" s="7">
        <f>VLOOKUP(J880,[3]Sheet1!$D:$F,3,FALSE)</f>
        <v>21</v>
      </c>
      <c r="Q880" s="7"/>
      <c r="R880" s="7"/>
      <c r="S880" s="12">
        <v>-8.5882204738285299</v>
      </c>
      <c r="T880" s="12">
        <v>116.200018670285</v>
      </c>
      <c r="U880" s="7"/>
      <c r="V880" s="50">
        <f>Table13678[[#This Row],[PAGU SEMULA]]-Table13678[[#This Row],[PAGU ANGGARAN]]</f>
        <v>-378840000</v>
      </c>
      <c r="W880" s="50">
        <f>Table13678[[#This Row],[PAGU SEMULA]]-Table13678[[#This Row],[PAGU ANGGARAN]]</f>
        <v>-378840000</v>
      </c>
      <c r="X880" t="s">
        <v>984</v>
      </c>
    </row>
    <row r="881" spans="1:24" hidden="1">
      <c r="C881" s="7" t="s">
        <v>29</v>
      </c>
      <c r="D881" s="7" t="s">
        <v>30</v>
      </c>
      <c r="E881" s="7" t="s">
        <v>31</v>
      </c>
      <c r="F881" s="7" t="s">
        <v>32</v>
      </c>
      <c r="G881" s="7" t="s">
        <v>34</v>
      </c>
      <c r="H881" s="15">
        <v>30307200</v>
      </c>
      <c r="I881" s="10" t="s">
        <v>741</v>
      </c>
      <c r="J881" s="16" t="s">
        <v>745</v>
      </c>
      <c r="K881" s="10" t="s">
        <v>58</v>
      </c>
      <c r="L881" s="7" t="s">
        <v>289</v>
      </c>
      <c r="M881" s="7"/>
      <c r="N881" s="7">
        <f>VLOOKUP(J881,[1]Sheet1!$C:$D,2,FALSE)</f>
        <v>2305</v>
      </c>
      <c r="O881" s="7">
        <f>VLOOKUP(J881,[2]Desa!$A:$D,4,FALSE)</f>
        <v>111</v>
      </c>
      <c r="P881" s="7">
        <f>VLOOKUP(J881,[3]Sheet1!$D:$F,3,FALSE)</f>
        <v>21</v>
      </c>
      <c r="Q881" s="7"/>
      <c r="R881" s="7"/>
      <c r="S881" s="12">
        <v>-8.5882204738285299</v>
      </c>
      <c r="T881" s="12">
        <v>116.200018670285</v>
      </c>
      <c r="U881" s="7"/>
      <c r="V881" s="50">
        <f>Table13678[[#This Row],[PAGU SEMULA]]-Table13678[[#This Row],[PAGU ANGGARAN]]</f>
        <v>-30307200</v>
      </c>
      <c r="W881" s="50">
        <f>Table13678[[#This Row],[PAGU SEMULA]]-Table13678[[#This Row],[PAGU ANGGARAN]]</f>
        <v>-30307200</v>
      </c>
      <c r="X881" t="s">
        <v>984</v>
      </c>
    </row>
    <row r="882" spans="1:24" hidden="1">
      <c r="C882" s="7" t="s">
        <v>35</v>
      </c>
      <c r="D882" s="7" t="s">
        <v>36</v>
      </c>
      <c r="E882" s="7" t="s">
        <v>37</v>
      </c>
      <c r="F882" s="7" t="s">
        <v>38</v>
      </c>
      <c r="G882" s="7" t="s">
        <v>39</v>
      </c>
      <c r="H882" s="15">
        <v>75000000</v>
      </c>
      <c r="I882" s="10" t="s">
        <v>741</v>
      </c>
      <c r="J882" s="7" t="s">
        <v>742</v>
      </c>
      <c r="K882" s="10" t="s">
        <v>58</v>
      </c>
      <c r="L882" s="7" t="s">
        <v>59</v>
      </c>
      <c r="M882" s="7"/>
      <c r="N882" s="7">
        <f>VLOOKUP(J882,[1]Sheet1!$C:$D,2,FALSE)</f>
        <v>4907</v>
      </c>
      <c r="O882" s="7">
        <f>VLOOKUP(J882,[2]Desa!$A:$D,4,FALSE)</f>
        <v>365</v>
      </c>
      <c r="P882" s="7">
        <f>VLOOKUP(J882,[3]Sheet1!$D:$F,3,FALSE)</f>
        <v>20</v>
      </c>
      <c r="Q882" s="7"/>
      <c r="R882" s="7"/>
      <c r="S882" s="12">
        <v>-8.5882204738285299</v>
      </c>
      <c r="T882" s="12">
        <v>116.200018670285</v>
      </c>
      <c r="U882" s="7"/>
      <c r="V882" s="50">
        <f>Table13678[[#This Row],[PAGU SEMULA]]-Table13678[[#This Row],[PAGU ANGGARAN]]</f>
        <v>-75000000</v>
      </c>
      <c r="W882" s="50">
        <f>Table13678[[#This Row],[PAGU SEMULA]]-Table13678[[#This Row],[PAGU ANGGARAN]]</f>
        <v>-75000000</v>
      </c>
      <c r="X882" t="s">
        <v>984</v>
      </c>
    </row>
    <row r="883" spans="1:24" hidden="1">
      <c r="C883" s="7" t="s">
        <v>35</v>
      </c>
      <c r="D883" s="7" t="s">
        <v>65</v>
      </c>
      <c r="E883" s="7" t="s">
        <v>66</v>
      </c>
      <c r="F883" s="7" t="s">
        <v>160</v>
      </c>
      <c r="G883" s="7" t="s">
        <v>161</v>
      </c>
      <c r="H883" s="15">
        <v>2000000000</v>
      </c>
      <c r="I883" s="10" t="s">
        <v>741</v>
      </c>
      <c r="J883" s="7" t="s">
        <v>742</v>
      </c>
      <c r="K883" s="10" t="s">
        <v>58</v>
      </c>
      <c r="L883" s="7" t="s">
        <v>59</v>
      </c>
      <c r="M883" s="7"/>
      <c r="N883" s="7">
        <f>VLOOKUP(J883,[1]Sheet1!$C:$D,2,FALSE)</f>
        <v>4907</v>
      </c>
      <c r="O883" s="7">
        <f>VLOOKUP(J883,[2]Desa!$A:$D,4,FALSE)</f>
        <v>365</v>
      </c>
      <c r="P883" s="7">
        <f>VLOOKUP(J883,[3]Sheet1!$D:$F,3,FALSE)</f>
        <v>20</v>
      </c>
      <c r="Q883" s="7"/>
      <c r="R883" s="7"/>
      <c r="S883" s="12">
        <v>-8.5882204738285299</v>
      </c>
      <c r="T883" s="12">
        <v>116.200018670285</v>
      </c>
      <c r="U883" s="7"/>
      <c r="V883" s="50">
        <f>Table13678[[#This Row],[PAGU SEMULA]]-Table13678[[#This Row],[PAGU ANGGARAN]]</f>
        <v>-2000000000</v>
      </c>
      <c r="W883" s="50">
        <f>Table13678[[#This Row],[PAGU SEMULA]]-Table13678[[#This Row],[PAGU ANGGARAN]]</f>
        <v>-2000000000</v>
      </c>
      <c r="X883" t="s">
        <v>986</v>
      </c>
    </row>
    <row r="884" spans="1:24" hidden="1">
      <c r="C884" s="7" t="s">
        <v>35</v>
      </c>
      <c r="D884" s="7" t="s">
        <v>52</v>
      </c>
      <c r="E884" s="7" t="s">
        <v>95</v>
      </c>
      <c r="F884" s="7" t="s">
        <v>96</v>
      </c>
      <c r="G884" s="7" t="s">
        <v>98</v>
      </c>
      <c r="H884" s="17">
        <v>96750000</v>
      </c>
      <c r="I884" s="10" t="s">
        <v>741</v>
      </c>
      <c r="J884" s="7" t="s">
        <v>742</v>
      </c>
      <c r="K884" s="10" t="s">
        <v>58</v>
      </c>
      <c r="L884" s="7" t="s">
        <v>59</v>
      </c>
      <c r="M884" s="7"/>
      <c r="N884" s="7">
        <f>VLOOKUP(J884,[1]Sheet1!$C:$D,2,FALSE)</f>
        <v>4907</v>
      </c>
      <c r="O884" s="7">
        <f>VLOOKUP(J884,[2]Desa!$A:$D,4,FALSE)</f>
        <v>365</v>
      </c>
      <c r="P884" s="7">
        <f>VLOOKUP(J884,[3]Sheet1!$D:$F,3,FALSE)</f>
        <v>20</v>
      </c>
      <c r="Q884" s="7"/>
      <c r="R884" s="7"/>
      <c r="S884" s="12">
        <v>-8.5882204738285299</v>
      </c>
      <c r="T884" s="12">
        <v>116.200018670285</v>
      </c>
      <c r="U884" s="7"/>
      <c r="V884" s="50">
        <f>Table13678[[#This Row],[PAGU SEMULA]]-Table13678[[#This Row],[PAGU ANGGARAN]]</f>
        <v>-96750000</v>
      </c>
      <c r="W884" s="50">
        <f>Table13678[[#This Row],[PAGU SEMULA]]-Table13678[[#This Row],[PAGU ANGGARAN]]</f>
        <v>-96750000</v>
      </c>
      <c r="X884" t="s">
        <v>986</v>
      </c>
    </row>
    <row r="885" spans="1:24" hidden="1">
      <c r="C885" s="7" t="s">
        <v>20</v>
      </c>
      <c r="D885" s="7" t="s">
        <v>104</v>
      </c>
      <c r="E885" s="7" t="s">
        <v>105</v>
      </c>
      <c r="F885" s="7" t="s">
        <v>138</v>
      </c>
      <c r="G885" s="71" t="s">
        <v>743</v>
      </c>
      <c r="H885" s="15">
        <v>86912500</v>
      </c>
      <c r="I885" s="10" t="s">
        <v>744</v>
      </c>
      <c r="J885" s="7" t="s">
        <v>745</v>
      </c>
      <c r="K885" s="10" t="s">
        <v>288</v>
      </c>
      <c r="L885" s="7" t="s">
        <v>289</v>
      </c>
      <c r="M885" s="7"/>
      <c r="N885" s="7">
        <f>VLOOKUP(J885,[1]Sheet1!$C:$D,2,FALSE)</f>
        <v>2305</v>
      </c>
      <c r="O885" s="7">
        <f>VLOOKUP(J885,[2]Desa!$A:$D,4,FALSE)</f>
        <v>111</v>
      </c>
      <c r="P885" s="7">
        <f>VLOOKUP(J885,[3]Sheet1!$D:$F,3,FALSE)</f>
        <v>21</v>
      </c>
      <c r="Q885" s="7"/>
      <c r="R885" s="7"/>
      <c r="S885" s="12">
        <v>-8.5432953371139106</v>
      </c>
      <c r="T885" s="12">
        <v>116.137924352578</v>
      </c>
      <c r="U885" s="7"/>
      <c r="V885" s="50">
        <f>Table13678[[#This Row],[PAGU SEMULA]]-Table13678[[#This Row],[PAGU ANGGARAN]]</f>
        <v>-86912500</v>
      </c>
      <c r="W885" s="50">
        <f>Table13678[[#This Row],[PAGU SEMULA]]-Table13678[[#This Row],[PAGU ANGGARAN]]</f>
        <v>-86912500</v>
      </c>
      <c r="X885" t="s">
        <v>984</v>
      </c>
    </row>
    <row r="886" spans="1:24" hidden="1">
      <c r="C886" s="7" t="s">
        <v>29</v>
      </c>
      <c r="D886" s="7" t="s">
        <v>30</v>
      </c>
      <c r="E886" s="7" t="s">
        <v>31</v>
      </c>
      <c r="F886" s="7" t="s">
        <v>32</v>
      </c>
      <c r="G886" s="7" t="s">
        <v>33</v>
      </c>
      <c r="H886" s="15">
        <v>71820000</v>
      </c>
      <c r="I886" s="10" t="s">
        <v>744</v>
      </c>
      <c r="J886" s="7" t="s">
        <v>742</v>
      </c>
      <c r="K886" s="10" t="s">
        <v>288</v>
      </c>
      <c r="L886" s="16" t="s">
        <v>59</v>
      </c>
      <c r="M886" s="7"/>
      <c r="N886" s="7">
        <f>VLOOKUP(J886,[1]Sheet1!$C:$D,2,FALSE)</f>
        <v>4907</v>
      </c>
      <c r="O886" s="7">
        <f>VLOOKUP(J886,[2]Desa!$A:$D,4,FALSE)</f>
        <v>365</v>
      </c>
      <c r="P886" s="7">
        <f>VLOOKUP(J886,[3]Sheet1!$D:$F,3,FALSE)</f>
        <v>20</v>
      </c>
      <c r="Q886" s="7"/>
      <c r="R886" s="7"/>
      <c r="S886" s="12">
        <v>-8.5432953371139106</v>
      </c>
      <c r="T886" s="12">
        <v>116.137924352578</v>
      </c>
      <c r="U886" s="7"/>
      <c r="V886" s="50">
        <f>Table13678[[#This Row],[PAGU SEMULA]]-Table13678[[#This Row],[PAGU ANGGARAN]]</f>
        <v>-71820000</v>
      </c>
      <c r="W886" s="50">
        <f>Table13678[[#This Row],[PAGU SEMULA]]-Table13678[[#This Row],[PAGU ANGGARAN]]</f>
        <v>-71820000</v>
      </c>
      <c r="X886" t="s">
        <v>984</v>
      </c>
    </row>
    <row r="887" spans="1:24" hidden="1">
      <c r="C887" s="7" t="s">
        <v>29</v>
      </c>
      <c r="D887" s="7" t="s">
        <v>30</v>
      </c>
      <c r="E887" s="7" t="s">
        <v>31</v>
      </c>
      <c r="F887" s="7" t="s">
        <v>32</v>
      </c>
      <c r="G887" s="7" t="s">
        <v>34</v>
      </c>
      <c r="H887" s="15">
        <v>5745600</v>
      </c>
      <c r="I887" s="10" t="s">
        <v>744</v>
      </c>
      <c r="J887" s="16" t="s">
        <v>742</v>
      </c>
      <c r="K887" s="10" t="s">
        <v>288</v>
      </c>
      <c r="L887" s="16" t="s">
        <v>59</v>
      </c>
      <c r="M887" s="7"/>
      <c r="N887" s="7">
        <f>VLOOKUP(J887,[1]Sheet1!$C:$D,2,FALSE)</f>
        <v>4907</v>
      </c>
      <c r="O887" s="7">
        <f>VLOOKUP(J887,[2]Desa!$A:$D,4,FALSE)</f>
        <v>365</v>
      </c>
      <c r="P887" s="7">
        <f>VLOOKUP(J887,[3]Sheet1!$D:$F,3,FALSE)</f>
        <v>20</v>
      </c>
      <c r="Q887" s="7"/>
      <c r="R887" s="7"/>
      <c r="S887" s="12">
        <v>-8.5432953371139106</v>
      </c>
      <c r="T887" s="12">
        <v>116.137924352578</v>
      </c>
      <c r="U887" s="7"/>
      <c r="V887" s="50">
        <f>Table13678[[#This Row],[PAGU SEMULA]]-Table13678[[#This Row],[PAGU ANGGARAN]]</f>
        <v>-5745600</v>
      </c>
      <c r="W887" s="50">
        <f>Table13678[[#This Row],[PAGU SEMULA]]-Table13678[[#This Row],[PAGU ANGGARAN]]</f>
        <v>-5745600</v>
      </c>
      <c r="X887" t="s">
        <v>984</v>
      </c>
    </row>
    <row r="888" spans="1:24" hidden="1">
      <c r="A888" s="2"/>
      <c r="B888" s="2"/>
      <c r="C888" s="7" t="s">
        <v>35</v>
      </c>
      <c r="D888" s="7" t="s">
        <v>65</v>
      </c>
      <c r="E888" s="7" t="s">
        <v>66</v>
      </c>
      <c r="F888" s="7" t="s">
        <v>93</v>
      </c>
      <c r="G888" s="7" t="s">
        <v>625</v>
      </c>
      <c r="H888" s="15">
        <v>300000000</v>
      </c>
      <c r="I888" s="10" t="s">
        <v>744</v>
      </c>
      <c r="J888" s="7" t="s">
        <v>745</v>
      </c>
      <c r="K888" s="10" t="s">
        <v>288</v>
      </c>
      <c r="L888" s="7" t="s">
        <v>289</v>
      </c>
      <c r="M888" s="7"/>
      <c r="N888" s="7">
        <f>VLOOKUP(J888,[1]Sheet1!$C:$D,2,FALSE)</f>
        <v>2305</v>
      </c>
      <c r="O888" s="7">
        <f>VLOOKUP(J888,[2]Desa!$A:$D,4,FALSE)</f>
        <v>111</v>
      </c>
      <c r="P888" s="7">
        <f>VLOOKUP(J888,[3]Sheet1!$D:$F,3,FALSE)</f>
        <v>21</v>
      </c>
      <c r="Q888" s="7"/>
      <c r="R888" s="7"/>
      <c r="S888" s="12">
        <v>-8.5432953371139106</v>
      </c>
      <c r="T888" s="12">
        <v>116.137924352578</v>
      </c>
      <c r="U888" s="7"/>
      <c r="V888" s="50">
        <f>Table13678[[#This Row],[PAGU SEMULA]]-Table13678[[#This Row],[PAGU ANGGARAN]]</f>
        <v>-300000000</v>
      </c>
      <c r="W888" s="50">
        <f>Table13678[[#This Row],[PAGU SEMULA]]-Table13678[[#This Row],[PAGU ANGGARAN]]</f>
        <v>-300000000</v>
      </c>
      <c r="X888" t="s">
        <v>986</v>
      </c>
    </row>
    <row r="889" spans="1:24" hidden="1">
      <c r="C889" s="7" t="s">
        <v>35</v>
      </c>
      <c r="D889" s="7" t="s">
        <v>36</v>
      </c>
      <c r="E889" s="7" t="s">
        <v>37</v>
      </c>
      <c r="F889" s="7" t="s">
        <v>38</v>
      </c>
      <c r="G889" s="7" t="s">
        <v>39</v>
      </c>
      <c r="H889" s="15">
        <v>75000000</v>
      </c>
      <c r="I889" s="10" t="s">
        <v>744</v>
      </c>
      <c r="J889" s="7" t="s">
        <v>745</v>
      </c>
      <c r="K889" s="10" t="s">
        <v>288</v>
      </c>
      <c r="L889" s="7" t="s">
        <v>289</v>
      </c>
      <c r="M889" s="7"/>
      <c r="N889" s="7">
        <f>VLOOKUP(J889,[1]Sheet1!$C:$D,2,FALSE)</f>
        <v>2305</v>
      </c>
      <c r="O889" s="7">
        <f>VLOOKUP(J889,[2]Desa!$A:$D,4,FALSE)</f>
        <v>111</v>
      </c>
      <c r="P889" s="7">
        <f>VLOOKUP(J889,[3]Sheet1!$D:$F,3,FALSE)</f>
        <v>21</v>
      </c>
      <c r="Q889" s="7"/>
      <c r="R889" s="7"/>
      <c r="S889" s="12">
        <v>-8.5432953371139106</v>
      </c>
      <c r="T889" s="12">
        <v>116.137924352578</v>
      </c>
      <c r="U889" s="7"/>
      <c r="V889" s="50">
        <f>Table13678[[#This Row],[PAGU SEMULA]]-Table13678[[#This Row],[PAGU ANGGARAN]]</f>
        <v>-75000000</v>
      </c>
      <c r="W889" s="50">
        <f>Table13678[[#This Row],[PAGU SEMULA]]-Table13678[[#This Row],[PAGU ANGGARAN]]</f>
        <v>-75000000</v>
      </c>
      <c r="X889" t="s">
        <v>984</v>
      </c>
    </row>
    <row r="890" spans="1:24" hidden="1">
      <c r="C890" s="7" t="s">
        <v>35</v>
      </c>
      <c r="D890" s="7" t="s">
        <v>52</v>
      </c>
      <c r="E890" s="7" t="s">
        <v>95</v>
      </c>
      <c r="F890" s="7" t="s">
        <v>96</v>
      </c>
      <c r="G890" s="7" t="s">
        <v>41</v>
      </c>
      <c r="H890" s="17">
        <v>145125000</v>
      </c>
      <c r="I890" s="10" t="s">
        <v>744</v>
      </c>
      <c r="J890" s="7" t="s">
        <v>745</v>
      </c>
      <c r="K890" s="10" t="s">
        <v>288</v>
      </c>
      <c r="L890" s="7" t="s">
        <v>289</v>
      </c>
      <c r="M890" s="7"/>
      <c r="N890" s="7">
        <f>VLOOKUP(J890,[1]Sheet1!$C:$D,2,FALSE)</f>
        <v>2305</v>
      </c>
      <c r="O890" s="7">
        <f>VLOOKUP(J890,[2]Desa!$A:$D,4,FALSE)</f>
        <v>111</v>
      </c>
      <c r="P890" s="7">
        <f>VLOOKUP(J890,[3]Sheet1!$D:$F,3,FALSE)</f>
        <v>21</v>
      </c>
      <c r="Q890" s="7"/>
      <c r="R890" s="7"/>
      <c r="S890" s="12">
        <v>-8.5432953371139106</v>
      </c>
      <c r="T890" s="12">
        <v>116.137924352578</v>
      </c>
      <c r="U890" s="7"/>
      <c r="V890" s="50">
        <f>Table13678[[#This Row],[PAGU SEMULA]]-Table13678[[#This Row],[PAGU ANGGARAN]]</f>
        <v>-145125000</v>
      </c>
      <c r="W890" s="50">
        <f>Table13678[[#This Row],[PAGU SEMULA]]-Table13678[[#This Row],[PAGU ANGGARAN]]</f>
        <v>-145125000</v>
      </c>
      <c r="X890" t="s">
        <v>986</v>
      </c>
    </row>
    <row r="891" spans="1:24" hidden="1">
      <c r="C891" s="7" t="s">
        <v>51</v>
      </c>
      <c r="D891" s="7" t="s">
        <v>52</v>
      </c>
      <c r="E891" s="7" t="s">
        <v>53</v>
      </c>
      <c r="F891" s="7" t="s">
        <v>54</v>
      </c>
      <c r="G891" s="7" t="s">
        <v>55</v>
      </c>
      <c r="H891" s="8">
        <v>189090000</v>
      </c>
      <c r="I891" s="10" t="s">
        <v>744</v>
      </c>
      <c r="J891" s="7" t="s">
        <v>745</v>
      </c>
      <c r="K891" s="10" t="s">
        <v>288</v>
      </c>
      <c r="L891" s="7" t="s">
        <v>289</v>
      </c>
      <c r="M891" s="7"/>
      <c r="N891" s="7">
        <f>VLOOKUP(J891,[1]Sheet1!$C:$D,2,FALSE)</f>
        <v>2305</v>
      </c>
      <c r="O891" s="7">
        <f>VLOOKUP(J891,[2]Desa!$A:$D,4,FALSE)</f>
        <v>111</v>
      </c>
      <c r="P891" s="7">
        <f>VLOOKUP(J891,[3]Sheet1!$D:$F,3,FALSE)</f>
        <v>21</v>
      </c>
      <c r="Q891" s="7"/>
      <c r="R891" s="7"/>
      <c r="S891" s="12">
        <v>-8.5432953371139106</v>
      </c>
      <c r="T891" s="12">
        <v>116.137924352578</v>
      </c>
      <c r="U891" s="7"/>
      <c r="V891" s="50">
        <f>Table13678[[#This Row],[PAGU SEMULA]]-Table13678[[#This Row],[PAGU ANGGARAN]]</f>
        <v>-189090000</v>
      </c>
      <c r="W891" s="50">
        <f>Table13678[[#This Row],[PAGU SEMULA]]-Table13678[[#This Row],[PAGU ANGGARAN]]</f>
        <v>-189090000</v>
      </c>
      <c r="X891" t="s">
        <v>986</v>
      </c>
    </row>
    <row r="892" spans="1:24" hidden="1">
      <c r="C892" s="7" t="s">
        <v>394</v>
      </c>
      <c r="D892" s="7" t="s">
        <v>89</v>
      </c>
      <c r="E892" s="7" t="s">
        <v>454</v>
      </c>
      <c r="F892" s="7" t="s">
        <v>455</v>
      </c>
      <c r="G892" s="7" t="s">
        <v>456</v>
      </c>
      <c r="H892" s="8">
        <v>88500000</v>
      </c>
      <c r="I892" s="10" t="s">
        <v>744</v>
      </c>
      <c r="J892" s="7" t="s">
        <v>745</v>
      </c>
      <c r="K892" s="10" t="s">
        <v>288</v>
      </c>
      <c r="L892" s="7" t="s">
        <v>289</v>
      </c>
      <c r="M892" s="7"/>
      <c r="N892" s="7">
        <f>VLOOKUP(J892,[1]Sheet1!$C:$D,2,FALSE)</f>
        <v>2305</v>
      </c>
      <c r="O892" s="7">
        <f>VLOOKUP(J892,[2]Desa!$A:$D,4,FALSE)</f>
        <v>111</v>
      </c>
      <c r="P892" s="7">
        <f>VLOOKUP(J892,[3]Sheet1!$D:$F,3,FALSE)</f>
        <v>21</v>
      </c>
      <c r="Q892" s="7"/>
      <c r="R892" s="7"/>
      <c r="S892" s="12">
        <v>-8.5432953371139106</v>
      </c>
      <c r="T892" s="12">
        <v>116.137924352578</v>
      </c>
      <c r="U892" s="7"/>
      <c r="V892" s="50">
        <f>Table13678[[#This Row],[PAGU SEMULA]]-Table13678[[#This Row],[PAGU ANGGARAN]]</f>
        <v>-88500000</v>
      </c>
      <c r="W892" s="50">
        <f>Table13678[[#This Row],[PAGU SEMULA]]-Table13678[[#This Row],[PAGU ANGGARAN]]</f>
        <v>-88500000</v>
      </c>
      <c r="X892" t="s">
        <v>982</v>
      </c>
    </row>
    <row r="893" spans="1:24" hidden="1">
      <c r="C893" s="7" t="s">
        <v>394</v>
      </c>
      <c r="D893" s="7" t="s">
        <v>85</v>
      </c>
      <c r="E893" s="7" t="s">
        <v>395</v>
      </c>
      <c r="F893" s="7" t="s">
        <v>396</v>
      </c>
      <c r="G893" s="7" t="s">
        <v>397</v>
      </c>
      <c r="H893" s="8">
        <v>185000000</v>
      </c>
      <c r="I893" s="10" t="s">
        <v>744</v>
      </c>
      <c r="J893" s="7" t="s">
        <v>745</v>
      </c>
      <c r="K893" s="10" t="s">
        <v>288</v>
      </c>
      <c r="L893" s="7" t="s">
        <v>289</v>
      </c>
      <c r="M893" s="7"/>
      <c r="N893" s="7">
        <f>VLOOKUP(J893,[1]Sheet1!$C:$D,2,FALSE)</f>
        <v>2305</v>
      </c>
      <c r="O893" s="7">
        <f>VLOOKUP(J893,[2]Desa!$A:$D,4,FALSE)</f>
        <v>111</v>
      </c>
      <c r="P893" s="7">
        <f>VLOOKUP(J893,[3]Sheet1!$D:$F,3,FALSE)</f>
        <v>21</v>
      </c>
      <c r="Q893" s="7"/>
      <c r="R893" s="7"/>
      <c r="S893" s="12">
        <v>-8.5432953371139106</v>
      </c>
      <c r="T893" s="12">
        <v>116.137924352578</v>
      </c>
      <c r="U893" s="7"/>
      <c r="V893" s="50">
        <f>Table13678[[#This Row],[PAGU SEMULA]]-Table13678[[#This Row],[PAGU ANGGARAN]]</f>
        <v>-185000000</v>
      </c>
      <c r="W893" s="50">
        <f>Table13678[[#This Row],[PAGU SEMULA]]-Table13678[[#This Row],[PAGU ANGGARAN]]</f>
        <v>-185000000</v>
      </c>
      <c r="X893" t="s">
        <v>982</v>
      </c>
    </row>
    <row r="894" spans="1:24" hidden="1">
      <c r="C894" s="7" t="s">
        <v>20</v>
      </c>
      <c r="D894" s="7" t="s">
        <v>104</v>
      </c>
      <c r="E894" s="7" t="s">
        <v>145</v>
      </c>
      <c r="F894" s="7" t="s">
        <v>146</v>
      </c>
      <c r="G894" s="71" t="s">
        <v>746</v>
      </c>
      <c r="H894" s="15">
        <v>10750000</v>
      </c>
      <c r="I894" s="10" t="s">
        <v>747</v>
      </c>
      <c r="J894" s="7" t="s">
        <v>748</v>
      </c>
      <c r="K894" s="10" t="s">
        <v>207</v>
      </c>
      <c r="L894" s="7" t="s">
        <v>206</v>
      </c>
      <c r="M894" s="7"/>
      <c r="N894" s="7">
        <f>VLOOKUP(J894,[1]Sheet1!$C:$D,2,FALSE)</f>
        <v>7302</v>
      </c>
      <c r="O894" s="7">
        <f>VLOOKUP(J894,[2]Desa!$A:$D,4,FALSE)</f>
        <v>146</v>
      </c>
      <c r="P894" s="7">
        <f>VLOOKUP(J894,[3]Sheet1!$D:$F,3,FALSE)</f>
        <v>39</v>
      </c>
      <c r="Q894" s="7"/>
      <c r="R894" s="7"/>
      <c r="S894" s="12">
        <v>-8.5411945749509197</v>
      </c>
      <c r="T894" s="12">
        <v>116.071666825153</v>
      </c>
      <c r="U894" s="7"/>
      <c r="V894" s="50">
        <f>Table13678[[#This Row],[PAGU SEMULA]]-Table13678[[#This Row],[PAGU ANGGARAN]]</f>
        <v>-10750000</v>
      </c>
      <c r="W894" s="50">
        <f>Table13678[[#This Row],[PAGU SEMULA]]-Table13678[[#This Row],[PAGU ANGGARAN]]</f>
        <v>-10750000</v>
      </c>
      <c r="X894" t="s">
        <v>984</v>
      </c>
    </row>
    <row r="895" spans="1:24" hidden="1">
      <c r="C895" s="7" t="s">
        <v>20</v>
      </c>
      <c r="D895" s="7" t="s">
        <v>104</v>
      </c>
      <c r="E895" s="7" t="s">
        <v>145</v>
      </c>
      <c r="F895" s="7" t="s">
        <v>146</v>
      </c>
      <c r="G895" s="71" t="s">
        <v>746</v>
      </c>
      <c r="H895" s="15">
        <v>8600000</v>
      </c>
      <c r="I895" s="10" t="s">
        <v>747</v>
      </c>
      <c r="J895" s="7" t="s">
        <v>748</v>
      </c>
      <c r="K895" s="10" t="s">
        <v>207</v>
      </c>
      <c r="L895" s="7" t="s">
        <v>206</v>
      </c>
      <c r="M895" s="7"/>
      <c r="N895" s="7">
        <f>VLOOKUP(J895,[1]Sheet1!$C:$D,2,FALSE)</f>
        <v>7302</v>
      </c>
      <c r="O895" s="7">
        <f>VLOOKUP(J895,[2]Desa!$A:$D,4,FALSE)</f>
        <v>146</v>
      </c>
      <c r="P895" s="7">
        <f>VLOOKUP(J895,[3]Sheet1!$D:$F,3,FALSE)</f>
        <v>39</v>
      </c>
      <c r="Q895" s="7"/>
      <c r="R895" s="7"/>
      <c r="S895" s="12">
        <v>-8.5411945749509197</v>
      </c>
      <c r="T895" s="12">
        <v>116.071666825153</v>
      </c>
      <c r="U895" s="7"/>
      <c r="V895" s="50">
        <f>Table13678[[#This Row],[PAGU SEMULA]]-Table13678[[#This Row],[PAGU ANGGARAN]]</f>
        <v>-8600000</v>
      </c>
      <c r="W895" s="50">
        <f>Table13678[[#This Row],[PAGU SEMULA]]-Table13678[[#This Row],[PAGU ANGGARAN]]</f>
        <v>-8600000</v>
      </c>
      <c r="X895" t="s">
        <v>984</v>
      </c>
    </row>
    <row r="896" spans="1:24" hidden="1">
      <c r="C896" s="7" t="s">
        <v>29</v>
      </c>
      <c r="D896" s="7" t="s">
        <v>30</v>
      </c>
      <c r="E896" s="7" t="s">
        <v>31</v>
      </c>
      <c r="F896" s="7" t="s">
        <v>32</v>
      </c>
      <c r="G896" s="7" t="s">
        <v>33</v>
      </c>
      <c r="H896" s="8">
        <v>353640000</v>
      </c>
      <c r="I896" s="10" t="s">
        <v>747</v>
      </c>
      <c r="J896" s="7" t="s">
        <v>748</v>
      </c>
      <c r="K896" s="10" t="s">
        <v>207</v>
      </c>
      <c r="L896" s="7" t="s">
        <v>206</v>
      </c>
      <c r="M896" s="7"/>
      <c r="N896" s="7">
        <f>VLOOKUP(J896,[1]Sheet1!$C:$D,2,FALSE)</f>
        <v>7302</v>
      </c>
      <c r="O896" s="7">
        <f>VLOOKUP(J896,[2]Desa!$A:$D,4,FALSE)</f>
        <v>146</v>
      </c>
      <c r="P896" s="7">
        <f>VLOOKUP(J896,[3]Sheet1!$D:$F,3,FALSE)</f>
        <v>39</v>
      </c>
      <c r="Q896" s="7"/>
      <c r="R896" s="7"/>
      <c r="S896" s="12">
        <v>-8.5411945749509197</v>
      </c>
      <c r="T896" s="12">
        <v>116.071666825153</v>
      </c>
      <c r="U896" s="7"/>
      <c r="V896" s="50">
        <f>Table13678[[#This Row],[PAGU SEMULA]]-Table13678[[#This Row],[PAGU ANGGARAN]]</f>
        <v>-353640000</v>
      </c>
      <c r="W896" s="50">
        <f>Table13678[[#This Row],[PAGU SEMULA]]-Table13678[[#This Row],[PAGU ANGGARAN]]</f>
        <v>-353640000</v>
      </c>
      <c r="X896" t="s">
        <v>984</v>
      </c>
    </row>
    <row r="897" spans="3:24" hidden="1">
      <c r="C897" s="7" t="s">
        <v>29</v>
      </c>
      <c r="D897" s="7" t="s">
        <v>30</v>
      </c>
      <c r="E897" s="7" t="s">
        <v>31</v>
      </c>
      <c r="F897" s="7" t="s">
        <v>32</v>
      </c>
      <c r="G897" s="7" t="s">
        <v>34</v>
      </c>
      <c r="H897" s="8">
        <v>28291200</v>
      </c>
      <c r="I897" s="10" t="s">
        <v>747</v>
      </c>
      <c r="J897" s="7" t="s">
        <v>748</v>
      </c>
      <c r="K897" s="10" t="s">
        <v>207</v>
      </c>
      <c r="L897" s="7" t="s">
        <v>206</v>
      </c>
      <c r="M897" s="7"/>
      <c r="N897" s="7">
        <f>VLOOKUP(J897,[1]Sheet1!$C:$D,2,FALSE)</f>
        <v>7302</v>
      </c>
      <c r="O897" s="7">
        <f>VLOOKUP(J897,[2]Desa!$A:$D,4,FALSE)</f>
        <v>146</v>
      </c>
      <c r="P897" s="7">
        <f>VLOOKUP(J897,[3]Sheet1!$D:$F,3,FALSE)</f>
        <v>39</v>
      </c>
      <c r="Q897" s="7"/>
      <c r="R897" s="7"/>
      <c r="S897" s="12">
        <v>-8.5411945749509197</v>
      </c>
      <c r="T897" s="12">
        <v>116.071666825153</v>
      </c>
      <c r="U897" s="7"/>
      <c r="V897" s="50">
        <f>Table13678[[#This Row],[PAGU SEMULA]]-Table13678[[#This Row],[PAGU ANGGARAN]]</f>
        <v>-28291200</v>
      </c>
      <c r="W897" s="50">
        <f>Table13678[[#This Row],[PAGU SEMULA]]-Table13678[[#This Row],[PAGU ANGGARAN]]</f>
        <v>-28291200</v>
      </c>
      <c r="X897" t="s">
        <v>984</v>
      </c>
    </row>
    <row r="898" spans="3:24" hidden="1">
      <c r="C898" s="7" t="s">
        <v>110</v>
      </c>
      <c r="D898" s="7" t="s">
        <v>178</v>
      </c>
      <c r="E898" s="7" t="s">
        <v>179</v>
      </c>
      <c r="F898" s="7" t="s">
        <v>180</v>
      </c>
      <c r="G898" s="71" t="s">
        <v>544</v>
      </c>
      <c r="H898" s="8">
        <v>48117000</v>
      </c>
      <c r="I898" s="10" t="s">
        <v>747</v>
      </c>
      <c r="J898" s="7" t="s">
        <v>748</v>
      </c>
      <c r="K898" s="10" t="s">
        <v>207</v>
      </c>
      <c r="L898" s="7" t="s">
        <v>206</v>
      </c>
      <c r="M898" s="7"/>
      <c r="N898" s="7">
        <f>VLOOKUP(J898,[1]Sheet1!$C:$D,2,FALSE)</f>
        <v>7302</v>
      </c>
      <c r="O898" s="7">
        <f>VLOOKUP(J898,[2]Desa!$A:$D,4,FALSE)</f>
        <v>146</v>
      </c>
      <c r="P898" s="7">
        <f>VLOOKUP(J898,[3]Sheet1!$D:$F,3,FALSE)</f>
        <v>39</v>
      </c>
      <c r="Q898" s="7"/>
      <c r="R898" s="7"/>
      <c r="S898" s="12">
        <v>-8.5411945749509197</v>
      </c>
      <c r="T898" s="12">
        <v>116.071666825153</v>
      </c>
      <c r="U898" s="7"/>
      <c r="V898" s="50">
        <f>Table13678[[#This Row],[PAGU SEMULA]]-Table13678[[#This Row],[PAGU ANGGARAN]]</f>
        <v>-48117000</v>
      </c>
      <c r="W898" s="50">
        <f>Table13678[[#This Row],[PAGU SEMULA]]-Table13678[[#This Row],[PAGU ANGGARAN]]</f>
        <v>-48117000</v>
      </c>
      <c r="X898" t="s">
        <v>982</v>
      </c>
    </row>
    <row r="899" spans="3:24" hidden="1">
      <c r="C899" s="7" t="s">
        <v>110</v>
      </c>
      <c r="D899" s="7" t="s">
        <v>178</v>
      </c>
      <c r="E899" s="7" t="s">
        <v>179</v>
      </c>
      <c r="F899" s="7" t="s">
        <v>180</v>
      </c>
      <c r="G899" s="71" t="s">
        <v>749</v>
      </c>
      <c r="H899" s="8">
        <v>26000000</v>
      </c>
      <c r="I899" s="10" t="s">
        <v>747</v>
      </c>
      <c r="J899" s="7" t="s">
        <v>748</v>
      </c>
      <c r="K899" s="10" t="s">
        <v>207</v>
      </c>
      <c r="L899" s="7" t="s">
        <v>206</v>
      </c>
      <c r="M899" s="7"/>
      <c r="N899" s="7">
        <f>VLOOKUP(J899,[1]Sheet1!$C:$D,2,FALSE)</f>
        <v>7302</v>
      </c>
      <c r="O899" s="7">
        <f>VLOOKUP(J899,[2]Desa!$A:$D,4,FALSE)</f>
        <v>146</v>
      </c>
      <c r="P899" s="7">
        <f>VLOOKUP(J899,[3]Sheet1!$D:$F,3,FALSE)</f>
        <v>39</v>
      </c>
      <c r="Q899" s="7"/>
      <c r="R899" s="7"/>
      <c r="S899" s="12">
        <v>-8.5411945749509197</v>
      </c>
      <c r="T899" s="12">
        <v>116.071666825153</v>
      </c>
      <c r="U899" s="7"/>
      <c r="V899" s="50">
        <f>Table13678[[#This Row],[PAGU SEMULA]]-Table13678[[#This Row],[PAGU ANGGARAN]]</f>
        <v>-26000000</v>
      </c>
      <c r="W899" s="50">
        <f>Table13678[[#This Row],[PAGU SEMULA]]-Table13678[[#This Row],[PAGU ANGGARAN]]</f>
        <v>-26000000</v>
      </c>
      <c r="X899" t="s">
        <v>982</v>
      </c>
    </row>
    <row r="900" spans="3:24" hidden="1">
      <c r="C900" s="7" t="s">
        <v>35</v>
      </c>
      <c r="D900" s="7" t="s">
        <v>36</v>
      </c>
      <c r="E900" s="7" t="s">
        <v>37</v>
      </c>
      <c r="F900" s="7" t="s">
        <v>38</v>
      </c>
      <c r="G900" s="7" t="s">
        <v>39</v>
      </c>
      <c r="H900" s="15">
        <v>75000000</v>
      </c>
      <c r="I900" s="10" t="s">
        <v>747</v>
      </c>
      <c r="J900" s="7" t="s">
        <v>748</v>
      </c>
      <c r="K900" s="10" t="s">
        <v>207</v>
      </c>
      <c r="L900" s="7" t="s">
        <v>206</v>
      </c>
      <c r="M900" s="7"/>
      <c r="N900" s="7">
        <f>VLOOKUP(J900,[1]Sheet1!$C:$D,2,FALSE)</f>
        <v>7302</v>
      </c>
      <c r="O900" s="7">
        <f>VLOOKUP(J900,[2]Desa!$A:$D,4,FALSE)</f>
        <v>146</v>
      </c>
      <c r="P900" s="7">
        <f>VLOOKUP(J900,[3]Sheet1!$D:$F,3,FALSE)</f>
        <v>39</v>
      </c>
      <c r="Q900" s="7"/>
      <c r="R900" s="7"/>
      <c r="S900" s="12">
        <v>-8.5411945749509197</v>
      </c>
      <c r="T900" s="12">
        <v>116.071666825153</v>
      </c>
      <c r="U900" s="7"/>
      <c r="V900" s="50">
        <f>Table13678[[#This Row],[PAGU SEMULA]]-Table13678[[#This Row],[PAGU ANGGARAN]]</f>
        <v>-75000000</v>
      </c>
      <c r="W900" s="50">
        <f>Table13678[[#This Row],[PAGU SEMULA]]-Table13678[[#This Row],[PAGU ANGGARAN]]</f>
        <v>-75000000</v>
      </c>
      <c r="X900" t="s">
        <v>984</v>
      </c>
    </row>
    <row r="901" spans="3:24" hidden="1">
      <c r="C901" s="7" t="s">
        <v>35</v>
      </c>
      <c r="D901" s="7" t="s">
        <v>134</v>
      </c>
      <c r="E901" s="7" t="s">
        <v>700</v>
      </c>
      <c r="F901" s="7" t="s">
        <v>701</v>
      </c>
      <c r="G901" s="7" t="s">
        <v>702</v>
      </c>
      <c r="H901" s="17">
        <v>150500000</v>
      </c>
      <c r="I901" s="10" t="s">
        <v>747</v>
      </c>
      <c r="J901" s="7" t="s">
        <v>748</v>
      </c>
      <c r="K901" s="10" t="s">
        <v>207</v>
      </c>
      <c r="L901" s="7" t="s">
        <v>206</v>
      </c>
      <c r="M901" s="7"/>
      <c r="N901" s="7">
        <f>VLOOKUP(J901,[1]Sheet1!$C:$D,2,FALSE)</f>
        <v>7302</v>
      </c>
      <c r="O901" s="7">
        <f>VLOOKUP(J901,[2]Desa!$A:$D,4,FALSE)</f>
        <v>146</v>
      </c>
      <c r="P901" s="7">
        <f>VLOOKUP(J901,[3]Sheet1!$D:$F,3,FALSE)</f>
        <v>39</v>
      </c>
      <c r="Q901" s="7"/>
      <c r="R901" s="7"/>
      <c r="S901" s="12">
        <v>-8.5411945749509197</v>
      </c>
      <c r="T901" s="12">
        <v>116.071666825153</v>
      </c>
      <c r="U901" s="7"/>
      <c r="V901" s="50">
        <f>Table13678[[#This Row],[PAGU SEMULA]]-Table13678[[#This Row],[PAGU ANGGARAN]]</f>
        <v>-150500000</v>
      </c>
      <c r="W901" s="50">
        <f>Table13678[[#This Row],[PAGU SEMULA]]-Table13678[[#This Row],[PAGU ANGGARAN]]</f>
        <v>-150500000</v>
      </c>
      <c r="X901" t="s">
        <v>986</v>
      </c>
    </row>
    <row r="902" spans="3:24" hidden="1">
      <c r="C902" s="7" t="s">
        <v>35</v>
      </c>
      <c r="D902" s="7" t="s">
        <v>52</v>
      </c>
      <c r="E902" s="7" t="s">
        <v>95</v>
      </c>
      <c r="F902" s="7" t="s">
        <v>96</v>
      </c>
      <c r="G902" s="7" t="s">
        <v>98</v>
      </c>
      <c r="H902" s="17">
        <v>169312500</v>
      </c>
      <c r="I902" s="10" t="s">
        <v>747</v>
      </c>
      <c r="J902" s="7" t="s">
        <v>748</v>
      </c>
      <c r="K902" s="10" t="s">
        <v>207</v>
      </c>
      <c r="L902" s="7" t="s">
        <v>206</v>
      </c>
      <c r="M902" s="7"/>
      <c r="N902" s="7">
        <f>VLOOKUP(J902,[1]Sheet1!$C:$D,2,FALSE)</f>
        <v>7302</v>
      </c>
      <c r="O902" s="7">
        <f>VLOOKUP(J902,[2]Desa!$A:$D,4,FALSE)</f>
        <v>146</v>
      </c>
      <c r="P902" s="7">
        <f>VLOOKUP(J902,[3]Sheet1!$D:$F,3,FALSE)</f>
        <v>39</v>
      </c>
      <c r="Q902" s="7"/>
      <c r="R902" s="7"/>
      <c r="S902" s="12">
        <v>-8.5411945749509197</v>
      </c>
      <c r="T902" s="12">
        <v>116.071666825153</v>
      </c>
      <c r="U902" s="7"/>
      <c r="V902" s="50">
        <f>Table13678[[#This Row],[PAGU SEMULA]]-Table13678[[#This Row],[PAGU ANGGARAN]]</f>
        <v>-169312500</v>
      </c>
      <c r="W902" s="50">
        <f>Table13678[[#This Row],[PAGU SEMULA]]-Table13678[[#This Row],[PAGU ANGGARAN]]</f>
        <v>-169312500</v>
      </c>
      <c r="X902" t="s">
        <v>986</v>
      </c>
    </row>
    <row r="903" spans="3:24" hidden="1">
      <c r="C903" s="7" t="s">
        <v>35</v>
      </c>
      <c r="D903" s="7" t="s">
        <v>52</v>
      </c>
      <c r="E903" s="7" t="s">
        <v>95</v>
      </c>
      <c r="F903" s="7" t="s">
        <v>96</v>
      </c>
      <c r="G903" s="7" t="s">
        <v>221</v>
      </c>
      <c r="H903" s="17">
        <v>169312500</v>
      </c>
      <c r="I903" s="10" t="s">
        <v>747</v>
      </c>
      <c r="J903" s="7" t="s">
        <v>748</v>
      </c>
      <c r="K903" s="10" t="s">
        <v>207</v>
      </c>
      <c r="L903" s="7" t="s">
        <v>206</v>
      </c>
      <c r="M903" s="7"/>
      <c r="N903" s="7">
        <f>VLOOKUP(J903,[1]Sheet1!$C:$D,2,FALSE)</f>
        <v>7302</v>
      </c>
      <c r="O903" s="7">
        <f>VLOOKUP(J903,[2]Desa!$A:$D,4,FALSE)</f>
        <v>146</v>
      </c>
      <c r="P903" s="7">
        <f>VLOOKUP(J903,[3]Sheet1!$D:$F,3,FALSE)</f>
        <v>39</v>
      </c>
      <c r="Q903" s="7"/>
      <c r="R903" s="7"/>
      <c r="S903" s="12">
        <v>-8.5411945749509197</v>
      </c>
      <c r="T903" s="12">
        <v>116.071666825153</v>
      </c>
      <c r="U903" s="7"/>
      <c r="V903" s="50">
        <f>Table13678[[#This Row],[PAGU SEMULA]]-Table13678[[#This Row],[PAGU ANGGARAN]]</f>
        <v>-169312500</v>
      </c>
      <c r="W903" s="50">
        <f>Table13678[[#This Row],[PAGU SEMULA]]-Table13678[[#This Row],[PAGU ANGGARAN]]</f>
        <v>-169312500</v>
      </c>
      <c r="X903" t="s">
        <v>986</v>
      </c>
    </row>
    <row r="904" spans="3:24">
      <c r="C904" s="7" t="s">
        <v>46</v>
      </c>
      <c r="D904" s="7" t="s">
        <v>122</v>
      </c>
      <c r="E904" s="7" t="s">
        <v>123</v>
      </c>
      <c r="F904" s="7" t="s">
        <v>124</v>
      </c>
      <c r="G904" s="7" t="s">
        <v>641</v>
      </c>
      <c r="H904" s="8">
        <v>79300000</v>
      </c>
      <c r="I904" s="10" t="s">
        <v>747</v>
      </c>
      <c r="J904" s="7" t="s">
        <v>748</v>
      </c>
      <c r="K904" s="10" t="s">
        <v>207</v>
      </c>
      <c r="L904" s="7" t="s">
        <v>206</v>
      </c>
      <c r="M904" s="7"/>
      <c r="N904" s="7">
        <f>VLOOKUP(J904,[1]Sheet1!$C:$D,2,FALSE)</f>
        <v>7302</v>
      </c>
      <c r="O904" s="7">
        <f>VLOOKUP(J904,[2]Desa!$A:$D,4,FALSE)</f>
        <v>146</v>
      </c>
      <c r="P904" s="7">
        <f>VLOOKUP(J904,[3]Sheet1!$D:$F,3,FALSE)</f>
        <v>39</v>
      </c>
      <c r="Q904" s="7"/>
      <c r="R904" s="7"/>
      <c r="S904" s="12">
        <v>-8.5411945749509197</v>
      </c>
      <c r="T904" s="12">
        <v>116.071666825153</v>
      </c>
      <c r="U904" s="7"/>
      <c r="V904" s="50">
        <f>Table13678[[#This Row],[PAGU SEMULA]]-Table13678[[#This Row],[PAGU ANGGARAN]]</f>
        <v>-79300000</v>
      </c>
      <c r="W904" s="50">
        <f>Table13678[[#This Row],[PAGU SEMULA]]-Table13678[[#This Row],[PAGU ANGGARAN]]</f>
        <v>-79300000</v>
      </c>
      <c r="X904" t="s">
        <v>987</v>
      </c>
    </row>
    <row r="905" spans="3:24">
      <c r="C905" s="7" t="s">
        <v>46</v>
      </c>
      <c r="D905" s="7" t="s">
        <v>47</v>
      </c>
      <c r="E905" s="7" t="s">
        <v>48</v>
      </c>
      <c r="F905" s="7" t="s">
        <v>203</v>
      </c>
      <c r="G905" s="71" t="s">
        <v>204</v>
      </c>
      <c r="H905" s="8">
        <v>0</v>
      </c>
      <c r="I905" s="10" t="s">
        <v>747</v>
      </c>
      <c r="J905" s="7" t="s">
        <v>748</v>
      </c>
      <c r="K905" s="10" t="s">
        <v>207</v>
      </c>
      <c r="L905" s="7" t="s">
        <v>206</v>
      </c>
      <c r="M905" s="7"/>
      <c r="N905" s="7">
        <f>VLOOKUP(J905,[1]Sheet1!$C:$D,2,FALSE)</f>
        <v>7302</v>
      </c>
      <c r="O905" s="7">
        <f>VLOOKUP(J905,[2]Desa!$A:$D,4,FALSE)</f>
        <v>146</v>
      </c>
      <c r="P905" s="7">
        <f>VLOOKUP(J905,[3]Sheet1!$D:$F,3,FALSE)</f>
        <v>39</v>
      </c>
      <c r="Q905" s="7"/>
      <c r="R905" s="7"/>
      <c r="S905" s="12">
        <v>-8.5411945749509197</v>
      </c>
      <c r="T905" s="12">
        <v>116.071666825153</v>
      </c>
      <c r="U905" s="7"/>
      <c r="V905" s="50">
        <f>Table13678[[#This Row],[PAGU SEMULA]]-Table13678[[#This Row],[PAGU ANGGARAN]]</f>
        <v>0</v>
      </c>
      <c r="W905" s="50">
        <f>Table13678[[#This Row],[PAGU SEMULA]]-Table13678[[#This Row],[PAGU ANGGARAN]]</f>
        <v>0</v>
      </c>
      <c r="X905" t="s">
        <v>987</v>
      </c>
    </row>
    <row r="906" spans="3:24">
      <c r="C906" s="7" t="s">
        <v>46</v>
      </c>
      <c r="D906" s="7" t="s">
        <v>47</v>
      </c>
      <c r="E906" s="7" t="s">
        <v>48</v>
      </c>
      <c r="F906" s="7" t="s">
        <v>282</v>
      </c>
      <c r="G906" s="7" t="s">
        <v>283</v>
      </c>
      <c r="H906" s="8">
        <v>99000000</v>
      </c>
      <c r="I906" s="10" t="s">
        <v>747</v>
      </c>
      <c r="J906" s="7" t="s">
        <v>748</v>
      </c>
      <c r="K906" s="10" t="s">
        <v>207</v>
      </c>
      <c r="L906" s="7" t="s">
        <v>206</v>
      </c>
      <c r="M906" s="7"/>
      <c r="N906" s="7">
        <f>VLOOKUP(J906,[1]Sheet1!$C:$D,2,FALSE)</f>
        <v>7302</v>
      </c>
      <c r="O906" s="7">
        <f>VLOOKUP(J906,[2]Desa!$A:$D,4,FALSE)</f>
        <v>146</v>
      </c>
      <c r="P906" s="7">
        <f>VLOOKUP(J906,[3]Sheet1!$D:$F,3,FALSE)</f>
        <v>39</v>
      </c>
      <c r="Q906" s="7"/>
      <c r="R906" s="7"/>
      <c r="S906" s="12">
        <v>-8.5411945749509197</v>
      </c>
      <c r="T906" s="12">
        <v>116.071666825153</v>
      </c>
      <c r="U906" s="7"/>
      <c r="V906" s="50">
        <f>Table13678[[#This Row],[PAGU SEMULA]]-Table13678[[#This Row],[PAGU ANGGARAN]]</f>
        <v>-99000000</v>
      </c>
      <c r="W906" s="50">
        <f>Table13678[[#This Row],[PAGU SEMULA]]-Table13678[[#This Row],[PAGU ANGGARAN]]</f>
        <v>-99000000</v>
      </c>
      <c r="X906" t="s">
        <v>987</v>
      </c>
    </row>
    <row r="907" spans="3:24" hidden="1">
      <c r="C907" s="7" t="s">
        <v>51</v>
      </c>
      <c r="D907" s="7" t="s">
        <v>52</v>
      </c>
      <c r="E907" s="7" t="s">
        <v>53</v>
      </c>
      <c r="F907" s="7" t="s">
        <v>54</v>
      </c>
      <c r="G907" s="7" t="s">
        <v>73</v>
      </c>
      <c r="H907" s="8">
        <v>189090000</v>
      </c>
      <c r="I907" s="10" t="s">
        <v>747</v>
      </c>
      <c r="J907" s="7" t="s">
        <v>748</v>
      </c>
      <c r="K907" s="10" t="s">
        <v>207</v>
      </c>
      <c r="L907" s="7" t="s">
        <v>206</v>
      </c>
      <c r="M907" s="7"/>
      <c r="N907" s="7">
        <f>VLOOKUP(J907,[1]Sheet1!$C:$D,2,FALSE)</f>
        <v>7302</v>
      </c>
      <c r="O907" s="7">
        <f>VLOOKUP(J907,[2]Desa!$A:$D,4,FALSE)</f>
        <v>146</v>
      </c>
      <c r="P907" s="7">
        <f>VLOOKUP(J907,[3]Sheet1!$D:$F,3,FALSE)</f>
        <v>39</v>
      </c>
      <c r="Q907" s="7"/>
      <c r="R907" s="7"/>
      <c r="S907" s="12">
        <v>-8.5411945749509197</v>
      </c>
      <c r="T907" s="12">
        <v>116.071666825153</v>
      </c>
      <c r="U907" s="7"/>
      <c r="V907" s="50">
        <f>Table13678[[#This Row],[PAGU SEMULA]]-Table13678[[#This Row],[PAGU ANGGARAN]]</f>
        <v>-189090000</v>
      </c>
      <c r="W907" s="50">
        <f>Table13678[[#This Row],[PAGU SEMULA]]-Table13678[[#This Row],[PAGU ANGGARAN]]</f>
        <v>-189090000</v>
      </c>
      <c r="X907" t="s">
        <v>986</v>
      </c>
    </row>
    <row r="908" spans="3:24" hidden="1">
      <c r="C908" s="7" t="s">
        <v>20</v>
      </c>
      <c r="D908" s="7" t="s">
        <v>104</v>
      </c>
      <c r="E908" s="7" t="s">
        <v>145</v>
      </c>
      <c r="F908" s="7" t="s">
        <v>243</v>
      </c>
      <c r="G908" s="71" t="s">
        <v>750</v>
      </c>
      <c r="H908" s="15">
        <v>129530000</v>
      </c>
      <c r="I908" s="10" t="s">
        <v>751</v>
      </c>
      <c r="J908" s="7" t="s">
        <v>752</v>
      </c>
      <c r="K908" s="10" t="s">
        <v>82</v>
      </c>
      <c r="L908" s="7" t="s">
        <v>83</v>
      </c>
      <c r="M908" s="7"/>
      <c r="N908" s="7">
        <f>VLOOKUP(J908,[1]Sheet1!$C:$D,2,FALSE)</f>
        <v>7827</v>
      </c>
      <c r="O908" s="7">
        <f>VLOOKUP(J908,[2]Desa!$A:$D,4,FALSE)</f>
        <v>222</v>
      </c>
      <c r="P908" s="7">
        <f>VLOOKUP(J908,[3]Sheet1!$D:$F,3,FALSE)</f>
        <v>64</v>
      </c>
      <c r="Q908" s="7"/>
      <c r="R908" s="7"/>
      <c r="S908" s="12">
        <v>-8.6173635371232695</v>
      </c>
      <c r="T908" s="12">
        <v>116.158722329456</v>
      </c>
      <c r="U908" s="7"/>
      <c r="V908" s="50">
        <f>Table13678[[#This Row],[PAGU SEMULA]]-Table13678[[#This Row],[PAGU ANGGARAN]]</f>
        <v>-129530000</v>
      </c>
      <c r="W908" s="50">
        <f>Table13678[[#This Row],[PAGU SEMULA]]-Table13678[[#This Row],[PAGU ANGGARAN]]</f>
        <v>-129530000</v>
      </c>
      <c r="X908" t="s">
        <v>984</v>
      </c>
    </row>
    <row r="909" spans="3:24" hidden="1">
      <c r="C909" s="7" t="s">
        <v>20</v>
      </c>
      <c r="D909" s="7" t="s">
        <v>104</v>
      </c>
      <c r="E909" s="7" t="s">
        <v>145</v>
      </c>
      <c r="F909" s="7" t="s">
        <v>243</v>
      </c>
      <c r="G909" s="71" t="s">
        <v>753</v>
      </c>
      <c r="H909" s="15">
        <v>70920000</v>
      </c>
      <c r="I909" s="10" t="s">
        <v>751</v>
      </c>
      <c r="J909" s="7" t="s">
        <v>752</v>
      </c>
      <c r="K909" s="10" t="s">
        <v>82</v>
      </c>
      <c r="L909" s="7" t="s">
        <v>83</v>
      </c>
      <c r="M909" s="7"/>
      <c r="N909" s="7">
        <f>VLOOKUP(J909,[1]Sheet1!$C:$D,2,FALSE)</f>
        <v>7827</v>
      </c>
      <c r="O909" s="7">
        <f>VLOOKUP(J909,[2]Desa!$A:$D,4,FALSE)</f>
        <v>222</v>
      </c>
      <c r="P909" s="7">
        <f>VLOOKUP(J909,[3]Sheet1!$D:$F,3,FALSE)</f>
        <v>64</v>
      </c>
      <c r="Q909" s="7"/>
      <c r="R909" s="7"/>
      <c r="S909" s="12">
        <v>-8.6173635371232695</v>
      </c>
      <c r="T909" s="12">
        <v>116.158722329456</v>
      </c>
      <c r="U909" s="7"/>
      <c r="V909" s="50">
        <f>Table13678[[#This Row],[PAGU SEMULA]]-Table13678[[#This Row],[PAGU ANGGARAN]]</f>
        <v>-70920000</v>
      </c>
      <c r="W909" s="50">
        <f>Table13678[[#This Row],[PAGU SEMULA]]-Table13678[[#This Row],[PAGU ANGGARAN]]</f>
        <v>-70920000</v>
      </c>
      <c r="X909" t="s">
        <v>984</v>
      </c>
    </row>
    <row r="910" spans="3:24" hidden="1">
      <c r="C910" s="7" t="s">
        <v>20</v>
      </c>
      <c r="D910" s="7" t="s">
        <v>104</v>
      </c>
      <c r="E910" s="7" t="s">
        <v>145</v>
      </c>
      <c r="F910" s="7" t="s">
        <v>146</v>
      </c>
      <c r="G910" s="71" t="s">
        <v>754</v>
      </c>
      <c r="H910" s="15">
        <v>59000000</v>
      </c>
      <c r="I910" s="10" t="s">
        <v>751</v>
      </c>
      <c r="J910" s="7" t="s">
        <v>752</v>
      </c>
      <c r="K910" s="10" t="s">
        <v>82</v>
      </c>
      <c r="L910" s="7" t="s">
        <v>83</v>
      </c>
      <c r="M910" s="7"/>
      <c r="N910" s="7">
        <f>VLOOKUP(J910,[1]Sheet1!$C:$D,2,FALSE)</f>
        <v>7827</v>
      </c>
      <c r="O910" s="7">
        <f>VLOOKUP(J910,[2]Desa!$A:$D,4,FALSE)</f>
        <v>222</v>
      </c>
      <c r="P910" s="7">
        <f>VLOOKUP(J910,[3]Sheet1!$D:$F,3,FALSE)</f>
        <v>64</v>
      </c>
      <c r="Q910" s="7"/>
      <c r="R910" s="7"/>
      <c r="S910" s="12">
        <v>-8.6173635371232695</v>
      </c>
      <c r="T910" s="12">
        <v>116.158722329456</v>
      </c>
      <c r="U910" s="7"/>
      <c r="V910" s="50">
        <f>Table13678[[#This Row],[PAGU SEMULA]]-Table13678[[#This Row],[PAGU ANGGARAN]]</f>
        <v>-59000000</v>
      </c>
      <c r="W910" s="50">
        <f>Table13678[[#This Row],[PAGU SEMULA]]-Table13678[[#This Row],[PAGU ANGGARAN]]</f>
        <v>-59000000</v>
      </c>
      <c r="X910" t="s">
        <v>984</v>
      </c>
    </row>
    <row r="911" spans="3:24" hidden="1">
      <c r="C911" s="7" t="s">
        <v>29</v>
      </c>
      <c r="D911" s="7" t="s">
        <v>30</v>
      </c>
      <c r="E911" s="7" t="s">
        <v>31</v>
      </c>
      <c r="F911" s="7" t="s">
        <v>32</v>
      </c>
      <c r="G911" s="7" t="s">
        <v>33</v>
      </c>
      <c r="H911" s="8">
        <v>446040000</v>
      </c>
      <c r="I911" s="10" t="s">
        <v>751</v>
      </c>
      <c r="J911" s="7" t="s">
        <v>752</v>
      </c>
      <c r="K911" s="10" t="s">
        <v>82</v>
      </c>
      <c r="L911" s="7" t="s">
        <v>83</v>
      </c>
      <c r="M911" s="7"/>
      <c r="N911" s="7">
        <f>VLOOKUP(J911,[1]Sheet1!$C:$D,2,FALSE)</f>
        <v>7827</v>
      </c>
      <c r="O911" s="7">
        <f>VLOOKUP(J911,[2]Desa!$A:$D,4,FALSE)</f>
        <v>222</v>
      </c>
      <c r="P911" s="7">
        <f>VLOOKUP(J911,[3]Sheet1!$D:$F,3,FALSE)</f>
        <v>64</v>
      </c>
      <c r="Q911" s="7"/>
      <c r="R911" s="7"/>
      <c r="S911" s="12">
        <v>-8.6173635371232695</v>
      </c>
      <c r="T911" s="12">
        <v>116.158722329456</v>
      </c>
      <c r="U911" s="7"/>
      <c r="V911" s="50">
        <f>Table13678[[#This Row],[PAGU SEMULA]]-Table13678[[#This Row],[PAGU ANGGARAN]]</f>
        <v>-446040000</v>
      </c>
      <c r="W911" s="50">
        <f>Table13678[[#This Row],[PAGU SEMULA]]-Table13678[[#This Row],[PAGU ANGGARAN]]</f>
        <v>-446040000</v>
      </c>
      <c r="X911" t="s">
        <v>984</v>
      </c>
    </row>
    <row r="912" spans="3:24" hidden="1">
      <c r="C912" s="7" t="s">
        <v>29</v>
      </c>
      <c r="D912" s="7" t="s">
        <v>30</v>
      </c>
      <c r="E912" s="7" t="s">
        <v>31</v>
      </c>
      <c r="F912" s="7" t="s">
        <v>32</v>
      </c>
      <c r="G912" s="7" t="s">
        <v>34</v>
      </c>
      <c r="H912" s="8">
        <v>35683200</v>
      </c>
      <c r="I912" s="10" t="s">
        <v>751</v>
      </c>
      <c r="J912" s="7" t="s">
        <v>752</v>
      </c>
      <c r="K912" s="10" t="s">
        <v>82</v>
      </c>
      <c r="L912" s="7" t="s">
        <v>83</v>
      </c>
      <c r="M912" s="7"/>
      <c r="N912" s="7">
        <f>VLOOKUP(J912,[1]Sheet1!$C:$D,2,FALSE)</f>
        <v>7827</v>
      </c>
      <c r="O912" s="7">
        <f>VLOOKUP(J912,[2]Desa!$A:$D,4,FALSE)</f>
        <v>222</v>
      </c>
      <c r="P912" s="7">
        <f>VLOOKUP(J912,[3]Sheet1!$D:$F,3,FALSE)</f>
        <v>64</v>
      </c>
      <c r="Q912" s="7"/>
      <c r="R912" s="7"/>
      <c r="S912" s="12">
        <v>-8.6173635371232695</v>
      </c>
      <c r="T912" s="12">
        <v>116.158722329456</v>
      </c>
      <c r="U912" s="7"/>
      <c r="V912" s="50">
        <f>Table13678[[#This Row],[PAGU SEMULA]]-Table13678[[#This Row],[PAGU ANGGARAN]]</f>
        <v>-35683200</v>
      </c>
      <c r="W912" s="50">
        <f>Table13678[[#This Row],[PAGU SEMULA]]-Table13678[[#This Row],[PAGU ANGGARAN]]</f>
        <v>-35683200</v>
      </c>
      <c r="X912" t="s">
        <v>984</v>
      </c>
    </row>
    <row r="913" spans="3:24" hidden="1">
      <c r="C913" s="7" t="s">
        <v>130</v>
      </c>
      <c r="D913" s="7" t="s">
        <v>131</v>
      </c>
      <c r="E913" s="7" t="s">
        <v>132</v>
      </c>
      <c r="F913" s="7" t="s">
        <v>132</v>
      </c>
      <c r="G913" s="7" t="s">
        <v>133</v>
      </c>
      <c r="H913" s="8">
        <v>95800000</v>
      </c>
      <c r="I913" s="10" t="s">
        <v>751</v>
      </c>
      <c r="J913" s="7" t="s">
        <v>752</v>
      </c>
      <c r="K913" s="10" t="s">
        <v>82</v>
      </c>
      <c r="L913" s="7" t="s">
        <v>83</v>
      </c>
      <c r="M913" s="7"/>
      <c r="N913" s="7">
        <f>VLOOKUP(J913,[1]Sheet1!$C:$D,2,FALSE)</f>
        <v>7827</v>
      </c>
      <c r="O913" s="7">
        <f>VLOOKUP(J913,[2]Desa!$A:$D,4,FALSE)</f>
        <v>222</v>
      </c>
      <c r="P913" s="7">
        <f>VLOOKUP(J913,[3]Sheet1!$D:$F,3,FALSE)</f>
        <v>64</v>
      </c>
      <c r="Q913" s="7"/>
      <c r="R913" s="7"/>
      <c r="S913" s="12">
        <v>-8.6173635371232695</v>
      </c>
      <c r="T913" s="12">
        <v>116.158722329456</v>
      </c>
      <c r="U913" s="7"/>
      <c r="V913" s="50">
        <f>Table13678[[#This Row],[PAGU SEMULA]]-Table13678[[#This Row],[PAGU ANGGARAN]]</f>
        <v>-95800000</v>
      </c>
      <c r="W913" s="50">
        <f>Table13678[[#This Row],[PAGU SEMULA]]-Table13678[[#This Row],[PAGU ANGGARAN]]</f>
        <v>-95800000</v>
      </c>
      <c r="X913" t="s">
        <v>986</v>
      </c>
    </row>
    <row r="914" spans="3:24" hidden="1">
      <c r="C914" s="7" t="s">
        <v>35</v>
      </c>
      <c r="D914" s="7" t="s">
        <v>36</v>
      </c>
      <c r="E914" s="7" t="s">
        <v>37</v>
      </c>
      <c r="F914" s="7" t="s">
        <v>38</v>
      </c>
      <c r="G914" s="7" t="s">
        <v>39</v>
      </c>
      <c r="H914" s="15">
        <v>75000000</v>
      </c>
      <c r="I914" s="10" t="s">
        <v>751</v>
      </c>
      <c r="J914" s="7" t="s">
        <v>752</v>
      </c>
      <c r="K914" s="10" t="s">
        <v>82</v>
      </c>
      <c r="L914" s="7" t="s">
        <v>83</v>
      </c>
      <c r="M914" s="7"/>
      <c r="N914" s="7">
        <f>VLOOKUP(J914,[1]Sheet1!$C:$D,2,FALSE)</f>
        <v>7827</v>
      </c>
      <c r="O914" s="7">
        <f>VLOOKUP(J914,[2]Desa!$A:$D,4,FALSE)</f>
        <v>222</v>
      </c>
      <c r="P914" s="7">
        <f>VLOOKUP(J914,[3]Sheet1!$D:$F,3,FALSE)</f>
        <v>64</v>
      </c>
      <c r="Q914" s="7"/>
      <c r="R914" s="7"/>
      <c r="S914" s="12">
        <v>-8.6173635371232695</v>
      </c>
      <c r="T914" s="12">
        <v>116.158722329456</v>
      </c>
      <c r="U914" s="7"/>
      <c r="V914" s="50">
        <f>Table13678[[#This Row],[PAGU SEMULA]]-Table13678[[#This Row],[PAGU ANGGARAN]]</f>
        <v>-75000000</v>
      </c>
      <c r="W914" s="50">
        <f>Table13678[[#This Row],[PAGU SEMULA]]-Table13678[[#This Row],[PAGU ANGGARAN]]</f>
        <v>-75000000</v>
      </c>
      <c r="X914" t="s">
        <v>984</v>
      </c>
    </row>
    <row r="915" spans="3:24" hidden="1">
      <c r="C915" s="7" t="s">
        <v>35</v>
      </c>
      <c r="D915" s="7" t="s">
        <v>65</v>
      </c>
      <c r="E915" s="7" t="s">
        <v>66</v>
      </c>
      <c r="F915" s="7" t="s">
        <v>322</v>
      </c>
      <c r="G915" s="7" t="s">
        <v>322</v>
      </c>
      <c r="H915" s="15">
        <v>72921500</v>
      </c>
      <c r="I915" s="10" t="s">
        <v>751</v>
      </c>
      <c r="J915" s="7" t="s">
        <v>752</v>
      </c>
      <c r="K915" s="10" t="s">
        <v>82</v>
      </c>
      <c r="L915" s="7" t="s">
        <v>83</v>
      </c>
      <c r="M915" s="7"/>
      <c r="N915" s="7">
        <f>VLOOKUP(J915,[1]Sheet1!$C:$D,2,FALSE)</f>
        <v>7827</v>
      </c>
      <c r="O915" s="7">
        <f>VLOOKUP(J915,[2]Desa!$A:$D,4,FALSE)</f>
        <v>222</v>
      </c>
      <c r="P915" s="7">
        <f>VLOOKUP(J915,[3]Sheet1!$D:$F,3,FALSE)</f>
        <v>64</v>
      </c>
      <c r="Q915" s="7"/>
      <c r="R915" s="7"/>
      <c r="S915" s="12">
        <v>-8.6173635371232695</v>
      </c>
      <c r="T915" s="12">
        <v>116.158722329456</v>
      </c>
      <c r="U915" s="7"/>
      <c r="V915" s="50">
        <f>Table13678[[#This Row],[PAGU SEMULA]]-Table13678[[#This Row],[PAGU ANGGARAN]]</f>
        <v>-72921500</v>
      </c>
      <c r="W915" s="50">
        <f>Table13678[[#This Row],[PAGU SEMULA]]-Table13678[[#This Row],[PAGU ANGGARAN]]</f>
        <v>-72921500</v>
      </c>
      <c r="X915" t="s">
        <v>986</v>
      </c>
    </row>
    <row r="916" spans="3:24" hidden="1">
      <c r="C916" s="7" t="s">
        <v>35</v>
      </c>
      <c r="D916" s="7" t="s">
        <v>65</v>
      </c>
      <c r="E916" s="7" t="s">
        <v>66</v>
      </c>
      <c r="F916" s="7" t="s">
        <v>93</v>
      </c>
      <c r="G916" s="7" t="s">
        <v>309</v>
      </c>
      <c r="H916" s="17">
        <v>430000000</v>
      </c>
      <c r="I916" s="10" t="s">
        <v>751</v>
      </c>
      <c r="J916" s="7" t="s">
        <v>752</v>
      </c>
      <c r="K916" s="10" t="s">
        <v>82</v>
      </c>
      <c r="L916" s="7" t="s">
        <v>83</v>
      </c>
      <c r="M916" s="7"/>
      <c r="N916" s="7">
        <f>VLOOKUP(J916,[1]Sheet1!$C:$D,2,FALSE)</f>
        <v>7827</v>
      </c>
      <c r="O916" s="7">
        <f>VLOOKUP(J916,[2]Desa!$A:$D,4,FALSE)</f>
        <v>222</v>
      </c>
      <c r="P916" s="7">
        <f>VLOOKUP(J916,[3]Sheet1!$D:$F,3,FALSE)</f>
        <v>64</v>
      </c>
      <c r="Q916" s="7"/>
      <c r="R916" s="7"/>
      <c r="S916" s="12">
        <v>-8.6173635371232695</v>
      </c>
      <c r="T916" s="12">
        <v>116.158722329456</v>
      </c>
      <c r="U916" s="7"/>
      <c r="V916" s="50">
        <f>Table13678[[#This Row],[PAGU SEMULA]]-Table13678[[#This Row],[PAGU ANGGARAN]]</f>
        <v>-430000000</v>
      </c>
      <c r="W916" s="50">
        <f>Table13678[[#This Row],[PAGU SEMULA]]-Table13678[[#This Row],[PAGU ANGGARAN]]</f>
        <v>-430000000</v>
      </c>
      <c r="X916" t="s">
        <v>986</v>
      </c>
    </row>
    <row r="917" spans="3:24" hidden="1">
      <c r="C917" s="7" t="s">
        <v>35</v>
      </c>
      <c r="D917" s="7" t="s">
        <v>52</v>
      </c>
      <c r="E917" s="7" t="s">
        <v>95</v>
      </c>
      <c r="F917" s="7" t="s">
        <v>96</v>
      </c>
      <c r="G917" s="7" t="s">
        <v>97</v>
      </c>
      <c r="H917" s="17">
        <v>145125000</v>
      </c>
      <c r="I917" s="10" t="s">
        <v>751</v>
      </c>
      <c r="J917" s="7" t="s">
        <v>752</v>
      </c>
      <c r="K917" s="10" t="s">
        <v>82</v>
      </c>
      <c r="L917" s="7" t="s">
        <v>83</v>
      </c>
      <c r="M917" s="7"/>
      <c r="N917" s="7">
        <f>VLOOKUP(J917,[1]Sheet1!$C:$D,2,FALSE)</f>
        <v>7827</v>
      </c>
      <c r="O917" s="7">
        <f>VLOOKUP(J917,[2]Desa!$A:$D,4,FALSE)</f>
        <v>222</v>
      </c>
      <c r="P917" s="7">
        <f>VLOOKUP(J917,[3]Sheet1!$D:$F,3,FALSE)</f>
        <v>64</v>
      </c>
      <c r="Q917" s="7"/>
      <c r="R917" s="7"/>
      <c r="S917" s="12">
        <v>-8.6173635371232695</v>
      </c>
      <c r="T917" s="12">
        <v>116.158722329456</v>
      </c>
      <c r="U917" s="7"/>
      <c r="V917" s="50">
        <f>Table13678[[#This Row],[PAGU SEMULA]]-Table13678[[#This Row],[PAGU ANGGARAN]]</f>
        <v>-145125000</v>
      </c>
      <c r="W917" s="50">
        <f>Table13678[[#This Row],[PAGU SEMULA]]-Table13678[[#This Row],[PAGU ANGGARAN]]</f>
        <v>-145125000</v>
      </c>
      <c r="X917" t="s">
        <v>986</v>
      </c>
    </row>
    <row r="918" spans="3:24" hidden="1">
      <c r="C918" s="7" t="s">
        <v>46</v>
      </c>
      <c r="D918" s="7" t="s">
        <v>122</v>
      </c>
      <c r="E918" s="7" t="s">
        <v>123</v>
      </c>
      <c r="F918" s="7" t="s">
        <v>124</v>
      </c>
      <c r="G918" s="71" t="s">
        <v>125</v>
      </c>
      <c r="H918" s="8">
        <v>199936000</v>
      </c>
      <c r="I918" s="10" t="s">
        <v>751</v>
      </c>
      <c r="J918" s="7" t="s">
        <v>752</v>
      </c>
      <c r="K918" s="10" t="s">
        <v>82</v>
      </c>
      <c r="L918" s="7" t="s">
        <v>83</v>
      </c>
      <c r="M918" s="7"/>
      <c r="N918" s="7">
        <f>VLOOKUP(J918,[1]Sheet1!$C:$D,2,FALSE)</f>
        <v>7827</v>
      </c>
      <c r="O918" s="7">
        <f>VLOOKUP(J918,[2]Desa!$A:$D,4,FALSE)</f>
        <v>222</v>
      </c>
      <c r="P918" s="7">
        <f>VLOOKUP(J918,[3]Sheet1!$D:$F,3,FALSE)</f>
        <v>64</v>
      </c>
      <c r="Q918" s="7"/>
      <c r="R918" s="7"/>
      <c r="S918" s="12">
        <v>-8.6173635371232695</v>
      </c>
      <c r="T918" s="12">
        <v>116.158722329456</v>
      </c>
      <c r="U918" s="7"/>
      <c r="V918" s="50">
        <f>Table13678[[#This Row],[PAGU SEMULA]]-Table13678[[#This Row],[PAGU ANGGARAN]]</f>
        <v>-199936000</v>
      </c>
      <c r="W918" s="50">
        <f>Table13678[[#This Row],[PAGU SEMULA]]-Table13678[[#This Row],[PAGU ANGGARAN]]</f>
        <v>-199936000</v>
      </c>
      <c r="X918" t="s">
        <v>987</v>
      </c>
    </row>
    <row r="919" spans="3:24" hidden="1">
      <c r="C919" s="7" t="s">
        <v>46</v>
      </c>
      <c r="D919" s="7" t="s">
        <v>100</v>
      </c>
      <c r="E919" s="7" t="s">
        <v>101</v>
      </c>
      <c r="F919" s="7" t="s">
        <v>102</v>
      </c>
      <c r="G919" s="71" t="s">
        <v>755</v>
      </c>
      <c r="H919" s="8">
        <v>115735000</v>
      </c>
      <c r="I919" s="10" t="s">
        <v>751</v>
      </c>
      <c r="J919" s="7" t="s">
        <v>752</v>
      </c>
      <c r="K919" s="10" t="s">
        <v>82</v>
      </c>
      <c r="L919" s="7" t="s">
        <v>83</v>
      </c>
      <c r="M919" s="7"/>
      <c r="N919" s="7">
        <f>VLOOKUP(J919,[1]Sheet1!$C:$D,2,FALSE)</f>
        <v>7827</v>
      </c>
      <c r="O919" s="7">
        <f>VLOOKUP(J919,[2]Desa!$A:$D,4,FALSE)</f>
        <v>222</v>
      </c>
      <c r="P919" s="7">
        <f>VLOOKUP(J919,[3]Sheet1!$D:$F,3,FALSE)</f>
        <v>64</v>
      </c>
      <c r="Q919" s="7"/>
      <c r="R919" s="7"/>
      <c r="S919" s="12">
        <v>-8.6173635371232695</v>
      </c>
      <c r="T919" s="12">
        <v>116.158722329456</v>
      </c>
      <c r="U919" s="7"/>
      <c r="V919" s="50">
        <f>Table13678[[#This Row],[PAGU SEMULA]]-Table13678[[#This Row],[PAGU ANGGARAN]]</f>
        <v>-115735000</v>
      </c>
      <c r="W919" s="50">
        <f>Table13678[[#This Row],[PAGU SEMULA]]-Table13678[[#This Row],[PAGU ANGGARAN]]</f>
        <v>-115735000</v>
      </c>
      <c r="X919" t="s">
        <v>987</v>
      </c>
    </row>
    <row r="920" spans="3:24" hidden="1">
      <c r="C920" s="7" t="s">
        <v>51</v>
      </c>
      <c r="D920" s="7" t="s">
        <v>52</v>
      </c>
      <c r="E920" s="7" t="s">
        <v>53</v>
      </c>
      <c r="F920" s="7" t="s">
        <v>54</v>
      </c>
      <c r="G920" s="7" t="s">
        <v>73</v>
      </c>
      <c r="H920" s="8">
        <v>380090000</v>
      </c>
      <c r="I920" s="10" t="s">
        <v>751</v>
      </c>
      <c r="J920" s="7" t="s">
        <v>752</v>
      </c>
      <c r="K920" s="10" t="s">
        <v>82</v>
      </c>
      <c r="L920" s="7" t="s">
        <v>83</v>
      </c>
      <c r="M920" s="7"/>
      <c r="N920" s="7">
        <f>VLOOKUP(J920,[1]Sheet1!$C:$D,2,FALSE)</f>
        <v>7827</v>
      </c>
      <c r="O920" s="7">
        <f>VLOOKUP(J920,[2]Desa!$A:$D,4,FALSE)</f>
        <v>222</v>
      </c>
      <c r="P920" s="7">
        <f>VLOOKUP(J920,[3]Sheet1!$D:$F,3,FALSE)</f>
        <v>64</v>
      </c>
      <c r="Q920" s="7"/>
      <c r="R920" s="7"/>
      <c r="S920" s="12">
        <v>-8.6173635371232695</v>
      </c>
      <c r="T920" s="12">
        <v>116.158722329456</v>
      </c>
      <c r="U920" s="7"/>
      <c r="V920" s="50">
        <f>Table13678[[#This Row],[PAGU SEMULA]]-Table13678[[#This Row],[PAGU ANGGARAN]]</f>
        <v>-380090000</v>
      </c>
      <c r="W920" s="50">
        <f>Table13678[[#This Row],[PAGU SEMULA]]-Table13678[[#This Row],[PAGU ANGGARAN]]</f>
        <v>-380090000</v>
      </c>
      <c r="X920" t="s">
        <v>986</v>
      </c>
    </row>
    <row r="921" spans="3:24" hidden="1">
      <c r="C921" s="7" t="s">
        <v>51</v>
      </c>
      <c r="D921" s="7" t="s">
        <v>52</v>
      </c>
      <c r="E921" s="7" t="s">
        <v>53</v>
      </c>
      <c r="F921" s="7" t="s">
        <v>54</v>
      </c>
      <c r="G921" s="7" t="s">
        <v>73</v>
      </c>
      <c r="H921" s="8">
        <v>189090000</v>
      </c>
      <c r="I921" s="10" t="s">
        <v>751</v>
      </c>
      <c r="J921" s="7" t="s">
        <v>752</v>
      </c>
      <c r="K921" s="10" t="s">
        <v>82</v>
      </c>
      <c r="L921" s="7" t="s">
        <v>83</v>
      </c>
      <c r="M921" s="7"/>
      <c r="N921" s="7">
        <f>VLOOKUP(J921,[1]Sheet1!$C:$D,2,FALSE)</f>
        <v>7827</v>
      </c>
      <c r="O921" s="7">
        <f>VLOOKUP(J921,[2]Desa!$A:$D,4,FALSE)</f>
        <v>222</v>
      </c>
      <c r="P921" s="7">
        <f>VLOOKUP(J921,[3]Sheet1!$D:$F,3,FALSE)</f>
        <v>64</v>
      </c>
      <c r="Q921" s="7"/>
      <c r="R921" s="7"/>
      <c r="S921" s="12">
        <v>-8.6173635371232695</v>
      </c>
      <c r="T921" s="12">
        <v>116.158722329456</v>
      </c>
      <c r="U921" s="7"/>
      <c r="V921" s="50">
        <f>Table13678[[#This Row],[PAGU SEMULA]]-Table13678[[#This Row],[PAGU ANGGARAN]]</f>
        <v>-189090000</v>
      </c>
      <c r="W921" s="50">
        <f>Table13678[[#This Row],[PAGU SEMULA]]-Table13678[[#This Row],[PAGU ANGGARAN]]</f>
        <v>-189090000</v>
      </c>
      <c r="X921" t="s">
        <v>986</v>
      </c>
    </row>
    <row r="922" spans="3:24" hidden="1">
      <c r="C922" s="7" t="s">
        <v>51</v>
      </c>
      <c r="D922" s="7" t="s">
        <v>52</v>
      </c>
      <c r="E922" s="7" t="s">
        <v>53</v>
      </c>
      <c r="F922" s="7" t="s">
        <v>54</v>
      </c>
      <c r="G922" s="7" t="s">
        <v>73</v>
      </c>
      <c r="H922" s="8">
        <v>94545000</v>
      </c>
      <c r="I922" s="10" t="s">
        <v>751</v>
      </c>
      <c r="J922" s="7" t="s">
        <v>752</v>
      </c>
      <c r="K922" s="10" t="s">
        <v>82</v>
      </c>
      <c r="L922" s="7" t="s">
        <v>83</v>
      </c>
      <c r="M922" s="7"/>
      <c r="N922" s="7">
        <f>VLOOKUP(J922,[1]Sheet1!$C:$D,2,FALSE)</f>
        <v>7827</v>
      </c>
      <c r="O922" s="7">
        <f>VLOOKUP(J922,[2]Desa!$A:$D,4,FALSE)</f>
        <v>222</v>
      </c>
      <c r="P922" s="7">
        <f>VLOOKUP(J922,[3]Sheet1!$D:$F,3,FALSE)</f>
        <v>64</v>
      </c>
      <c r="Q922" s="7"/>
      <c r="R922" s="7"/>
      <c r="S922" s="12">
        <v>-8.6173635371232695</v>
      </c>
      <c r="T922" s="12">
        <v>116.158722329456</v>
      </c>
      <c r="U922" s="7"/>
      <c r="V922" s="50">
        <f>Table13678[[#This Row],[PAGU SEMULA]]-Table13678[[#This Row],[PAGU ANGGARAN]]</f>
        <v>-94545000</v>
      </c>
      <c r="W922" s="50">
        <f>Table13678[[#This Row],[PAGU SEMULA]]-Table13678[[#This Row],[PAGU ANGGARAN]]</f>
        <v>-94545000</v>
      </c>
      <c r="X922" t="s">
        <v>986</v>
      </c>
    </row>
    <row r="923" spans="3:24" hidden="1">
      <c r="C923" s="7" t="s">
        <v>323</v>
      </c>
      <c r="D923" s="7" t="s">
        <v>324</v>
      </c>
      <c r="E923" s="7" t="s">
        <v>325</v>
      </c>
      <c r="F923" s="7" t="s">
        <v>326</v>
      </c>
      <c r="G923" s="7" t="s">
        <v>327</v>
      </c>
      <c r="H923" s="8">
        <v>192000000</v>
      </c>
      <c r="I923" s="10" t="s">
        <v>751</v>
      </c>
      <c r="J923" s="7" t="s">
        <v>752</v>
      </c>
      <c r="K923" s="10" t="s">
        <v>82</v>
      </c>
      <c r="L923" s="7" t="s">
        <v>83</v>
      </c>
      <c r="M923" s="7"/>
      <c r="N923" s="7">
        <f>VLOOKUP(J923,[1]Sheet1!$C:$D,2,FALSE)</f>
        <v>7827</v>
      </c>
      <c r="O923" s="7">
        <f>VLOOKUP(J923,[2]Desa!$A:$D,4,FALSE)</f>
        <v>222</v>
      </c>
      <c r="P923" s="7">
        <f>VLOOKUP(J923,[3]Sheet1!$D:$F,3,FALSE)</f>
        <v>64</v>
      </c>
      <c r="Q923" s="7"/>
      <c r="R923" s="7"/>
      <c r="S923" s="12">
        <v>-8.6173635371232695</v>
      </c>
      <c r="T923" s="12">
        <v>116.158722329456</v>
      </c>
      <c r="U923" s="7"/>
      <c r="V923" s="50">
        <f>Table13678[[#This Row],[PAGU SEMULA]]-Table13678[[#This Row],[PAGU ANGGARAN]]</f>
        <v>-192000000</v>
      </c>
      <c r="W923" s="50">
        <f>Table13678[[#This Row],[PAGU SEMULA]]-Table13678[[#This Row],[PAGU ANGGARAN]]</f>
        <v>-192000000</v>
      </c>
      <c r="X923" t="s">
        <v>982</v>
      </c>
    </row>
    <row r="924" spans="3:24" hidden="1">
      <c r="C924" s="7" t="s">
        <v>20</v>
      </c>
      <c r="D924" s="7" t="s">
        <v>104</v>
      </c>
      <c r="E924" s="7" t="s">
        <v>105</v>
      </c>
      <c r="F924" s="7" t="s">
        <v>240</v>
      </c>
      <c r="G924" s="71" t="s">
        <v>756</v>
      </c>
      <c r="H924" s="15">
        <v>77000000</v>
      </c>
      <c r="I924" s="10" t="s">
        <v>757</v>
      </c>
      <c r="J924" s="7" t="s">
        <v>758</v>
      </c>
      <c r="K924" s="10" t="s">
        <v>27</v>
      </c>
      <c r="L924" s="7" t="s">
        <v>28</v>
      </c>
      <c r="M924" s="7"/>
      <c r="N924" s="7">
        <f>VLOOKUP(J924,[1]Sheet1!$C:$D,2,FALSE)</f>
        <v>4856</v>
      </c>
      <c r="O924" s="7">
        <f>VLOOKUP(J924,[2]Desa!$A:$D,4,FALSE)</f>
        <v>181</v>
      </c>
      <c r="P924" s="7">
        <f>VLOOKUP(J924,[3]Sheet1!$D:$F,3,FALSE)</f>
        <v>42</v>
      </c>
      <c r="Q924" s="7"/>
      <c r="R924" s="7"/>
      <c r="S924" s="12">
        <v>-8.6771241465885094</v>
      </c>
      <c r="T924" s="12">
        <v>116.116009694909</v>
      </c>
      <c r="U924" s="7"/>
      <c r="V924" s="50">
        <f>Table13678[[#This Row],[PAGU SEMULA]]-Table13678[[#This Row],[PAGU ANGGARAN]]</f>
        <v>-77000000</v>
      </c>
      <c r="W924" s="50">
        <f>Table13678[[#This Row],[PAGU SEMULA]]-Table13678[[#This Row],[PAGU ANGGARAN]]</f>
        <v>-77000000</v>
      </c>
      <c r="X924" t="s">
        <v>984</v>
      </c>
    </row>
    <row r="925" spans="3:24" hidden="1">
      <c r="C925" s="7" t="s">
        <v>29</v>
      </c>
      <c r="D925" s="7" t="s">
        <v>30</v>
      </c>
      <c r="E925" s="7" t="s">
        <v>31</v>
      </c>
      <c r="F925" s="7" t="s">
        <v>32</v>
      </c>
      <c r="G925" s="7" t="s">
        <v>33</v>
      </c>
      <c r="H925" s="8">
        <v>309540000</v>
      </c>
      <c r="I925" s="10" t="s">
        <v>757</v>
      </c>
      <c r="J925" s="7" t="s">
        <v>758</v>
      </c>
      <c r="K925" s="10" t="s">
        <v>27</v>
      </c>
      <c r="L925" s="7" t="s">
        <v>28</v>
      </c>
      <c r="M925" s="7"/>
      <c r="N925" s="7">
        <f>VLOOKUP(J925,[1]Sheet1!$C:$D,2,FALSE)</f>
        <v>4856</v>
      </c>
      <c r="O925" s="7">
        <f>VLOOKUP(J925,[2]Desa!$A:$D,4,FALSE)</f>
        <v>181</v>
      </c>
      <c r="P925" s="7">
        <f>VLOOKUP(J925,[3]Sheet1!$D:$F,3,FALSE)</f>
        <v>42</v>
      </c>
      <c r="Q925" s="7"/>
      <c r="R925" s="7"/>
      <c r="S925" s="12">
        <v>-8.6771241465885094</v>
      </c>
      <c r="T925" s="12">
        <v>116.116009694909</v>
      </c>
      <c r="U925" s="7"/>
      <c r="V925" s="50">
        <f>Table13678[[#This Row],[PAGU SEMULA]]-Table13678[[#This Row],[PAGU ANGGARAN]]</f>
        <v>-309540000</v>
      </c>
      <c r="W925" s="50">
        <f>Table13678[[#This Row],[PAGU SEMULA]]-Table13678[[#This Row],[PAGU ANGGARAN]]</f>
        <v>-309540000</v>
      </c>
      <c r="X925" t="s">
        <v>984</v>
      </c>
    </row>
    <row r="926" spans="3:24" hidden="1">
      <c r="C926" s="7" t="s">
        <v>29</v>
      </c>
      <c r="D926" s="7" t="s">
        <v>30</v>
      </c>
      <c r="E926" s="7" t="s">
        <v>31</v>
      </c>
      <c r="F926" s="7" t="s">
        <v>32</v>
      </c>
      <c r="G926" s="7" t="s">
        <v>34</v>
      </c>
      <c r="H926" s="8">
        <v>24763200</v>
      </c>
      <c r="I926" s="10" t="s">
        <v>757</v>
      </c>
      <c r="J926" s="7" t="s">
        <v>758</v>
      </c>
      <c r="K926" s="10" t="s">
        <v>27</v>
      </c>
      <c r="L926" s="7" t="s">
        <v>28</v>
      </c>
      <c r="M926" s="7"/>
      <c r="N926" s="7">
        <f>VLOOKUP(J926,[1]Sheet1!$C:$D,2,FALSE)</f>
        <v>4856</v>
      </c>
      <c r="O926" s="7">
        <f>VLOOKUP(J926,[2]Desa!$A:$D,4,FALSE)</f>
        <v>181</v>
      </c>
      <c r="P926" s="7">
        <f>VLOOKUP(J926,[3]Sheet1!$D:$F,3,FALSE)</f>
        <v>42</v>
      </c>
      <c r="Q926" s="7"/>
      <c r="R926" s="7"/>
      <c r="S926" s="12">
        <v>-8.6771241465885094</v>
      </c>
      <c r="T926" s="12">
        <v>116.116009694909</v>
      </c>
      <c r="U926" s="7"/>
      <c r="V926" s="50">
        <f>Table13678[[#This Row],[PAGU SEMULA]]-Table13678[[#This Row],[PAGU ANGGARAN]]</f>
        <v>-24763200</v>
      </c>
      <c r="W926" s="50">
        <f>Table13678[[#This Row],[PAGU SEMULA]]-Table13678[[#This Row],[PAGU ANGGARAN]]</f>
        <v>-24763200</v>
      </c>
      <c r="X926" t="s">
        <v>984</v>
      </c>
    </row>
    <row r="927" spans="3:24" hidden="1">
      <c r="C927" s="7" t="s">
        <v>110</v>
      </c>
      <c r="D927" s="7" t="s">
        <v>178</v>
      </c>
      <c r="E927" s="7" t="s">
        <v>179</v>
      </c>
      <c r="F927" s="7" t="s">
        <v>180</v>
      </c>
      <c r="G927" s="71" t="s">
        <v>416</v>
      </c>
      <c r="H927" s="8">
        <v>20000000</v>
      </c>
      <c r="I927" s="10" t="s">
        <v>757</v>
      </c>
      <c r="J927" s="7" t="s">
        <v>758</v>
      </c>
      <c r="K927" s="10" t="s">
        <v>27</v>
      </c>
      <c r="L927" s="7" t="s">
        <v>28</v>
      </c>
      <c r="M927" s="7"/>
      <c r="N927" s="7">
        <f>VLOOKUP(J927,[1]Sheet1!$C:$D,2,FALSE)</f>
        <v>4856</v>
      </c>
      <c r="O927" s="7">
        <f>VLOOKUP(J927,[2]Desa!$A:$D,4,FALSE)</f>
        <v>181</v>
      </c>
      <c r="P927" s="7">
        <f>VLOOKUP(J927,[3]Sheet1!$D:$F,3,FALSE)</f>
        <v>42</v>
      </c>
      <c r="Q927" s="7"/>
      <c r="R927" s="7"/>
      <c r="S927" s="12">
        <v>-8.6771241465885094</v>
      </c>
      <c r="T927" s="12">
        <v>116.116009694909</v>
      </c>
      <c r="U927" s="7"/>
      <c r="V927" s="50">
        <f>Table13678[[#This Row],[PAGU SEMULA]]-Table13678[[#This Row],[PAGU ANGGARAN]]</f>
        <v>-20000000</v>
      </c>
      <c r="W927" s="50">
        <f>Table13678[[#This Row],[PAGU SEMULA]]-Table13678[[#This Row],[PAGU ANGGARAN]]</f>
        <v>-20000000</v>
      </c>
      <c r="X927" t="s">
        <v>982</v>
      </c>
    </row>
    <row r="928" spans="3:24" hidden="1">
      <c r="C928" s="7" t="s">
        <v>35</v>
      </c>
      <c r="D928" s="7" t="s">
        <v>36</v>
      </c>
      <c r="E928" s="7" t="s">
        <v>37</v>
      </c>
      <c r="F928" s="7" t="s">
        <v>38</v>
      </c>
      <c r="G928" s="7" t="s">
        <v>39</v>
      </c>
      <c r="H928" s="15">
        <v>75000000</v>
      </c>
      <c r="I928" s="10" t="s">
        <v>757</v>
      </c>
      <c r="J928" s="7" t="s">
        <v>758</v>
      </c>
      <c r="K928" s="10" t="s">
        <v>27</v>
      </c>
      <c r="L928" s="7" t="s">
        <v>28</v>
      </c>
      <c r="M928" s="7"/>
      <c r="N928" s="7">
        <f>VLOOKUP(J928,[1]Sheet1!$C:$D,2,FALSE)</f>
        <v>4856</v>
      </c>
      <c r="O928" s="7">
        <f>VLOOKUP(J928,[2]Desa!$A:$D,4,FALSE)</f>
        <v>181</v>
      </c>
      <c r="P928" s="7">
        <f>VLOOKUP(J928,[3]Sheet1!$D:$F,3,FALSE)</f>
        <v>42</v>
      </c>
      <c r="Q928" s="7"/>
      <c r="R928" s="7"/>
      <c r="S928" s="12">
        <v>-8.6771241465885094</v>
      </c>
      <c r="T928" s="12">
        <v>116.116009694909</v>
      </c>
      <c r="U928" s="7"/>
      <c r="V928" s="50">
        <f>Table13678[[#This Row],[PAGU SEMULA]]-Table13678[[#This Row],[PAGU ANGGARAN]]</f>
        <v>-75000000</v>
      </c>
      <c r="W928" s="50">
        <f>Table13678[[#This Row],[PAGU SEMULA]]-Table13678[[#This Row],[PAGU ANGGARAN]]</f>
        <v>-75000000</v>
      </c>
      <c r="X928" t="s">
        <v>984</v>
      </c>
    </row>
    <row r="929" spans="3:24" hidden="1">
      <c r="C929" s="7" t="s">
        <v>46</v>
      </c>
      <c r="D929" s="7" t="s">
        <v>122</v>
      </c>
      <c r="E929" s="7" t="s">
        <v>123</v>
      </c>
      <c r="F929" s="7" t="s">
        <v>124</v>
      </c>
      <c r="G929" s="7" t="s">
        <v>759</v>
      </c>
      <c r="H929" s="8">
        <v>79300000</v>
      </c>
      <c r="I929" s="10" t="s">
        <v>757</v>
      </c>
      <c r="J929" s="7" t="s">
        <v>758</v>
      </c>
      <c r="K929" s="10" t="s">
        <v>27</v>
      </c>
      <c r="L929" s="7" t="s">
        <v>28</v>
      </c>
      <c r="M929" s="7"/>
      <c r="N929" s="7">
        <f>VLOOKUP(J929,[1]Sheet1!$C:$D,2,FALSE)</f>
        <v>4856</v>
      </c>
      <c r="O929" s="7">
        <f>VLOOKUP(J929,[2]Desa!$A:$D,4,FALSE)</f>
        <v>181</v>
      </c>
      <c r="P929" s="7">
        <f>VLOOKUP(J929,[3]Sheet1!$D:$F,3,FALSE)</f>
        <v>42</v>
      </c>
      <c r="Q929" s="7"/>
      <c r="R929" s="7"/>
      <c r="S929" s="12">
        <v>-8.6771241465885094</v>
      </c>
      <c r="T929" s="12">
        <v>116.116009694909</v>
      </c>
      <c r="U929" s="7"/>
      <c r="V929" s="50">
        <f>Table13678[[#This Row],[PAGU SEMULA]]-Table13678[[#This Row],[PAGU ANGGARAN]]</f>
        <v>-79300000</v>
      </c>
      <c r="W929" s="50">
        <f>Table13678[[#This Row],[PAGU SEMULA]]-Table13678[[#This Row],[PAGU ANGGARAN]]</f>
        <v>-79300000</v>
      </c>
      <c r="X929" t="s">
        <v>987</v>
      </c>
    </row>
    <row r="930" spans="3:24" hidden="1">
      <c r="C930" s="7" t="s">
        <v>46</v>
      </c>
      <c r="D930" s="7" t="s">
        <v>100</v>
      </c>
      <c r="E930" s="7" t="s">
        <v>101</v>
      </c>
      <c r="F930" s="7" t="s">
        <v>102</v>
      </c>
      <c r="G930" s="71" t="s">
        <v>760</v>
      </c>
      <c r="H930" s="8">
        <v>43027650</v>
      </c>
      <c r="I930" s="10" t="s">
        <v>757</v>
      </c>
      <c r="J930" s="7" t="s">
        <v>758</v>
      </c>
      <c r="K930" s="10" t="s">
        <v>27</v>
      </c>
      <c r="L930" s="7" t="s">
        <v>28</v>
      </c>
      <c r="M930" s="7"/>
      <c r="N930" s="7">
        <f>VLOOKUP(J930,[1]Sheet1!$C:$D,2,FALSE)</f>
        <v>4856</v>
      </c>
      <c r="O930" s="7">
        <f>VLOOKUP(J930,[2]Desa!$A:$D,4,FALSE)</f>
        <v>181</v>
      </c>
      <c r="P930" s="7">
        <f>VLOOKUP(J930,[3]Sheet1!$D:$F,3,FALSE)</f>
        <v>42</v>
      </c>
      <c r="Q930" s="7"/>
      <c r="R930" s="7"/>
      <c r="S930" s="12">
        <v>-8.6771241465885094</v>
      </c>
      <c r="T930" s="12">
        <v>116.116009694909</v>
      </c>
      <c r="U930" s="7"/>
      <c r="V930" s="50">
        <f>Table13678[[#This Row],[PAGU SEMULA]]-Table13678[[#This Row],[PAGU ANGGARAN]]</f>
        <v>-43027650</v>
      </c>
      <c r="W930" s="50">
        <f>Table13678[[#This Row],[PAGU SEMULA]]-Table13678[[#This Row],[PAGU ANGGARAN]]</f>
        <v>-43027650</v>
      </c>
      <c r="X930" t="s">
        <v>987</v>
      </c>
    </row>
    <row r="931" spans="3:24" hidden="1">
      <c r="C931" s="7" t="s">
        <v>51</v>
      </c>
      <c r="D931" s="7" t="s">
        <v>52</v>
      </c>
      <c r="E931" s="7" t="s">
        <v>53</v>
      </c>
      <c r="F931" s="7" t="s">
        <v>54</v>
      </c>
      <c r="G931" s="7" t="s">
        <v>55</v>
      </c>
      <c r="H931" s="8">
        <v>189090000</v>
      </c>
      <c r="I931" s="10" t="s">
        <v>757</v>
      </c>
      <c r="J931" s="7" t="s">
        <v>758</v>
      </c>
      <c r="K931" s="10" t="s">
        <v>27</v>
      </c>
      <c r="L931" s="7" t="s">
        <v>28</v>
      </c>
      <c r="M931" s="7"/>
      <c r="N931" s="7">
        <f>VLOOKUP(J931,[1]Sheet1!$C:$D,2,FALSE)</f>
        <v>4856</v>
      </c>
      <c r="O931" s="7">
        <f>VLOOKUP(J931,[2]Desa!$A:$D,4,FALSE)</f>
        <v>181</v>
      </c>
      <c r="P931" s="7">
        <f>VLOOKUP(J931,[3]Sheet1!$D:$F,3,FALSE)</f>
        <v>42</v>
      </c>
      <c r="Q931" s="7"/>
      <c r="R931" s="7"/>
      <c r="S931" s="12">
        <v>-8.6771241465885094</v>
      </c>
      <c r="T931" s="12">
        <v>116.116009694909</v>
      </c>
      <c r="U931" s="7"/>
      <c r="V931" s="50">
        <f>Table13678[[#This Row],[PAGU SEMULA]]-Table13678[[#This Row],[PAGU ANGGARAN]]</f>
        <v>-189090000</v>
      </c>
      <c r="W931" s="50">
        <f>Table13678[[#This Row],[PAGU SEMULA]]-Table13678[[#This Row],[PAGU ANGGARAN]]</f>
        <v>-189090000</v>
      </c>
      <c r="X931" t="s">
        <v>986</v>
      </c>
    </row>
    <row r="932" spans="3:24" hidden="1">
      <c r="C932" s="7" t="s">
        <v>51</v>
      </c>
      <c r="D932" s="7" t="s">
        <v>52</v>
      </c>
      <c r="E932" s="7" t="s">
        <v>53</v>
      </c>
      <c r="F932" s="7" t="s">
        <v>54</v>
      </c>
      <c r="G932" s="7" t="s">
        <v>55</v>
      </c>
      <c r="H932" s="8">
        <v>189090000</v>
      </c>
      <c r="I932" s="10" t="s">
        <v>757</v>
      </c>
      <c r="J932" s="7" t="s">
        <v>758</v>
      </c>
      <c r="K932" s="10" t="s">
        <v>27</v>
      </c>
      <c r="L932" s="7" t="s">
        <v>28</v>
      </c>
      <c r="M932" s="7"/>
      <c r="N932" s="7">
        <f>VLOOKUP(J932,[1]Sheet1!$C:$D,2,FALSE)</f>
        <v>4856</v>
      </c>
      <c r="O932" s="7">
        <f>VLOOKUP(J932,[2]Desa!$A:$D,4,FALSE)</f>
        <v>181</v>
      </c>
      <c r="P932" s="7">
        <f>VLOOKUP(J932,[3]Sheet1!$D:$F,3,FALSE)</f>
        <v>42</v>
      </c>
      <c r="Q932" s="7"/>
      <c r="R932" s="7"/>
      <c r="S932" s="12">
        <v>-8.6771241465885094</v>
      </c>
      <c r="T932" s="12">
        <v>116.116009694909</v>
      </c>
      <c r="U932" s="7"/>
      <c r="V932" s="50">
        <f>Table13678[[#This Row],[PAGU SEMULA]]-Table13678[[#This Row],[PAGU ANGGARAN]]</f>
        <v>-189090000</v>
      </c>
      <c r="W932" s="50">
        <f>Table13678[[#This Row],[PAGU SEMULA]]-Table13678[[#This Row],[PAGU ANGGARAN]]</f>
        <v>-189090000</v>
      </c>
      <c r="X932" t="s">
        <v>986</v>
      </c>
    </row>
    <row r="933" spans="3:24" hidden="1">
      <c r="C933" s="7" t="s">
        <v>29</v>
      </c>
      <c r="D933" s="7" t="s">
        <v>30</v>
      </c>
      <c r="E933" s="7" t="s">
        <v>31</v>
      </c>
      <c r="F933" s="7" t="s">
        <v>32</v>
      </c>
      <c r="G933" s="7" t="s">
        <v>33</v>
      </c>
      <c r="H933" s="8">
        <v>1145340000</v>
      </c>
      <c r="I933" s="10" t="s">
        <v>761</v>
      </c>
      <c r="J933" s="7" t="s">
        <v>762</v>
      </c>
      <c r="K933" s="10" t="s">
        <v>288</v>
      </c>
      <c r="L933" s="7" t="s">
        <v>289</v>
      </c>
      <c r="M933" s="7"/>
      <c r="N933" s="7">
        <f>VLOOKUP(J933,[1]Sheet1!$C:$D,2,FALSE)</f>
        <v>9026</v>
      </c>
      <c r="O933" s="7">
        <f>VLOOKUP(J933,[2]Desa!$A:$D,4,FALSE)</f>
        <v>111</v>
      </c>
      <c r="P933" s="7">
        <f>VLOOKUP(J933,[3]Sheet1!$D:$F,3,FALSE)</f>
        <v>65</v>
      </c>
      <c r="Q933" s="7"/>
      <c r="R933" s="7"/>
      <c r="S933" s="12">
        <v>-8.5519882646261696</v>
      </c>
      <c r="T933" s="12">
        <v>116.11146725286299</v>
      </c>
      <c r="U933" s="7"/>
      <c r="V933" s="50">
        <f>Table13678[[#This Row],[PAGU SEMULA]]-Table13678[[#This Row],[PAGU ANGGARAN]]</f>
        <v>-1145340000</v>
      </c>
      <c r="W933" s="50">
        <f>Table13678[[#This Row],[PAGU SEMULA]]-Table13678[[#This Row],[PAGU ANGGARAN]]</f>
        <v>-1145340000</v>
      </c>
      <c r="X933" t="s">
        <v>984</v>
      </c>
    </row>
    <row r="934" spans="3:24" hidden="1">
      <c r="C934" s="7" t="s">
        <v>29</v>
      </c>
      <c r="D934" s="7" t="s">
        <v>30</v>
      </c>
      <c r="E934" s="7" t="s">
        <v>31</v>
      </c>
      <c r="F934" s="7" t="s">
        <v>32</v>
      </c>
      <c r="G934" s="7" t="s">
        <v>34</v>
      </c>
      <c r="H934" s="8">
        <v>91627200</v>
      </c>
      <c r="I934" s="10" t="s">
        <v>761</v>
      </c>
      <c r="J934" s="7" t="s">
        <v>762</v>
      </c>
      <c r="K934" s="10" t="s">
        <v>288</v>
      </c>
      <c r="L934" s="7" t="s">
        <v>289</v>
      </c>
      <c r="M934" s="7"/>
      <c r="N934" s="7">
        <f>VLOOKUP(J934,[1]Sheet1!$C:$D,2,FALSE)</f>
        <v>9026</v>
      </c>
      <c r="O934" s="7">
        <f>VLOOKUP(J934,[2]Desa!$A:$D,4,FALSE)</f>
        <v>111</v>
      </c>
      <c r="P934" s="7">
        <f>VLOOKUP(J934,[3]Sheet1!$D:$F,3,FALSE)</f>
        <v>65</v>
      </c>
      <c r="Q934" s="7"/>
      <c r="R934" s="7"/>
      <c r="S934" s="12">
        <v>-8.5519882646261696</v>
      </c>
      <c r="T934" s="12">
        <v>116.11146725286299</v>
      </c>
      <c r="U934" s="7"/>
      <c r="V934" s="50">
        <f>Table13678[[#This Row],[PAGU SEMULA]]-Table13678[[#This Row],[PAGU ANGGARAN]]</f>
        <v>-91627200</v>
      </c>
      <c r="W934" s="50">
        <f>Table13678[[#This Row],[PAGU SEMULA]]-Table13678[[#This Row],[PAGU ANGGARAN]]</f>
        <v>-91627200</v>
      </c>
      <c r="X934" t="s">
        <v>984</v>
      </c>
    </row>
    <row r="935" spans="3:24" hidden="1">
      <c r="C935" s="7" t="s">
        <v>60</v>
      </c>
      <c r="D935" s="7" t="s">
        <v>61</v>
      </c>
      <c r="E935" s="7" t="s">
        <v>62</v>
      </c>
      <c r="F935" s="7" t="s">
        <v>63</v>
      </c>
      <c r="G935" s="71" t="s">
        <v>251</v>
      </c>
      <c r="H935" s="15">
        <v>84000000</v>
      </c>
      <c r="I935" s="10" t="s">
        <v>761</v>
      </c>
      <c r="J935" s="7" t="s">
        <v>762</v>
      </c>
      <c r="K935" s="10" t="s">
        <v>288</v>
      </c>
      <c r="L935" s="7" t="s">
        <v>289</v>
      </c>
      <c r="M935" s="7"/>
      <c r="N935" s="7">
        <f>VLOOKUP(J935,[1]Sheet1!$C:$D,2,FALSE)</f>
        <v>9026</v>
      </c>
      <c r="O935" s="7">
        <f>VLOOKUP(J935,[2]Desa!$A:$D,4,FALSE)</f>
        <v>111</v>
      </c>
      <c r="P935" s="7">
        <f>VLOOKUP(J935,[3]Sheet1!$D:$F,3,FALSE)</f>
        <v>65</v>
      </c>
      <c r="Q935" s="7"/>
      <c r="R935" s="7"/>
      <c r="S935" s="12">
        <v>-8.5519882646261696</v>
      </c>
      <c r="T935" s="12">
        <v>116.11146725286299</v>
      </c>
      <c r="U935" s="7"/>
      <c r="V935" s="50">
        <f>Table13678[[#This Row],[PAGU SEMULA]]-Table13678[[#This Row],[PAGU ANGGARAN]]</f>
        <v>-84000000</v>
      </c>
      <c r="W935" s="50">
        <f>Table13678[[#This Row],[PAGU SEMULA]]-Table13678[[#This Row],[PAGU ANGGARAN]]</f>
        <v>-84000000</v>
      </c>
      <c r="X935" t="s">
        <v>987</v>
      </c>
    </row>
    <row r="936" spans="3:24" hidden="1">
      <c r="C936" s="7" t="s">
        <v>60</v>
      </c>
      <c r="D936" s="7" t="s">
        <v>61</v>
      </c>
      <c r="E936" s="7" t="s">
        <v>62</v>
      </c>
      <c r="F936" s="7" t="s">
        <v>63</v>
      </c>
      <c r="G936" s="71" t="s">
        <v>64</v>
      </c>
      <c r="H936" s="15">
        <v>0</v>
      </c>
      <c r="I936" s="10" t="s">
        <v>761</v>
      </c>
      <c r="J936" s="7" t="s">
        <v>762</v>
      </c>
      <c r="K936" s="10" t="s">
        <v>288</v>
      </c>
      <c r="L936" s="7" t="s">
        <v>289</v>
      </c>
      <c r="M936" s="7"/>
      <c r="N936" s="7">
        <f>VLOOKUP(J936,[1]Sheet1!$C:$D,2,FALSE)</f>
        <v>9026</v>
      </c>
      <c r="O936" s="7">
        <f>VLOOKUP(J936,[2]Desa!$A:$D,4,FALSE)</f>
        <v>111</v>
      </c>
      <c r="P936" s="7">
        <f>VLOOKUP(J936,[3]Sheet1!$D:$F,3,FALSE)</f>
        <v>65</v>
      </c>
      <c r="Q936" s="7"/>
      <c r="R936" s="7"/>
      <c r="S936" s="12">
        <v>-8.5519882646261696</v>
      </c>
      <c r="T936" s="12">
        <v>116.11146725286299</v>
      </c>
      <c r="U936" s="7"/>
      <c r="V936" s="50">
        <f>Table13678[[#This Row],[PAGU SEMULA]]-Table13678[[#This Row],[PAGU ANGGARAN]]</f>
        <v>0</v>
      </c>
      <c r="W936" s="50">
        <f>Table13678[[#This Row],[PAGU SEMULA]]-Table13678[[#This Row],[PAGU ANGGARAN]]</f>
        <v>0</v>
      </c>
      <c r="X936" t="s">
        <v>987</v>
      </c>
    </row>
    <row r="937" spans="3:24" hidden="1">
      <c r="C937" s="7" t="s">
        <v>35</v>
      </c>
      <c r="D937" s="7" t="s">
        <v>36</v>
      </c>
      <c r="E937" s="7" t="s">
        <v>37</v>
      </c>
      <c r="F937" s="7" t="s">
        <v>38</v>
      </c>
      <c r="G937" s="7" t="s">
        <v>39</v>
      </c>
      <c r="H937" s="15">
        <v>75000000</v>
      </c>
      <c r="I937" s="10" t="s">
        <v>761</v>
      </c>
      <c r="J937" s="7" t="s">
        <v>762</v>
      </c>
      <c r="K937" s="10" t="s">
        <v>288</v>
      </c>
      <c r="L937" s="7" t="s">
        <v>289</v>
      </c>
      <c r="M937" s="7"/>
      <c r="N937" s="7">
        <f>VLOOKUP(J937,[1]Sheet1!$C:$D,2,FALSE)</f>
        <v>9026</v>
      </c>
      <c r="O937" s="7">
        <f>VLOOKUP(J937,[2]Desa!$A:$D,4,FALSE)</f>
        <v>111</v>
      </c>
      <c r="P937" s="7">
        <f>VLOOKUP(J937,[3]Sheet1!$D:$F,3,FALSE)</f>
        <v>65</v>
      </c>
      <c r="Q937" s="7"/>
      <c r="R937" s="7"/>
      <c r="S937" s="12">
        <v>-8.5519882646261696</v>
      </c>
      <c r="T937" s="12">
        <v>116.11146725286299</v>
      </c>
      <c r="U937" s="7"/>
      <c r="V937" s="50">
        <f>Table13678[[#This Row],[PAGU SEMULA]]-Table13678[[#This Row],[PAGU ANGGARAN]]</f>
        <v>-75000000</v>
      </c>
      <c r="W937" s="50">
        <f>Table13678[[#This Row],[PAGU SEMULA]]-Table13678[[#This Row],[PAGU ANGGARAN]]</f>
        <v>-75000000</v>
      </c>
      <c r="X937" t="s">
        <v>984</v>
      </c>
    </row>
    <row r="938" spans="3:24" hidden="1">
      <c r="C938" s="7" t="s">
        <v>35</v>
      </c>
      <c r="D938" s="7" t="s">
        <v>36</v>
      </c>
      <c r="E938" s="7" t="s">
        <v>37</v>
      </c>
      <c r="F938" s="7" t="s">
        <v>40</v>
      </c>
      <c r="G938" s="7" t="s">
        <v>98</v>
      </c>
      <c r="H938" s="15">
        <v>360000000</v>
      </c>
      <c r="I938" s="10" t="s">
        <v>761</v>
      </c>
      <c r="J938" s="7" t="s">
        <v>762</v>
      </c>
      <c r="K938" s="10" t="s">
        <v>288</v>
      </c>
      <c r="L938" s="7" t="s">
        <v>289</v>
      </c>
      <c r="M938" s="7"/>
      <c r="N938" s="7">
        <f>VLOOKUP(J938,[1]Sheet1!$C:$D,2,FALSE)</f>
        <v>9026</v>
      </c>
      <c r="O938" s="7">
        <f>VLOOKUP(J938,[2]Desa!$A:$D,4,FALSE)</f>
        <v>111</v>
      </c>
      <c r="P938" s="7">
        <f>VLOOKUP(J938,[3]Sheet1!$D:$F,3,FALSE)</f>
        <v>65</v>
      </c>
      <c r="Q938" s="7"/>
      <c r="R938" s="7"/>
      <c r="S938" s="12">
        <v>-8.5519882646261696</v>
      </c>
      <c r="T938" s="12">
        <v>116.11146725286299</v>
      </c>
      <c r="U938" s="7"/>
      <c r="V938" s="50">
        <f>Table13678[[#This Row],[PAGU SEMULA]]-Table13678[[#This Row],[PAGU ANGGARAN]]</f>
        <v>-360000000</v>
      </c>
      <c r="W938" s="50">
        <f>Table13678[[#This Row],[PAGU SEMULA]]-Table13678[[#This Row],[PAGU ANGGARAN]]</f>
        <v>-360000000</v>
      </c>
      <c r="X938" t="s">
        <v>986</v>
      </c>
    </row>
    <row r="939" spans="3:24" hidden="1">
      <c r="C939" s="7" t="s">
        <v>35</v>
      </c>
      <c r="D939" s="7" t="s">
        <v>65</v>
      </c>
      <c r="E939" s="7" t="s">
        <v>66</v>
      </c>
      <c r="F939" s="7" t="s">
        <v>322</v>
      </c>
      <c r="G939" s="7" t="s">
        <v>322</v>
      </c>
      <c r="H939" s="15">
        <v>34151000</v>
      </c>
      <c r="I939" s="10" t="s">
        <v>761</v>
      </c>
      <c r="J939" s="7" t="s">
        <v>762</v>
      </c>
      <c r="K939" s="10" t="s">
        <v>288</v>
      </c>
      <c r="L939" s="7" t="s">
        <v>289</v>
      </c>
      <c r="M939" s="7"/>
      <c r="N939" s="7">
        <f>VLOOKUP(J939,[1]Sheet1!$C:$D,2,FALSE)</f>
        <v>9026</v>
      </c>
      <c r="O939" s="7">
        <f>VLOOKUP(J939,[2]Desa!$A:$D,4,FALSE)</f>
        <v>111</v>
      </c>
      <c r="P939" s="7">
        <f>VLOOKUP(J939,[3]Sheet1!$D:$F,3,FALSE)</f>
        <v>65</v>
      </c>
      <c r="Q939" s="7"/>
      <c r="R939" s="7"/>
      <c r="S939" s="12">
        <v>-8.5519882646261696</v>
      </c>
      <c r="T939" s="12">
        <v>116.11146725286299</v>
      </c>
      <c r="U939" s="7"/>
      <c r="V939" s="50">
        <f>Table13678[[#This Row],[PAGU SEMULA]]-Table13678[[#This Row],[PAGU ANGGARAN]]</f>
        <v>-34151000</v>
      </c>
      <c r="W939" s="50">
        <f>Table13678[[#This Row],[PAGU SEMULA]]-Table13678[[#This Row],[PAGU ANGGARAN]]</f>
        <v>-34151000</v>
      </c>
      <c r="X939" t="s">
        <v>986</v>
      </c>
    </row>
    <row r="940" spans="3:24" hidden="1">
      <c r="C940" s="7" t="s">
        <v>51</v>
      </c>
      <c r="D940" s="7" t="s">
        <v>52</v>
      </c>
      <c r="E940" s="7" t="s">
        <v>53</v>
      </c>
      <c r="F940" s="7" t="s">
        <v>54</v>
      </c>
      <c r="G940" s="7" t="s">
        <v>55</v>
      </c>
      <c r="H940" s="8">
        <v>189090000</v>
      </c>
      <c r="I940" s="10" t="s">
        <v>761</v>
      </c>
      <c r="J940" s="7" t="s">
        <v>762</v>
      </c>
      <c r="K940" s="10" t="s">
        <v>288</v>
      </c>
      <c r="L940" s="7" t="s">
        <v>289</v>
      </c>
      <c r="M940" s="7"/>
      <c r="N940" s="7">
        <f>VLOOKUP(J940,[1]Sheet1!$C:$D,2,FALSE)</f>
        <v>9026</v>
      </c>
      <c r="O940" s="7">
        <f>VLOOKUP(J940,[2]Desa!$A:$D,4,FALSE)</f>
        <v>111</v>
      </c>
      <c r="P940" s="7">
        <f>VLOOKUP(J940,[3]Sheet1!$D:$F,3,FALSE)</f>
        <v>65</v>
      </c>
      <c r="Q940" s="7"/>
      <c r="R940" s="7"/>
      <c r="S940" s="12">
        <v>-8.5519882646261696</v>
      </c>
      <c r="T940" s="12">
        <v>116.11146725286299</v>
      </c>
      <c r="U940" s="7"/>
      <c r="V940" s="50">
        <f>Table13678[[#This Row],[PAGU SEMULA]]-Table13678[[#This Row],[PAGU ANGGARAN]]</f>
        <v>-189090000</v>
      </c>
      <c r="W940" s="50">
        <f>Table13678[[#This Row],[PAGU SEMULA]]-Table13678[[#This Row],[PAGU ANGGARAN]]</f>
        <v>-189090000</v>
      </c>
      <c r="X940" t="s">
        <v>986</v>
      </c>
    </row>
    <row r="941" spans="3:24" hidden="1">
      <c r="C941" s="7" t="s">
        <v>20</v>
      </c>
      <c r="D941" s="7" t="s">
        <v>104</v>
      </c>
      <c r="E941" s="7" t="s">
        <v>145</v>
      </c>
      <c r="F941" s="7" t="s">
        <v>243</v>
      </c>
      <c r="G941" s="71" t="s">
        <v>763</v>
      </c>
      <c r="H941" s="15">
        <v>69850000</v>
      </c>
      <c r="I941" s="10" t="s">
        <v>764</v>
      </c>
      <c r="J941" s="7" t="s">
        <v>765</v>
      </c>
      <c r="K941" s="10" t="s">
        <v>142</v>
      </c>
      <c r="L941" s="7" t="s">
        <v>143</v>
      </c>
      <c r="M941" s="7"/>
      <c r="N941" s="7">
        <f>VLOOKUP(J941,[1]Sheet1!$C:$D,2,FALSE)</f>
        <v>6366</v>
      </c>
      <c r="O941" s="7">
        <f>VLOOKUP(J941,[2]Desa!$A:$D,4,FALSE)</f>
        <v>215</v>
      </c>
      <c r="P941" s="7">
        <f>VLOOKUP(J941,[3]Sheet1!$D:$F,3,FALSE)</f>
        <v>43</v>
      </c>
      <c r="Q941" s="7"/>
      <c r="R941" s="7"/>
      <c r="S941" s="12">
        <v>-8.6280894294282504</v>
      </c>
      <c r="T941" s="12">
        <v>116.167826691936</v>
      </c>
      <c r="U941" s="7"/>
      <c r="V941" s="50">
        <f>Table13678[[#This Row],[PAGU SEMULA]]-Table13678[[#This Row],[PAGU ANGGARAN]]</f>
        <v>-69850000</v>
      </c>
      <c r="W941" s="50">
        <f>Table13678[[#This Row],[PAGU SEMULA]]-Table13678[[#This Row],[PAGU ANGGARAN]]</f>
        <v>-69850000</v>
      </c>
      <c r="X941" t="s">
        <v>984</v>
      </c>
    </row>
    <row r="942" spans="3:24" hidden="1">
      <c r="C942" s="7" t="s">
        <v>20</v>
      </c>
      <c r="D942" s="7" t="s">
        <v>104</v>
      </c>
      <c r="E942" s="7" t="s">
        <v>145</v>
      </c>
      <c r="F942" s="7" t="s">
        <v>171</v>
      </c>
      <c r="G942" s="71" t="s">
        <v>766</v>
      </c>
      <c r="H942" s="15">
        <v>38500000</v>
      </c>
      <c r="I942" s="10" t="s">
        <v>764</v>
      </c>
      <c r="J942" s="7" t="s">
        <v>765</v>
      </c>
      <c r="K942" s="10" t="s">
        <v>142</v>
      </c>
      <c r="L942" s="7" t="s">
        <v>143</v>
      </c>
      <c r="M942" s="7"/>
      <c r="N942" s="7">
        <f>VLOOKUP(J942,[1]Sheet1!$C:$D,2,FALSE)</f>
        <v>6366</v>
      </c>
      <c r="O942" s="7">
        <f>VLOOKUP(J942,[2]Desa!$A:$D,4,FALSE)</f>
        <v>215</v>
      </c>
      <c r="P942" s="7">
        <f>VLOOKUP(J942,[3]Sheet1!$D:$F,3,FALSE)</f>
        <v>43</v>
      </c>
      <c r="Q942" s="7"/>
      <c r="R942" s="7"/>
      <c r="S942" s="12">
        <v>-8.6280894294282504</v>
      </c>
      <c r="T942" s="12">
        <v>116.167826691936</v>
      </c>
      <c r="U942" s="7"/>
      <c r="V942" s="50">
        <f>Table13678[[#This Row],[PAGU SEMULA]]-Table13678[[#This Row],[PAGU ANGGARAN]]</f>
        <v>-38500000</v>
      </c>
      <c r="W942" s="50">
        <f>Table13678[[#This Row],[PAGU SEMULA]]-Table13678[[#This Row],[PAGU ANGGARAN]]</f>
        <v>-38500000</v>
      </c>
      <c r="X942" t="s">
        <v>984</v>
      </c>
    </row>
    <row r="943" spans="3:24" hidden="1">
      <c r="C943" s="7" t="s">
        <v>20</v>
      </c>
      <c r="D943" s="7" t="s">
        <v>104</v>
      </c>
      <c r="E943" s="7" t="s">
        <v>145</v>
      </c>
      <c r="F943" s="7" t="s">
        <v>146</v>
      </c>
      <c r="G943" s="71" t="s">
        <v>767</v>
      </c>
      <c r="H943" s="15">
        <v>59000000</v>
      </c>
      <c r="I943" s="10" t="s">
        <v>764</v>
      </c>
      <c r="J943" s="7" t="s">
        <v>765</v>
      </c>
      <c r="K943" s="10" t="s">
        <v>142</v>
      </c>
      <c r="L943" s="7" t="s">
        <v>143</v>
      </c>
      <c r="M943" s="7"/>
      <c r="N943" s="7">
        <f>VLOOKUP(J943,[1]Sheet1!$C:$D,2,FALSE)</f>
        <v>6366</v>
      </c>
      <c r="O943" s="7">
        <f>VLOOKUP(J943,[2]Desa!$A:$D,4,FALSE)</f>
        <v>215</v>
      </c>
      <c r="P943" s="7">
        <f>VLOOKUP(J943,[3]Sheet1!$D:$F,3,FALSE)</f>
        <v>43</v>
      </c>
      <c r="Q943" s="7"/>
      <c r="R943" s="7"/>
      <c r="S943" s="12">
        <v>-8.6280894294282504</v>
      </c>
      <c r="T943" s="12">
        <v>116.167826691936</v>
      </c>
      <c r="U943" s="7"/>
      <c r="V943" s="50">
        <f>Table13678[[#This Row],[PAGU SEMULA]]-Table13678[[#This Row],[PAGU ANGGARAN]]</f>
        <v>-59000000</v>
      </c>
      <c r="W943" s="50">
        <f>Table13678[[#This Row],[PAGU SEMULA]]-Table13678[[#This Row],[PAGU ANGGARAN]]</f>
        <v>-59000000</v>
      </c>
      <c r="X943" t="s">
        <v>984</v>
      </c>
    </row>
    <row r="944" spans="3:24" hidden="1">
      <c r="C944" s="7" t="s">
        <v>29</v>
      </c>
      <c r="D944" s="7" t="s">
        <v>30</v>
      </c>
      <c r="E944" s="7" t="s">
        <v>31</v>
      </c>
      <c r="F944" s="7" t="s">
        <v>32</v>
      </c>
      <c r="G944" s="7" t="s">
        <v>33</v>
      </c>
      <c r="H944" s="8">
        <v>343980000</v>
      </c>
      <c r="I944" s="10" t="s">
        <v>764</v>
      </c>
      <c r="J944" s="7" t="s">
        <v>765</v>
      </c>
      <c r="K944" s="10" t="s">
        <v>142</v>
      </c>
      <c r="L944" s="7" t="s">
        <v>143</v>
      </c>
      <c r="M944" s="7"/>
      <c r="N944" s="7">
        <f>VLOOKUP(J944,[1]Sheet1!$C:$D,2,FALSE)</f>
        <v>6366</v>
      </c>
      <c r="O944" s="7">
        <f>VLOOKUP(J944,[2]Desa!$A:$D,4,FALSE)</f>
        <v>215</v>
      </c>
      <c r="P944" s="7">
        <f>VLOOKUP(J944,[3]Sheet1!$D:$F,3,FALSE)</f>
        <v>43</v>
      </c>
      <c r="Q944" s="7"/>
      <c r="R944" s="7"/>
      <c r="S944" s="12">
        <v>-8.6280894294282504</v>
      </c>
      <c r="T944" s="12">
        <v>116.167826691936</v>
      </c>
      <c r="U944" s="7"/>
      <c r="V944" s="50">
        <f>Table13678[[#This Row],[PAGU SEMULA]]-Table13678[[#This Row],[PAGU ANGGARAN]]</f>
        <v>-343980000</v>
      </c>
      <c r="W944" s="50">
        <f>Table13678[[#This Row],[PAGU SEMULA]]-Table13678[[#This Row],[PAGU ANGGARAN]]</f>
        <v>-343980000</v>
      </c>
      <c r="X944" t="s">
        <v>984</v>
      </c>
    </row>
    <row r="945" spans="3:24" hidden="1">
      <c r="C945" s="7" t="s">
        <v>29</v>
      </c>
      <c r="D945" s="7" t="s">
        <v>30</v>
      </c>
      <c r="E945" s="7" t="s">
        <v>31</v>
      </c>
      <c r="F945" s="7" t="s">
        <v>32</v>
      </c>
      <c r="G945" s="7" t="s">
        <v>34</v>
      </c>
      <c r="H945" s="8">
        <v>27518400</v>
      </c>
      <c r="I945" s="10" t="s">
        <v>764</v>
      </c>
      <c r="J945" s="7" t="s">
        <v>765</v>
      </c>
      <c r="K945" s="10" t="s">
        <v>142</v>
      </c>
      <c r="L945" s="7" t="s">
        <v>143</v>
      </c>
      <c r="M945" s="7"/>
      <c r="N945" s="7">
        <f>VLOOKUP(J945,[1]Sheet1!$C:$D,2,FALSE)</f>
        <v>6366</v>
      </c>
      <c r="O945" s="7">
        <f>VLOOKUP(J945,[2]Desa!$A:$D,4,FALSE)</f>
        <v>215</v>
      </c>
      <c r="P945" s="7">
        <f>VLOOKUP(J945,[3]Sheet1!$D:$F,3,FALSE)</f>
        <v>43</v>
      </c>
      <c r="Q945" s="7"/>
      <c r="R945" s="7"/>
      <c r="S945" s="12">
        <v>-8.6280894294282504</v>
      </c>
      <c r="T945" s="12">
        <v>116.167826691936</v>
      </c>
      <c r="U945" s="7"/>
      <c r="V945" s="50">
        <f>Table13678[[#This Row],[PAGU SEMULA]]-Table13678[[#This Row],[PAGU ANGGARAN]]</f>
        <v>-27518400</v>
      </c>
      <c r="W945" s="50">
        <f>Table13678[[#This Row],[PAGU SEMULA]]-Table13678[[#This Row],[PAGU ANGGARAN]]</f>
        <v>-27518400</v>
      </c>
      <c r="X945" t="s">
        <v>984</v>
      </c>
    </row>
    <row r="946" spans="3:24" hidden="1">
      <c r="C946" s="7" t="s">
        <v>35</v>
      </c>
      <c r="D946" s="7" t="s">
        <v>36</v>
      </c>
      <c r="E946" s="7" t="s">
        <v>37</v>
      </c>
      <c r="F946" s="7" t="s">
        <v>38</v>
      </c>
      <c r="G946" s="7" t="s">
        <v>39</v>
      </c>
      <c r="H946" s="67">
        <f>75000000+(5.4%*75000000)</f>
        <v>79050000</v>
      </c>
      <c r="I946" s="10" t="s">
        <v>764</v>
      </c>
      <c r="J946" s="7" t="s">
        <v>765</v>
      </c>
      <c r="K946" s="10" t="s">
        <v>142</v>
      </c>
      <c r="L946" s="7" t="s">
        <v>143</v>
      </c>
      <c r="M946" s="7"/>
      <c r="N946" s="7">
        <f>VLOOKUP(J946,[1]Sheet1!$C:$D,2,FALSE)</f>
        <v>6366</v>
      </c>
      <c r="O946" s="7">
        <f>VLOOKUP(J946,[2]Desa!$A:$D,4,FALSE)</f>
        <v>215</v>
      </c>
      <c r="P946" s="7">
        <f>VLOOKUP(J946,[3]Sheet1!$D:$F,3,FALSE)</f>
        <v>43</v>
      </c>
      <c r="Q946" s="7"/>
      <c r="R946" s="7"/>
      <c r="S946" s="12">
        <v>-8.6280894294282504</v>
      </c>
      <c r="T946" s="12">
        <v>116.167826691936</v>
      </c>
      <c r="U946" s="7"/>
      <c r="V946" s="50">
        <f>Table13678[[#This Row],[PAGU SEMULA]]-Table13678[[#This Row],[PAGU ANGGARAN]]</f>
        <v>-79050000</v>
      </c>
      <c r="W946" s="50">
        <f>Table13678[[#This Row],[PAGU SEMULA]]-Table13678[[#This Row],[PAGU ANGGARAN]]</f>
        <v>-79050000</v>
      </c>
      <c r="X946" t="s">
        <v>984</v>
      </c>
    </row>
    <row r="947" spans="3:24" hidden="1">
      <c r="C947" s="7" t="s">
        <v>35</v>
      </c>
      <c r="D947" s="7" t="s">
        <v>65</v>
      </c>
      <c r="E947" s="7" t="s">
        <v>66</v>
      </c>
      <c r="F947" s="7" t="s">
        <v>322</v>
      </c>
      <c r="G947" s="7" t="s">
        <v>322</v>
      </c>
      <c r="H947" s="15">
        <v>35000000</v>
      </c>
      <c r="I947" s="10" t="s">
        <v>764</v>
      </c>
      <c r="J947" s="7" t="s">
        <v>765</v>
      </c>
      <c r="K947" s="10" t="s">
        <v>142</v>
      </c>
      <c r="L947" s="7" t="s">
        <v>143</v>
      </c>
      <c r="M947" s="7"/>
      <c r="N947" s="7">
        <f>VLOOKUP(J947,[1]Sheet1!$C:$D,2,FALSE)</f>
        <v>6366</v>
      </c>
      <c r="O947" s="7">
        <f>VLOOKUP(J947,[2]Desa!$A:$D,4,FALSE)</f>
        <v>215</v>
      </c>
      <c r="P947" s="7">
        <f>VLOOKUP(J947,[3]Sheet1!$D:$F,3,FALSE)</f>
        <v>43</v>
      </c>
      <c r="Q947" s="7"/>
      <c r="R947" s="7"/>
      <c r="S947" s="12">
        <v>-8.6280894294282504</v>
      </c>
      <c r="T947" s="12">
        <v>116.167826691936</v>
      </c>
      <c r="U947" s="7"/>
      <c r="V947" s="50">
        <f>Table13678[[#This Row],[PAGU SEMULA]]-Table13678[[#This Row],[PAGU ANGGARAN]]</f>
        <v>-35000000</v>
      </c>
      <c r="W947" s="50">
        <f>Table13678[[#This Row],[PAGU SEMULA]]-Table13678[[#This Row],[PAGU ANGGARAN]]</f>
        <v>-35000000</v>
      </c>
      <c r="X947" t="s">
        <v>986</v>
      </c>
    </row>
    <row r="948" spans="3:24" hidden="1">
      <c r="C948" s="7" t="s">
        <v>35</v>
      </c>
      <c r="D948" s="7" t="s">
        <v>52</v>
      </c>
      <c r="E948" s="7" t="s">
        <v>95</v>
      </c>
      <c r="F948" s="7" t="s">
        <v>96</v>
      </c>
      <c r="G948" s="7" t="s">
        <v>367</v>
      </c>
      <c r="H948" s="60">
        <v>150000000</v>
      </c>
      <c r="I948" s="10" t="s">
        <v>764</v>
      </c>
      <c r="J948" s="7" t="s">
        <v>765</v>
      </c>
      <c r="K948" s="10" t="s">
        <v>142</v>
      </c>
      <c r="L948" s="7" t="s">
        <v>143</v>
      </c>
      <c r="M948" s="7"/>
      <c r="N948" s="7">
        <f>VLOOKUP(J948,[1]Sheet1!$C:$D,2,FALSE)</f>
        <v>6366</v>
      </c>
      <c r="O948" s="7">
        <f>VLOOKUP(J948,[2]Desa!$A:$D,4,FALSE)</f>
        <v>215</v>
      </c>
      <c r="P948" s="7">
        <f>VLOOKUP(J948,[3]Sheet1!$D:$F,3,FALSE)</f>
        <v>43</v>
      </c>
      <c r="Q948" s="7"/>
      <c r="R948" s="7"/>
      <c r="S948" s="12">
        <v>-8.6280894294282504</v>
      </c>
      <c r="T948" s="12">
        <v>116.167826691936</v>
      </c>
      <c r="U948" s="63">
        <v>158000000</v>
      </c>
      <c r="V948" s="57">
        <f>Table13678[[#This Row],[PAGU SEMULA]]-Table13678[[#This Row],[PAGU ANGGARAN]]</f>
        <v>8000000</v>
      </c>
      <c r="W948" s="50">
        <f>Table13678[[#This Row],[PAGU SEMULA]]-Table13678[[#This Row],[PAGU ANGGARAN]]</f>
        <v>8000000</v>
      </c>
      <c r="X948" t="s">
        <v>986</v>
      </c>
    </row>
    <row r="949" spans="3:24" hidden="1">
      <c r="C949" s="7" t="s">
        <v>35</v>
      </c>
      <c r="D949" s="7" t="s">
        <v>52</v>
      </c>
      <c r="E949" s="7" t="s">
        <v>95</v>
      </c>
      <c r="F949" s="7" t="s">
        <v>96</v>
      </c>
      <c r="G949" s="7" t="s">
        <v>367</v>
      </c>
      <c r="H949" s="60">
        <v>150000000</v>
      </c>
      <c r="I949" s="10" t="s">
        <v>764</v>
      </c>
      <c r="J949" s="7" t="s">
        <v>765</v>
      </c>
      <c r="K949" s="10" t="s">
        <v>142</v>
      </c>
      <c r="L949" s="7" t="s">
        <v>143</v>
      </c>
      <c r="M949" s="7"/>
      <c r="N949" s="7">
        <f>VLOOKUP(J949,[1]Sheet1!$C:$D,2,FALSE)</f>
        <v>6366</v>
      </c>
      <c r="O949" s="7">
        <f>VLOOKUP(J949,[2]Desa!$A:$D,4,FALSE)</f>
        <v>215</v>
      </c>
      <c r="P949" s="7">
        <f>VLOOKUP(J949,[3]Sheet1!$D:$F,3,FALSE)</f>
        <v>43</v>
      </c>
      <c r="Q949" s="7"/>
      <c r="R949" s="7"/>
      <c r="S949" s="12">
        <v>-8.6280894294282504</v>
      </c>
      <c r="T949" s="12">
        <v>116.167826691936</v>
      </c>
      <c r="U949" s="63">
        <v>158000000</v>
      </c>
      <c r="V949" s="57">
        <f>Table13678[[#This Row],[PAGU SEMULA]]-Table13678[[#This Row],[PAGU ANGGARAN]]</f>
        <v>8000000</v>
      </c>
      <c r="W949" s="50">
        <f>Table13678[[#This Row],[PAGU SEMULA]]-Table13678[[#This Row],[PAGU ANGGARAN]]</f>
        <v>8000000</v>
      </c>
      <c r="X949" t="s">
        <v>986</v>
      </c>
    </row>
    <row r="950" spans="3:24" hidden="1">
      <c r="C950" s="7" t="s">
        <v>68</v>
      </c>
      <c r="D950" s="7" t="s">
        <v>118</v>
      </c>
      <c r="E950" s="7" t="s">
        <v>119</v>
      </c>
      <c r="F950" s="7" t="s">
        <v>120</v>
      </c>
      <c r="G950" s="7" t="s">
        <v>529</v>
      </c>
      <c r="H950" s="8">
        <v>17000000</v>
      </c>
      <c r="I950" s="10" t="s">
        <v>764</v>
      </c>
      <c r="J950" s="7" t="s">
        <v>765</v>
      </c>
      <c r="K950" s="10" t="s">
        <v>142</v>
      </c>
      <c r="L950" s="7" t="s">
        <v>143</v>
      </c>
      <c r="M950" s="7"/>
      <c r="N950" s="7">
        <f>VLOOKUP(J950,[1]Sheet1!$C:$D,2,FALSE)</f>
        <v>6366</v>
      </c>
      <c r="O950" s="7">
        <f>VLOOKUP(J950,[2]Desa!$A:$D,4,FALSE)</f>
        <v>215</v>
      </c>
      <c r="P950" s="7">
        <f>VLOOKUP(J950,[3]Sheet1!$D:$F,3,FALSE)</f>
        <v>43</v>
      </c>
      <c r="Q950" s="7"/>
      <c r="R950" s="7"/>
      <c r="S950" s="12">
        <v>-8.6280894294282504</v>
      </c>
      <c r="T950" s="12">
        <v>116.167826691936</v>
      </c>
      <c r="U950" s="7"/>
      <c r="V950" s="50">
        <f>Table13678[[#This Row],[PAGU SEMULA]]-Table13678[[#This Row],[PAGU ANGGARAN]]</f>
        <v>-17000000</v>
      </c>
      <c r="W950" s="50">
        <f>Table13678[[#This Row],[PAGU SEMULA]]-Table13678[[#This Row],[PAGU ANGGARAN]]</f>
        <v>-17000000</v>
      </c>
      <c r="X950" t="s">
        <v>982</v>
      </c>
    </row>
    <row r="951" spans="3:24" hidden="1">
      <c r="C951" s="7" t="s">
        <v>46</v>
      </c>
      <c r="D951" s="7" t="s">
        <v>47</v>
      </c>
      <c r="E951" s="7" t="s">
        <v>48</v>
      </c>
      <c r="F951" s="7" t="s">
        <v>49</v>
      </c>
      <c r="G951" s="7" t="s">
        <v>371</v>
      </c>
      <c r="H951" s="8">
        <v>30774000</v>
      </c>
      <c r="I951" s="10" t="s">
        <v>764</v>
      </c>
      <c r="J951" s="7" t="s">
        <v>765</v>
      </c>
      <c r="K951" s="10" t="s">
        <v>142</v>
      </c>
      <c r="L951" s="7" t="s">
        <v>143</v>
      </c>
      <c r="M951" s="7"/>
      <c r="N951" s="7">
        <f>VLOOKUP(J951,[1]Sheet1!$C:$D,2,FALSE)</f>
        <v>6366</v>
      </c>
      <c r="O951" s="7">
        <f>VLOOKUP(J951,[2]Desa!$A:$D,4,FALSE)</f>
        <v>215</v>
      </c>
      <c r="P951" s="7">
        <f>VLOOKUP(J951,[3]Sheet1!$D:$F,3,FALSE)</f>
        <v>43</v>
      </c>
      <c r="Q951" s="7"/>
      <c r="R951" s="7"/>
      <c r="S951" s="12">
        <v>-8.6280894294282504</v>
      </c>
      <c r="T951" s="12">
        <v>116.167826691936</v>
      </c>
      <c r="U951" s="7"/>
      <c r="V951" s="50">
        <f>Table13678[[#This Row],[PAGU SEMULA]]-Table13678[[#This Row],[PAGU ANGGARAN]]</f>
        <v>-30774000</v>
      </c>
      <c r="W951" s="50">
        <f>Table13678[[#This Row],[PAGU SEMULA]]-Table13678[[#This Row],[PAGU ANGGARAN]]</f>
        <v>-30774000</v>
      </c>
      <c r="X951" t="s">
        <v>987</v>
      </c>
    </row>
    <row r="952" spans="3:24" hidden="1">
      <c r="C952" s="7" t="s">
        <v>20</v>
      </c>
      <c r="D952" s="7" t="s">
        <v>104</v>
      </c>
      <c r="E952" s="7" t="s">
        <v>105</v>
      </c>
      <c r="F952" s="7" t="s">
        <v>126</v>
      </c>
      <c r="G952" s="71" t="s">
        <v>768</v>
      </c>
      <c r="H952" s="15">
        <v>439370000</v>
      </c>
      <c r="I952" s="10" t="s">
        <v>769</v>
      </c>
      <c r="J952" s="7" t="s">
        <v>59</v>
      </c>
      <c r="K952" s="10" t="s">
        <v>58</v>
      </c>
      <c r="L952" s="7" t="s">
        <v>59</v>
      </c>
      <c r="M952" s="7"/>
      <c r="N952" s="7">
        <f>VLOOKUP(J952,[1]Sheet1!$C:$D,2,FALSE)</f>
        <v>4663</v>
      </c>
      <c r="O952" s="7">
        <f>VLOOKUP(J952,[2]Desa!$A:$D,4,FALSE)</f>
        <v>81</v>
      </c>
      <c r="P952" s="7">
        <f>VLOOKUP(J952,[3]Sheet1!$D:$F,3,FALSE)</f>
        <v>39</v>
      </c>
      <c r="Q952" s="7"/>
      <c r="R952" s="7"/>
      <c r="S952" s="12">
        <v>-8.5934616233665704</v>
      </c>
      <c r="T952" s="12">
        <v>116.204984706678</v>
      </c>
      <c r="U952" s="7"/>
      <c r="V952" s="50">
        <f>Table13678[[#This Row],[PAGU SEMULA]]-Table13678[[#This Row],[PAGU ANGGARAN]]</f>
        <v>-439370000</v>
      </c>
      <c r="W952" s="50">
        <f>Table13678[[#This Row],[PAGU SEMULA]]-Table13678[[#This Row],[PAGU ANGGARAN]]</f>
        <v>-439370000</v>
      </c>
      <c r="X952" t="s">
        <v>984</v>
      </c>
    </row>
    <row r="953" spans="3:24" hidden="1">
      <c r="C953" s="7" t="s">
        <v>20</v>
      </c>
      <c r="D953" s="7" t="s">
        <v>104</v>
      </c>
      <c r="E953" s="7" t="s">
        <v>105</v>
      </c>
      <c r="F953" s="7" t="s">
        <v>106</v>
      </c>
      <c r="G953" s="71" t="s">
        <v>770</v>
      </c>
      <c r="H953" s="15">
        <v>2234500000</v>
      </c>
      <c r="I953" s="10" t="s">
        <v>769</v>
      </c>
      <c r="J953" s="7" t="s">
        <v>59</v>
      </c>
      <c r="K953" s="10" t="s">
        <v>58</v>
      </c>
      <c r="L953" s="7" t="s">
        <v>59</v>
      </c>
      <c r="M953" s="7"/>
      <c r="N953" s="7">
        <f>VLOOKUP(J953,[1]Sheet1!$C:$D,2,FALSE)</f>
        <v>4663</v>
      </c>
      <c r="O953" s="7">
        <f>VLOOKUP(J953,[2]Desa!$A:$D,4,FALSE)</f>
        <v>81</v>
      </c>
      <c r="P953" s="7">
        <f>VLOOKUP(J953,[3]Sheet1!$D:$F,3,FALSE)</f>
        <v>39</v>
      </c>
      <c r="Q953" s="7"/>
      <c r="R953" s="7"/>
      <c r="S953" s="12">
        <v>-8.5934616233665704</v>
      </c>
      <c r="T953" s="12">
        <v>116.204984706678</v>
      </c>
      <c r="U953" s="7"/>
      <c r="V953" s="50">
        <f>Table13678[[#This Row],[PAGU SEMULA]]-Table13678[[#This Row],[PAGU ANGGARAN]]</f>
        <v>-2234500000</v>
      </c>
      <c r="W953" s="50">
        <f>Table13678[[#This Row],[PAGU SEMULA]]-Table13678[[#This Row],[PAGU ANGGARAN]]</f>
        <v>-2234500000</v>
      </c>
      <c r="X953" t="s">
        <v>984</v>
      </c>
    </row>
    <row r="954" spans="3:24" hidden="1">
      <c r="C954" s="7" t="s">
        <v>20</v>
      </c>
      <c r="D954" s="7" t="s">
        <v>104</v>
      </c>
      <c r="E954" s="7" t="s">
        <v>105</v>
      </c>
      <c r="F954" s="7" t="s">
        <v>138</v>
      </c>
      <c r="G954" s="71" t="s">
        <v>771</v>
      </c>
      <c r="H954" s="15">
        <v>83866000</v>
      </c>
      <c r="I954" s="10" t="s">
        <v>769</v>
      </c>
      <c r="J954" s="7" t="s">
        <v>59</v>
      </c>
      <c r="K954" s="10" t="s">
        <v>58</v>
      </c>
      <c r="L954" s="7" t="s">
        <v>59</v>
      </c>
      <c r="M954" s="7"/>
      <c r="N954" s="7">
        <f>VLOOKUP(J954,[1]Sheet1!$C:$D,2,FALSE)</f>
        <v>4663</v>
      </c>
      <c r="O954" s="7">
        <f>VLOOKUP(J954,[2]Desa!$A:$D,4,FALSE)</f>
        <v>81</v>
      </c>
      <c r="P954" s="7">
        <f>VLOOKUP(J954,[3]Sheet1!$D:$F,3,FALSE)</f>
        <v>39</v>
      </c>
      <c r="Q954" s="7"/>
      <c r="R954" s="7"/>
      <c r="S954" s="12">
        <v>-8.5934616233665704</v>
      </c>
      <c r="T954" s="12">
        <v>116.204984706678</v>
      </c>
      <c r="U954" s="7"/>
      <c r="V954" s="50">
        <f>Table13678[[#This Row],[PAGU SEMULA]]-Table13678[[#This Row],[PAGU ANGGARAN]]</f>
        <v>-83866000</v>
      </c>
      <c r="W954" s="50">
        <f>Table13678[[#This Row],[PAGU SEMULA]]-Table13678[[#This Row],[PAGU ANGGARAN]]</f>
        <v>-83866000</v>
      </c>
      <c r="X954" t="s">
        <v>984</v>
      </c>
    </row>
    <row r="955" spans="3:24" hidden="1">
      <c r="C955" s="7" t="s">
        <v>20</v>
      </c>
      <c r="D955" s="7" t="s">
        <v>104</v>
      </c>
      <c r="E955" s="7" t="s">
        <v>145</v>
      </c>
      <c r="F955" s="7" t="s">
        <v>146</v>
      </c>
      <c r="G955" s="71" t="s">
        <v>772</v>
      </c>
      <c r="H955" s="15">
        <v>59000000</v>
      </c>
      <c r="I955" s="10" t="s">
        <v>769</v>
      </c>
      <c r="J955" s="7" t="s">
        <v>59</v>
      </c>
      <c r="K955" s="10" t="s">
        <v>58</v>
      </c>
      <c r="L955" s="7" t="s">
        <v>59</v>
      </c>
      <c r="M955" s="7"/>
      <c r="N955" s="7">
        <f>VLOOKUP(J955,[1]Sheet1!$C:$D,2,FALSE)</f>
        <v>4663</v>
      </c>
      <c r="O955" s="7">
        <f>VLOOKUP(J955,[2]Desa!$A:$D,4,FALSE)</f>
        <v>81</v>
      </c>
      <c r="P955" s="7">
        <f>VLOOKUP(J955,[3]Sheet1!$D:$F,3,FALSE)</f>
        <v>39</v>
      </c>
      <c r="Q955" s="7"/>
      <c r="R955" s="7"/>
      <c r="S955" s="12">
        <v>-8.5934616233665704</v>
      </c>
      <c r="T955" s="12">
        <v>116.204984706678</v>
      </c>
      <c r="U955" s="7"/>
      <c r="V955" s="50">
        <f>Table13678[[#This Row],[PAGU SEMULA]]-Table13678[[#This Row],[PAGU ANGGARAN]]</f>
        <v>-59000000</v>
      </c>
      <c r="W955" s="50">
        <f>Table13678[[#This Row],[PAGU SEMULA]]-Table13678[[#This Row],[PAGU ANGGARAN]]</f>
        <v>-59000000</v>
      </c>
      <c r="X955" t="s">
        <v>984</v>
      </c>
    </row>
    <row r="956" spans="3:24" hidden="1">
      <c r="C956" s="7" t="s">
        <v>29</v>
      </c>
      <c r="D956" s="7" t="s">
        <v>30</v>
      </c>
      <c r="E956" s="7" t="s">
        <v>31</v>
      </c>
      <c r="F956" s="7" t="s">
        <v>32</v>
      </c>
      <c r="G956" s="7" t="s">
        <v>33</v>
      </c>
      <c r="H956" s="8">
        <v>262920000</v>
      </c>
      <c r="I956" s="10" t="s">
        <v>769</v>
      </c>
      <c r="J956" s="7" t="s">
        <v>59</v>
      </c>
      <c r="K956" s="10" t="s">
        <v>58</v>
      </c>
      <c r="L956" s="7" t="s">
        <v>59</v>
      </c>
      <c r="M956" s="7"/>
      <c r="N956" s="7">
        <f>VLOOKUP(J956,[1]Sheet1!$C:$D,2,FALSE)</f>
        <v>4663</v>
      </c>
      <c r="O956" s="7">
        <f>VLOOKUP(J956,[2]Desa!$A:$D,4,FALSE)</f>
        <v>81</v>
      </c>
      <c r="P956" s="7">
        <f>VLOOKUP(J956,[3]Sheet1!$D:$F,3,FALSE)</f>
        <v>39</v>
      </c>
      <c r="Q956" s="7"/>
      <c r="R956" s="7"/>
      <c r="S956" s="12">
        <v>-8.5934616233665704</v>
      </c>
      <c r="T956" s="12">
        <v>116.204984706678</v>
      </c>
      <c r="U956" s="7"/>
      <c r="V956" s="50">
        <f>Table13678[[#This Row],[PAGU SEMULA]]-Table13678[[#This Row],[PAGU ANGGARAN]]</f>
        <v>-262920000</v>
      </c>
      <c r="W956" s="50">
        <f>Table13678[[#This Row],[PAGU SEMULA]]-Table13678[[#This Row],[PAGU ANGGARAN]]</f>
        <v>-262920000</v>
      </c>
      <c r="X956" t="s">
        <v>984</v>
      </c>
    </row>
    <row r="957" spans="3:24" hidden="1">
      <c r="C957" s="7" t="s">
        <v>29</v>
      </c>
      <c r="D957" s="7" t="s">
        <v>30</v>
      </c>
      <c r="E957" s="7" t="s">
        <v>31</v>
      </c>
      <c r="F957" s="7" t="s">
        <v>32</v>
      </c>
      <c r="G957" s="7" t="s">
        <v>34</v>
      </c>
      <c r="H957" s="8">
        <v>21033600</v>
      </c>
      <c r="I957" s="10" t="s">
        <v>769</v>
      </c>
      <c r="J957" s="7" t="s">
        <v>59</v>
      </c>
      <c r="K957" s="10" t="s">
        <v>58</v>
      </c>
      <c r="L957" s="7" t="s">
        <v>59</v>
      </c>
      <c r="M957" s="7"/>
      <c r="N957" s="7">
        <f>VLOOKUP(J957,[1]Sheet1!$C:$D,2,FALSE)</f>
        <v>4663</v>
      </c>
      <c r="O957" s="7">
        <f>VLOOKUP(J957,[2]Desa!$A:$D,4,FALSE)</f>
        <v>81</v>
      </c>
      <c r="P957" s="7">
        <f>VLOOKUP(J957,[3]Sheet1!$D:$F,3,FALSE)</f>
        <v>39</v>
      </c>
      <c r="Q957" s="7"/>
      <c r="R957" s="7"/>
      <c r="S957" s="12">
        <v>-8.5934616233665704</v>
      </c>
      <c r="T957" s="12">
        <v>116.204984706678</v>
      </c>
      <c r="U957" s="7"/>
      <c r="V957" s="50">
        <f>Table13678[[#This Row],[PAGU SEMULA]]-Table13678[[#This Row],[PAGU ANGGARAN]]</f>
        <v>-21033600</v>
      </c>
      <c r="W957" s="50">
        <f>Table13678[[#This Row],[PAGU SEMULA]]-Table13678[[#This Row],[PAGU ANGGARAN]]</f>
        <v>-21033600</v>
      </c>
      <c r="X957" t="s">
        <v>984</v>
      </c>
    </row>
    <row r="958" spans="3:24" hidden="1">
      <c r="C958" s="7" t="s">
        <v>35</v>
      </c>
      <c r="D958" s="7" t="s">
        <v>36</v>
      </c>
      <c r="E958" s="7" t="s">
        <v>37</v>
      </c>
      <c r="F958" s="7" t="s">
        <v>38</v>
      </c>
      <c r="G958" s="7" t="s">
        <v>39</v>
      </c>
      <c r="H958" s="15">
        <v>75000000</v>
      </c>
      <c r="I958" s="10" t="s">
        <v>769</v>
      </c>
      <c r="J958" s="7" t="s">
        <v>59</v>
      </c>
      <c r="K958" s="10" t="s">
        <v>58</v>
      </c>
      <c r="L958" s="7" t="s">
        <v>59</v>
      </c>
      <c r="M958" s="7"/>
      <c r="N958" s="7">
        <f>VLOOKUP(J958,[1]Sheet1!$C:$D,2,FALSE)</f>
        <v>4663</v>
      </c>
      <c r="O958" s="7">
        <f>VLOOKUP(J958,[2]Desa!$A:$D,4,FALSE)</f>
        <v>81</v>
      </c>
      <c r="P958" s="7">
        <f>VLOOKUP(J958,[3]Sheet1!$D:$F,3,FALSE)</f>
        <v>39</v>
      </c>
      <c r="Q958" s="7"/>
      <c r="R958" s="7"/>
      <c r="S958" s="12">
        <v>-8.5934616233665704</v>
      </c>
      <c r="T958" s="12">
        <v>116.204984706678</v>
      </c>
      <c r="U958" s="7"/>
      <c r="V958" s="50">
        <f>Table13678[[#This Row],[PAGU SEMULA]]-Table13678[[#This Row],[PAGU ANGGARAN]]</f>
        <v>-75000000</v>
      </c>
      <c r="W958" s="50">
        <f>Table13678[[#This Row],[PAGU SEMULA]]-Table13678[[#This Row],[PAGU ANGGARAN]]</f>
        <v>-75000000</v>
      </c>
      <c r="X958" t="s">
        <v>984</v>
      </c>
    </row>
    <row r="959" spans="3:24" hidden="1">
      <c r="C959" s="7" t="s">
        <v>68</v>
      </c>
      <c r="D959" s="7" t="s">
        <v>69</v>
      </c>
      <c r="E959" s="7" t="s">
        <v>70</v>
      </c>
      <c r="F959" s="7" t="s">
        <v>71</v>
      </c>
      <c r="G959" s="7" t="s">
        <v>72</v>
      </c>
      <c r="H959" s="8">
        <v>29958000</v>
      </c>
      <c r="I959" s="10" t="s">
        <v>769</v>
      </c>
      <c r="J959" s="7" t="s">
        <v>59</v>
      </c>
      <c r="K959" s="10" t="s">
        <v>58</v>
      </c>
      <c r="L959" s="7" t="s">
        <v>59</v>
      </c>
      <c r="M959" s="7"/>
      <c r="N959" s="7">
        <f>VLOOKUP(J959,[1]Sheet1!$C:$D,2,FALSE)</f>
        <v>4663</v>
      </c>
      <c r="O959" s="7">
        <f>VLOOKUP(J959,[2]Desa!$A:$D,4,FALSE)</f>
        <v>81</v>
      </c>
      <c r="P959" s="7">
        <f>VLOOKUP(J959,[3]Sheet1!$D:$F,3,FALSE)</f>
        <v>39</v>
      </c>
      <c r="Q959" s="7"/>
      <c r="R959" s="7"/>
      <c r="S959" s="12">
        <v>-8.5934616233665704</v>
      </c>
      <c r="T959" s="12">
        <v>116.204984706678</v>
      </c>
      <c r="U959" s="7"/>
      <c r="V959" s="50">
        <f>Table13678[[#This Row],[PAGU SEMULA]]-Table13678[[#This Row],[PAGU ANGGARAN]]</f>
        <v>-29958000</v>
      </c>
      <c r="W959" s="50">
        <f>Table13678[[#This Row],[PAGU SEMULA]]-Table13678[[#This Row],[PAGU ANGGARAN]]</f>
        <v>-29958000</v>
      </c>
      <c r="X959" t="s">
        <v>982</v>
      </c>
    </row>
    <row r="960" spans="3:24" hidden="1">
      <c r="C960" s="7" t="s">
        <v>51</v>
      </c>
      <c r="D960" s="7" t="s">
        <v>52</v>
      </c>
      <c r="E960" s="7" t="s">
        <v>53</v>
      </c>
      <c r="F960" s="7" t="s">
        <v>54</v>
      </c>
      <c r="G960" s="7" t="s">
        <v>73</v>
      </c>
      <c r="H960" s="8">
        <v>189090000</v>
      </c>
      <c r="I960" s="10" t="s">
        <v>769</v>
      </c>
      <c r="J960" s="7" t="s">
        <v>59</v>
      </c>
      <c r="K960" s="10" t="s">
        <v>58</v>
      </c>
      <c r="L960" s="7" t="s">
        <v>59</v>
      </c>
      <c r="M960" s="7"/>
      <c r="N960" s="7">
        <f>VLOOKUP(J960,[1]Sheet1!$C:$D,2,FALSE)</f>
        <v>4663</v>
      </c>
      <c r="O960" s="7">
        <f>VLOOKUP(J960,[2]Desa!$A:$D,4,FALSE)</f>
        <v>81</v>
      </c>
      <c r="P960" s="7">
        <f>VLOOKUP(J960,[3]Sheet1!$D:$F,3,FALSE)</f>
        <v>39</v>
      </c>
      <c r="Q960" s="7"/>
      <c r="R960" s="7"/>
      <c r="S960" s="12">
        <v>-8.5934616233665704</v>
      </c>
      <c r="T960" s="12">
        <v>116.204984706678</v>
      </c>
      <c r="U960" s="7"/>
      <c r="V960" s="50">
        <f>Table13678[[#This Row],[PAGU SEMULA]]-Table13678[[#This Row],[PAGU ANGGARAN]]</f>
        <v>-189090000</v>
      </c>
      <c r="W960" s="50">
        <f>Table13678[[#This Row],[PAGU SEMULA]]-Table13678[[#This Row],[PAGU ANGGARAN]]</f>
        <v>-189090000</v>
      </c>
      <c r="X960" t="s">
        <v>986</v>
      </c>
    </row>
    <row r="961" spans="3:24" hidden="1">
      <c r="C961" s="7" t="s">
        <v>29</v>
      </c>
      <c r="D961" s="7" t="s">
        <v>30</v>
      </c>
      <c r="E961" s="7" t="s">
        <v>31</v>
      </c>
      <c r="F961" s="7" t="s">
        <v>32</v>
      </c>
      <c r="G961" s="7" t="s">
        <v>33</v>
      </c>
      <c r="H961" s="8">
        <v>217140000</v>
      </c>
      <c r="I961" s="10" t="s">
        <v>773</v>
      </c>
      <c r="J961" s="7" t="s">
        <v>774</v>
      </c>
      <c r="K961" s="10" t="s">
        <v>58</v>
      </c>
      <c r="L961" s="7" t="s">
        <v>59</v>
      </c>
      <c r="M961" s="7"/>
      <c r="N961" s="7">
        <f>VLOOKUP(J961,[1]Sheet1!$C:$D,2,FALSE)</f>
        <v>3854</v>
      </c>
      <c r="O961" s="7">
        <f>VLOOKUP(J961,[2]Desa!$A:$D,4,FALSE)</f>
        <v>64</v>
      </c>
      <c r="P961" s="7">
        <f>VLOOKUP(J961,[3]Sheet1!$D:$F,3,FALSE)</f>
        <v>26</v>
      </c>
      <c r="Q961" s="7"/>
      <c r="R961" s="7"/>
      <c r="S961" s="12">
        <v>-8.5896640113704397</v>
      </c>
      <c r="T961" s="12">
        <v>116.190364064345</v>
      </c>
      <c r="U961" s="7"/>
      <c r="V961" s="50">
        <f>Table13678[[#This Row],[PAGU SEMULA]]-Table13678[[#This Row],[PAGU ANGGARAN]]</f>
        <v>-217140000</v>
      </c>
      <c r="W961" s="50">
        <f>Table13678[[#This Row],[PAGU SEMULA]]-Table13678[[#This Row],[PAGU ANGGARAN]]</f>
        <v>-217140000</v>
      </c>
      <c r="X961" t="s">
        <v>984</v>
      </c>
    </row>
    <row r="962" spans="3:24" hidden="1">
      <c r="C962" s="7" t="s">
        <v>29</v>
      </c>
      <c r="D962" s="7" t="s">
        <v>30</v>
      </c>
      <c r="E962" s="7" t="s">
        <v>31</v>
      </c>
      <c r="F962" s="7" t="s">
        <v>32</v>
      </c>
      <c r="G962" s="7" t="s">
        <v>34</v>
      </c>
      <c r="H962" s="8">
        <v>17371200</v>
      </c>
      <c r="I962" s="10" t="s">
        <v>773</v>
      </c>
      <c r="J962" s="7" t="s">
        <v>774</v>
      </c>
      <c r="K962" s="10" t="s">
        <v>58</v>
      </c>
      <c r="L962" s="7" t="s">
        <v>59</v>
      </c>
      <c r="M962" s="7"/>
      <c r="N962" s="7">
        <f>VLOOKUP(J962,[1]Sheet1!$C:$D,2,FALSE)</f>
        <v>3854</v>
      </c>
      <c r="O962" s="7">
        <f>VLOOKUP(J962,[2]Desa!$A:$D,4,FALSE)</f>
        <v>64</v>
      </c>
      <c r="P962" s="7">
        <f>VLOOKUP(J962,[3]Sheet1!$D:$F,3,FALSE)</f>
        <v>26</v>
      </c>
      <c r="Q962" s="7"/>
      <c r="R962" s="7"/>
      <c r="S962" s="12">
        <v>-8.5896640113704397</v>
      </c>
      <c r="T962" s="12">
        <v>116.190364064345</v>
      </c>
      <c r="U962" s="7"/>
      <c r="V962" s="50">
        <f>Table13678[[#This Row],[PAGU SEMULA]]-Table13678[[#This Row],[PAGU ANGGARAN]]</f>
        <v>-17371200</v>
      </c>
      <c r="W962" s="50">
        <f>Table13678[[#This Row],[PAGU SEMULA]]-Table13678[[#This Row],[PAGU ANGGARAN]]</f>
        <v>-17371200</v>
      </c>
      <c r="X962" t="s">
        <v>984</v>
      </c>
    </row>
    <row r="963" spans="3:24" hidden="1">
      <c r="C963" s="7" t="s">
        <v>35</v>
      </c>
      <c r="D963" s="7" t="s">
        <v>36</v>
      </c>
      <c r="E963" s="7" t="s">
        <v>37</v>
      </c>
      <c r="F963" s="7" t="s">
        <v>38</v>
      </c>
      <c r="G963" s="7" t="s">
        <v>39</v>
      </c>
      <c r="H963" s="15">
        <v>75000000</v>
      </c>
      <c r="I963" s="10" t="s">
        <v>773</v>
      </c>
      <c r="J963" s="7" t="s">
        <v>774</v>
      </c>
      <c r="K963" s="10" t="s">
        <v>58</v>
      </c>
      <c r="L963" s="7" t="s">
        <v>59</v>
      </c>
      <c r="M963" s="7"/>
      <c r="N963" s="7">
        <f>VLOOKUP(J963,[1]Sheet1!$C:$D,2,FALSE)</f>
        <v>3854</v>
      </c>
      <c r="O963" s="7">
        <f>VLOOKUP(J963,[2]Desa!$A:$D,4,FALSE)</f>
        <v>64</v>
      </c>
      <c r="P963" s="7">
        <f>VLOOKUP(J963,[3]Sheet1!$D:$F,3,FALSE)</f>
        <v>26</v>
      </c>
      <c r="Q963" s="7"/>
      <c r="R963" s="7"/>
      <c r="S963" s="12">
        <v>-8.5896640113704397</v>
      </c>
      <c r="T963" s="12">
        <v>116.190364064345</v>
      </c>
      <c r="U963" s="7"/>
      <c r="V963" s="50">
        <f>Table13678[[#This Row],[PAGU SEMULA]]-Table13678[[#This Row],[PAGU ANGGARAN]]</f>
        <v>-75000000</v>
      </c>
      <c r="W963" s="50">
        <f>Table13678[[#This Row],[PAGU SEMULA]]-Table13678[[#This Row],[PAGU ANGGARAN]]</f>
        <v>-75000000</v>
      </c>
      <c r="X963" t="s">
        <v>984</v>
      </c>
    </row>
    <row r="964" spans="3:24" hidden="1">
      <c r="C964" s="7" t="s">
        <v>35</v>
      </c>
      <c r="D964" s="7" t="s">
        <v>156</v>
      </c>
      <c r="E964" s="7" t="s">
        <v>157</v>
      </c>
      <c r="F964" s="7" t="s">
        <v>158</v>
      </c>
      <c r="G964" s="7" t="s">
        <v>502</v>
      </c>
      <c r="H964" s="17">
        <v>430000000</v>
      </c>
      <c r="I964" s="10" t="s">
        <v>773</v>
      </c>
      <c r="J964" s="7" t="s">
        <v>774</v>
      </c>
      <c r="K964" s="10" t="s">
        <v>58</v>
      </c>
      <c r="L964" s="7" t="s">
        <v>59</v>
      </c>
      <c r="M964" s="7"/>
      <c r="N964" s="7">
        <f>VLOOKUP(J964,[1]Sheet1!$C:$D,2,FALSE)</f>
        <v>3854</v>
      </c>
      <c r="O964" s="7">
        <f>VLOOKUP(J964,[2]Desa!$A:$D,4,FALSE)</f>
        <v>64</v>
      </c>
      <c r="P964" s="7">
        <f>VLOOKUP(J964,[3]Sheet1!$D:$F,3,FALSE)</f>
        <v>26</v>
      </c>
      <c r="Q964" s="7"/>
      <c r="R964" s="7"/>
      <c r="S964" s="12">
        <v>-8.5896640113704397</v>
      </c>
      <c r="T964" s="12">
        <v>116.190364064345</v>
      </c>
      <c r="U964" s="7"/>
      <c r="V964" s="50">
        <f>Table13678[[#This Row],[PAGU SEMULA]]-Table13678[[#This Row],[PAGU ANGGARAN]]</f>
        <v>-430000000</v>
      </c>
      <c r="W964" s="50">
        <f>Table13678[[#This Row],[PAGU SEMULA]]-Table13678[[#This Row],[PAGU ANGGARAN]]</f>
        <v>-430000000</v>
      </c>
      <c r="X964" t="s">
        <v>986</v>
      </c>
    </row>
    <row r="965" spans="3:24" hidden="1">
      <c r="C965" s="7" t="s">
        <v>46</v>
      </c>
      <c r="D965" s="7" t="s">
        <v>122</v>
      </c>
      <c r="E965" s="7" t="s">
        <v>123</v>
      </c>
      <c r="F965" s="7" t="s">
        <v>124</v>
      </c>
      <c r="G965" s="7" t="s">
        <v>192</v>
      </c>
      <c r="H965" s="8">
        <v>50000000</v>
      </c>
      <c r="I965" s="10" t="s">
        <v>773</v>
      </c>
      <c r="J965" s="7" t="s">
        <v>774</v>
      </c>
      <c r="K965" s="10" t="s">
        <v>58</v>
      </c>
      <c r="L965" s="7" t="s">
        <v>59</v>
      </c>
      <c r="M965" s="7"/>
      <c r="N965" s="7">
        <f>VLOOKUP(J965,[1]Sheet1!$C:$D,2,FALSE)</f>
        <v>3854</v>
      </c>
      <c r="O965" s="7">
        <f>VLOOKUP(J965,[2]Desa!$A:$D,4,FALSE)</f>
        <v>64</v>
      </c>
      <c r="P965" s="7">
        <f>VLOOKUP(J965,[3]Sheet1!$D:$F,3,FALSE)</f>
        <v>26</v>
      </c>
      <c r="Q965" s="7"/>
      <c r="R965" s="7"/>
      <c r="S965" s="12">
        <v>-8.5896640113704397</v>
      </c>
      <c r="T965" s="12">
        <v>116.190364064345</v>
      </c>
      <c r="U965" s="7"/>
      <c r="V965" s="50">
        <f>Table13678[[#This Row],[PAGU SEMULA]]-Table13678[[#This Row],[PAGU ANGGARAN]]</f>
        <v>-50000000</v>
      </c>
      <c r="W965" s="50">
        <f>Table13678[[#This Row],[PAGU SEMULA]]-Table13678[[#This Row],[PAGU ANGGARAN]]</f>
        <v>-50000000</v>
      </c>
      <c r="X965" t="s">
        <v>987</v>
      </c>
    </row>
    <row r="966" spans="3:24" hidden="1">
      <c r="C966" s="7" t="s">
        <v>46</v>
      </c>
      <c r="D966" s="7" t="s">
        <v>100</v>
      </c>
      <c r="E966" s="7" t="s">
        <v>101</v>
      </c>
      <c r="F966" s="7" t="s">
        <v>102</v>
      </c>
      <c r="G966" s="71" t="s">
        <v>775</v>
      </c>
      <c r="H966" s="8">
        <v>24940000</v>
      </c>
      <c r="I966" s="10" t="s">
        <v>773</v>
      </c>
      <c r="J966" s="7" t="s">
        <v>774</v>
      </c>
      <c r="K966" s="10" t="s">
        <v>58</v>
      </c>
      <c r="L966" s="7" t="s">
        <v>59</v>
      </c>
      <c r="M966" s="7"/>
      <c r="N966" s="7">
        <f>VLOOKUP(J966,[1]Sheet1!$C:$D,2,FALSE)</f>
        <v>3854</v>
      </c>
      <c r="O966" s="7">
        <f>VLOOKUP(J966,[2]Desa!$A:$D,4,FALSE)</f>
        <v>64</v>
      </c>
      <c r="P966" s="7">
        <f>VLOOKUP(J966,[3]Sheet1!$D:$F,3,FALSE)</f>
        <v>26</v>
      </c>
      <c r="Q966" s="7"/>
      <c r="R966" s="7"/>
      <c r="S966" s="12">
        <v>-8.5896640113704397</v>
      </c>
      <c r="T966" s="12">
        <v>116.190364064345</v>
      </c>
      <c r="U966" s="7"/>
      <c r="V966" s="50">
        <f>Table13678[[#This Row],[PAGU SEMULA]]-Table13678[[#This Row],[PAGU ANGGARAN]]</f>
        <v>-24940000</v>
      </c>
      <c r="W966" s="50">
        <f>Table13678[[#This Row],[PAGU SEMULA]]-Table13678[[#This Row],[PAGU ANGGARAN]]</f>
        <v>-24940000</v>
      </c>
      <c r="X966" t="s">
        <v>987</v>
      </c>
    </row>
    <row r="967" spans="3:24" hidden="1">
      <c r="C967" s="7" t="s">
        <v>51</v>
      </c>
      <c r="D967" s="7" t="s">
        <v>52</v>
      </c>
      <c r="E967" s="7" t="s">
        <v>53</v>
      </c>
      <c r="F967" s="7" t="s">
        <v>54</v>
      </c>
      <c r="G967" s="7" t="s">
        <v>73</v>
      </c>
      <c r="H967" s="8">
        <v>189090000</v>
      </c>
      <c r="I967" s="10" t="s">
        <v>773</v>
      </c>
      <c r="J967" s="7" t="s">
        <v>774</v>
      </c>
      <c r="K967" s="10" t="s">
        <v>58</v>
      </c>
      <c r="L967" s="7" t="s">
        <v>59</v>
      </c>
      <c r="M967" s="7"/>
      <c r="N967" s="7">
        <f>VLOOKUP(J967,[1]Sheet1!$C:$D,2,FALSE)</f>
        <v>3854</v>
      </c>
      <c r="O967" s="7">
        <f>VLOOKUP(J967,[2]Desa!$A:$D,4,FALSE)</f>
        <v>64</v>
      </c>
      <c r="P967" s="7">
        <f>VLOOKUP(J967,[3]Sheet1!$D:$F,3,FALSE)</f>
        <v>26</v>
      </c>
      <c r="Q967" s="7"/>
      <c r="R967" s="7"/>
      <c r="S967" s="12">
        <v>-8.5896640113704397</v>
      </c>
      <c r="T967" s="12">
        <v>116.190364064345</v>
      </c>
      <c r="U967" s="7"/>
      <c r="V967" s="50">
        <f>Table13678[[#This Row],[PAGU SEMULA]]-Table13678[[#This Row],[PAGU ANGGARAN]]</f>
        <v>-189090000</v>
      </c>
      <c r="W967" s="50">
        <f>Table13678[[#This Row],[PAGU SEMULA]]-Table13678[[#This Row],[PAGU ANGGARAN]]</f>
        <v>-189090000</v>
      </c>
      <c r="X967" t="s">
        <v>986</v>
      </c>
    </row>
    <row r="968" spans="3:24" hidden="1">
      <c r="C968" s="7" t="s">
        <v>394</v>
      </c>
      <c r="D968" s="7" t="s">
        <v>89</v>
      </c>
      <c r="E968" s="7" t="s">
        <v>454</v>
      </c>
      <c r="F968" s="7" t="s">
        <v>455</v>
      </c>
      <c r="G968" s="7" t="s">
        <v>456</v>
      </c>
      <c r="H968" s="8">
        <v>88500000</v>
      </c>
      <c r="I968" s="10" t="s">
        <v>773</v>
      </c>
      <c r="J968" s="7" t="s">
        <v>774</v>
      </c>
      <c r="K968" s="10" t="s">
        <v>58</v>
      </c>
      <c r="L968" s="7" t="s">
        <v>59</v>
      </c>
      <c r="M968" s="7"/>
      <c r="N968" s="7">
        <f>VLOOKUP(J968,[1]Sheet1!$C:$D,2,FALSE)</f>
        <v>3854</v>
      </c>
      <c r="O968" s="7">
        <f>VLOOKUP(J968,[2]Desa!$A:$D,4,FALSE)</f>
        <v>64</v>
      </c>
      <c r="P968" s="7">
        <f>VLOOKUP(J968,[3]Sheet1!$D:$F,3,FALSE)</f>
        <v>26</v>
      </c>
      <c r="Q968" s="7"/>
      <c r="R968" s="7"/>
      <c r="S968" s="12">
        <v>-8.5896640113704397</v>
      </c>
      <c r="T968" s="12">
        <v>116.190364064345</v>
      </c>
      <c r="U968" s="7"/>
      <c r="V968" s="50">
        <f>Table13678[[#This Row],[PAGU SEMULA]]-Table13678[[#This Row],[PAGU ANGGARAN]]</f>
        <v>-88500000</v>
      </c>
      <c r="W968" s="50">
        <f>Table13678[[#This Row],[PAGU SEMULA]]-Table13678[[#This Row],[PAGU ANGGARAN]]</f>
        <v>-88500000</v>
      </c>
      <c r="X968" t="s">
        <v>982</v>
      </c>
    </row>
    <row r="969" spans="3:24" hidden="1">
      <c r="C969" s="7" t="s">
        <v>20</v>
      </c>
      <c r="D969" s="7" t="s">
        <v>104</v>
      </c>
      <c r="E969" s="7" t="s">
        <v>145</v>
      </c>
      <c r="F969" s="7" t="s">
        <v>243</v>
      </c>
      <c r="G969" s="71" t="s">
        <v>776</v>
      </c>
      <c r="H969" s="15">
        <v>88320000</v>
      </c>
      <c r="I969" s="10" t="s">
        <v>777</v>
      </c>
      <c r="J969" s="7" t="s">
        <v>778</v>
      </c>
      <c r="K969" s="10" t="s">
        <v>142</v>
      </c>
      <c r="L969" s="7" t="s">
        <v>143</v>
      </c>
      <c r="M969" s="7"/>
      <c r="N969" s="7">
        <f>VLOOKUP(J969,[1]Sheet1!$C:$D,2,FALSE)</f>
        <v>5728</v>
      </c>
      <c r="O969" s="7">
        <f>VLOOKUP(J969,[2]Desa!$A:$D,4,FALSE)</f>
        <v>226</v>
      </c>
      <c r="P969" s="7">
        <f>VLOOKUP(J969,[3]Sheet1!$D:$F,3,FALSE)</f>
        <v>31</v>
      </c>
      <c r="Q969" s="7"/>
      <c r="R969" s="7"/>
      <c r="S969" s="12">
        <v>-8.6514433021133605</v>
      </c>
      <c r="T969" s="12">
        <v>116.13569795920399</v>
      </c>
      <c r="U969" s="7"/>
      <c r="V969" s="50">
        <f>Table13678[[#This Row],[PAGU SEMULA]]-Table13678[[#This Row],[PAGU ANGGARAN]]</f>
        <v>-88320000</v>
      </c>
      <c r="W969" s="50">
        <f>Table13678[[#This Row],[PAGU SEMULA]]-Table13678[[#This Row],[PAGU ANGGARAN]]</f>
        <v>-88320000</v>
      </c>
      <c r="X969" t="s">
        <v>984</v>
      </c>
    </row>
    <row r="970" spans="3:24" hidden="1">
      <c r="C970" s="7" t="s">
        <v>29</v>
      </c>
      <c r="D970" s="7" t="s">
        <v>30</v>
      </c>
      <c r="E970" s="7" t="s">
        <v>31</v>
      </c>
      <c r="F970" s="7" t="s">
        <v>32</v>
      </c>
      <c r="G970" s="7" t="s">
        <v>33</v>
      </c>
      <c r="H970" s="8">
        <v>223020000</v>
      </c>
      <c r="I970" s="10" t="s">
        <v>777</v>
      </c>
      <c r="J970" s="7" t="s">
        <v>778</v>
      </c>
      <c r="K970" s="10" t="s">
        <v>142</v>
      </c>
      <c r="L970" s="7" t="s">
        <v>143</v>
      </c>
      <c r="M970" s="7"/>
      <c r="N970" s="7">
        <f>VLOOKUP(J970,[1]Sheet1!$C:$D,2,FALSE)</f>
        <v>5728</v>
      </c>
      <c r="O970" s="7">
        <f>VLOOKUP(J970,[2]Desa!$A:$D,4,FALSE)</f>
        <v>226</v>
      </c>
      <c r="P970" s="7">
        <f>VLOOKUP(J970,[3]Sheet1!$D:$F,3,FALSE)</f>
        <v>31</v>
      </c>
      <c r="Q970" s="7"/>
      <c r="R970" s="7"/>
      <c r="S970" s="12">
        <v>-8.6514433021133605</v>
      </c>
      <c r="T970" s="12">
        <v>116.13569795920399</v>
      </c>
      <c r="U970" s="7"/>
      <c r="V970" s="50">
        <f>Table13678[[#This Row],[PAGU SEMULA]]-Table13678[[#This Row],[PAGU ANGGARAN]]</f>
        <v>-223020000</v>
      </c>
      <c r="W970" s="50">
        <f>Table13678[[#This Row],[PAGU SEMULA]]-Table13678[[#This Row],[PAGU ANGGARAN]]</f>
        <v>-223020000</v>
      </c>
      <c r="X970" t="s">
        <v>984</v>
      </c>
    </row>
    <row r="971" spans="3:24" hidden="1">
      <c r="C971" s="7" t="s">
        <v>29</v>
      </c>
      <c r="D971" s="7" t="s">
        <v>30</v>
      </c>
      <c r="E971" s="7" t="s">
        <v>31</v>
      </c>
      <c r="F971" s="7" t="s">
        <v>32</v>
      </c>
      <c r="G971" s="7" t="s">
        <v>34</v>
      </c>
      <c r="H971" s="8">
        <v>17841600</v>
      </c>
      <c r="I971" s="10" t="s">
        <v>777</v>
      </c>
      <c r="J971" s="7" t="s">
        <v>778</v>
      </c>
      <c r="K971" s="10" t="s">
        <v>142</v>
      </c>
      <c r="L971" s="7" t="s">
        <v>143</v>
      </c>
      <c r="M971" s="7"/>
      <c r="N971" s="7">
        <f>VLOOKUP(J971,[1]Sheet1!$C:$D,2,FALSE)</f>
        <v>5728</v>
      </c>
      <c r="O971" s="7">
        <f>VLOOKUP(J971,[2]Desa!$A:$D,4,FALSE)</f>
        <v>226</v>
      </c>
      <c r="P971" s="7">
        <f>VLOOKUP(J971,[3]Sheet1!$D:$F,3,FALSE)</f>
        <v>31</v>
      </c>
      <c r="Q971" s="7"/>
      <c r="R971" s="7"/>
      <c r="S971" s="12">
        <v>-8.6514433021133605</v>
      </c>
      <c r="T971" s="12">
        <v>116.13569795920399</v>
      </c>
      <c r="U971" s="7"/>
      <c r="V971" s="50">
        <f>Table13678[[#This Row],[PAGU SEMULA]]-Table13678[[#This Row],[PAGU ANGGARAN]]</f>
        <v>-17841600</v>
      </c>
      <c r="W971" s="50">
        <f>Table13678[[#This Row],[PAGU SEMULA]]-Table13678[[#This Row],[PAGU ANGGARAN]]</f>
        <v>-17841600</v>
      </c>
      <c r="X971" t="s">
        <v>984</v>
      </c>
    </row>
    <row r="972" spans="3:24" hidden="1">
      <c r="C972" s="7" t="s">
        <v>110</v>
      </c>
      <c r="D972" s="7" t="s">
        <v>178</v>
      </c>
      <c r="E972" s="7" t="s">
        <v>179</v>
      </c>
      <c r="F972" s="7" t="s">
        <v>180</v>
      </c>
      <c r="G972" s="71" t="s">
        <v>779</v>
      </c>
      <c r="H972" s="8">
        <v>50000000</v>
      </c>
      <c r="I972" s="10" t="s">
        <v>777</v>
      </c>
      <c r="J972" s="7" t="s">
        <v>778</v>
      </c>
      <c r="K972" s="10" t="s">
        <v>142</v>
      </c>
      <c r="L972" s="7" t="s">
        <v>143</v>
      </c>
      <c r="M972" s="7"/>
      <c r="N972" s="7">
        <f>VLOOKUP(J972,[1]Sheet1!$C:$D,2,FALSE)</f>
        <v>5728</v>
      </c>
      <c r="O972" s="7">
        <f>VLOOKUP(J972,[2]Desa!$A:$D,4,FALSE)</f>
        <v>226</v>
      </c>
      <c r="P972" s="7">
        <f>VLOOKUP(J972,[3]Sheet1!$D:$F,3,FALSE)</f>
        <v>31</v>
      </c>
      <c r="Q972" s="7"/>
      <c r="R972" s="7"/>
      <c r="S972" s="12">
        <v>-8.6514433021133605</v>
      </c>
      <c r="T972" s="12">
        <v>116.13569795920399</v>
      </c>
      <c r="U972" s="7"/>
      <c r="V972" s="50">
        <f>Table13678[[#This Row],[PAGU SEMULA]]-Table13678[[#This Row],[PAGU ANGGARAN]]</f>
        <v>-50000000</v>
      </c>
      <c r="W972" s="50">
        <f>Table13678[[#This Row],[PAGU SEMULA]]-Table13678[[#This Row],[PAGU ANGGARAN]]</f>
        <v>-50000000</v>
      </c>
      <c r="X972" t="s">
        <v>982</v>
      </c>
    </row>
    <row r="973" spans="3:24" hidden="1">
      <c r="C973" s="7" t="s">
        <v>110</v>
      </c>
      <c r="D973" s="7" t="s">
        <v>178</v>
      </c>
      <c r="E973" s="7" t="s">
        <v>179</v>
      </c>
      <c r="F973" s="7" t="s">
        <v>180</v>
      </c>
      <c r="G973" s="71" t="s">
        <v>699</v>
      </c>
      <c r="H973" s="8">
        <v>46350000</v>
      </c>
      <c r="I973" s="10" t="s">
        <v>777</v>
      </c>
      <c r="J973" s="7" t="s">
        <v>778</v>
      </c>
      <c r="K973" s="10" t="s">
        <v>142</v>
      </c>
      <c r="L973" s="7" t="s">
        <v>143</v>
      </c>
      <c r="M973" s="7"/>
      <c r="N973" s="7">
        <f>VLOOKUP(J973,[1]Sheet1!$C:$D,2,FALSE)</f>
        <v>5728</v>
      </c>
      <c r="O973" s="7">
        <f>VLOOKUP(J973,[2]Desa!$A:$D,4,FALSE)</f>
        <v>226</v>
      </c>
      <c r="P973" s="7">
        <f>VLOOKUP(J973,[3]Sheet1!$D:$F,3,FALSE)</f>
        <v>31</v>
      </c>
      <c r="Q973" s="7"/>
      <c r="R973" s="7"/>
      <c r="S973" s="12">
        <v>-8.6514433021133605</v>
      </c>
      <c r="T973" s="12">
        <v>116.13569795920399</v>
      </c>
      <c r="U973" s="7"/>
      <c r="V973" s="50">
        <f>Table13678[[#This Row],[PAGU SEMULA]]-Table13678[[#This Row],[PAGU ANGGARAN]]</f>
        <v>-46350000</v>
      </c>
      <c r="W973" s="50">
        <f>Table13678[[#This Row],[PAGU SEMULA]]-Table13678[[#This Row],[PAGU ANGGARAN]]</f>
        <v>-46350000</v>
      </c>
      <c r="X973" t="s">
        <v>982</v>
      </c>
    </row>
    <row r="974" spans="3:24" hidden="1">
      <c r="C974" s="7" t="s">
        <v>35</v>
      </c>
      <c r="D974" s="7" t="s">
        <v>36</v>
      </c>
      <c r="E974" s="7" t="s">
        <v>37</v>
      </c>
      <c r="F974" s="7" t="s">
        <v>38</v>
      </c>
      <c r="G974" s="7" t="s">
        <v>39</v>
      </c>
      <c r="H974" s="15">
        <v>75000000</v>
      </c>
      <c r="I974" s="10" t="s">
        <v>777</v>
      </c>
      <c r="J974" s="7" t="s">
        <v>778</v>
      </c>
      <c r="K974" s="10" t="s">
        <v>142</v>
      </c>
      <c r="L974" s="7" t="s">
        <v>143</v>
      </c>
      <c r="M974" s="7"/>
      <c r="N974" s="7">
        <f>VLOOKUP(J974,[1]Sheet1!$C:$D,2,FALSE)</f>
        <v>5728</v>
      </c>
      <c r="O974" s="7">
        <f>VLOOKUP(J974,[2]Desa!$A:$D,4,FALSE)</f>
        <v>226</v>
      </c>
      <c r="P974" s="7">
        <f>VLOOKUP(J974,[3]Sheet1!$D:$F,3,FALSE)</f>
        <v>31</v>
      </c>
      <c r="Q974" s="7"/>
      <c r="R974" s="7"/>
      <c r="S974" s="12">
        <v>-8.6514433021133605</v>
      </c>
      <c r="T974" s="12">
        <v>116.13569795920399</v>
      </c>
      <c r="U974" s="7"/>
      <c r="V974" s="50">
        <f>Table13678[[#This Row],[PAGU SEMULA]]-Table13678[[#This Row],[PAGU ANGGARAN]]</f>
        <v>-75000000</v>
      </c>
      <c r="W974" s="50">
        <f>Table13678[[#This Row],[PAGU SEMULA]]-Table13678[[#This Row],[PAGU ANGGARAN]]</f>
        <v>-75000000</v>
      </c>
      <c r="X974" t="s">
        <v>984</v>
      </c>
    </row>
    <row r="975" spans="3:24" hidden="1">
      <c r="C975" s="7" t="s">
        <v>35</v>
      </c>
      <c r="D975" s="7" t="s">
        <v>52</v>
      </c>
      <c r="E975" s="7" t="s">
        <v>95</v>
      </c>
      <c r="F975" s="7" t="s">
        <v>96</v>
      </c>
      <c r="G975" s="7" t="s">
        <v>459</v>
      </c>
      <c r="H975" s="17">
        <v>145125000</v>
      </c>
      <c r="I975" s="10" t="s">
        <v>777</v>
      </c>
      <c r="J975" s="7" t="s">
        <v>778</v>
      </c>
      <c r="K975" s="10" t="s">
        <v>142</v>
      </c>
      <c r="L975" s="7" t="s">
        <v>143</v>
      </c>
      <c r="M975" s="7"/>
      <c r="N975" s="7">
        <f>VLOOKUP(J975,[1]Sheet1!$C:$D,2,FALSE)</f>
        <v>5728</v>
      </c>
      <c r="O975" s="7">
        <f>VLOOKUP(J975,[2]Desa!$A:$D,4,FALSE)</f>
        <v>226</v>
      </c>
      <c r="P975" s="7">
        <f>VLOOKUP(J975,[3]Sheet1!$D:$F,3,FALSE)</f>
        <v>31</v>
      </c>
      <c r="Q975" s="7"/>
      <c r="R975" s="7"/>
      <c r="S975" s="12">
        <v>-8.6514433021133605</v>
      </c>
      <c r="T975" s="12">
        <v>116.13569795920399</v>
      </c>
      <c r="U975" s="7"/>
      <c r="V975" s="50">
        <f>Table13678[[#This Row],[PAGU SEMULA]]-Table13678[[#This Row],[PAGU ANGGARAN]]</f>
        <v>-145125000</v>
      </c>
      <c r="W975" s="50">
        <f>Table13678[[#This Row],[PAGU SEMULA]]-Table13678[[#This Row],[PAGU ANGGARAN]]</f>
        <v>-145125000</v>
      </c>
      <c r="X975" t="s">
        <v>986</v>
      </c>
    </row>
    <row r="976" spans="3:24" hidden="1">
      <c r="C976" s="7" t="s">
        <v>35</v>
      </c>
      <c r="D976" s="7" t="s">
        <v>42</v>
      </c>
      <c r="E976" s="7" t="s">
        <v>43</v>
      </c>
      <c r="F976" s="7" t="s">
        <v>44</v>
      </c>
      <c r="G976" s="7" t="s">
        <v>780</v>
      </c>
      <c r="H976" s="15">
        <v>270000000</v>
      </c>
      <c r="I976" s="10" t="s">
        <v>777</v>
      </c>
      <c r="J976" s="7" t="s">
        <v>778</v>
      </c>
      <c r="K976" s="10" t="s">
        <v>142</v>
      </c>
      <c r="L976" s="7" t="s">
        <v>143</v>
      </c>
      <c r="M976" s="7"/>
      <c r="N976" s="7">
        <f>VLOOKUP(J976,[1]Sheet1!$C:$D,2,FALSE)</f>
        <v>5728</v>
      </c>
      <c r="O976" s="7">
        <f>VLOOKUP(J976,[2]Desa!$A:$D,4,FALSE)</f>
        <v>226</v>
      </c>
      <c r="P976" s="7">
        <f>VLOOKUP(J976,[3]Sheet1!$D:$F,3,FALSE)</f>
        <v>31</v>
      </c>
      <c r="Q976" s="7"/>
      <c r="R976" s="7"/>
      <c r="S976" s="12">
        <v>-8.6514433021133605</v>
      </c>
      <c r="T976" s="12">
        <v>116.13569795920399</v>
      </c>
      <c r="U976" s="7"/>
      <c r="V976" s="50">
        <f>Table13678[[#This Row],[PAGU SEMULA]]-Table13678[[#This Row],[PAGU ANGGARAN]]</f>
        <v>-270000000</v>
      </c>
      <c r="W976" s="50">
        <f>Table13678[[#This Row],[PAGU SEMULA]]-Table13678[[#This Row],[PAGU ANGGARAN]]</f>
        <v>-270000000</v>
      </c>
      <c r="X976" t="s">
        <v>986</v>
      </c>
    </row>
    <row r="977" spans="3:24" hidden="1">
      <c r="C977" s="7" t="s">
        <v>68</v>
      </c>
      <c r="D977" s="7" t="s">
        <v>277</v>
      </c>
      <c r="E977" s="7" t="s">
        <v>278</v>
      </c>
      <c r="F977" s="7" t="s">
        <v>279</v>
      </c>
      <c r="G977" s="16" t="s">
        <v>951</v>
      </c>
      <c r="H977" s="8">
        <v>30000000</v>
      </c>
      <c r="I977" s="10" t="s">
        <v>777</v>
      </c>
      <c r="J977" s="7" t="s">
        <v>778</v>
      </c>
      <c r="K977" s="10" t="s">
        <v>142</v>
      </c>
      <c r="L977" s="7" t="s">
        <v>143</v>
      </c>
      <c r="M977" s="7"/>
      <c r="N977" s="7">
        <f>VLOOKUP(J977,[1]Sheet1!$C:$D,2,FALSE)</f>
        <v>5728</v>
      </c>
      <c r="O977" s="7">
        <f>VLOOKUP(J977,[2]Desa!$A:$D,4,FALSE)</f>
        <v>226</v>
      </c>
      <c r="P977" s="7">
        <f>VLOOKUP(J977,[3]Sheet1!$D:$F,3,FALSE)</f>
        <v>31</v>
      </c>
      <c r="Q977" s="7"/>
      <c r="R977" s="7"/>
      <c r="S977" s="12">
        <v>-8.6514433021133605</v>
      </c>
      <c r="T977" s="12">
        <v>116.13569795920399</v>
      </c>
      <c r="U977" s="7"/>
      <c r="V977" s="50">
        <f>Table13678[[#This Row],[PAGU SEMULA]]-Table13678[[#This Row],[PAGU ANGGARAN]]</f>
        <v>-30000000</v>
      </c>
      <c r="W977" s="50">
        <f>Table13678[[#This Row],[PAGU SEMULA]]-Table13678[[#This Row],[PAGU ANGGARAN]]</f>
        <v>-30000000</v>
      </c>
      <c r="X977" t="s">
        <v>982</v>
      </c>
    </row>
    <row r="978" spans="3:24" hidden="1">
      <c r="C978" s="7" t="s">
        <v>68</v>
      </c>
      <c r="D978" s="7" t="s">
        <v>69</v>
      </c>
      <c r="E978" s="7" t="s">
        <v>70</v>
      </c>
      <c r="F978" s="7" t="s">
        <v>71</v>
      </c>
      <c r="G978" s="7" t="s">
        <v>72</v>
      </c>
      <c r="H978" s="8">
        <v>49680000</v>
      </c>
      <c r="I978" s="10" t="s">
        <v>777</v>
      </c>
      <c r="J978" s="7" t="s">
        <v>778</v>
      </c>
      <c r="K978" s="10" t="s">
        <v>142</v>
      </c>
      <c r="L978" s="7" t="s">
        <v>143</v>
      </c>
      <c r="M978" s="7"/>
      <c r="N978" s="7">
        <f>VLOOKUP(J978,[1]Sheet1!$C:$D,2,FALSE)</f>
        <v>5728</v>
      </c>
      <c r="O978" s="7">
        <f>VLOOKUP(J978,[2]Desa!$A:$D,4,FALSE)</f>
        <v>226</v>
      </c>
      <c r="P978" s="7">
        <f>VLOOKUP(J978,[3]Sheet1!$D:$F,3,FALSE)</f>
        <v>31</v>
      </c>
      <c r="Q978" s="7"/>
      <c r="R978" s="7"/>
      <c r="S978" s="12">
        <v>-8.6514433021133605</v>
      </c>
      <c r="T978" s="12">
        <v>116.13569795920399</v>
      </c>
      <c r="U978" s="7"/>
      <c r="V978" s="50">
        <f>Table13678[[#This Row],[PAGU SEMULA]]-Table13678[[#This Row],[PAGU ANGGARAN]]</f>
        <v>-49680000</v>
      </c>
      <c r="W978" s="50">
        <f>Table13678[[#This Row],[PAGU SEMULA]]-Table13678[[#This Row],[PAGU ANGGARAN]]</f>
        <v>-49680000</v>
      </c>
      <c r="X978" t="s">
        <v>982</v>
      </c>
    </row>
    <row r="979" spans="3:24" hidden="1">
      <c r="C979" s="7" t="s">
        <v>46</v>
      </c>
      <c r="D979" s="7" t="s">
        <v>47</v>
      </c>
      <c r="E979" s="7" t="s">
        <v>48</v>
      </c>
      <c r="F979" s="7" t="s">
        <v>49</v>
      </c>
      <c r="G979" s="7" t="s">
        <v>781</v>
      </c>
      <c r="H979" s="8">
        <v>33720000</v>
      </c>
      <c r="I979" s="10" t="s">
        <v>777</v>
      </c>
      <c r="J979" s="7" t="s">
        <v>778</v>
      </c>
      <c r="K979" s="10" t="s">
        <v>142</v>
      </c>
      <c r="L979" s="7" t="s">
        <v>143</v>
      </c>
      <c r="M979" s="7"/>
      <c r="N979" s="7">
        <f>VLOOKUP(J979,[1]Sheet1!$C:$D,2,FALSE)</f>
        <v>5728</v>
      </c>
      <c r="O979" s="7">
        <f>VLOOKUP(J979,[2]Desa!$A:$D,4,FALSE)</f>
        <v>226</v>
      </c>
      <c r="P979" s="7">
        <f>VLOOKUP(J979,[3]Sheet1!$D:$F,3,FALSE)</f>
        <v>31</v>
      </c>
      <c r="Q979" s="7"/>
      <c r="R979" s="7"/>
      <c r="S979" s="12">
        <v>-8.6514433021133605</v>
      </c>
      <c r="T979" s="12">
        <v>116.13569795920399</v>
      </c>
      <c r="U979" s="7"/>
      <c r="V979" s="50">
        <f>Table13678[[#This Row],[PAGU SEMULA]]-Table13678[[#This Row],[PAGU ANGGARAN]]</f>
        <v>-33720000</v>
      </c>
      <c r="W979" s="50">
        <f>Table13678[[#This Row],[PAGU SEMULA]]-Table13678[[#This Row],[PAGU ANGGARAN]]</f>
        <v>-33720000</v>
      </c>
      <c r="X979" t="s">
        <v>987</v>
      </c>
    </row>
    <row r="980" spans="3:24" hidden="1">
      <c r="C980" s="7" t="s">
        <v>20</v>
      </c>
      <c r="D980" s="7" t="s">
        <v>104</v>
      </c>
      <c r="E980" s="7" t="s">
        <v>105</v>
      </c>
      <c r="F980" s="7" t="s">
        <v>106</v>
      </c>
      <c r="G980" s="71" t="s">
        <v>782</v>
      </c>
      <c r="H980" s="15">
        <v>280200000</v>
      </c>
      <c r="I980" s="10" t="s">
        <v>783</v>
      </c>
      <c r="J980" s="7" t="s">
        <v>784</v>
      </c>
      <c r="K980" s="10" t="s">
        <v>58</v>
      </c>
      <c r="L980" s="7" t="s">
        <v>59</v>
      </c>
      <c r="M980" s="7"/>
      <c r="N980" s="7">
        <f>VLOOKUP(J980,[1]Sheet1!$C:$D,2,FALSE)</f>
        <v>3393</v>
      </c>
      <c r="O980" s="7">
        <f>VLOOKUP(J980,[2]Desa!$A:$D,4,FALSE)</f>
        <v>193</v>
      </c>
      <c r="P980" s="7">
        <f>VLOOKUP(J980,[3]Sheet1!$D:$F,3,FALSE)</f>
        <v>27</v>
      </c>
      <c r="Q980" s="7"/>
      <c r="R980" s="7"/>
      <c r="S980" s="12">
        <v>-8.5351132897504005</v>
      </c>
      <c r="T980" s="12">
        <v>116.26742802017</v>
      </c>
      <c r="U980" s="7"/>
      <c r="V980" s="50">
        <f>Table13678[[#This Row],[PAGU SEMULA]]-Table13678[[#This Row],[PAGU ANGGARAN]]</f>
        <v>-280200000</v>
      </c>
      <c r="W980" s="50">
        <f>Table13678[[#This Row],[PAGU SEMULA]]-Table13678[[#This Row],[PAGU ANGGARAN]]</f>
        <v>-280200000</v>
      </c>
      <c r="X980" t="s">
        <v>984</v>
      </c>
    </row>
    <row r="981" spans="3:24" hidden="1">
      <c r="C981" s="7" t="s">
        <v>29</v>
      </c>
      <c r="D981" s="7" t="s">
        <v>30</v>
      </c>
      <c r="E981" s="7" t="s">
        <v>31</v>
      </c>
      <c r="F981" s="7" t="s">
        <v>32</v>
      </c>
      <c r="G981" s="7" t="s">
        <v>33</v>
      </c>
      <c r="H981" s="8">
        <v>309540000</v>
      </c>
      <c r="I981" s="10" t="s">
        <v>783</v>
      </c>
      <c r="J981" s="7" t="s">
        <v>784</v>
      </c>
      <c r="K981" s="10" t="s">
        <v>58</v>
      </c>
      <c r="L981" s="7" t="s">
        <v>59</v>
      </c>
      <c r="M981" s="7"/>
      <c r="N981" s="7">
        <f>VLOOKUP(J981,[1]Sheet1!$C:$D,2,FALSE)</f>
        <v>3393</v>
      </c>
      <c r="O981" s="7">
        <f>VLOOKUP(J981,[2]Desa!$A:$D,4,FALSE)</f>
        <v>193</v>
      </c>
      <c r="P981" s="7">
        <f>VLOOKUP(J981,[3]Sheet1!$D:$F,3,FALSE)</f>
        <v>27</v>
      </c>
      <c r="Q981" s="7"/>
      <c r="R981" s="7"/>
      <c r="S981" s="12">
        <v>-8.5351132897504005</v>
      </c>
      <c r="T981" s="12">
        <v>116.26742802017</v>
      </c>
      <c r="U981" s="7"/>
      <c r="V981" s="50">
        <f>Table13678[[#This Row],[PAGU SEMULA]]-Table13678[[#This Row],[PAGU ANGGARAN]]</f>
        <v>-309540000</v>
      </c>
      <c r="W981" s="50">
        <f>Table13678[[#This Row],[PAGU SEMULA]]-Table13678[[#This Row],[PAGU ANGGARAN]]</f>
        <v>-309540000</v>
      </c>
      <c r="X981" t="s">
        <v>984</v>
      </c>
    </row>
    <row r="982" spans="3:24" hidden="1">
      <c r="C982" s="7" t="s">
        <v>29</v>
      </c>
      <c r="D982" s="7" t="s">
        <v>30</v>
      </c>
      <c r="E982" s="7" t="s">
        <v>31</v>
      </c>
      <c r="F982" s="7" t="s">
        <v>32</v>
      </c>
      <c r="G982" s="7" t="s">
        <v>34</v>
      </c>
      <c r="H982" s="8">
        <v>24763200</v>
      </c>
      <c r="I982" s="10" t="s">
        <v>783</v>
      </c>
      <c r="J982" s="7" t="s">
        <v>784</v>
      </c>
      <c r="K982" s="10" t="s">
        <v>58</v>
      </c>
      <c r="L982" s="7" t="s">
        <v>59</v>
      </c>
      <c r="M982" s="7"/>
      <c r="N982" s="7">
        <f>VLOOKUP(J982,[1]Sheet1!$C:$D,2,FALSE)</f>
        <v>3393</v>
      </c>
      <c r="O982" s="7">
        <f>VLOOKUP(J982,[2]Desa!$A:$D,4,FALSE)</f>
        <v>193</v>
      </c>
      <c r="P982" s="7">
        <f>VLOOKUP(J982,[3]Sheet1!$D:$F,3,FALSE)</f>
        <v>27</v>
      </c>
      <c r="Q982" s="7"/>
      <c r="R982" s="7"/>
      <c r="S982" s="12">
        <v>-8.5351132897504005</v>
      </c>
      <c r="T982" s="12">
        <v>116.26742802017</v>
      </c>
      <c r="U982" s="7"/>
      <c r="V982" s="50">
        <f>Table13678[[#This Row],[PAGU SEMULA]]-Table13678[[#This Row],[PAGU ANGGARAN]]</f>
        <v>-24763200</v>
      </c>
      <c r="W982" s="50">
        <f>Table13678[[#This Row],[PAGU SEMULA]]-Table13678[[#This Row],[PAGU ANGGARAN]]</f>
        <v>-24763200</v>
      </c>
      <c r="X982" t="s">
        <v>984</v>
      </c>
    </row>
    <row r="983" spans="3:24" hidden="1">
      <c r="C983" s="7" t="s">
        <v>84</v>
      </c>
      <c r="D983" s="7" t="s">
        <v>89</v>
      </c>
      <c r="E983" s="7" t="s">
        <v>90</v>
      </c>
      <c r="F983" s="7" t="s">
        <v>272</v>
      </c>
      <c r="G983" s="7" t="s">
        <v>436</v>
      </c>
      <c r="H983" s="8">
        <v>178250024</v>
      </c>
      <c r="I983" s="10" t="s">
        <v>783</v>
      </c>
      <c r="J983" s="7" t="s">
        <v>784</v>
      </c>
      <c r="K983" s="10" t="s">
        <v>58</v>
      </c>
      <c r="L983" s="7" t="s">
        <v>59</v>
      </c>
      <c r="M983" s="7"/>
      <c r="N983" s="7">
        <f>VLOOKUP(J983,[1]Sheet1!$C:$D,2,FALSE)</f>
        <v>3393</v>
      </c>
      <c r="O983" s="7">
        <f>VLOOKUP(J983,[2]Desa!$A:$D,4,FALSE)</f>
        <v>193</v>
      </c>
      <c r="P983" s="7">
        <f>VLOOKUP(J983,[3]Sheet1!$D:$F,3,FALSE)</f>
        <v>27</v>
      </c>
      <c r="Q983" s="7"/>
      <c r="R983" s="7"/>
      <c r="S983" s="12">
        <v>-8.5351132897504005</v>
      </c>
      <c r="T983" s="12">
        <v>116.26742802017</v>
      </c>
      <c r="U983" s="7"/>
      <c r="V983" s="50">
        <f>Table13678[[#This Row],[PAGU SEMULA]]-Table13678[[#This Row],[PAGU ANGGARAN]]</f>
        <v>-178250024</v>
      </c>
      <c r="W983" s="50">
        <f>Table13678[[#This Row],[PAGU SEMULA]]-Table13678[[#This Row],[PAGU ANGGARAN]]</f>
        <v>-178250024</v>
      </c>
      <c r="X983" t="s">
        <v>982</v>
      </c>
    </row>
    <row r="984" spans="3:24" hidden="1">
      <c r="C984" s="7" t="s">
        <v>35</v>
      </c>
      <c r="D984" s="7" t="s">
        <v>36</v>
      </c>
      <c r="E984" s="7" t="s">
        <v>37</v>
      </c>
      <c r="F984" s="7" t="s">
        <v>38</v>
      </c>
      <c r="G984" s="7" t="s">
        <v>39</v>
      </c>
      <c r="H984" s="15">
        <v>75000000</v>
      </c>
      <c r="I984" s="10" t="s">
        <v>783</v>
      </c>
      <c r="J984" s="7" t="s">
        <v>784</v>
      </c>
      <c r="K984" s="10" t="s">
        <v>58</v>
      </c>
      <c r="L984" s="7" t="s">
        <v>59</v>
      </c>
      <c r="M984" s="7"/>
      <c r="N984" s="7">
        <f>VLOOKUP(J984,[1]Sheet1!$C:$D,2,FALSE)</f>
        <v>3393</v>
      </c>
      <c r="O984" s="7">
        <f>VLOOKUP(J984,[2]Desa!$A:$D,4,FALSE)</f>
        <v>193</v>
      </c>
      <c r="P984" s="7">
        <f>VLOOKUP(J984,[3]Sheet1!$D:$F,3,FALSE)</f>
        <v>27</v>
      </c>
      <c r="Q984" s="7"/>
      <c r="R984" s="7"/>
      <c r="S984" s="12">
        <v>-8.5351132897504005</v>
      </c>
      <c r="T984" s="12">
        <v>116.26742802017</v>
      </c>
      <c r="U984" s="7"/>
      <c r="V984" s="50">
        <f>Table13678[[#This Row],[PAGU SEMULA]]-Table13678[[#This Row],[PAGU ANGGARAN]]</f>
        <v>-75000000</v>
      </c>
      <c r="W984" s="50">
        <f>Table13678[[#This Row],[PAGU SEMULA]]-Table13678[[#This Row],[PAGU ANGGARAN]]</f>
        <v>-75000000</v>
      </c>
      <c r="X984" t="s">
        <v>984</v>
      </c>
    </row>
    <row r="985" spans="3:24" hidden="1">
      <c r="C985" s="7" t="s">
        <v>46</v>
      </c>
      <c r="D985" s="7" t="s">
        <v>47</v>
      </c>
      <c r="E985" s="7" t="s">
        <v>48</v>
      </c>
      <c r="F985" s="7" t="s">
        <v>49</v>
      </c>
      <c r="G985" s="7" t="s">
        <v>371</v>
      </c>
      <c r="H985" s="8">
        <v>30774000</v>
      </c>
      <c r="I985" s="10" t="s">
        <v>783</v>
      </c>
      <c r="J985" s="7" t="s">
        <v>784</v>
      </c>
      <c r="K985" s="10" t="s">
        <v>58</v>
      </c>
      <c r="L985" s="7" t="s">
        <v>59</v>
      </c>
      <c r="M985" s="7"/>
      <c r="N985" s="7">
        <f>VLOOKUP(J985,[1]Sheet1!$C:$D,2,FALSE)</f>
        <v>3393</v>
      </c>
      <c r="O985" s="7">
        <f>VLOOKUP(J985,[2]Desa!$A:$D,4,FALSE)</f>
        <v>193</v>
      </c>
      <c r="P985" s="7">
        <f>VLOOKUP(J985,[3]Sheet1!$D:$F,3,FALSE)</f>
        <v>27</v>
      </c>
      <c r="Q985" s="7"/>
      <c r="R985" s="7"/>
      <c r="S985" s="12">
        <v>-8.5351132897504005</v>
      </c>
      <c r="T985" s="12">
        <v>116.26742802017</v>
      </c>
      <c r="U985" s="7"/>
      <c r="V985" s="50">
        <f>Table13678[[#This Row],[PAGU SEMULA]]-Table13678[[#This Row],[PAGU ANGGARAN]]</f>
        <v>-30774000</v>
      </c>
      <c r="W985" s="50">
        <f>Table13678[[#This Row],[PAGU SEMULA]]-Table13678[[#This Row],[PAGU ANGGARAN]]</f>
        <v>-30774000</v>
      </c>
      <c r="X985" t="s">
        <v>987</v>
      </c>
    </row>
    <row r="986" spans="3:24" hidden="1">
      <c r="C986" s="7" t="s">
        <v>46</v>
      </c>
      <c r="D986" s="7" t="s">
        <v>47</v>
      </c>
      <c r="E986" s="7" t="s">
        <v>48</v>
      </c>
      <c r="F986" s="7" t="s">
        <v>49</v>
      </c>
      <c r="G986" s="7" t="s">
        <v>785</v>
      </c>
      <c r="H986" s="8">
        <v>29505000</v>
      </c>
      <c r="I986" s="10" t="s">
        <v>783</v>
      </c>
      <c r="J986" s="7" t="s">
        <v>784</v>
      </c>
      <c r="K986" s="10" t="s">
        <v>58</v>
      </c>
      <c r="L986" s="7" t="s">
        <v>59</v>
      </c>
      <c r="M986" s="7"/>
      <c r="N986" s="7">
        <f>VLOOKUP(J986,[1]Sheet1!$C:$D,2,FALSE)</f>
        <v>3393</v>
      </c>
      <c r="O986" s="7">
        <f>VLOOKUP(J986,[2]Desa!$A:$D,4,FALSE)</f>
        <v>193</v>
      </c>
      <c r="P986" s="7">
        <f>VLOOKUP(J986,[3]Sheet1!$D:$F,3,FALSE)</f>
        <v>27</v>
      </c>
      <c r="Q986" s="7"/>
      <c r="R986" s="7"/>
      <c r="S986" s="12">
        <v>-8.5351132897504005</v>
      </c>
      <c r="T986" s="12">
        <v>116.26742802017</v>
      </c>
      <c r="U986" s="7"/>
      <c r="V986" s="50">
        <f>Table13678[[#This Row],[PAGU SEMULA]]-Table13678[[#This Row],[PAGU ANGGARAN]]</f>
        <v>-29505000</v>
      </c>
      <c r="W986" s="50">
        <f>Table13678[[#This Row],[PAGU SEMULA]]-Table13678[[#This Row],[PAGU ANGGARAN]]</f>
        <v>-29505000</v>
      </c>
      <c r="X986" t="s">
        <v>987</v>
      </c>
    </row>
    <row r="987" spans="3:24" hidden="1">
      <c r="C987" s="7" t="s">
        <v>51</v>
      </c>
      <c r="D987" s="7" t="s">
        <v>65</v>
      </c>
      <c r="E987" s="7" t="s">
        <v>321</v>
      </c>
      <c r="F987" s="7" t="s">
        <v>322</v>
      </c>
      <c r="G987" s="7" t="s">
        <v>67</v>
      </c>
      <c r="H987" s="8">
        <v>200000000</v>
      </c>
      <c r="I987" s="10" t="s">
        <v>783</v>
      </c>
      <c r="J987" s="7" t="s">
        <v>784</v>
      </c>
      <c r="K987" s="10" t="s">
        <v>58</v>
      </c>
      <c r="L987" s="7" t="s">
        <v>59</v>
      </c>
      <c r="M987" s="7"/>
      <c r="N987" s="7">
        <f>VLOOKUP(J987,[1]Sheet1!$C:$D,2,FALSE)</f>
        <v>3393</v>
      </c>
      <c r="O987" s="7">
        <f>VLOOKUP(J987,[2]Desa!$A:$D,4,FALSE)</f>
        <v>193</v>
      </c>
      <c r="P987" s="7">
        <f>VLOOKUP(J987,[3]Sheet1!$D:$F,3,FALSE)</f>
        <v>27</v>
      </c>
      <c r="Q987" s="7"/>
      <c r="R987" s="7"/>
      <c r="S987" s="12">
        <v>-8.5351132897504005</v>
      </c>
      <c r="T987" s="12">
        <v>116.26742802017</v>
      </c>
      <c r="U987" s="7"/>
      <c r="V987" s="50">
        <f>Table13678[[#This Row],[PAGU SEMULA]]-Table13678[[#This Row],[PAGU ANGGARAN]]</f>
        <v>-200000000</v>
      </c>
      <c r="W987" s="50">
        <f>Table13678[[#This Row],[PAGU SEMULA]]-Table13678[[#This Row],[PAGU ANGGARAN]]</f>
        <v>-200000000</v>
      </c>
      <c r="X987" t="s">
        <v>986</v>
      </c>
    </row>
    <row r="988" spans="3:24" hidden="1">
      <c r="C988" s="7" t="s">
        <v>74</v>
      </c>
      <c r="D988" s="7" t="s">
        <v>75</v>
      </c>
      <c r="E988" s="7" t="s">
        <v>76</v>
      </c>
      <c r="F988" s="7" t="s">
        <v>77</v>
      </c>
      <c r="G988" s="7" t="s">
        <v>786</v>
      </c>
      <c r="H988" s="8">
        <v>46000000</v>
      </c>
      <c r="I988" s="10" t="s">
        <v>783</v>
      </c>
      <c r="J988" s="7" t="s">
        <v>784</v>
      </c>
      <c r="K988" s="10" t="s">
        <v>58</v>
      </c>
      <c r="L988" s="7" t="s">
        <v>59</v>
      </c>
      <c r="M988" s="7"/>
      <c r="N988" s="7">
        <f>VLOOKUP(J988,[1]Sheet1!$C:$D,2,FALSE)</f>
        <v>3393</v>
      </c>
      <c r="O988" s="7">
        <f>VLOOKUP(J988,[2]Desa!$A:$D,4,FALSE)</f>
        <v>193</v>
      </c>
      <c r="P988" s="7">
        <f>VLOOKUP(J988,[3]Sheet1!$D:$F,3,FALSE)</f>
        <v>27</v>
      </c>
      <c r="Q988" s="7"/>
      <c r="R988" s="7"/>
      <c r="S988" s="12">
        <v>-8.5351132897504005</v>
      </c>
      <c r="T988" s="12">
        <v>116.26742802017</v>
      </c>
      <c r="U988" s="7"/>
      <c r="V988" s="50">
        <f>Table13678[[#This Row],[PAGU SEMULA]]-Table13678[[#This Row],[PAGU ANGGARAN]]</f>
        <v>-46000000</v>
      </c>
      <c r="W988" s="50">
        <f>Table13678[[#This Row],[PAGU SEMULA]]-Table13678[[#This Row],[PAGU ANGGARAN]]</f>
        <v>-46000000</v>
      </c>
      <c r="X988" t="s">
        <v>982</v>
      </c>
    </row>
    <row r="989" spans="3:24" hidden="1">
      <c r="C989" s="7" t="s">
        <v>20</v>
      </c>
      <c r="D989" s="7" t="s">
        <v>104</v>
      </c>
      <c r="E989" s="7" t="s">
        <v>105</v>
      </c>
      <c r="F989" s="7" t="s">
        <v>138</v>
      </c>
      <c r="G989" s="71" t="s">
        <v>787</v>
      </c>
      <c r="H989" s="15">
        <v>80819500</v>
      </c>
      <c r="I989" s="10" t="s">
        <v>788</v>
      </c>
      <c r="J989" s="7" t="s">
        <v>789</v>
      </c>
      <c r="K989" s="10" t="s">
        <v>196</v>
      </c>
      <c r="L989" s="7" t="s">
        <v>197</v>
      </c>
      <c r="M989" s="7"/>
      <c r="N989" s="7">
        <f>VLOOKUP(J989,[1]Sheet1!$C:$D,2,FALSE)</f>
        <v>9297</v>
      </c>
      <c r="O989" s="7">
        <f>VLOOKUP(J989,[2]Desa!$A:$D,4,FALSE)</f>
        <v>664</v>
      </c>
      <c r="P989" s="7">
        <f>VLOOKUP(J989,[3]Sheet1!$D:$F,3,FALSE)</f>
        <v>75</v>
      </c>
      <c r="Q989" s="7"/>
      <c r="R989" s="7"/>
      <c r="S989" s="12">
        <v>-8.7835439338320693</v>
      </c>
      <c r="T989" s="12">
        <v>115.92907913551799</v>
      </c>
      <c r="U989" s="7"/>
      <c r="V989" s="50">
        <f>Table13678[[#This Row],[PAGU SEMULA]]-Table13678[[#This Row],[PAGU ANGGARAN]]</f>
        <v>-80819500</v>
      </c>
      <c r="W989" s="50">
        <f>Table13678[[#This Row],[PAGU SEMULA]]-Table13678[[#This Row],[PAGU ANGGARAN]]</f>
        <v>-80819500</v>
      </c>
      <c r="X989" t="s">
        <v>984</v>
      </c>
    </row>
    <row r="990" spans="3:24" hidden="1">
      <c r="C990" s="7" t="s">
        <v>20</v>
      </c>
      <c r="D990" s="7" t="s">
        <v>104</v>
      </c>
      <c r="E990" s="7" t="s">
        <v>105</v>
      </c>
      <c r="F990" s="7" t="s">
        <v>106</v>
      </c>
      <c r="G990" s="71" t="s">
        <v>790</v>
      </c>
      <c r="H990" s="15">
        <v>265950000</v>
      </c>
      <c r="I990" s="10" t="s">
        <v>788</v>
      </c>
      <c r="J990" s="7" t="s">
        <v>789</v>
      </c>
      <c r="K990" s="10" t="s">
        <v>196</v>
      </c>
      <c r="L990" s="7" t="s">
        <v>197</v>
      </c>
      <c r="M990" s="7"/>
      <c r="N990" s="7">
        <f>VLOOKUP(J990,[1]Sheet1!$C:$D,2,FALSE)</f>
        <v>9297</v>
      </c>
      <c r="O990" s="7">
        <f>VLOOKUP(J990,[2]Desa!$A:$D,4,FALSE)</f>
        <v>664</v>
      </c>
      <c r="P990" s="7">
        <f>VLOOKUP(J990,[3]Sheet1!$D:$F,3,FALSE)</f>
        <v>75</v>
      </c>
      <c r="Q990" s="7"/>
      <c r="R990" s="7"/>
      <c r="S990" s="12">
        <v>-8.7835439338320693</v>
      </c>
      <c r="T990" s="12">
        <v>115.92907913551799</v>
      </c>
      <c r="U990" s="7"/>
      <c r="V990" s="50">
        <f>Table13678[[#This Row],[PAGU SEMULA]]-Table13678[[#This Row],[PAGU ANGGARAN]]</f>
        <v>-265950000</v>
      </c>
      <c r="W990" s="50">
        <f>Table13678[[#This Row],[PAGU SEMULA]]-Table13678[[#This Row],[PAGU ANGGARAN]]</f>
        <v>-265950000</v>
      </c>
      <c r="X990" t="s">
        <v>984</v>
      </c>
    </row>
    <row r="991" spans="3:24" hidden="1">
      <c r="C991" s="7" t="s">
        <v>29</v>
      </c>
      <c r="D991" s="7" t="s">
        <v>30</v>
      </c>
      <c r="E991" s="7" t="s">
        <v>31</v>
      </c>
      <c r="F991" s="7" t="s">
        <v>32</v>
      </c>
      <c r="G991" s="7" t="s">
        <v>33</v>
      </c>
      <c r="H991" s="8">
        <v>515340000</v>
      </c>
      <c r="I991" s="10" t="s">
        <v>788</v>
      </c>
      <c r="J991" s="7" t="s">
        <v>789</v>
      </c>
      <c r="K991" s="10" t="s">
        <v>196</v>
      </c>
      <c r="L991" s="7" t="s">
        <v>197</v>
      </c>
      <c r="M991" s="7"/>
      <c r="N991" s="7">
        <f>VLOOKUP(J991,[1]Sheet1!$C:$D,2,FALSE)</f>
        <v>9297</v>
      </c>
      <c r="O991" s="7">
        <f>VLOOKUP(J991,[2]Desa!$A:$D,4,FALSE)</f>
        <v>664</v>
      </c>
      <c r="P991" s="7">
        <f>VLOOKUP(J991,[3]Sheet1!$D:$F,3,FALSE)</f>
        <v>75</v>
      </c>
      <c r="Q991" s="7"/>
      <c r="R991" s="7"/>
      <c r="S991" s="12">
        <v>-8.7835439338320693</v>
      </c>
      <c r="T991" s="12">
        <v>115.92907913551799</v>
      </c>
      <c r="U991" s="7"/>
      <c r="V991" s="50">
        <f>Table13678[[#This Row],[PAGU SEMULA]]-Table13678[[#This Row],[PAGU ANGGARAN]]</f>
        <v>-515340000</v>
      </c>
      <c r="W991" s="50">
        <f>Table13678[[#This Row],[PAGU SEMULA]]-Table13678[[#This Row],[PAGU ANGGARAN]]</f>
        <v>-515340000</v>
      </c>
      <c r="X991" t="s">
        <v>984</v>
      </c>
    </row>
    <row r="992" spans="3:24" hidden="1">
      <c r="C992" s="7" t="s">
        <v>29</v>
      </c>
      <c r="D992" s="7" t="s">
        <v>30</v>
      </c>
      <c r="E992" s="7" t="s">
        <v>31</v>
      </c>
      <c r="F992" s="7" t="s">
        <v>32</v>
      </c>
      <c r="G992" s="7" t="s">
        <v>34</v>
      </c>
      <c r="H992" s="8">
        <v>41227200</v>
      </c>
      <c r="I992" s="10" t="s">
        <v>788</v>
      </c>
      <c r="J992" s="7" t="s">
        <v>789</v>
      </c>
      <c r="K992" s="10" t="s">
        <v>196</v>
      </c>
      <c r="L992" s="7" t="s">
        <v>197</v>
      </c>
      <c r="M992" s="7"/>
      <c r="N992" s="7">
        <f>VLOOKUP(J992,[1]Sheet1!$C:$D,2,FALSE)</f>
        <v>9297</v>
      </c>
      <c r="O992" s="7">
        <f>VLOOKUP(J992,[2]Desa!$A:$D,4,FALSE)</f>
        <v>664</v>
      </c>
      <c r="P992" s="7">
        <f>VLOOKUP(J992,[3]Sheet1!$D:$F,3,FALSE)</f>
        <v>75</v>
      </c>
      <c r="Q992" s="7"/>
      <c r="R992" s="7"/>
      <c r="S992" s="12">
        <v>-8.7835439338320693</v>
      </c>
      <c r="T992" s="12">
        <v>115.92907913551799</v>
      </c>
      <c r="U992" s="7"/>
      <c r="V992" s="50">
        <f>Table13678[[#This Row],[PAGU SEMULA]]-Table13678[[#This Row],[PAGU ANGGARAN]]</f>
        <v>-41227200</v>
      </c>
      <c r="W992" s="50">
        <f>Table13678[[#This Row],[PAGU SEMULA]]-Table13678[[#This Row],[PAGU ANGGARAN]]</f>
        <v>-41227200</v>
      </c>
      <c r="X992" t="s">
        <v>984</v>
      </c>
    </row>
    <row r="993" spans="3:24" hidden="1">
      <c r="C993" s="7" t="s">
        <v>198</v>
      </c>
      <c r="D993" s="7" t="s">
        <v>199</v>
      </c>
      <c r="E993" s="7" t="s">
        <v>200</v>
      </c>
      <c r="F993" s="7" t="s">
        <v>201</v>
      </c>
      <c r="G993" s="7" t="s">
        <v>202</v>
      </c>
      <c r="H993" s="8">
        <v>143331500</v>
      </c>
      <c r="I993" s="10" t="s">
        <v>788</v>
      </c>
      <c r="J993" s="7" t="s">
        <v>789</v>
      </c>
      <c r="K993" s="10" t="s">
        <v>196</v>
      </c>
      <c r="L993" s="7" t="s">
        <v>197</v>
      </c>
      <c r="M993" s="7"/>
      <c r="N993" s="7">
        <f>VLOOKUP(J993,[1]Sheet1!$C:$D,2,FALSE)</f>
        <v>9297</v>
      </c>
      <c r="O993" s="7">
        <f>VLOOKUP(J993,[2]Desa!$A:$D,4,FALSE)</f>
        <v>664</v>
      </c>
      <c r="P993" s="7">
        <f>VLOOKUP(J993,[3]Sheet1!$D:$F,3,FALSE)</f>
        <v>75</v>
      </c>
      <c r="Q993" s="7"/>
      <c r="R993" s="7"/>
      <c r="S993" s="12">
        <v>-8.7835439338320693</v>
      </c>
      <c r="T993" s="12">
        <v>115.92907913551799</v>
      </c>
      <c r="U993" s="7"/>
      <c r="V993" s="50">
        <f>Table13678[[#This Row],[PAGU SEMULA]]-Table13678[[#This Row],[PAGU ANGGARAN]]</f>
        <v>-143331500</v>
      </c>
      <c r="W993" s="50">
        <f>Table13678[[#This Row],[PAGU SEMULA]]-Table13678[[#This Row],[PAGU ANGGARAN]]</f>
        <v>-143331500</v>
      </c>
      <c r="X993" t="s">
        <v>982</v>
      </c>
    </row>
    <row r="994" spans="3:24" hidden="1">
      <c r="C994" s="7" t="s">
        <v>35</v>
      </c>
      <c r="D994" s="7" t="s">
        <v>36</v>
      </c>
      <c r="E994" s="7" t="s">
        <v>37</v>
      </c>
      <c r="F994" s="7" t="s">
        <v>38</v>
      </c>
      <c r="G994" s="7" t="s">
        <v>39</v>
      </c>
      <c r="H994" s="15">
        <v>105000000</v>
      </c>
      <c r="I994" s="10" t="s">
        <v>788</v>
      </c>
      <c r="J994" s="7" t="s">
        <v>789</v>
      </c>
      <c r="K994" s="10" t="s">
        <v>196</v>
      </c>
      <c r="L994" s="7" t="s">
        <v>197</v>
      </c>
      <c r="M994" s="7"/>
      <c r="N994" s="7">
        <f>VLOOKUP(J994,[1]Sheet1!$C:$D,2,FALSE)</f>
        <v>9297</v>
      </c>
      <c r="O994" s="7">
        <f>VLOOKUP(J994,[2]Desa!$A:$D,4,FALSE)</f>
        <v>664</v>
      </c>
      <c r="P994" s="7">
        <f>VLOOKUP(J994,[3]Sheet1!$D:$F,3,FALSE)</f>
        <v>75</v>
      </c>
      <c r="Q994" s="7"/>
      <c r="R994" s="7"/>
      <c r="S994" s="12">
        <v>-8.7835439338320693</v>
      </c>
      <c r="T994" s="12">
        <v>115.92907913551799</v>
      </c>
      <c r="U994" s="7"/>
      <c r="V994" s="50">
        <f>Table13678[[#This Row],[PAGU SEMULA]]-Table13678[[#This Row],[PAGU ANGGARAN]]</f>
        <v>-105000000</v>
      </c>
      <c r="W994" s="50">
        <f>Table13678[[#This Row],[PAGU SEMULA]]-Table13678[[#This Row],[PAGU ANGGARAN]]</f>
        <v>-105000000</v>
      </c>
      <c r="X994" t="s">
        <v>984</v>
      </c>
    </row>
    <row r="995" spans="3:24" hidden="1">
      <c r="C995" s="7" t="s">
        <v>35</v>
      </c>
      <c r="D995" s="7" t="s">
        <v>156</v>
      </c>
      <c r="E995" s="7" t="s">
        <v>157</v>
      </c>
      <c r="F995" s="7" t="s">
        <v>158</v>
      </c>
      <c r="G995" s="7" t="s">
        <v>621</v>
      </c>
      <c r="H995" s="15">
        <v>0</v>
      </c>
      <c r="I995" s="10" t="s">
        <v>788</v>
      </c>
      <c r="J995" s="7" t="s">
        <v>789</v>
      </c>
      <c r="K995" s="10" t="s">
        <v>196</v>
      </c>
      <c r="L995" s="7" t="s">
        <v>197</v>
      </c>
      <c r="M995" s="7"/>
      <c r="N995" s="7">
        <f>VLOOKUP(J995,[1]Sheet1!$C:$D,2,FALSE)</f>
        <v>9297</v>
      </c>
      <c r="O995" s="7">
        <f>VLOOKUP(J995,[2]Desa!$A:$D,4,FALSE)</f>
        <v>664</v>
      </c>
      <c r="P995" s="7">
        <f>VLOOKUP(J995,[3]Sheet1!$D:$F,3,FALSE)</f>
        <v>75</v>
      </c>
      <c r="Q995" s="7"/>
      <c r="R995" s="7"/>
      <c r="S995" s="12">
        <v>-8.7835439338320693</v>
      </c>
      <c r="T995" s="12">
        <v>115.92907913551799</v>
      </c>
      <c r="U995" s="7"/>
      <c r="V995" s="50">
        <f>Table13678[[#This Row],[PAGU SEMULA]]-Table13678[[#This Row],[PAGU ANGGARAN]]</f>
        <v>0</v>
      </c>
      <c r="W995" s="50">
        <f>Table13678[[#This Row],[PAGU SEMULA]]-Table13678[[#This Row],[PAGU ANGGARAN]]</f>
        <v>0</v>
      </c>
      <c r="X995" t="s">
        <v>986</v>
      </c>
    </row>
    <row r="996" spans="3:24" hidden="1">
      <c r="C996" s="7" t="s">
        <v>35</v>
      </c>
      <c r="D996" s="7" t="s">
        <v>134</v>
      </c>
      <c r="E996" s="7" t="s">
        <v>700</v>
      </c>
      <c r="F996" s="7" t="s">
        <v>701</v>
      </c>
      <c r="G996" s="7" t="s">
        <v>702</v>
      </c>
      <c r="H996" s="17">
        <v>150500000</v>
      </c>
      <c r="I996" s="10" t="s">
        <v>788</v>
      </c>
      <c r="J996" s="7" t="s">
        <v>789</v>
      </c>
      <c r="K996" s="10" t="s">
        <v>196</v>
      </c>
      <c r="L996" s="7" t="s">
        <v>197</v>
      </c>
      <c r="M996" s="7"/>
      <c r="N996" s="7">
        <f>VLOOKUP(J996,[1]Sheet1!$C:$D,2,FALSE)</f>
        <v>9297</v>
      </c>
      <c r="O996" s="7">
        <f>VLOOKUP(J996,[2]Desa!$A:$D,4,FALSE)</f>
        <v>664</v>
      </c>
      <c r="P996" s="7">
        <f>VLOOKUP(J996,[3]Sheet1!$D:$F,3,FALSE)</f>
        <v>75</v>
      </c>
      <c r="Q996" s="7"/>
      <c r="R996" s="7"/>
      <c r="S996" s="12">
        <v>-8.7835439338320693</v>
      </c>
      <c r="T996" s="12">
        <v>115.92907913551799</v>
      </c>
      <c r="U996" s="7"/>
      <c r="V996" s="50">
        <f>Table13678[[#This Row],[PAGU SEMULA]]-Table13678[[#This Row],[PAGU ANGGARAN]]</f>
        <v>-150500000</v>
      </c>
      <c r="W996" s="50">
        <f>Table13678[[#This Row],[PAGU SEMULA]]-Table13678[[#This Row],[PAGU ANGGARAN]]</f>
        <v>-150500000</v>
      </c>
      <c r="X996" t="s">
        <v>986</v>
      </c>
    </row>
    <row r="997" spans="3:24" hidden="1">
      <c r="C997" s="7" t="s">
        <v>51</v>
      </c>
      <c r="D997" s="7" t="s">
        <v>52</v>
      </c>
      <c r="E997" s="7" t="s">
        <v>53</v>
      </c>
      <c r="F997" s="7" t="s">
        <v>54</v>
      </c>
      <c r="G997" s="7" t="s">
        <v>73</v>
      </c>
      <c r="H997" s="8">
        <v>189090000</v>
      </c>
      <c r="I997" s="10" t="s">
        <v>788</v>
      </c>
      <c r="J997" s="7" t="s">
        <v>789</v>
      </c>
      <c r="K997" s="10" t="s">
        <v>196</v>
      </c>
      <c r="L997" s="7" t="s">
        <v>197</v>
      </c>
      <c r="M997" s="7"/>
      <c r="N997" s="7">
        <f>VLOOKUP(J997,[1]Sheet1!$C:$D,2,FALSE)</f>
        <v>9297</v>
      </c>
      <c r="O997" s="7">
        <f>VLOOKUP(J997,[2]Desa!$A:$D,4,FALSE)</f>
        <v>664</v>
      </c>
      <c r="P997" s="7">
        <f>VLOOKUP(J997,[3]Sheet1!$D:$F,3,FALSE)</f>
        <v>75</v>
      </c>
      <c r="Q997" s="7"/>
      <c r="R997" s="7"/>
      <c r="S997" s="12">
        <v>-8.7835439338320693</v>
      </c>
      <c r="T997" s="12">
        <v>115.92907913551799</v>
      </c>
      <c r="U997" s="7"/>
      <c r="V997" s="50">
        <f>Table13678[[#This Row],[PAGU SEMULA]]-Table13678[[#This Row],[PAGU ANGGARAN]]</f>
        <v>-189090000</v>
      </c>
      <c r="W997" s="50">
        <f>Table13678[[#This Row],[PAGU SEMULA]]-Table13678[[#This Row],[PAGU ANGGARAN]]</f>
        <v>-189090000</v>
      </c>
      <c r="X997" t="s">
        <v>986</v>
      </c>
    </row>
    <row r="998" spans="3:24" hidden="1">
      <c r="C998" s="7" t="s">
        <v>51</v>
      </c>
      <c r="D998" s="7" t="s">
        <v>52</v>
      </c>
      <c r="E998" s="7" t="s">
        <v>53</v>
      </c>
      <c r="F998" s="7" t="s">
        <v>54</v>
      </c>
      <c r="G998" s="7" t="s">
        <v>73</v>
      </c>
      <c r="H998" s="8">
        <v>189090000</v>
      </c>
      <c r="I998" s="10" t="s">
        <v>788</v>
      </c>
      <c r="J998" s="7" t="s">
        <v>789</v>
      </c>
      <c r="K998" s="10" t="s">
        <v>196</v>
      </c>
      <c r="L998" s="7" t="s">
        <v>197</v>
      </c>
      <c r="M998" s="7"/>
      <c r="N998" s="7">
        <f>VLOOKUP(J998,[1]Sheet1!$C:$D,2,FALSE)</f>
        <v>9297</v>
      </c>
      <c r="O998" s="7">
        <f>VLOOKUP(J998,[2]Desa!$A:$D,4,FALSE)</f>
        <v>664</v>
      </c>
      <c r="P998" s="7">
        <f>VLOOKUP(J998,[3]Sheet1!$D:$F,3,FALSE)</f>
        <v>75</v>
      </c>
      <c r="Q998" s="7"/>
      <c r="R998" s="7"/>
      <c r="S998" s="12">
        <v>-8.7835439338320693</v>
      </c>
      <c r="T998" s="12">
        <v>115.92907913551799</v>
      </c>
      <c r="U998" s="7"/>
      <c r="V998" s="50">
        <f>Table13678[[#This Row],[PAGU SEMULA]]-Table13678[[#This Row],[PAGU ANGGARAN]]</f>
        <v>-189090000</v>
      </c>
      <c r="W998" s="50">
        <f>Table13678[[#This Row],[PAGU SEMULA]]-Table13678[[#This Row],[PAGU ANGGARAN]]</f>
        <v>-189090000</v>
      </c>
      <c r="X998" t="s">
        <v>986</v>
      </c>
    </row>
    <row r="999" spans="3:24" hidden="1">
      <c r="C999" s="7" t="s">
        <v>51</v>
      </c>
      <c r="D999" s="7" t="s">
        <v>52</v>
      </c>
      <c r="E999" s="7" t="s">
        <v>53</v>
      </c>
      <c r="F999" s="7" t="s">
        <v>54</v>
      </c>
      <c r="G999" s="7" t="s">
        <v>73</v>
      </c>
      <c r="H999" s="8">
        <v>189090000</v>
      </c>
      <c r="I999" s="10" t="s">
        <v>788</v>
      </c>
      <c r="J999" s="7" t="s">
        <v>789</v>
      </c>
      <c r="K999" s="10" t="s">
        <v>196</v>
      </c>
      <c r="L999" s="7" t="s">
        <v>197</v>
      </c>
      <c r="M999" s="7"/>
      <c r="N999" s="7">
        <f>VLOOKUP(J999,[1]Sheet1!$C:$D,2,FALSE)</f>
        <v>9297</v>
      </c>
      <c r="O999" s="7">
        <f>VLOOKUP(J999,[2]Desa!$A:$D,4,FALSE)</f>
        <v>664</v>
      </c>
      <c r="P999" s="7">
        <f>VLOOKUP(J999,[3]Sheet1!$D:$F,3,FALSE)</f>
        <v>75</v>
      </c>
      <c r="Q999" s="7"/>
      <c r="R999" s="7"/>
      <c r="S999" s="12">
        <v>-8.7835439338320693</v>
      </c>
      <c r="T999" s="12">
        <v>115.92907913551799</v>
      </c>
      <c r="U999" s="7"/>
      <c r="V999" s="50">
        <f>Table13678[[#This Row],[PAGU SEMULA]]-Table13678[[#This Row],[PAGU ANGGARAN]]</f>
        <v>-189090000</v>
      </c>
      <c r="W999" s="50">
        <f>Table13678[[#This Row],[PAGU SEMULA]]-Table13678[[#This Row],[PAGU ANGGARAN]]</f>
        <v>-189090000</v>
      </c>
      <c r="X999" t="s">
        <v>986</v>
      </c>
    </row>
    <row r="1000" spans="3:24" hidden="1">
      <c r="C1000" s="7" t="s">
        <v>51</v>
      </c>
      <c r="D1000" s="7" t="s">
        <v>607</v>
      </c>
      <c r="E1000" s="7" t="s">
        <v>608</v>
      </c>
      <c r="F1000" s="7" t="s">
        <v>609</v>
      </c>
      <c r="G1000" s="7" t="s">
        <v>610</v>
      </c>
      <c r="H1000" s="8">
        <v>191000000</v>
      </c>
      <c r="I1000" s="10" t="s">
        <v>788</v>
      </c>
      <c r="J1000" s="7" t="s">
        <v>789</v>
      </c>
      <c r="K1000" s="10" t="s">
        <v>196</v>
      </c>
      <c r="L1000" s="7" t="s">
        <v>197</v>
      </c>
      <c r="M1000" s="7"/>
      <c r="N1000" s="7">
        <f>VLOOKUP(J1000,[1]Sheet1!$C:$D,2,FALSE)</f>
        <v>9297</v>
      </c>
      <c r="O1000" s="7">
        <f>VLOOKUP(J1000,[2]Desa!$A:$D,4,FALSE)</f>
        <v>664</v>
      </c>
      <c r="P1000" s="7">
        <f>VLOOKUP(J1000,[3]Sheet1!$D:$F,3,FALSE)</f>
        <v>75</v>
      </c>
      <c r="Q1000" s="7"/>
      <c r="R1000" s="7"/>
      <c r="S1000" s="12">
        <v>-8.7835439338320693</v>
      </c>
      <c r="T1000" s="12">
        <v>115.92907913551799</v>
      </c>
      <c r="U1000" s="7"/>
      <c r="V1000" s="50">
        <f>Table13678[[#This Row],[PAGU SEMULA]]-Table13678[[#This Row],[PAGU ANGGARAN]]</f>
        <v>-191000000</v>
      </c>
      <c r="W1000" s="50">
        <f>Table13678[[#This Row],[PAGU SEMULA]]-Table13678[[#This Row],[PAGU ANGGARAN]]</f>
        <v>-191000000</v>
      </c>
      <c r="X1000" t="s">
        <v>984</v>
      </c>
    </row>
    <row r="1001" spans="3:24" hidden="1">
      <c r="C1001" s="7" t="s">
        <v>51</v>
      </c>
      <c r="D1001" s="7" t="s">
        <v>156</v>
      </c>
      <c r="E1001" s="7" t="s">
        <v>372</v>
      </c>
      <c r="F1001" s="7" t="s">
        <v>373</v>
      </c>
      <c r="G1001" s="7" t="s">
        <v>374</v>
      </c>
      <c r="H1001" s="8">
        <v>189000000</v>
      </c>
      <c r="I1001" s="10" t="s">
        <v>788</v>
      </c>
      <c r="J1001" s="7" t="s">
        <v>789</v>
      </c>
      <c r="K1001" s="10" t="s">
        <v>196</v>
      </c>
      <c r="L1001" s="7" t="s">
        <v>197</v>
      </c>
      <c r="M1001" s="7"/>
      <c r="N1001" s="7">
        <f>VLOOKUP(J1001,[1]Sheet1!$C:$D,2,FALSE)</f>
        <v>9297</v>
      </c>
      <c r="O1001" s="7">
        <f>VLOOKUP(J1001,[2]Desa!$A:$D,4,FALSE)</f>
        <v>664</v>
      </c>
      <c r="P1001" s="7">
        <f>VLOOKUP(J1001,[3]Sheet1!$D:$F,3,FALSE)</f>
        <v>75</v>
      </c>
      <c r="Q1001" s="7"/>
      <c r="R1001" s="7"/>
      <c r="S1001" s="12">
        <v>-8.7835439338320693</v>
      </c>
      <c r="T1001" s="12">
        <v>115.92907913551799</v>
      </c>
      <c r="U1001" s="7"/>
      <c r="V1001" s="50">
        <f>Table13678[[#This Row],[PAGU SEMULA]]-Table13678[[#This Row],[PAGU ANGGARAN]]</f>
        <v>-189000000</v>
      </c>
      <c r="W1001" s="50">
        <f>Table13678[[#This Row],[PAGU SEMULA]]-Table13678[[#This Row],[PAGU ANGGARAN]]</f>
        <v>-189000000</v>
      </c>
      <c r="X1001" t="s">
        <v>986</v>
      </c>
    </row>
    <row r="1002" spans="3:24" hidden="1">
      <c r="C1002" s="7" t="s">
        <v>29</v>
      </c>
      <c r="D1002" s="7" t="s">
        <v>30</v>
      </c>
      <c r="E1002" s="7" t="s">
        <v>31</v>
      </c>
      <c r="F1002" s="7" t="s">
        <v>32</v>
      </c>
      <c r="G1002" s="7" t="s">
        <v>33</v>
      </c>
      <c r="H1002" s="8">
        <v>290640000</v>
      </c>
      <c r="I1002" s="10" t="s">
        <v>791</v>
      </c>
      <c r="J1002" s="7" t="s">
        <v>792</v>
      </c>
      <c r="K1002" s="10" t="s">
        <v>288</v>
      </c>
      <c r="L1002" s="7" t="s">
        <v>289</v>
      </c>
      <c r="M1002" s="7"/>
      <c r="N1002" s="7">
        <f>VLOOKUP(J1002,[1]Sheet1!$C:$D,2,FALSE)</f>
        <v>4382</v>
      </c>
      <c r="O1002" s="7">
        <f>VLOOKUP(J1002,[2]Desa!$A:$D,4,FALSE)</f>
        <v>246</v>
      </c>
      <c r="P1002" s="7">
        <f>VLOOKUP(J1002,[3]Sheet1!$D:$F,3,FALSE)</f>
        <v>22</v>
      </c>
      <c r="Q1002" s="7"/>
      <c r="R1002" s="7"/>
      <c r="S1002" s="12">
        <v>-8.5459622972796794</v>
      </c>
      <c r="T1002" s="12">
        <v>116.139139552578</v>
      </c>
      <c r="U1002" s="7"/>
      <c r="V1002" s="50">
        <f>Table13678[[#This Row],[PAGU SEMULA]]-Table13678[[#This Row],[PAGU ANGGARAN]]</f>
        <v>-290640000</v>
      </c>
      <c r="W1002" s="50">
        <f>Table13678[[#This Row],[PAGU SEMULA]]-Table13678[[#This Row],[PAGU ANGGARAN]]</f>
        <v>-290640000</v>
      </c>
      <c r="X1002" t="s">
        <v>984</v>
      </c>
    </row>
    <row r="1003" spans="3:24" hidden="1">
      <c r="C1003" s="7" t="s">
        <v>29</v>
      </c>
      <c r="D1003" s="7" t="s">
        <v>30</v>
      </c>
      <c r="E1003" s="7" t="s">
        <v>31</v>
      </c>
      <c r="F1003" s="7" t="s">
        <v>32</v>
      </c>
      <c r="G1003" s="7" t="s">
        <v>34</v>
      </c>
      <c r="H1003" s="8">
        <v>23251200</v>
      </c>
      <c r="I1003" s="10" t="s">
        <v>791</v>
      </c>
      <c r="J1003" s="7" t="s">
        <v>792</v>
      </c>
      <c r="K1003" s="10" t="s">
        <v>288</v>
      </c>
      <c r="L1003" s="7" t="s">
        <v>289</v>
      </c>
      <c r="M1003" s="7"/>
      <c r="N1003" s="7">
        <f>VLOOKUP(J1003,[1]Sheet1!$C:$D,2,FALSE)</f>
        <v>4382</v>
      </c>
      <c r="O1003" s="7">
        <f>VLOOKUP(J1003,[2]Desa!$A:$D,4,FALSE)</f>
        <v>246</v>
      </c>
      <c r="P1003" s="7">
        <f>VLOOKUP(J1003,[3]Sheet1!$D:$F,3,FALSE)</f>
        <v>22</v>
      </c>
      <c r="Q1003" s="7"/>
      <c r="R1003" s="7"/>
      <c r="S1003" s="12">
        <v>-8.5459622972796794</v>
      </c>
      <c r="T1003" s="12">
        <v>116.139139552578</v>
      </c>
      <c r="U1003" s="7"/>
      <c r="V1003" s="50">
        <f>Table13678[[#This Row],[PAGU SEMULA]]-Table13678[[#This Row],[PAGU ANGGARAN]]</f>
        <v>-23251200</v>
      </c>
      <c r="W1003" s="50">
        <f>Table13678[[#This Row],[PAGU SEMULA]]-Table13678[[#This Row],[PAGU ANGGARAN]]</f>
        <v>-23251200</v>
      </c>
      <c r="X1003" t="s">
        <v>984</v>
      </c>
    </row>
    <row r="1004" spans="3:24" hidden="1">
      <c r="C1004" s="7" t="s">
        <v>35</v>
      </c>
      <c r="D1004" s="7" t="s">
        <v>36</v>
      </c>
      <c r="E1004" s="7" t="s">
        <v>37</v>
      </c>
      <c r="F1004" s="7" t="s">
        <v>38</v>
      </c>
      <c r="G1004" s="7" t="s">
        <v>39</v>
      </c>
      <c r="H1004" s="15">
        <v>75000000</v>
      </c>
      <c r="I1004" s="10" t="s">
        <v>791</v>
      </c>
      <c r="J1004" s="7" t="s">
        <v>792</v>
      </c>
      <c r="K1004" s="10" t="s">
        <v>288</v>
      </c>
      <c r="L1004" s="7" t="s">
        <v>289</v>
      </c>
      <c r="M1004" s="7"/>
      <c r="N1004" s="7">
        <f>VLOOKUP(J1004,[1]Sheet1!$C:$D,2,FALSE)</f>
        <v>4382</v>
      </c>
      <c r="O1004" s="7">
        <f>VLOOKUP(J1004,[2]Desa!$A:$D,4,FALSE)</f>
        <v>246</v>
      </c>
      <c r="P1004" s="7">
        <f>VLOOKUP(J1004,[3]Sheet1!$D:$F,3,FALSE)</f>
        <v>22</v>
      </c>
      <c r="Q1004" s="7"/>
      <c r="R1004" s="7"/>
      <c r="S1004" s="12">
        <v>-8.5459622972796794</v>
      </c>
      <c r="T1004" s="12">
        <v>116.139139552578</v>
      </c>
      <c r="U1004" s="7"/>
      <c r="V1004" s="50">
        <f>Table13678[[#This Row],[PAGU SEMULA]]-Table13678[[#This Row],[PAGU ANGGARAN]]</f>
        <v>-75000000</v>
      </c>
      <c r="W1004" s="50">
        <f>Table13678[[#This Row],[PAGU SEMULA]]-Table13678[[#This Row],[PAGU ANGGARAN]]</f>
        <v>-75000000</v>
      </c>
      <c r="X1004" t="s">
        <v>984</v>
      </c>
    </row>
    <row r="1005" spans="3:24" hidden="1">
      <c r="C1005" s="7" t="s">
        <v>35</v>
      </c>
      <c r="D1005" s="7" t="s">
        <v>212</v>
      </c>
      <c r="E1005" s="7" t="s">
        <v>213</v>
      </c>
      <c r="F1005" s="7" t="s">
        <v>214</v>
      </c>
      <c r="G1005" s="7" t="s">
        <v>336</v>
      </c>
      <c r="H1005" s="17">
        <v>353675000</v>
      </c>
      <c r="I1005" s="10" t="s">
        <v>791</v>
      </c>
      <c r="J1005" s="7" t="s">
        <v>792</v>
      </c>
      <c r="K1005" s="10" t="s">
        <v>288</v>
      </c>
      <c r="L1005" s="7" t="s">
        <v>289</v>
      </c>
      <c r="M1005" s="7"/>
      <c r="N1005" s="7">
        <f>VLOOKUP(J1005,[1]Sheet1!$C:$D,2,FALSE)</f>
        <v>4382</v>
      </c>
      <c r="O1005" s="7">
        <f>VLOOKUP(J1005,[2]Desa!$A:$D,4,FALSE)</f>
        <v>246</v>
      </c>
      <c r="P1005" s="7">
        <f>VLOOKUP(J1005,[3]Sheet1!$D:$F,3,FALSE)</f>
        <v>22</v>
      </c>
      <c r="Q1005" s="7"/>
      <c r="R1005" s="7"/>
      <c r="S1005" s="12">
        <v>-8.5459622972796794</v>
      </c>
      <c r="T1005" s="12">
        <v>116.139139552578</v>
      </c>
      <c r="U1005" s="7"/>
      <c r="V1005" s="50">
        <f>Table13678[[#This Row],[PAGU SEMULA]]-Table13678[[#This Row],[PAGU ANGGARAN]]</f>
        <v>-353675000</v>
      </c>
      <c r="W1005" s="50">
        <f>Table13678[[#This Row],[PAGU SEMULA]]-Table13678[[#This Row],[PAGU ANGGARAN]]</f>
        <v>-353675000</v>
      </c>
      <c r="X1005" t="s">
        <v>986</v>
      </c>
    </row>
    <row r="1006" spans="3:24" hidden="1">
      <c r="C1006" s="7" t="s">
        <v>35</v>
      </c>
      <c r="D1006" s="7" t="s">
        <v>52</v>
      </c>
      <c r="E1006" s="7" t="s">
        <v>95</v>
      </c>
      <c r="F1006" s="7" t="s">
        <v>96</v>
      </c>
      <c r="G1006" s="7" t="s">
        <v>793</v>
      </c>
      <c r="H1006" s="17">
        <v>96750000</v>
      </c>
      <c r="I1006" s="10" t="s">
        <v>791</v>
      </c>
      <c r="J1006" s="7" t="s">
        <v>792</v>
      </c>
      <c r="K1006" s="10" t="s">
        <v>288</v>
      </c>
      <c r="L1006" s="7" t="s">
        <v>289</v>
      </c>
      <c r="M1006" s="7"/>
      <c r="N1006" s="7">
        <f>VLOOKUP(J1006,[1]Sheet1!$C:$D,2,FALSE)</f>
        <v>4382</v>
      </c>
      <c r="O1006" s="7">
        <f>VLOOKUP(J1006,[2]Desa!$A:$D,4,FALSE)</f>
        <v>246</v>
      </c>
      <c r="P1006" s="7">
        <f>VLOOKUP(J1006,[3]Sheet1!$D:$F,3,FALSE)</f>
        <v>22</v>
      </c>
      <c r="Q1006" s="7"/>
      <c r="R1006" s="7"/>
      <c r="S1006" s="12">
        <v>-8.5459622972796794</v>
      </c>
      <c r="T1006" s="12">
        <v>116.139139552578</v>
      </c>
      <c r="U1006" s="7"/>
      <c r="V1006" s="50">
        <f>Table13678[[#This Row],[PAGU SEMULA]]-Table13678[[#This Row],[PAGU ANGGARAN]]</f>
        <v>-96750000</v>
      </c>
      <c r="W1006" s="50">
        <f>Table13678[[#This Row],[PAGU SEMULA]]-Table13678[[#This Row],[PAGU ANGGARAN]]</f>
        <v>-96750000</v>
      </c>
      <c r="X1006" t="s">
        <v>986</v>
      </c>
    </row>
    <row r="1007" spans="3:24" hidden="1">
      <c r="C1007" s="7" t="s">
        <v>51</v>
      </c>
      <c r="D1007" s="7" t="s">
        <v>52</v>
      </c>
      <c r="E1007" s="7" t="s">
        <v>53</v>
      </c>
      <c r="F1007" s="7" t="s">
        <v>54</v>
      </c>
      <c r="G1007" s="7" t="s">
        <v>73</v>
      </c>
      <c r="H1007" s="8">
        <v>189090000</v>
      </c>
      <c r="I1007" s="10" t="s">
        <v>791</v>
      </c>
      <c r="J1007" s="7" t="s">
        <v>792</v>
      </c>
      <c r="K1007" s="10" t="s">
        <v>288</v>
      </c>
      <c r="L1007" s="7" t="s">
        <v>289</v>
      </c>
      <c r="M1007" s="7"/>
      <c r="N1007" s="7">
        <f>VLOOKUP(J1007,[1]Sheet1!$C:$D,2,FALSE)</f>
        <v>4382</v>
      </c>
      <c r="O1007" s="7">
        <f>VLOOKUP(J1007,[2]Desa!$A:$D,4,FALSE)</f>
        <v>246</v>
      </c>
      <c r="P1007" s="7">
        <f>VLOOKUP(J1007,[3]Sheet1!$D:$F,3,FALSE)</f>
        <v>22</v>
      </c>
      <c r="Q1007" s="7"/>
      <c r="R1007" s="7"/>
      <c r="S1007" s="12">
        <v>-8.5459622972796794</v>
      </c>
      <c r="T1007" s="12">
        <v>116.139139552578</v>
      </c>
      <c r="U1007" s="7"/>
      <c r="V1007" s="50">
        <f>Table13678[[#This Row],[PAGU SEMULA]]-Table13678[[#This Row],[PAGU ANGGARAN]]</f>
        <v>-189090000</v>
      </c>
      <c r="W1007" s="50">
        <f>Table13678[[#This Row],[PAGU SEMULA]]-Table13678[[#This Row],[PAGU ANGGARAN]]</f>
        <v>-189090000</v>
      </c>
      <c r="X1007" t="s">
        <v>986</v>
      </c>
    </row>
    <row r="1008" spans="3:24" hidden="1">
      <c r="C1008" s="7" t="s">
        <v>20</v>
      </c>
      <c r="D1008" s="7" t="s">
        <v>104</v>
      </c>
      <c r="E1008" s="7" t="s">
        <v>105</v>
      </c>
      <c r="F1008" s="7" t="s">
        <v>138</v>
      </c>
      <c r="G1008" s="71" t="s">
        <v>794</v>
      </c>
      <c r="H1008" s="15">
        <v>56447500</v>
      </c>
      <c r="I1008" s="10" t="s">
        <v>795</v>
      </c>
      <c r="J1008" s="7" t="s">
        <v>796</v>
      </c>
      <c r="K1008" s="10" t="s">
        <v>82</v>
      </c>
      <c r="L1008" s="7" t="s">
        <v>83</v>
      </c>
      <c r="M1008" s="7"/>
      <c r="N1008" s="7">
        <f>VLOOKUP(J1008,[1]Sheet1!$C:$D,2,FALSE)</f>
        <v>7046</v>
      </c>
      <c r="O1008" s="7">
        <f>VLOOKUP(J1008,[2]Desa!$A:$D,4,FALSE)</f>
        <v>200</v>
      </c>
      <c r="P1008" s="7">
        <f>VLOOKUP(J1008,[3]Sheet1!$D:$F,3,FALSE)</f>
        <v>73</v>
      </c>
      <c r="Q1008" s="7"/>
      <c r="R1008" s="7"/>
      <c r="S1008" s="12">
        <v>-8.6389282350061496</v>
      </c>
      <c r="T1008" s="12">
        <v>116.08718638131</v>
      </c>
      <c r="U1008" s="7"/>
      <c r="V1008" s="50">
        <f>Table13678[[#This Row],[PAGU SEMULA]]-Table13678[[#This Row],[PAGU ANGGARAN]]</f>
        <v>-56447500</v>
      </c>
      <c r="W1008" s="50">
        <f>Table13678[[#This Row],[PAGU SEMULA]]-Table13678[[#This Row],[PAGU ANGGARAN]]</f>
        <v>-56447500</v>
      </c>
      <c r="X1008" t="s">
        <v>984</v>
      </c>
    </row>
    <row r="1009" spans="3:24" hidden="1">
      <c r="C1009" s="7" t="s">
        <v>20</v>
      </c>
      <c r="D1009" s="7" t="s">
        <v>104</v>
      </c>
      <c r="E1009" s="7" t="s">
        <v>105</v>
      </c>
      <c r="F1009" s="7" t="s">
        <v>106</v>
      </c>
      <c r="G1009" s="72" t="s">
        <v>797</v>
      </c>
      <c r="H1009" s="15">
        <v>298600000</v>
      </c>
      <c r="I1009" s="10" t="s">
        <v>795</v>
      </c>
      <c r="J1009" s="7" t="s">
        <v>796</v>
      </c>
      <c r="K1009" s="10" t="s">
        <v>82</v>
      </c>
      <c r="L1009" s="7" t="s">
        <v>83</v>
      </c>
      <c r="M1009" s="7"/>
      <c r="N1009" s="7">
        <f>VLOOKUP(J1009,[1]Sheet1!$C:$D,2,FALSE)</f>
        <v>7046</v>
      </c>
      <c r="O1009" s="7">
        <f>VLOOKUP(J1009,[2]Desa!$A:$D,4,FALSE)</f>
        <v>200</v>
      </c>
      <c r="P1009" s="7">
        <f>VLOOKUP(J1009,[3]Sheet1!$D:$F,3,FALSE)</f>
        <v>73</v>
      </c>
      <c r="Q1009" s="7"/>
      <c r="R1009" s="7"/>
      <c r="S1009" s="12">
        <v>-8.6389282350061496</v>
      </c>
      <c r="T1009" s="12">
        <v>116.08718638131</v>
      </c>
      <c r="U1009" s="7"/>
      <c r="V1009" s="50">
        <f>Table13678[[#This Row],[PAGU SEMULA]]-Table13678[[#This Row],[PAGU ANGGARAN]]</f>
        <v>-298600000</v>
      </c>
      <c r="W1009" s="50">
        <f>Table13678[[#This Row],[PAGU SEMULA]]-Table13678[[#This Row],[PAGU ANGGARAN]]</f>
        <v>-298600000</v>
      </c>
      <c r="X1009" t="s">
        <v>984</v>
      </c>
    </row>
    <row r="1010" spans="3:24" hidden="1">
      <c r="C1010" s="7" t="s">
        <v>29</v>
      </c>
      <c r="D1010" s="7" t="s">
        <v>30</v>
      </c>
      <c r="E1010" s="7" t="s">
        <v>148</v>
      </c>
      <c r="F1010" s="7" t="s">
        <v>149</v>
      </c>
      <c r="G1010" s="7" t="s">
        <v>150</v>
      </c>
      <c r="H1010" s="8">
        <v>933100000</v>
      </c>
      <c r="I1010" s="10" t="s">
        <v>795</v>
      </c>
      <c r="J1010" s="16" t="s">
        <v>574</v>
      </c>
      <c r="K1010" s="10" t="s">
        <v>82</v>
      </c>
      <c r="L1010" s="7" t="s">
        <v>83</v>
      </c>
      <c r="M1010" s="7"/>
      <c r="N1010" s="7">
        <f>VLOOKUP(J1010,[1]Sheet1!$C:$D,2,FALSE)</f>
        <v>8874</v>
      </c>
      <c r="O1010" s="7">
        <f>VLOOKUP(J1010,[2]Desa!$A:$D,4,FALSE)</f>
        <v>113</v>
      </c>
      <c r="P1010" s="7">
        <f>VLOOKUP(J1010,[3]Sheet1!$D:$F,3,FALSE)</f>
        <v>76</v>
      </c>
      <c r="Q1010" s="7"/>
      <c r="R1010" s="7"/>
      <c r="S1010" s="12">
        <v>-8.6389282350061496</v>
      </c>
      <c r="T1010" s="12">
        <v>116.08718638131</v>
      </c>
      <c r="U1010" s="7"/>
      <c r="V1010" s="50">
        <f>Table13678[[#This Row],[PAGU SEMULA]]-Table13678[[#This Row],[PAGU ANGGARAN]]</f>
        <v>-933100000</v>
      </c>
      <c r="W1010" s="50">
        <f>Table13678[[#This Row],[PAGU SEMULA]]-Table13678[[#This Row],[PAGU ANGGARAN]]</f>
        <v>-933100000</v>
      </c>
      <c r="X1010" t="s">
        <v>984</v>
      </c>
    </row>
    <row r="1011" spans="3:24" hidden="1">
      <c r="C1011" s="7" t="s">
        <v>29</v>
      </c>
      <c r="D1011" s="7" t="s">
        <v>30</v>
      </c>
      <c r="E1011" s="7" t="s">
        <v>31</v>
      </c>
      <c r="F1011" s="7" t="s">
        <v>32</v>
      </c>
      <c r="G1011" s="7" t="s">
        <v>33</v>
      </c>
      <c r="H1011" s="8">
        <v>766920000</v>
      </c>
      <c r="I1011" s="10" t="s">
        <v>795</v>
      </c>
      <c r="J1011" s="7" t="s">
        <v>796</v>
      </c>
      <c r="K1011" s="10" t="s">
        <v>82</v>
      </c>
      <c r="L1011" s="7" t="s">
        <v>83</v>
      </c>
      <c r="M1011" s="7"/>
      <c r="N1011" s="7">
        <f>VLOOKUP(J1011,[1]Sheet1!$C:$D,2,FALSE)</f>
        <v>7046</v>
      </c>
      <c r="O1011" s="7">
        <f>VLOOKUP(J1011,[2]Desa!$A:$D,4,FALSE)</f>
        <v>200</v>
      </c>
      <c r="P1011" s="7">
        <f>VLOOKUP(J1011,[3]Sheet1!$D:$F,3,FALSE)</f>
        <v>73</v>
      </c>
      <c r="Q1011" s="7"/>
      <c r="R1011" s="7"/>
      <c r="S1011" s="12">
        <v>-8.6389282350061496</v>
      </c>
      <c r="T1011" s="12">
        <v>116.08718638131</v>
      </c>
      <c r="U1011" s="7"/>
      <c r="V1011" s="50">
        <f>Table13678[[#This Row],[PAGU SEMULA]]-Table13678[[#This Row],[PAGU ANGGARAN]]</f>
        <v>-766920000</v>
      </c>
      <c r="W1011" s="50">
        <f>Table13678[[#This Row],[PAGU SEMULA]]-Table13678[[#This Row],[PAGU ANGGARAN]]</f>
        <v>-766920000</v>
      </c>
      <c r="X1011" t="s">
        <v>984</v>
      </c>
    </row>
    <row r="1012" spans="3:24" hidden="1">
      <c r="C1012" s="7" t="s">
        <v>29</v>
      </c>
      <c r="D1012" s="7" t="s">
        <v>30</v>
      </c>
      <c r="E1012" s="7" t="s">
        <v>31</v>
      </c>
      <c r="F1012" s="7" t="s">
        <v>32</v>
      </c>
      <c r="G1012" s="7" t="s">
        <v>34</v>
      </c>
      <c r="H1012" s="8">
        <v>61353600</v>
      </c>
      <c r="I1012" s="10" t="s">
        <v>795</v>
      </c>
      <c r="J1012" s="7" t="s">
        <v>796</v>
      </c>
      <c r="K1012" s="10" t="s">
        <v>82</v>
      </c>
      <c r="L1012" s="7" t="s">
        <v>83</v>
      </c>
      <c r="M1012" s="7"/>
      <c r="N1012" s="7">
        <f>VLOOKUP(J1012,[1]Sheet1!$C:$D,2,FALSE)</f>
        <v>7046</v>
      </c>
      <c r="O1012" s="7">
        <f>VLOOKUP(J1012,[2]Desa!$A:$D,4,FALSE)</f>
        <v>200</v>
      </c>
      <c r="P1012" s="7">
        <f>VLOOKUP(J1012,[3]Sheet1!$D:$F,3,FALSE)</f>
        <v>73</v>
      </c>
      <c r="Q1012" s="7"/>
      <c r="R1012" s="7"/>
      <c r="S1012" s="12">
        <v>-8.6389282350061496</v>
      </c>
      <c r="T1012" s="12">
        <v>116.08718638131</v>
      </c>
      <c r="U1012" s="7"/>
      <c r="V1012" s="50">
        <f>Table13678[[#This Row],[PAGU SEMULA]]-Table13678[[#This Row],[PAGU ANGGARAN]]</f>
        <v>-61353600</v>
      </c>
      <c r="W1012" s="50">
        <f>Table13678[[#This Row],[PAGU SEMULA]]-Table13678[[#This Row],[PAGU ANGGARAN]]</f>
        <v>-61353600</v>
      </c>
      <c r="X1012" t="s">
        <v>984</v>
      </c>
    </row>
    <row r="1013" spans="3:24" hidden="1">
      <c r="C1013" s="7" t="s">
        <v>35</v>
      </c>
      <c r="D1013" s="7" t="s">
        <v>36</v>
      </c>
      <c r="E1013" s="7" t="s">
        <v>37</v>
      </c>
      <c r="F1013" s="7" t="s">
        <v>38</v>
      </c>
      <c r="G1013" s="7" t="s">
        <v>39</v>
      </c>
      <c r="H1013" s="15">
        <v>75000000</v>
      </c>
      <c r="I1013" s="10" t="s">
        <v>795</v>
      </c>
      <c r="J1013" s="7" t="s">
        <v>796</v>
      </c>
      <c r="K1013" s="10" t="s">
        <v>82</v>
      </c>
      <c r="L1013" s="7" t="s">
        <v>83</v>
      </c>
      <c r="M1013" s="7"/>
      <c r="N1013" s="7">
        <f>VLOOKUP(J1013,[1]Sheet1!$C:$D,2,FALSE)</f>
        <v>7046</v>
      </c>
      <c r="O1013" s="7">
        <f>VLOOKUP(J1013,[2]Desa!$A:$D,4,FALSE)</f>
        <v>200</v>
      </c>
      <c r="P1013" s="7">
        <f>VLOOKUP(J1013,[3]Sheet1!$D:$F,3,FALSE)</f>
        <v>73</v>
      </c>
      <c r="Q1013" s="7"/>
      <c r="R1013" s="7"/>
      <c r="S1013" s="12">
        <v>-8.6389282350061496</v>
      </c>
      <c r="T1013" s="12">
        <v>116.08718638131</v>
      </c>
      <c r="U1013" s="7"/>
      <c r="V1013" s="50">
        <f>Table13678[[#This Row],[PAGU SEMULA]]-Table13678[[#This Row],[PAGU ANGGARAN]]</f>
        <v>-75000000</v>
      </c>
      <c r="W1013" s="50">
        <f>Table13678[[#This Row],[PAGU SEMULA]]-Table13678[[#This Row],[PAGU ANGGARAN]]</f>
        <v>-75000000</v>
      </c>
      <c r="X1013" t="s">
        <v>984</v>
      </c>
    </row>
    <row r="1014" spans="3:24" hidden="1">
      <c r="C1014" s="7" t="s">
        <v>29</v>
      </c>
      <c r="D1014" s="7" t="s">
        <v>30</v>
      </c>
      <c r="E1014" s="7" t="s">
        <v>31</v>
      </c>
      <c r="F1014" s="7" t="s">
        <v>32</v>
      </c>
      <c r="G1014" s="7" t="s">
        <v>33</v>
      </c>
      <c r="H1014" s="8">
        <v>612360000</v>
      </c>
      <c r="I1014" s="10" t="s">
        <v>798</v>
      </c>
      <c r="J1014" s="7" t="s">
        <v>799</v>
      </c>
      <c r="K1014" s="10" t="s">
        <v>58</v>
      </c>
      <c r="L1014" s="7" t="s">
        <v>59</v>
      </c>
      <c r="M1014" s="7"/>
      <c r="N1014" s="7">
        <f>VLOOKUP(J1014,[1]Sheet1!$C:$D,2,FALSE)</f>
        <v>7796</v>
      </c>
      <c r="O1014" s="7">
        <f>VLOOKUP(J1014,[2]Desa!$A:$D,4,FALSE)</f>
        <v>215</v>
      </c>
      <c r="P1014" s="7">
        <f>VLOOKUP(J1014,[3]Sheet1!$D:$F,3,FALSE)</f>
        <v>35</v>
      </c>
      <c r="Q1014" s="7"/>
      <c r="R1014" s="7"/>
      <c r="S1014" s="12">
        <v>-8.5939683234872604</v>
      </c>
      <c r="T1014" s="12">
        <v>116.213746322015</v>
      </c>
      <c r="U1014" s="7"/>
      <c r="V1014" s="50">
        <f>Table13678[[#This Row],[PAGU SEMULA]]-Table13678[[#This Row],[PAGU ANGGARAN]]</f>
        <v>-612360000</v>
      </c>
      <c r="W1014" s="50">
        <f>Table13678[[#This Row],[PAGU SEMULA]]-Table13678[[#This Row],[PAGU ANGGARAN]]</f>
        <v>-612360000</v>
      </c>
      <c r="X1014" t="s">
        <v>984</v>
      </c>
    </row>
    <row r="1015" spans="3:24" hidden="1">
      <c r="C1015" s="7" t="s">
        <v>29</v>
      </c>
      <c r="D1015" s="7" t="s">
        <v>30</v>
      </c>
      <c r="E1015" s="7" t="s">
        <v>31</v>
      </c>
      <c r="F1015" s="7" t="s">
        <v>32</v>
      </c>
      <c r="G1015" s="7" t="s">
        <v>34</v>
      </c>
      <c r="H1015" s="8">
        <v>48988800</v>
      </c>
      <c r="I1015" s="10" t="s">
        <v>798</v>
      </c>
      <c r="J1015" s="7" t="s">
        <v>799</v>
      </c>
      <c r="K1015" s="10" t="s">
        <v>58</v>
      </c>
      <c r="L1015" s="7" t="s">
        <v>59</v>
      </c>
      <c r="M1015" s="7"/>
      <c r="N1015" s="7">
        <f>VLOOKUP(J1015,[1]Sheet1!$C:$D,2,FALSE)</f>
        <v>7796</v>
      </c>
      <c r="O1015" s="7">
        <f>VLOOKUP(J1015,[2]Desa!$A:$D,4,FALSE)</f>
        <v>215</v>
      </c>
      <c r="P1015" s="7">
        <f>VLOOKUP(J1015,[3]Sheet1!$D:$F,3,FALSE)</f>
        <v>35</v>
      </c>
      <c r="Q1015" s="7"/>
      <c r="R1015" s="7"/>
      <c r="S1015" s="12">
        <v>-8.5939683234872604</v>
      </c>
      <c r="T1015" s="12">
        <v>116.213746322015</v>
      </c>
      <c r="U1015" s="7"/>
      <c r="V1015" s="50">
        <f>Table13678[[#This Row],[PAGU SEMULA]]-Table13678[[#This Row],[PAGU ANGGARAN]]</f>
        <v>-48988800</v>
      </c>
      <c r="W1015" s="50">
        <f>Table13678[[#This Row],[PAGU SEMULA]]-Table13678[[#This Row],[PAGU ANGGARAN]]</f>
        <v>-48988800</v>
      </c>
      <c r="X1015" t="s">
        <v>984</v>
      </c>
    </row>
    <row r="1016" spans="3:24" hidden="1">
      <c r="C1016" s="7" t="s">
        <v>110</v>
      </c>
      <c r="D1016" s="7" t="s">
        <v>111</v>
      </c>
      <c r="E1016" s="7" t="s">
        <v>112</v>
      </c>
      <c r="F1016" s="7" t="s">
        <v>113</v>
      </c>
      <c r="G1016" s="71" t="s">
        <v>800</v>
      </c>
      <c r="H1016" s="8">
        <v>347050000</v>
      </c>
      <c r="I1016" s="10" t="s">
        <v>798</v>
      </c>
      <c r="J1016" s="7" t="s">
        <v>799</v>
      </c>
      <c r="K1016" s="10" t="s">
        <v>58</v>
      </c>
      <c r="L1016" s="7" t="s">
        <v>59</v>
      </c>
      <c r="M1016" s="7"/>
      <c r="N1016" s="7">
        <f>VLOOKUP(J1016,[1]Sheet1!$C:$D,2,FALSE)</f>
        <v>7796</v>
      </c>
      <c r="O1016" s="7">
        <f>VLOOKUP(J1016,[2]Desa!$A:$D,4,FALSE)</f>
        <v>215</v>
      </c>
      <c r="P1016" s="7">
        <f>VLOOKUP(J1016,[3]Sheet1!$D:$F,3,FALSE)</f>
        <v>35</v>
      </c>
      <c r="Q1016" s="7"/>
      <c r="R1016" s="7"/>
      <c r="S1016" s="12">
        <v>-8.5939683234872604</v>
      </c>
      <c r="T1016" s="12">
        <v>116.213746322015</v>
      </c>
      <c r="U1016" s="7"/>
      <c r="V1016" s="50">
        <f>Table13678[[#This Row],[PAGU SEMULA]]-Table13678[[#This Row],[PAGU ANGGARAN]]</f>
        <v>-347050000</v>
      </c>
      <c r="W1016" s="50">
        <f>Table13678[[#This Row],[PAGU SEMULA]]-Table13678[[#This Row],[PAGU ANGGARAN]]</f>
        <v>-347050000</v>
      </c>
      <c r="X1016" t="s">
        <v>982</v>
      </c>
    </row>
    <row r="1017" spans="3:24" hidden="1">
      <c r="C1017" s="7" t="s">
        <v>110</v>
      </c>
      <c r="D1017" s="7" t="s">
        <v>111</v>
      </c>
      <c r="E1017" s="7" t="s">
        <v>112</v>
      </c>
      <c r="F1017" s="7" t="s">
        <v>113</v>
      </c>
      <c r="G1017" s="71" t="s">
        <v>274</v>
      </c>
      <c r="H1017" s="8">
        <v>197000000</v>
      </c>
      <c r="I1017" s="10" t="s">
        <v>798</v>
      </c>
      <c r="J1017" s="7" t="s">
        <v>799</v>
      </c>
      <c r="K1017" s="10" t="s">
        <v>58</v>
      </c>
      <c r="L1017" s="7" t="s">
        <v>59</v>
      </c>
      <c r="M1017" s="7"/>
      <c r="N1017" s="7">
        <f>VLOOKUP(J1017,[1]Sheet1!$C:$D,2,FALSE)</f>
        <v>7796</v>
      </c>
      <c r="O1017" s="7">
        <f>VLOOKUP(J1017,[2]Desa!$A:$D,4,FALSE)</f>
        <v>215</v>
      </c>
      <c r="P1017" s="7">
        <f>VLOOKUP(J1017,[3]Sheet1!$D:$F,3,FALSE)</f>
        <v>35</v>
      </c>
      <c r="Q1017" s="7"/>
      <c r="R1017" s="7"/>
      <c r="S1017" s="12">
        <v>-8.5939683234872604</v>
      </c>
      <c r="T1017" s="12">
        <v>116.213746322015</v>
      </c>
      <c r="U1017" s="7"/>
      <c r="V1017" s="50">
        <f>Table13678[[#This Row],[PAGU SEMULA]]-Table13678[[#This Row],[PAGU ANGGARAN]]</f>
        <v>-197000000</v>
      </c>
      <c r="W1017" s="50">
        <f>Table13678[[#This Row],[PAGU SEMULA]]-Table13678[[#This Row],[PAGU ANGGARAN]]</f>
        <v>-197000000</v>
      </c>
      <c r="X1017" t="s">
        <v>982</v>
      </c>
    </row>
    <row r="1018" spans="3:24" hidden="1">
      <c r="C1018" s="7" t="s">
        <v>35</v>
      </c>
      <c r="D1018" s="7" t="s">
        <v>36</v>
      </c>
      <c r="E1018" s="7" t="s">
        <v>37</v>
      </c>
      <c r="F1018" s="7" t="s">
        <v>38</v>
      </c>
      <c r="G1018" s="7" t="s">
        <v>39</v>
      </c>
      <c r="H1018" s="15">
        <v>75000000</v>
      </c>
      <c r="I1018" s="10" t="s">
        <v>798</v>
      </c>
      <c r="J1018" s="7" t="s">
        <v>799</v>
      </c>
      <c r="K1018" s="10" t="s">
        <v>58</v>
      </c>
      <c r="L1018" s="7" t="s">
        <v>59</v>
      </c>
      <c r="M1018" s="7"/>
      <c r="N1018" s="7">
        <f>VLOOKUP(J1018,[1]Sheet1!$C:$D,2,FALSE)</f>
        <v>7796</v>
      </c>
      <c r="O1018" s="7">
        <f>VLOOKUP(J1018,[2]Desa!$A:$D,4,FALSE)</f>
        <v>215</v>
      </c>
      <c r="P1018" s="7">
        <f>VLOOKUP(J1018,[3]Sheet1!$D:$F,3,FALSE)</f>
        <v>35</v>
      </c>
      <c r="Q1018" s="7"/>
      <c r="R1018" s="7"/>
      <c r="S1018" s="12">
        <v>-8.5939683234872604</v>
      </c>
      <c r="T1018" s="12">
        <v>116.213746322015</v>
      </c>
      <c r="U1018" s="7"/>
      <c r="V1018" s="50">
        <f>Table13678[[#This Row],[PAGU SEMULA]]-Table13678[[#This Row],[PAGU ANGGARAN]]</f>
        <v>-75000000</v>
      </c>
      <c r="W1018" s="50">
        <f>Table13678[[#This Row],[PAGU SEMULA]]-Table13678[[#This Row],[PAGU ANGGARAN]]</f>
        <v>-75000000</v>
      </c>
      <c r="X1018" t="s">
        <v>984</v>
      </c>
    </row>
    <row r="1019" spans="3:24" hidden="1">
      <c r="C1019" s="7" t="s">
        <v>35</v>
      </c>
      <c r="D1019" s="7" t="s">
        <v>65</v>
      </c>
      <c r="E1019" s="7" t="s">
        <v>66</v>
      </c>
      <c r="F1019" s="7" t="s">
        <v>322</v>
      </c>
      <c r="G1019" s="7" t="s">
        <v>322</v>
      </c>
      <c r="H1019" s="15">
        <v>68302000</v>
      </c>
      <c r="I1019" s="10" t="s">
        <v>798</v>
      </c>
      <c r="J1019" s="7" t="s">
        <v>799</v>
      </c>
      <c r="K1019" s="10" t="s">
        <v>58</v>
      </c>
      <c r="L1019" s="7" t="s">
        <v>59</v>
      </c>
      <c r="M1019" s="7"/>
      <c r="N1019" s="7">
        <f>VLOOKUP(J1019,[1]Sheet1!$C:$D,2,FALSE)</f>
        <v>7796</v>
      </c>
      <c r="O1019" s="7">
        <f>VLOOKUP(J1019,[2]Desa!$A:$D,4,FALSE)</f>
        <v>215</v>
      </c>
      <c r="P1019" s="7">
        <f>VLOOKUP(J1019,[3]Sheet1!$D:$F,3,FALSE)</f>
        <v>35</v>
      </c>
      <c r="Q1019" s="7"/>
      <c r="R1019" s="7"/>
      <c r="S1019" s="12">
        <v>-8.5939683234872604</v>
      </c>
      <c r="T1019" s="12">
        <v>116.213746322015</v>
      </c>
      <c r="U1019" s="7"/>
      <c r="V1019" s="50">
        <f>Table13678[[#This Row],[PAGU SEMULA]]-Table13678[[#This Row],[PAGU ANGGARAN]]</f>
        <v>-68302000</v>
      </c>
      <c r="W1019" s="50">
        <f>Table13678[[#This Row],[PAGU SEMULA]]-Table13678[[#This Row],[PAGU ANGGARAN]]</f>
        <v>-68302000</v>
      </c>
      <c r="X1019" t="s">
        <v>986</v>
      </c>
    </row>
    <row r="1020" spans="3:24" hidden="1">
      <c r="C1020" s="7" t="s">
        <v>35</v>
      </c>
      <c r="D1020" s="7" t="s">
        <v>52</v>
      </c>
      <c r="E1020" s="7" t="s">
        <v>95</v>
      </c>
      <c r="F1020" s="7" t="s">
        <v>96</v>
      </c>
      <c r="G1020" s="7" t="s">
        <v>41</v>
      </c>
      <c r="H1020" s="17">
        <v>416025000</v>
      </c>
      <c r="I1020" s="10" t="s">
        <v>798</v>
      </c>
      <c r="J1020" s="7" t="s">
        <v>799</v>
      </c>
      <c r="K1020" s="10" t="s">
        <v>58</v>
      </c>
      <c r="L1020" s="7" t="s">
        <v>59</v>
      </c>
      <c r="M1020" s="7"/>
      <c r="N1020" s="7">
        <f>VLOOKUP(J1020,[1]Sheet1!$C:$D,2,FALSE)</f>
        <v>7796</v>
      </c>
      <c r="O1020" s="7">
        <f>VLOOKUP(J1020,[2]Desa!$A:$D,4,FALSE)</f>
        <v>215</v>
      </c>
      <c r="P1020" s="7">
        <f>VLOOKUP(J1020,[3]Sheet1!$D:$F,3,FALSE)</f>
        <v>35</v>
      </c>
      <c r="Q1020" s="7"/>
      <c r="R1020" s="7"/>
      <c r="S1020" s="12">
        <v>-8.5939683234872604</v>
      </c>
      <c r="T1020" s="12">
        <v>116.213746322015</v>
      </c>
      <c r="U1020" s="7"/>
      <c r="V1020" s="50">
        <f>Table13678[[#This Row],[PAGU SEMULA]]-Table13678[[#This Row],[PAGU ANGGARAN]]</f>
        <v>-416025000</v>
      </c>
      <c r="W1020" s="50">
        <f>Table13678[[#This Row],[PAGU SEMULA]]-Table13678[[#This Row],[PAGU ANGGARAN]]</f>
        <v>-416025000</v>
      </c>
      <c r="X1020" t="s">
        <v>986</v>
      </c>
    </row>
    <row r="1021" spans="3:24" hidden="1">
      <c r="C1021" s="7" t="s">
        <v>46</v>
      </c>
      <c r="D1021" s="7" t="s">
        <v>122</v>
      </c>
      <c r="E1021" s="7" t="s">
        <v>123</v>
      </c>
      <c r="F1021" s="7" t="s">
        <v>124</v>
      </c>
      <c r="G1021" s="7" t="s">
        <v>369</v>
      </c>
      <c r="H1021" s="8">
        <v>37500000</v>
      </c>
      <c r="I1021" s="10" t="s">
        <v>798</v>
      </c>
      <c r="J1021" s="7" t="s">
        <v>799</v>
      </c>
      <c r="K1021" s="10" t="s">
        <v>58</v>
      </c>
      <c r="L1021" s="7" t="s">
        <v>59</v>
      </c>
      <c r="M1021" s="7"/>
      <c r="N1021" s="7">
        <f>VLOOKUP(J1021,[1]Sheet1!$C:$D,2,FALSE)</f>
        <v>7796</v>
      </c>
      <c r="O1021" s="7">
        <f>VLOOKUP(J1021,[2]Desa!$A:$D,4,FALSE)</f>
        <v>215</v>
      </c>
      <c r="P1021" s="7">
        <f>VLOOKUP(J1021,[3]Sheet1!$D:$F,3,FALSE)</f>
        <v>35</v>
      </c>
      <c r="Q1021" s="7"/>
      <c r="R1021" s="7"/>
      <c r="S1021" s="12">
        <v>-8.5939683234872604</v>
      </c>
      <c r="T1021" s="12">
        <v>116.213746322015</v>
      </c>
      <c r="U1021" s="7"/>
      <c r="V1021" s="50">
        <f>Table13678[[#This Row],[PAGU SEMULA]]-Table13678[[#This Row],[PAGU ANGGARAN]]</f>
        <v>-37500000</v>
      </c>
      <c r="W1021" s="50">
        <f>Table13678[[#This Row],[PAGU SEMULA]]-Table13678[[#This Row],[PAGU ANGGARAN]]</f>
        <v>-37500000</v>
      </c>
      <c r="X1021" t="s">
        <v>987</v>
      </c>
    </row>
    <row r="1022" spans="3:24" hidden="1">
      <c r="C1022" s="7" t="s">
        <v>46</v>
      </c>
      <c r="D1022" s="7" t="s">
        <v>122</v>
      </c>
      <c r="E1022" s="7" t="s">
        <v>123</v>
      </c>
      <c r="F1022" s="7" t="s">
        <v>124</v>
      </c>
      <c r="G1022" s="7" t="s">
        <v>370</v>
      </c>
      <c r="H1022" s="8">
        <v>22350000</v>
      </c>
      <c r="I1022" s="10" t="s">
        <v>798</v>
      </c>
      <c r="J1022" s="7" t="s">
        <v>799</v>
      </c>
      <c r="K1022" s="10" t="s">
        <v>58</v>
      </c>
      <c r="L1022" s="7" t="s">
        <v>59</v>
      </c>
      <c r="M1022" s="7"/>
      <c r="N1022" s="7">
        <f>VLOOKUP(J1022,[1]Sheet1!$C:$D,2,FALSE)</f>
        <v>7796</v>
      </c>
      <c r="O1022" s="7">
        <f>VLOOKUP(J1022,[2]Desa!$A:$D,4,FALSE)</f>
        <v>215</v>
      </c>
      <c r="P1022" s="7">
        <f>VLOOKUP(J1022,[3]Sheet1!$D:$F,3,FALSE)</f>
        <v>35</v>
      </c>
      <c r="Q1022" s="7"/>
      <c r="R1022" s="7"/>
      <c r="S1022" s="12">
        <v>-8.5939683234872604</v>
      </c>
      <c r="T1022" s="12">
        <v>116.213746322015</v>
      </c>
      <c r="U1022" s="7"/>
      <c r="V1022" s="50">
        <f>Table13678[[#This Row],[PAGU SEMULA]]-Table13678[[#This Row],[PAGU ANGGARAN]]</f>
        <v>-22350000</v>
      </c>
      <c r="W1022" s="50">
        <f>Table13678[[#This Row],[PAGU SEMULA]]-Table13678[[#This Row],[PAGU ANGGARAN]]</f>
        <v>-22350000</v>
      </c>
      <c r="X1022" t="s">
        <v>987</v>
      </c>
    </row>
    <row r="1023" spans="3:24" hidden="1">
      <c r="C1023" s="7" t="s">
        <v>51</v>
      </c>
      <c r="D1023" s="7" t="s">
        <v>52</v>
      </c>
      <c r="E1023" s="7" t="s">
        <v>53</v>
      </c>
      <c r="F1023" s="7" t="s">
        <v>54</v>
      </c>
      <c r="G1023" s="7" t="s">
        <v>73</v>
      </c>
      <c r="H1023" s="8">
        <v>189090000</v>
      </c>
      <c r="I1023" s="10" t="s">
        <v>798</v>
      </c>
      <c r="J1023" s="7" t="s">
        <v>799</v>
      </c>
      <c r="K1023" s="10" t="s">
        <v>58</v>
      </c>
      <c r="L1023" s="7" t="s">
        <v>59</v>
      </c>
      <c r="M1023" s="7"/>
      <c r="N1023" s="7">
        <f>VLOOKUP(J1023,[1]Sheet1!$C:$D,2,FALSE)</f>
        <v>7796</v>
      </c>
      <c r="O1023" s="7">
        <f>VLOOKUP(J1023,[2]Desa!$A:$D,4,FALSE)</f>
        <v>215</v>
      </c>
      <c r="P1023" s="7">
        <f>VLOOKUP(J1023,[3]Sheet1!$D:$F,3,FALSE)</f>
        <v>35</v>
      </c>
      <c r="Q1023" s="7"/>
      <c r="R1023" s="7"/>
      <c r="S1023" s="12">
        <v>-8.5939683234872604</v>
      </c>
      <c r="T1023" s="12">
        <v>116.213746322015</v>
      </c>
      <c r="U1023" s="7"/>
      <c r="V1023" s="50">
        <f>Table13678[[#This Row],[PAGU SEMULA]]-Table13678[[#This Row],[PAGU ANGGARAN]]</f>
        <v>-189090000</v>
      </c>
      <c r="W1023" s="50">
        <f>Table13678[[#This Row],[PAGU SEMULA]]-Table13678[[#This Row],[PAGU ANGGARAN]]</f>
        <v>-189090000</v>
      </c>
      <c r="X1023" t="s">
        <v>986</v>
      </c>
    </row>
    <row r="1024" spans="3:24" hidden="1">
      <c r="C1024" s="7" t="s">
        <v>51</v>
      </c>
      <c r="D1024" s="7" t="s">
        <v>607</v>
      </c>
      <c r="E1024" s="7" t="s">
        <v>608</v>
      </c>
      <c r="F1024" s="7" t="s">
        <v>609</v>
      </c>
      <c r="G1024" s="7" t="s">
        <v>610</v>
      </c>
      <c r="H1024" s="8">
        <v>191000000</v>
      </c>
      <c r="I1024" s="10" t="s">
        <v>798</v>
      </c>
      <c r="J1024" s="7" t="s">
        <v>799</v>
      </c>
      <c r="K1024" s="10" t="s">
        <v>58</v>
      </c>
      <c r="L1024" s="7" t="s">
        <v>59</v>
      </c>
      <c r="M1024" s="7"/>
      <c r="N1024" s="7">
        <f>VLOOKUP(J1024,[1]Sheet1!$C:$D,2,FALSE)</f>
        <v>7796</v>
      </c>
      <c r="O1024" s="7">
        <f>VLOOKUP(J1024,[2]Desa!$A:$D,4,FALSE)</f>
        <v>215</v>
      </c>
      <c r="P1024" s="7">
        <f>VLOOKUP(J1024,[3]Sheet1!$D:$F,3,FALSE)</f>
        <v>35</v>
      </c>
      <c r="Q1024" s="7"/>
      <c r="R1024" s="7"/>
      <c r="S1024" s="12">
        <v>-8.5939683234872604</v>
      </c>
      <c r="T1024" s="12">
        <v>116.213746322015</v>
      </c>
      <c r="U1024" s="7"/>
      <c r="V1024" s="50">
        <f>Table13678[[#This Row],[PAGU SEMULA]]-Table13678[[#This Row],[PAGU ANGGARAN]]</f>
        <v>-191000000</v>
      </c>
      <c r="W1024" s="50">
        <f>Table13678[[#This Row],[PAGU SEMULA]]-Table13678[[#This Row],[PAGU ANGGARAN]]</f>
        <v>-191000000</v>
      </c>
      <c r="X1024" t="s">
        <v>984</v>
      </c>
    </row>
    <row r="1025" spans="3:24" hidden="1">
      <c r="C1025" s="7" t="s">
        <v>387</v>
      </c>
      <c r="D1025" s="7" t="s">
        <v>100</v>
      </c>
      <c r="E1025" s="7" t="s">
        <v>388</v>
      </c>
      <c r="F1025" s="7" t="s">
        <v>102</v>
      </c>
      <c r="G1025" s="7" t="s">
        <v>801</v>
      </c>
      <c r="H1025" s="8">
        <v>35000000</v>
      </c>
      <c r="I1025" s="10" t="s">
        <v>798</v>
      </c>
      <c r="J1025" s="7" t="s">
        <v>799</v>
      </c>
      <c r="K1025" s="10" t="s">
        <v>58</v>
      </c>
      <c r="L1025" s="7" t="s">
        <v>59</v>
      </c>
      <c r="M1025" s="7"/>
      <c r="N1025" s="7">
        <f>VLOOKUP(J1025,[1]Sheet1!$C:$D,2,FALSE)</f>
        <v>7796</v>
      </c>
      <c r="O1025" s="7">
        <f>VLOOKUP(J1025,[2]Desa!$A:$D,4,FALSE)</f>
        <v>215</v>
      </c>
      <c r="P1025" s="7">
        <f>VLOOKUP(J1025,[3]Sheet1!$D:$F,3,FALSE)</f>
        <v>35</v>
      </c>
      <c r="Q1025" s="7"/>
      <c r="R1025" s="7"/>
      <c r="S1025" s="12">
        <v>-8.5939683234872604</v>
      </c>
      <c r="T1025" s="12">
        <v>116.213746322015</v>
      </c>
      <c r="U1025" s="7"/>
      <c r="V1025" s="50">
        <f>Table13678[[#This Row],[PAGU SEMULA]]-Table13678[[#This Row],[PAGU ANGGARAN]]</f>
        <v>-35000000</v>
      </c>
      <c r="W1025" s="50">
        <f>Table13678[[#This Row],[PAGU SEMULA]]-Table13678[[#This Row],[PAGU ANGGARAN]]</f>
        <v>-35000000</v>
      </c>
      <c r="X1025" t="s">
        <v>987</v>
      </c>
    </row>
    <row r="1026" spans="3:24" hidden="1">
      <c r="C1026" s="7" t="s">
        <v>29</v>
      </c>
      <c r="D1026" s="7" t="s">
        <v>30</v>
      </c>
      <c r="E1026" s="7" t="s">
        <v>31</v>
      </c>
      <c r="F1026" s="7" t="s">
        <v>32</v>
      </c>
      <c r="G1026" s="7" t="s">
        <v>33</v>
      </c>
      <c r="H1026" s="8">
        <v>377580000</v>
      </c>
      <c r="I1026" s="10" t="s">
        <v>802</v>
      </c>
      <c r="J1026" s="7" t="s">
        <v>803</v>
      </c>
      <c r="K1026" s="10" t="s">
        <v>167</v>
      </c>
      <c r="L1026" s="7" t="s">
        <v>168</v>
      </c>
      <c r="M1026" s="7"/>
      <c r="N1026" s="7">
        <f>VLOOKUP(J1026,[1]Sheet1!$C:$D,2,FALSE)</f>
        <v>4149</v>
      </c>
      <c r="O1026" s="7">
        <f>VLOOKUP(J1026,[2]Desa!$A:$D,4,FALSE)</f>
        <v>96</v>
      </c>
      <c r="P1026" s="7">
        <f>VLOOKUP(J1026,[3]Sheet1!$D:$F,3,FALSE)</f>
        <v>24</v>
      </c>
      <c r="Q1026" s="7"/>
      <c r="R1026" s="7"/>
      <c r="S1026" s="12">
        <v>-8.5727311565702706</v>
      </c>
      <c r="T1026" s="12">
        <v>116.16491856434899</v>
      </c>
      <c r="U1026" s="7"/>
      <c r="V1026" s="50">
        <f>Table13678[[#This Row],[PAGU SEMULA]]-Table13678[[#This Row],[PAGU ANGGARAN]]</f>
        <v>-377580000</v>
      </c>
      <c r="W1026" s="50">
        <f>Table13678[[#This Row],[PAGU SEMULA]]-Table13678[[#This Row],[PAGU ANGGARAN]]</f>
        <v>-377580000</v>
      </c>
      <c r="X1026" t="s">
        <v>984</v>
      </c>
    </row>
    <row r="1027" spans="3:24" hidden="1">
      <c r="C1027" s="7" t="s">
        <v>29</v>
      </c>
      <c r="D1027" s="7" t="s">
        <v>30</v>
      </c>
      <c r="E1027" s="7" t="s">
        <v>31</v>
      </c>
      <c r="F1027" s="7" t="s">
        <v>32</v>
      </c>
      <c r="G1027" s="7" t="s">
        <v>34</v>
      </c>
      <c r="H1027" s="8">
        <v>30206400</v>
      </c>
      <c r="I1027" s="10" t="s">
        <v>802</v>
      </c>
      <c r="J1027" s="7" t="s">
        <v>803</v>
      </c>
      <c r="K1027" s="10" t="s">
        <v>167</v>
      </c>
      <c r="L1027" s="7" t="s">
        <v>168</v>
      </c>
      <c r="M1027" s="7"/>
      <c r="N1027" s="7">
        <f>VLOOKUP(J1027,[1]Sheet1!$C:$D,2,FALSE)</f>
        <v>4149</v>
      </c>
      <c r="O1027" s="7">
        <f>VLOOKUP(J1027,[2]Desa!$A:$D,4,FALSE)</f>
        <v>96</v>
      </c>
      <c r="P1027" s="7">
        <f>VLOOKUP(J1027,[3]Sheet1!$D:$F,3,FALSE)</f>
        <v>24</v>
      </c>
      <c r="Q1027" s="7"/>
      <c r="R1027" s="7"/>
      <c r="S1027" s="12">
        <v>-8.5727311565702706</v>
      </c>
      <c r="T1027" s="12">
        <v>116.16491856434899</v>
      </c>
      <c r="U1027" s="7"/>
      <c r="V1027" s="50">
        <f>Table13678[[#This Row],[PAGU SEMULA]]-Table13678[[#This Row],[PAGU ANGGARAN]]</f>
        <v>-30206400</v>
      </c>
      <c r="W1027" s="50">
        <f>Table13678[[#This Row],[PAGU SEMULA]]-Table13678[[#This Row],[PAGU ANGGARAN]]</f>
        <v>-30206400</v>
      </c>
      <c r="X1027" t="s">
        <v>984</v>
      </c>
    </row>
    <row r="1028" spans="3:24" hidden="1">
      <c r="C1028" s="7" t="s">
        <v>84</v>
      </c>
      <c r="D1028" s="7" t="s">
        <v>85</v>
      </c>
      <c r="E1028" s="7" t="s">
        <v>86</v>
      </c>
      <c r="F1028" s="7" t="s">
        <v>87</v>
      </c>
      <c r="G1028" s="7" t="s">
        <v>804</v>
      </c>
      <c r="H1028" s="8">
        <v>23244000</v>
      </c>
      <c r="I1028" s="10" t="s">
        <v>802</v>
      </c>
      <c r="J1028" s="7" t="s">
        <v>803</v>
      </c>
      <c r="K1028" s="10" t="s">
        <v>167</v>
      </c>
      <c r="L1028" s="7" t="s">
        <v>168</v>
      </c>
      <c r="M1028" s="7"/>
      <c r="N1028" s="7">
        <f>VLOOKUP(J1028,[1]Sheet1!$C:$D,2,FALSE)</f>
        <v>4149</v>
      </c>
      <c r="O1028" s="7">
        <f>VLOOKUP(J1028,[2]Desa!$A:$D,4,FALSE)</f>
        <v>96</v>
      </c>
      <c r="P1028" s="7">
        <f>VLOOKUP(J1028,[3]Sheet1!$D:$F,3,FALSE)</f>
        <v>24</v>
      </c>
      <c r="Q1028" s="7"/>
      <c r="R1028" s="7"/>
      <c r="S1028" s="12">
        <v>-8.5727311565702706</v>
      </c>
      <c r="T1028" s="12">
        <v>116.16491856434899</v>
      </c>
      <c r="U1028" s="7"/>
      <c r="V1028" s="50">
        <f>Table13678[[#This Row],[PAGU SEMULA]]-Table13678[[#This Row],[PAGU ANGGARAN]]</f>
        <v>-23244000</v>
      </c>
      <c r="W1028" s="50">
        <f>Table13678[[#This Row],[PAGU SEMULA]]-Table13678[[#This Row],[PAGU ANGGARAN]]</f>
        <v>-23244000</v>
      </c>
      <c r="X1028" t="s">
        <v>982</v>
      </c>
    </row>
    <row r="1029" spans="3:24" hidden="1">
      <c r="C1029" s="7" t="s">
        <v>35</v>
      </c>
      <c r="D1029" s="7" t="s">
        <v>52</v>
      </c>
      <c r="E1029" s="7" t="s">
        <v>95</v>
      </c>
      <c r="F1029" s="7" t="s">
        <v>96</v>
      </c>
      <c r="G1029" s="7" t="s">
        <v>41</v>
      </c>
      <c r="H1029" s="15">
        <v>270000000</v>
      </c>
      <c r="I1029" s="10" t="s">
        <v>802</v>
      </c>
      <c r="J1029" s="7" t="s">
        <v>803</v>
      </c>
      <c r="K1029" s="10" t="s">
        <v>167</v>
      </c>
      <c r="L1029" s="7" t="s">
        <v>168</v>
      </c>
      <c r="M1029" s="7"/>
      <c r="N1029" s="7">
        <f>VLOOKUP(J1029,[1]Sheet1!$C:$D,2,FALSE)</f>
        <v>4149</v>
      </c>
      <c r="O1029" s="7">
        <f>VLOOKUP(J1029,[2]Desa!$A:$D,4,FALSE)</f>
        <v>96</v>
      </c>
      <c r="P1029" s="7">
        <f>VLOOKUP(J1029,[3]Sheet1!$D:$F,3,FALSE)</f>
        <v>24</v>
      </c>
      <c r="Q1029" s="7"/>
      <c r="R1029" s="7"/>
      <c r="S1029" s="12">
        <v>-8.5727311565702706</v>
      </c>
      <c r="T1029" s="12">
        <v>116.16491856434899</v>
      </c>
      <c r="U1029" s="7"/>
      <c r="V1029" s="50">
        <f>Table13678[[#This Row],[PAGU SEMULA]]-Table13678[[#This Row],[PAGU ANGGARAN]]</f>
        <v>-270000000</v>
      </c>
      <c r="W1029" s="50">
        <f>Table13678[[#This Row],[PAGU SEMULA]]-Table13678[[#This Row],[PAGU ANGGARAN]]</f>
        <v>-270000000</v>
      </c>
      <c r="X1029" t="s">
        <v>986</v>
      </c>
    </row>
    <row r="1030" spans="3:24" hidden="1">
      <c r="C1030" s="7" t="s">
        <v>35</v>
      </c>
      <c r="D1030" s="7" t="s">
        <v>36</v>
      </c>
      <c r="E1030" s="7" t="s">
        <v>37</v>
      </c>
      <c r="F1030" s="7" t="s">
        <v>38</v>
      </c>
      <c r="G1030" s="7" t="s">
        <v>39</v>
      </c>
      <c r="H1030" s="15">
        <v>75000000</v>
      </c>
      <c r="I1030" s="10" t="s">
        <v>802</v>
      </c>
      <c r="J1030" s="7" t="s">
        <v>803</v>
      </c>
      <c r="K1030" s="10" t="s">
        <v>167</v>
      </c>
      <c r="L1030" s="7" t="s">
        <v>168</v>
      </c>
      <c r="M1030" s="7"/>
      <c r="N1030" s="7">
        <f>VLOOKUP(J1030,[1]Sheet1!$C:$D,2,FALSE)</f>
        <v>4149</v>
      </c>
      <c r="O1030" s="7">
        <f>VLOOKUP(J1030,[2]Desa!$A:$D,4,FALSE)</f>
        <v>96</v>
      </c>
      <c r="P1030" s="7">
        <f>VLOOKUP(J1030,[3]Sheet1!$D:$F,3,FALSE)</f>
        <v>24</v>
      </c>
      <c r="Q1030" s="7"/>
      <c r="R1030" s="7"/>
      <c r="S1030" s="12">
        <v>-8.5727311565702706</v>
      </c>
      <c r="T1030" s="12">
        <v>116.16491856434899</v>
      </c>
      <c r="U1030" s="7"/>
      <c r="V1030" s="50">
        <f>Table13678[[#This Row],[PAGU SEMULA]]-Table13678[[#This Row],[PAGU ANGGARAN]]</f>
        <v>-75000000</v>
      </c>
      <c r="W1030" s="50">
        <f>Table13678[[#This Row],[PAGU SEMULA]]-Table13678[[#This Row],[PAGU ANGGARAN]]</f>
        <v>-75000000</v>
      </c>
      <c r="X1030" t="s">
        <v>984</v>
      </c>
    </row>
    <row r="1031" spans="3:24" hidden="1">
      <c r="C1031" s="7" t="s">
        <v>35</v>
      </c>
      <c r="D1031" s="7" t="s">
        <v>36</v>
      </c>
      <c r="E1031" s="7" t="s">
        <v>37</v>
      </c>
      <c r="F1031" s="7" t="s">
        <v>40</v>
      </c>
      <c r="G1031" s="7" t="s">
        <v>275</v>
      </c>
      <c r="H1031" s="15">
        <v>54000000</v>
      </c>
      <c r="I1031" s="10" t="s">
        <v>802</v>
      </c>
      <c r="J1031" s="7" t="s">
        <v>803</v>
      </c>
      <c r="K1031" s="10" t="s">
        <v>167</v>
      </c>
      <c r="L1031" s="7" t="s">
        <v>168</v>
      </c>
      <c r="M1031" s="7"/>
      <c r="N1031" s="7">
        <f>VLOOKUP(J1031,[1]Sheet1!$C:$D,2,FALSE)</f>
        <v>4149</v>
      </c>
      <c r="O1031" s="7">
        <f>VLOOKUP(J1031,[2]Desa!$A:$D,4,FALSE)</f>
        <v>96</v>
      </c>
      <c r="P1031" s="7">
        <f>VLOOKUP(J1031,[3]Sheet1!$D:$F,3,FALSE)</f>
        <v>24</v>
      </c>
      <c r="Q1031" s="7"/>
      <c r="R1031" s="7"/>
      <c r="S1031" s="12">
        <v>-8.5727311565702706</v>
      </c>
      <c r="T1031" s="12">
        <v>116.16491856434899</v>
      </c>
      <c r="U1031" s="7"/>
      <c r="V1031" s="50">
        <f>Table13678[[#This Row],[PAGU SEMULA]]-Table13678[[#This Row],[PAGU ANGGARAN]]</f>
        <v>-54000000</v>
      </c>
      <c r="W1031" s="50">
        <f>Table13678[[#This Row],[PAGU SEMULA]]-Table13678[[#This Row],[PAGU ANGGARAN]]</f>
        <v>-54000000</v>
      </c>
      <c r="X1031" t="s">
        <v>986</v>
      </c>
    </row>
    <row r="1032" spans="3:24" hidden="1">
      <c r="C1032" s="7" t="s">
        <v>35</v>
      </c>
      <c r="D1032" s="7" t="s">
        <v>36</v>
      </c>
      <c r="E1032" s="7" t="s">
        <v>37</v>
      </c>
      <c r="F1032" s="7" t="s">
        <v>40</v>
      </c>
      <c r="G1032" s="7" t="s">
        <v>805</v>
      </c>
      <c r="H1032" s="15">
        <v>63000000</v>
      </c>
      <c r="I1032" s="10" t="s">
        <v>802</v>
      </c>
      <c r="J1032" s="7" t="s">
        <v>803</v>
      </c>
      <c r="K1032" s="10" t="s">
        <v>167</v>
      </c>
      <c r="L1032" s="7" t="s">
        <v>168</v>
      </c>
      <c r="M1032" s="7"/>
      <c r="N1032" s="7">
        <f>VLOOKUP(J1032,[1]Sheet1!$C:$D,2,FALSE)</f>
        <v>4149</v>
      </c>
      <c r="O1032" s="7">
        <f>VLOOKUP(J1032,[2]Desa!$A:$D,4,FALSE)</f>
        <v>96</v>
      </c>
      <c r="P1032" s="7">
        <f>VLOOKUP(J1032,[3]Sheet1!$D:$F,3,FALSE)</f>
        <v>24</v>
      </c>
      <c r="Q1032" s="7"/>
      <c r="R1032" s="7"/>
      <c r="S1032" s="12">
        <v>-8.5727311565702706</v>
      </c>
      <c r="T1032" s="12">
        <v>116.16491856434899</v>
      </c>
      <c r="U1032" s="7"/>
      <c r="V1032" s="50">
        <f>Table13678[[#This Row],[PAGU SEMULA]]-Table13678[[#This Row],[PAGU ANGGARAN]]</f>
        <v>-63000000</v>
      </c>
      <c r="W1032" s="50">
        <f>Table13678[[#This Row],[PAGU SEMULA]]-Table13678[[#This Row],[PAGU ANGGARAN]]</f>
        <v>-63000000</v>
      </c>
      <c r="X1032" t="s">
        <v>986</v>
      </c>
    </row>
    <row r="1033" spans="3:24" hidden="1">
      <c r="C1033" s="7" t="s">
        <v>46</v>
      </c>
      <c r="D1033" s="7" t="s">
        <v>47</v>
      </c>
      <c r="E1033" s="7" t="s">
        <v>48</v>
      </c>
      <c r="F1033" s="7" t="s">
        <v>282</v>
      </c>
      <c r="G1033" s="7" t="s">
        <v>283</v>
      </c>
      <c r="H1033" s="8">
        <v>59850000</v>
      </c>
      <c r="I1033" s="10" t="s">
        <v>802</v>
      </c>
      <c r="J1033" s="7" t="s">
        <v>803</v>
      </c>
      <c r="K1033" s="10" t="s">
        <v>167</v>
      </c>
      <c r="L1033" s="7" t="s">
        <v>168</v>
      </c>
      <c r="M1033" s="7"/>
      <c r="N1033" s="7">
        <f>VLOOKUP(J1033,[1]Sheet1!$C:$D,2,FALSE)</f>
        <v>4149</v>
      </c>
      <c r="O1033" s="7">
        <f>VLOOKUP(J1033,[2]Desa!$A:$D,4,FALSE)</f>
        <v>96</v>
      </c>
      <c r="P1033" s="7">
        <f>VLOOKUP(J1033,[3]Sheet1!$D:$F,3,FALSE)</f>
        <v>24</v>
      </c>
      <c r="Q1033" s="7"/>
      <c r="R1033" s="7"/>
      <c r="S1033" s="12">
        <v>-8.5727311565702706</v>
      </c>
      <c r="T1033" s="12">
        <v>116.16491856434899</v>
      </c>
      <c r="U1033" s="7"/>
      <c r="V1033" s="50">
        <f>Table13678[[#This Row],[PAGU SEMULA]]-Table13678[[#This Row],[PAGU ANGGARAN]]</f>
        <v>-59850000</v>
      </c>
      <c r="W1033" s="50">
        <f>Table13678[[#This Row],[PAGU SEMULA]]-Table13678[[#This Row],[PAGU ANGGARAN]]</f>
        <v>-59850000</v>
      </c>
      <c r="X1033" t="s">
        <v>987</v>
      </c>
    </row>
    <row r="1034" spans="3:24" hidden="1">
      <c r="C1034" s="7" t="s">
        <v>51</v>
      </c>
      <c r="D1034" s="7" t="s">
        <v>52</v>
      </c>
      <c r="E1034" s="7" t="s">
        <v>53</v>
      </c>
      <c r="F1034" s="7" t="s">
        <v>54</v>
      </c>
      <c r="G1034" s="7" t="s">
        <v>174</v>
      </c>
      <c r="H1034" s="8">
        <v>189090000</v>
      </c>
      <c r="I1034" s="10" t="s">
        <v>802</v>
      </c>
      <c r="J1034" s="7" t="s">
        <v>803</v>
      </c>
      <c r="K1034" s="10" t="s">
        <v>167</v>
      </c>
      <c r="L1034" s="7" t="s">
        <v>168</v>
      </c>
      <c r="M1034" s="7"/>
      <c r="N1034" s="7">
        <f>VLOOKUP(J1034,[1]Sheet1!$C:$D,2,FALSE)</f>
        <v>4149</v>
      </c>
      <c r="O1034" s="7">
        <f>VLOOKUP(J1034,[2]Desa!$A:$D,4,FALSE)</f>
        <v>96</v>
      </c>
      <c r="P1034" s="7">
        <f>VLOOKUP(J1034,[3]Sheet1!$D:$F,3,FALSE)</f>
        <v>24</v>
      </c>
      <c r="Q1034" s="7"/>
      <c r="R1034" s="7"/>
      <c r="S1034" s="12">
        <v>-8.5727311565702706</v>
      </c>
      <c r="T1034" s="12">
        <v>116.16491856434899</v>
      </c>
      <c r="U1034" s="7"/>
      <c r="V1034" s="50">
        <f>Table13678[[#This Row],[PAGU SEMULA]]-Table13678[[#This Row],[PAGU ANGGARAN]]</f>
        <v>-189090000</v>
      </c>
      <c r="W1034" s="50">
        <f>Table13678[[#This Row],[PAGU SEMULA]]-Table13678[[#This Row],[PAGU ANGGARAN]]</f>
        <v>-189090000</v>
      </c>
      <c r="X1034" t="s">
        <v>986</v>
      </c>
    </row>
    <row r="1035" spans="3:24" hidden="1">
      <c r="C1035" s="7" t="s">
        <v>29</v>
      </c>
      <c r="D1035" s="7" t="s">
        <v>30</v>
      </c>
      <c r="E1035" s="7" t="s">
        <v>31</v>
      </c>
      <c r="F1035" s="7" t="s">
        <v>32</v>
      </c>
      <c r="G1035" s="7" t="s">
        <v>33</v>
      </c>
      <c r="H1035" s="8">
        <v>119700000</v>
      </c>
      <c r="I1035" s="10" t="s">
        <v>806</v>
      </c>
      <c r="J1035" s="7" t="s">
        <v>807</v>
      </c>
      <c r="K1035" s="10" t="s">
        <v>207</v>
      </c>
      <c r="L1035" s="7" t="s">
        <v>206</v>
      </c>
      <c r="M1035" s="7"/>
      <c r="N1035" s="7">
        <f>VLOOKUP(J1035,[1]Sheet1!$C:$D,2,FALSE)</f>
        <v>1538</v>
      </c>
      <c r="O1035" s="7">
        <f>VLOOKUP(J1035,[2]Desa!$A:$D,4,FALSE)</f>
        <v>41</v>
      </c>
      <c r="P1035" s="7">
        <f>VLOOKUP(J1035,[3]Sheet1!$D:$F,3,FALSE)</f>
        <v>13</v>
      </c>
      <c r="Q1035" s="7"/>
      <c r="R1035" s="7"/>
      <c r="S1035" s="12">
        <v>-8.48875374690512</v>
      </c>
      <c r="T1035" s="12">
        <v>116.09442089656901</v>
      </c>
      <c r="U1035" s="7"/>
      <c r="V1035" s="50">
        <f>Table13678[[#This Row],[PAGU SEMULA]]-Table13678[[#This Row],[PAGU ANGGARAN]]</f>
        <v>-119700000</v>
      </c>
      <c r="W1035" s="50">
        <f>Table13678[[#This Row],[PAGU SEMULA]]-Table13678[[#This Row],[PAGU ANGGARAN]]</f>
        <v>-119700000</v>
      </c>
      <c r="X1035" t="s">
        <v>984</v>
      </c>
    </row>
    <row r="1036" spans="3:24" hidden="1">
      <c r="C1036" s="7" t="s">
        <v>29</v>
      </c>
      <c r="D1036" s="7" t="s">
        <v>30</v>
      </c>
      <c r="E1036" s="7" t="s">
        <v>31</v>
      </c>
      <c r="F1036" s="7" t="s">
        <v>32</v>
      </c>
      <c r="G1036" s="7" t="s">
        <v>34</v>
      </c>
      <c r="H1036" s="8">
        <v>9576000</v>
      </c>
      <c r="I1036" s="10" t="s">
        <v>806</v>
      </c>
      <c r="J1036" s="7" t="s">
        <v>807</v>
      </c>
      <c r="K1036" s="10" t="s">
        <v>207</v>
      </c>
      <c r="L1036" s="7" t="s">
        <v>206</v>
      </c>
      <c r="M1036" s="7"/>
      <c r="N1036" s="7">
        <f>VLOOKUP(J1036,[1]Sheet1!$C:$D,2,FALSE)</f>
        <v>1538</v>
      </c>
      <c r="O1036" s="7">
        <f>VLOOKUP(J1036,[2]Desa!$A:$D,4,FALSE)</f>
        <v>41</v>
      </c>
      <c r="P1036" s="7">
        <f>VLOOKUP(J1036,[3]Sheet1!$D:$F,3,FALSE)</f>
        <v>13</v>
      </c>
      <c r="Q1036" s="7"/>
      <c r="R1036" s="7"/>
      <c r="S1036" s="12">
        <v>-8.48875374690512</v>
      </c>
      <c r="T1036" s="12">
        <v>116.09442089656901</v>
      </c>
      <c r="U1036" s="7"/>
      <c r="V1036" s="50">
        <f>Table13678[[#This Row],[PAGU SEMULA]]-Table13678[[#This Row],[PAGU ANGGARAN]]</f>
        <v>-9576000</v>
      </c>
      <c r="W1036" s="50">
        <f>Table13678[[#This Row],[PAGU SEMULA]]-Table13678[[#This Row],[PAGU ANGGARAN]]</f>
        <v>-9576000</v>
      </c>
      <c r="X1036" t="s">
        <v>984</v>
      </c>
    </row>
    <row r="1037" spans="3:24" hidden="1">
      <c r="C1037" s="7" t="s">
        <v>84</v>
      </c>
      <c r="D1037" s="7" t="s">
        <v>89</v>
      </c>
      <c r="E1037" s="7" t="s">
        <v>90</v>
      </c>
      <c r="F1037" s="7" t="s">
        <v>272</v>
      </c>
      <c r="G1037" s="7" t="s">
        <v>808</v>
      </c>
      <c r="H1037" s="8">
        <v>178250024</v>
      </c>
      <c r="I1037" s="10" t="s">
        <v>806</v>
      </c>
      <c r="J1037" s="7" t="s">
        <v>807</v>
      </c>
      <c r="K1037" s="10" t="s">
        <v>207</v>
      </c>
      <c r="L1037" s="7" t="s">
        <v>206</v>
      </c>
      <c r="M1037" s="7"/>
      <c r="N1037" s="7">
        <f>VLOOKUP(J1037,[1]Sheet1!$C:$D,2,FALSE)</f>
        <v>1538</v>
      </c>
      <c r="O1037" s="7">
        <f>VLOOKUP(J1037,[2]Desa!$A:$D,4,FALSE)</f>
        <v>41</v>
      </c>
      <c r="P1037" s="7">
        <f>VLOOKUP(J1037,[3]Sheet1!$D:$F,3,FALSE)</f>
        <v>13</v>
      </c>
      <c r="Q1037" s="7"/>
      <c r="R1037" s="7"/>
      <c r="S1037" s="12">
        <v>-8.48875374690512</v>
      </c>
      <c r="T1037" s="12">
        <v>116.09442089656901</v>
      </c>
      <c r="U1037" s="7"/>
      <c r="V1037" s="50">
        <f>Table13678[[#This Row],[PAGU SEMULA]]-Table13678[[#This Row],[PAGU ANGGARAN]]</f>
        <v>-178250024</v>
      </c>
      <c r="W1037" s="50">
        <f>Table13678[[#This Row],[PAGU SEMULA]]-Table13678[[#This Row],[PAGU ANGGARAN]]</f>
        <v>-178250024</v>
      </c>
      <c r="X1037" t="s">
        <v>982</v>
      </c>
    </row>
    <row r="1038" spans="3:24" hidden="1">
      <c r="C1038" s="7" t="s">
        <v>84</v>
      </c>
      <c r="D1038" s="7" t="s">
        <v>89</v>
      </c>
      <c r="E1038" s="7" t="s">
        <v>90</v>
      </c>
      <c r="F1038" s="7" t="s">
        <v>272</v>
      </c>
      <c r="G1038" s="7" t="s">
        <v>436</v>
      </c>
      <c r="H1038" s="76">
        <v>178250024</v>
      </c>
      <c r="I1038" s="10" t="s">
        <v>806</v>
      </c>
      <c r="J1038" s="7" t="s">
        <v>807</v>
      </c>
      <c r="K1038" s="10" t="s">
        <v>207</v>
      </c>
      <c r="L1038" s="7" t="s">
        <v>206</v>
      </c>
      <c r="M1038" s="7"/>
      <c r="N1038" s="7">
        <f>VLOOKUP(J1038,[1]Sheet1!$C:$D,2,FALSE)</f>
        <v>1538</v>
      </c>
      <c r="O1038" s="7">
        <f>VLOOKUP(J1038,[2]Desa!$A:$D,4,FALSE)</f>
        <v>41</v>
      </c>
      <c r="P1038" s="7">
        <f>VLOOKUP(J1038,[3]Sheet1!$D:$F,3,FALSE)</f>
        <v>13</v>
      </c>
      <c r="Q1038" s="7"/>
      <c r="R1038" s="7"/>
      <c r="S1038" s="12">
        <v>-8.48875374690512</v>
      </c>
      <c r="T1038" s="12">
        <v>116.09442089656901</v>
      </c>
      <c r="U1038" s="63">
        <v>178250024</v>
      </c>
      <c r="V1038" s="57">
        <f>Table13678[[#This Row],[PAGU SEMULA]]-Table13678[[#This Row],[PAGU ANGGARAN]]</f>
        <v>0</v>
      </c>
      <c r="W1038" s="50">
        <f>Table13678[[#This Row],[PAGU SEMULA]]-Table13678[[#This Row],[PAGU ANGGARAN]]</f>
        <v>0</v>
      </c>
      <c r="X1038" t="s">
        <v>982</v>
      </c>
    </row>
    <row r="1039" spans="3:24" hidden="1">
      <c r="C1039" s="7" t="s">
        <v>35</v>
      </c>
      <c r="D1039" s="7" t="s">
        <v>36</v>
      </c>
      <c r="E1039" s="7" t="s">
        <v>37</v>
      </c>
      <c r="F1039" s="7" t="s">
        <v>38</v>
      </c>
      <c r="G1039" s="7" t="s">
        <v>39</v>
      </c>
      <c r="H1039" s="67">
        <f>105000000+(5.4%*105000000)</f>
        <v>110670000</v>
      </c>
      <c r="I1039" s="10" t="s">
        <v>806</v>
      </c>
      <c r="J1039" s="7" t="s">
        <v>807</v>
      </c>
      <c r="K1039" s="10" t="s">
        <v>207</v>
      </c>
      <c r="L1039" s="7" t="s">
        <v>206</v>
      </c>
      <c r="M1039" s="7"/>
      <c r="N1039" s="7">
        <f>VLOOKUP(J1039,[1]Sheet1!$C:$D,2,FALSE)</f>
        <v>1538</v>
      </c>
      <c r="O1039" s="7">
        <f>VLOOKUP(J1039,[2]Desa!$A:$D,4,FALSE)</f>
        <v>41</v>
      </c>
      <c r="P1039" s="7">
        <f>VLOOKUP(J1039,[3]Sheet1!$D:$F,3,FALSE)</f>
        <v>13</v>
      </c>
      <c r="Q1039" s="7"/>
      <c r="R1039" s="7"/>
      <c r="S1039" s="12">
        <v>-8.48875374690512</v>
      </c>
      <c r="T1039" s="12">
        <v>116.09442089656901</v>
      </c>
      <c r="U1039" s="7"/>
      <c r="V1039" s="50">
        <f>Table13678[[#This Row],[PAGU SEMULA]]-Table13678[[#This Row],[PAGU ANGGARAN]]</f>
        <v>-110670000</v>
      </c>
      <c r="W1039" s="50">
        <f>Table13678[[#This Row],[PAGU SEMULA]]-Table13678[[#This Row],[PAGU ANGGARAN]]</f>
        <v>-110670000</v>
      </c>
      <c r="X1039" t="s">
        <v>984</v>
      </c>
    </row>
    <row r="1040" spans="3:24" hidden="1">
      <c r="C1040" s="7" t="s">
        <v>35</v>
      </c>
      <c r="D1040" s="7" t="s">
        <v>52</v>
      </c>
      <c r="E1040" s="7" t="s">
        <v>95</v>
      </c>
      <c r="F1040" s="7" t="s">
        <v>96</v>
      </c>
      <c r="G1040" s="7" t="s">
        <v>41</v>
      </c>
      <c r="H1040" s="60">
        <v>200000000</v>
      </c>
      <c r="I1040" s="10" t="s">
        <v>806</v>
      </c>
      <c r="J1040" s="7" t="s">
        <v>807</v>
      </c>
      <c r="K1040" s="10" t="s">
        <v>207</v>
      </c>
      <c r="L1040" s="7" t="s">
        <v>206</v>
      </c>
      <c r="M1040" s="7"/>
      <c r="N1040" s="7">
        <f>VLOOKUP(J1040,[1]Sheet1!$C:$D,2,FALSE)</f>
        <v>1538</v>
      </c>
      <c r="O1040" s="7">
        <f>VLOOKUP(J1040,[2]Desa!$A:$D,4,FALSE)</f>
        <v>41</v>
      </c>
      <c r="P1040" s="7">
        <f>VLOOKUP(J1040,[3]Sheet1!$D:$F,3,FALSE)</f>
        <v>13</v>
      </c>
      <c r="Q1040" s="7"/>
      <c r="R1040" s="7"/>
      <c r="S1040" s="12">
        <v>-8.48875374690512</v>
      </c>
      <c r="T1040" s="12">
        <v>116.09442089656901</v>
      </c>
      <c r="U1040" s="63">
        <v>203000000</v>
      </c>
      <c r="V1040" s="57">
        <f>Table13678[[#This Row],[PAGU SEMULA]]-Table13678[[#This Row],[PAGU ANGGARAN]]</f>
        <v>3000000</v>
      </c>
      <c r="W1040" s="50">
        <f>Table13678[[#This Row],[PAGU SEMULA]]-Table13678[[#This Row],[PAGU ANGGARAN]]</f>
        <v>3000000</v>
      </c>
      <c r="X1040" t="s">
        <v>986</v>
      </c>
    </row>
    <row r="1041" spans="3:24" hidden="1">
      <c r="C1041" s="7" t="s">
        <v>68</v>
      </c>
      <c r="D1041" s="7" t="s">
        <v>277</v>
      </c>
      <c r="E1041" s="7" t="s">
        <v>278</v>
      </c>
      <c r="F1041" s="7" t="s">
        <v>279</v>
      </c>
      <c r="G1041" s="16" t="s">
        <v>952</v>
      </c>
      <c r="H1041" s="8">
        <v>30000000</v>
      </c>
      <c r="I1041" s="10" t="s">
        <v>806</v>
      </c>
      <c r="J1041" s="7" t="s">
        <v>807</v>
      </c>
      <c r="K1041" s="10" t="s">
        <v>207</v>
      </c>
      <c r="L1041" s="7" t="s">
        <v>206</v>
      </c>
      <c r="M1041" s="7"/>
      <c r="N1041" s="7">
        <f>VLOOKUP(J1041,[1]Sheet1!$C:$D,2,FALSE)</f>
        <v>1538</v>
      </c>
      <c r="O1041" s="7">
        <f>VLOOKUP(J1041,[2]Desa!$A:$D,4,FALSE)</f>
        <v>41</v>
      </c>
      <c r="P1041" s="7">
        <f>VLOOKUP(J1041,[3]Sheet1!$D:$F,3,FALSE)</f>
        <v>13</v>
      </c>
      <c r="Q1041" s="7"/>
      <c r="R1041" s="7"/>
      <c r="S1041" s="12">
        <v>-8.48875374690512</v>
      </c>
      <c r="T1041" s="12">
        <v>116.09442089656901</v>
      </c>
      <c r="U1041" s="7"/>
      <c r="V1041" s="50">
        <f>Table13678[[#This Row],[PAGU SEMULA]]-Table13678[[#This Row],[PAGU ANGGARAN]]</f>
        <v>-30000000</v>
      </c>
      <c r="W1041" s="50">
        <f>Table13678[[#This Row],[PAGU SEMULA]]-Table13678[[#This Row],[PAGU ANGGARAN]]</f>
        <v>-30000000</v>
      </c>
      <c r="X1041" t="s">
        <v>982</v>
      </c>
    </row>
    <row r="1042" spans="3:24" hidden="1">
      <c r="C1042" s="7" t="s">
        <v>68</v>
      </c>
      <c r="D1042" s="7" t="s">
        <v>69</v>
      </c>
      <c r="E1042" s="7" t="s">
        <v>70</v>
      </c>
      <c r="F1042" s="7" t="s">
        <v>71</v>
      </c>
      <c r="G1042" s="7" t="s">
        <v>72</v>
      </c>
      <c r="H1042" s="8">
        <v>29958000</v>
      </c>
      <c r="I1042" s="10" t="s">
        <v>806</v>
      </c>
      <c r="J1042" s="7" t="s">
        <v>807</v>
      </c>
      <c r="K1042" s="10" t="s">
        <v>207</v>
      </c>
      <c r="L1042" s="7" t="s">
        <v>206</v>
      </c>
      <c r="M1042" s="7"/>
      <c r="N1042" s="7">
        <f>VLOOKUP(J1042,[1]Sheet1!$C:$D,2,FALSE)</f>
        <v>1538</v>
      </c>
      <c r="O1042" s="7">
        <f>VLOOKUP(J1042,[2]Desa!$A:$D,4,FALSE)</f>
        <v>41</v>
      </c>
      <c r="P1042" s="7">
        <f>VLOOKUP(J1042,[3]Sheet1!$D:$F,3,FALSE)</f>
        <v>13</v>
      </c>
      <c r="Q1042" s="7"/>
      <c r="R1042" s="7"/>
      <c r="S1042" s="12">
        <v>-8.48875374690512</v>
      </c>
      <c r="T1042" s="12">
        <v>116.09442089656901</v>
      </c>
      <c r="U1042" s="7"/>
      <c r="V1042" s="50">
        <f>Table13678[[#This Row],[PAGU SEMULA]]-Table13678[[#This Row],[PAGU ANGGARAN]]</f>
        <v>-29958000</v>
      </c>
      <c r="W1042" s="50">
        <f>Table13678[[#This Row],[PAGU SEMULA]]-Table13678[[#This Row],[PAGU ANGGARAN]]</f>
        <v>-29958000</v>
      </c>
      <c r="X1042" t="s">
        <v>982</v>
      </c>
    </row>
    <row r="1043" spans="3:24" hidden="1">
      <c r="C1043" s="7" t="s">
        <v>68</v>
      </c>
      <c r="D1043" s="7" t="s">
        <v>431</v>
      </c>
      <c r="E1043" s="7" t="s">
        <v>432</v>
      </c>
      <c r="F1043" s="7" t="s">
        <v>948</v>
      </c>
      <c r="G1043" s="7" t="s">
        <v>433</v>
      </c>
      <c r="H1043" s="15">
        <v>175998000</v>
      </c>
      <c r="I1043" s="10" t="s">
        <v>806</v>
      </c>
      <c r="J1043" s="7" t="s">
        <v>807</v>
      </c>
      <c r="K1043" s="10" t="s">
        <v>207</v>
      </c>
      <c r="L1043" s="7" t="s">
        <v>206</v>
      </c>
      <c r="M1043" s="7"/>
      <c r="N1043" s="7">
        <f>VLOOKUP(J1043,[1]Sheet1!$C:$D,2,FALSE)</f>
        <v>1538</v>
      </c>
      <c r="O1043" s="7">
        <f>VLOOKUP(J1043,[2]Desa!$A:$D,4,FALSE)</f>
        <v>41</v>
      </c>
      <c r="P1043" s="7">
        <f>VLOOKUP(J1043,[3]Sheet1!$D:$F,3,FALSE)</f>
        <v>13</v>
      </c>
      <c r="Q1043" s="7"/>
      <c r="R1043" s="7"/>
      <c r="S1043" s="12">
        <v>-8.48875374690512</v>
      </c>
      <c r="T1043" s="12">
        <v>116.09442089656901</v>
      </c>
      <c r="U1043" s="7"/>
      <c r="V1043" s="50">
        <f>Table13678[[#This Row],[PAGU SEMULA]]-Table13678[[#This Row],[PAGU ANGGARAN]]</f>
        <v>-175998000</v>
      </c>
      <c r="W1043" s="50">
        <f>Table13678[[#This Row],[PAGU SEMULA]]-Table13678[[#This Row],[PAGU ANGGARAN]]</f>
        <v>-175998000</v>
      </c>
      <c r="X1043" t="s">
        <v>982</v>
      </c>
    </row>
    <row r="1044" spans="3:24" hidden="1">
      <c r="C1044" s="7" t="s">
        <v>20</v>
      </c>
      <c r="D1044" s="7" t="s">
        <v>104</v>
      </c>
      <c r="E1044" s="7" t="s">
        <v>145</v>
      </c>
      <c r="F1044" s="7" t="s">
        <v>953</v>
      </c>
      <c r="G1044" s="71" t="s">
        <v>809</v>
      </c>
      <c r="H1044" s="15">
        <v>59000000</v>
      </c>
      <c r="I1044" s="10" t="s">
        <v>810</v>
      </c>
      <c r="J1044" s="7" t="s">
        <v>811</v>
      </c>
      <c r="K1044" s="10" t="s">
        <v>288</v>
      </c>
      <c r="L1044" s="7" t="s">
        <v>289</v>
      </c>
      <c r="M1044" s="7"/>
      <c r="N1044" s="7">
        <f>VLOOKUP(J1044,[1]Sheet1!$C:$D,2,FALSE)</f>
        <v>2077</v>
      </c>
      <c r="O1044" s="7">
        <f>VLOOKUP(J1044,[2]Desa!$A:$D,4,FALSE)</f>
        <v>53</v>
      </c>
      <c r="P1044" s="7">
        <f>VLOOKUP(J1044,[3]Sheet1!$D:$F,3,FALSE)</f>
        <v>6</v>
      </c>
      <c r="Q1044" s="7"/>
      <c r="R1044" s="7"/>
      <c r="S1044" s="12">
        <v>-8.5476249595613201</v>
      </c>
      <c r="T1044" s="12">
        <v>116.117632523742</v>
      </c>
      <c r="U1044" s="7"/>
      <c r="V1044" s="50">
        <f>Table13678[[#This Row],[PAGU SEMULA]]-Table13678[[#This Row],[PAGU ANGGARAN]]</f>
        <v>-59000000</v>
      </c>
      <c r="W1044" s="50">
        <f>Table13678[[#This Row],[PAGU SEMULA]]-Table13678[[#This Row],[PAGU ANGGARAN]]</f>
        <v>-59000000</v>
      </c>
      <c r="X1044" t="s">
        <v>984</v>
      </c>
    </row>
    <row r="1045" spans="3:24" hidden="1">
      <c r="C1045" s="7" t="s">
        <v>29</v>
      </c>
      <c r="D1045" s="7" t="s">
        <v>30</v>
      </c>
      <c r="E1045" s="7" t="s">
        <v>31</v>
      </c>
      <c r="F1045" s="7" t="s">
        <v>32</v>
      </c>
      <c r="G1045" s="7" t="s">
        <v>33</v>
      </c>
      <c r="H1045" s="8">
        <v>102480000</v>
      </c>
      <c r="I1045" s="10" t="s">
        <v>810</v>
      </c>
      <c r="J1045" s="7" t="s">
        <v>811</v>
      </c>
      <c r="K1045" s="10" t="s">
        <v>288</v>
      </c>
      <c r="L1045" s="7" t="s">
        <v>289</v>
      </c>
      <c r="M1045" s="7"/>
      <c r="N1045" s="7">
        <f>VLOOKUP(J1045,[1]Sheet1!$C:$D,2,FALSE)</f>
        <v>2077</v>
      </c>
      <c r="O1045" s="7">
        <f>VLOOKUP(J1045,[2]Desa!$A:$D,4,FALSE)</f>
        <v>53</v>
      </c>
      <c r="P1045" s="7">
        <f>VLOOKUP(J1045,[3]Sheet1!$D:$F,3,FALSE)</f>
        <v>6</v>
      </c>
      <c r="Q1045" s="7"/>
      <c r="R1045" s="7"/>
      <c r="S1045" s="12">
        <v>-8.5476249595613201</v>
      </c>
      <c r="T1045" s="12">
        <v>116.117632523742</v>
      </c>
      <c r="U1045" s="7"/>
      <c r="V1045" s="50">
        <f>Table13678[[#This Row],[PAGU SEMULA]]-Table13678[[#This Row],[PAGU ANGGARAN]]</f>
        <v>-102480000</v>
      </c>
      <c r="W1045" s="50">
        <f>Table13678[[#This Row],[PAGU SEMULA]]-Table13678[[#This Row],[PAGU ANGGARAN]]</f>
        <v>-102480000</v>
      </c>
      <c r="X1045" t="s">
        <v>984</v>
      </c>
    </row>
    <row r="1046" spans="3:24" hidden="1">
      <c r="C1046" s="7" t="s">
        <v>29</v>
      </c>
      <c r="D1046" s="7" t="s">
        <v>30</v>
      </c>
      <c r="E1046" s="7" t="s">
        <v>31</v>
      </c>
      <c r="F1046" s="7" t="s">
        <v>32</v>
      </c>
      <c r="G1046" s="7" t="s">
        <v>34</v>
      </c>
      <c r="H1046" s="8">
        <v>8198400</v>
      </c>
      <c r="I1046" s="10" t="s">
        <v>810</v>
      </c>
      <c r="J1046" s="7" t="s">
        <v>811</v>
      </c>
      <c r="K1046" s="10" t="s">
        <v>288</v>
      </c>
      <c r="L1046" s="7" t="s">
        <v>289</v>
      </c>
      <c r="M1046" s="7"/>
      <c r="N1046" s="7">
        <f>VLOOKUP(J1046,[1]Sheet1!$C:$D,2,FALSE)</f>
        <v>2077</v>
      </c>
      <c r="O1046" s="7">
        <f>VLOOKUP(J1046,[2]Desa!$A:$D,4,FALSE)</f>
        <v>53</v>
      </c>
      <c r="P1046" s="7">
        <f>VLOOKUP(J1046,[3]Sheet1!$D:$F,3,FALSE)</f>
        <v>6</v>
      </c>
      <c r="Q1046" s="7"/>
      <c r="R1046" s="7"/>
      <c r="S1046" s="12">
        <v>-8.5476249595613201</v>
      </c>
      <c r="T1046" s="12">
        <v>116.117632523742</v>
      </c>
      <c r="U1046" s="7"/>
      <c r="V1046" s="50">
        <f>Table13678[[#This Row],[PAGU SEMULA]]-Table13678[[#This Row],[PAGU ANGGARAN]]</f>
        <v>-8198400</v>
      </c>
      <c r="W1046" s="50">
        <f>Table13678[[#This Row],[PAGU SEMULA]]-Table13678[[#This Row],[PAGU ANGGARAN]]</f>
        <v>-8198400</v>
      </c>
      <c r="X1046" t="s">
        <v>984</v>
      </c>
    </row>
    <row r="1047" spans="3:24" hidden="1">
      <c r="C1047" s="7" t="s">
        <v>84</v>
      </c>
      <c r="D1047" s="7" t="s">
        <v>89</v>
      </c>
      <c r="E1047" s="7" t="s">
        <v>90</v>
      </c>
      <c r="F1047" s="7" t="s">
        <v>513</v>
      </c>
      <c r="G1047" s="7" t="s">
        <v>812</v>
      </c>
      <c r="H1047" s="8">
        <v>77360000</v>
      </c>
      <c r="I1047" s="10" t="s">
        <v>810</v>
      </c>
      <c r="J1047" s="7" t="s">
        <v>811</v>
      </c>
      <c r="K1047" s="10" t="s">
        <v>288</v>
      </c>
      <c r="L1047" s="7" t="s">
        <v>289</v>
      </c>
      <c r="M1047" s="7"/>
      <c r="N1047" s="7">
        <f>VLOOKUP(J1047,[1]Sheet1!$C:$D,2,FALSE)</f>
        <v>2077</v>
      </c>
      <c r="O1047" s="7">
        <f>VLOOKUP(J1047,[2]Desa!$A:$D,4,FALSE)</f>
        <v>53</v>
      </c>
      <c r="P1047" s="7">
        <f>VLOOKUP(J1047,[3]Sheet1!$D:$F,3,FALSE)</f>
        <v>6</v>
      </c>
      <c r="Q1047" s="7"/>
      <c r="R1047" s="7"/>
      <c r="S1047" s="12">
        <v>-8.5476249595613201</v>
      </c>
      <c r="T1047" s="12">
        <v>116.117632523742</v>
      </c>
      <c r="U1047" s="7"/>
      <c r="V1047" s="50">
        <f>Table13678[[#This Row],[PAGU SEMULA]]-Table13678[[#This Row],[PAGU ANGGARAN]]</f>
        <v>-77360000</v>
      </c>
      <c r="W1047" s="50">
        <f>Table13678[[#This Row],[PAGU SEMULA]]-Table13678[[#This Row],[PAGU ANGGARAN]]</f>
        <v>-77360000</v>
      </c>
      <c r="X1047" t="s">
        <v>982</v>
      </c>
    </row>
    <row r="1048" spans="3:24" hidden="1">
      <c r="C1048" s="7" t="s">
        <v>84</v>
      </c>
      <c r="D1048" s="7" t="s">
        <v>89</v>
      </c>
      <c r="E1048" s="7" t="s">
        <v>90</v>
      </c>
      <c r="F1048" s="7" t="s">
        <v>513</v>
      </c>
      <c r="G1048" s="7" t="s">
        <v>813</v>
      </c>
      <c r="H1048" s="8">
        <v>0</v>
      </c>
      <c r="I1048" s="10" t="s">
        <v>810</v>
      </c>
      <c r="J1048" s="7" t="s">
        <v>811</v>
      </c>
      <c r="K1048" s="10" t="s">
        <v>288</v>
      </c>
      <c r="L1048" s="7" t="s">
        <v>289</v>
      </c>
      <c r="M1048" s="7"/>
      <c r="N1048" s="7">
        <f>VLOOKUP(J1048,[1]Sheet1!$C:$D,2,FALSE)</f>
        <v>2077</v>
      </c>
      <c r="O1048" s="7">
        <f>VLOOKUP(J1048,[2]Desa!$A:$D,4,FALSE)</f>
        <v>53</v>
      </c>
      <c r="P1048" s="7">
        <f>VLOOKUP(J1048,[3]Sheet1!$D:$F,3,FALSE)</f>
        <v>6</v>
      </c>
      <c r="Q1048" s="7"/>
      <c r="R1048" s="7"/>
      <c r="S1048" s="12">
        <v>-8.5476249595613201</v>
      </c>
      <c r="T1048" s="12">
        <v>116.117632523742</v>
      </c>
      <c r="U1048" s="64">
        <v>77360000000</v>
      </c>
      <c r="V1048" s="62">
        <f>Table13678[[#This Row],[PAGU SEMULA]]-Table13678[[#This Row],[PAGU ANGGARAN]]</f>
        <v>77360000000</v>
      </c>
      <c r="W1048" s="50">
        <f>Table13678[[#This Row],[PAGU SEMULA]]-Table13678[[#This Row],[PAGU ANGGARAN]]</f>
        <v>77360000000</v>
      </c>
      <c r="X1048" t="s">
        <v>982</v>
      </c>
    </row>
    <row r="1049" spans="3:24" hidden="1">
      <c r="C1049" s="7" t="s">
        <v>35</v>
      </c>
      <c r="D1049" s="7" t="s">
        <v>36</v>
      </c>
      <c r="E1049" s="7" t="s">
        <v>37</v>
      </c>
      <c r="F1049" s="7" t="s">
        <v>38</v>
      </c>
      <c r="G1049" s="7" t="s">
        <v>39</v>
      </c>
      <c r="H1049" s="67">
        <f>75000000+(5.4%*75000000)</f>
        <v>79050000</v>
      </c>
      <c r="I1049" s="10" t="s">
        <v>810</v>
      </c>
      <c r="J1049" s="7" t="s">
        <v>811</v>
      </c>
      <c r="K1049" s="10" t="s">
        <v>288</v>
      </c>
      <c r="L1049" s="7" t="s">
        <v>289</v>
      </c>
      <c r="M1049" s="7"/>
      <c r="N1049" s="7">
        <f>VLOOKUP(J1049,[1]Sheet1!$C:$D,2,FALSE)</f>
        <v>2077</v>
      </c>
      <c r="O1049" s="7">
        <f>VLOOKUP(J1049,[2]Desa!$A:$D,4,FALSE)</f>
        <v>53</v>
      </c>
      <c r="P1049" s="7">
        <f>VLOOKUP(J1049,[3]Sheet1!$D:$F,3,FALSE)</f>
        <v>6</v>
      </c>
      <c r="Q1049" s="7"/>
      <c r="R1049" s="7"/>
      <c r="S1049" s="12">
        <v>-8.5476249595613201</v>
      </c>
      <c r="T1049" s="12">
        <v>116.117632523742</v>
      </c>
      <c r="U1049" s="7"/>
      <c r="V1049" s="50">
        <f>Table13678[[#This Row],[PAGU SEMULA]]-Table13678[[#This Row],[PAGU ANGGARAN]]</f>
        <v>-79050000</v>
      </c>
      <c r="W1049" s="50">
        <f>Table13678[[#This Row],[PAGU SEMULA]]-Table13678[[#This Row],[PAGU ANGGARAN]]</f>
        <v>-79050000</v>
      </c>
      <c r="X1049" t="s">
        <v>984</v>
      </c>
    </row>
    <row r="1050" spans="3:24" hidden="1">
      <c r="C1050" s="7" t="s">
        <v>35</v>
      </c>
      <c r="D1050" s="7" t="s">
        <v>156</v>
      </c>
      <c r="E1050" s="7" t="s">
        <v>157</v>
      </c>
      <c r="F1050" s="7" t="s">
        <v>158</v>
      </c>
      <c r="G1050" s="7" t="s">
        <v>814</v>
      </c>
      <c r="H1050" s="15">
        <v>10000000</v>
      </c>
      <c r="I1050" s="10" t="s">
        <v>810</v>
      </c>
      <c r="J1050" s="7" t="s">
        <v>811</v>
      </c>
      <c r="K1050" s="10" t="s">
        <v>288</v>
      </c>
      <c r="L1050" s="7" t="s">
        <v>289</v>
      </c>
      <c r="M1050" s="7"/>
      <c r="N1050" s="7">
        <f>VLOOKUP(J1050,[1]Sheet1!$C:$D,2,FALSE)</f>
        <v>2077</v>
      </c>
      <c r="O1050" s="7">
        <f>VLOOKUP(J1050,[2]Desa!$A:$D,4,FALSE)</f>
        <v>53</v>
      </c>
      <c r="P1050" s="7">
        <f>VLOOKUP(J1050,[3]Sheet1!$D:$F,3,FALSE)</f>
        <v>6</v>
      </c>
      <c r="Q1050" s="7"/>
      <c r="R1050" s="7"/>
      <c r="S1050" s="12">
        <v>-8.5476249595613201</v>
      </c>
      <c r="T1050" s="12">
        <v>116.117632523742</v>
      </c>
      <c r="U1050" s="7"/>
      <c r="V1050" s="50">
        <f>Table13678[[#This Row],[PAGU SEMULA]]-Table13678[[#This Row],[PAGU ANGGARAN]]</f>
        <v>-10000000</v>
      </c>
      <c r="W1050" s="50">
        <f>Table13678[[#This Row],[PAGU SEMULA]]-Table13678[[#This Row],[PAGU ANGGARAN]]</f>
        <v>-10000000</v>
      </c>
      <c r="X1050" t="s">
        <v>986</v>
      </c>
    </row>
    <row r="1051" spans="3:24" hidden="1">
      <c r="C1051" s="7" t="s">
        <v>35</v>
      </c>
      <c r="D1051" s="7" t="s">
        <v>156</v>
      </c>
      <c r="E1051" s="7" t="s">
        <v>157</v>
      </c>
      <c r="F1051" s="7" t="s">
        <v>158</v>
      </c>
      <c r="G1051" s="7" t="s">
        <v>815</v>
      </c>
      <c r="H1051" s="15">
        <v>10000000</v>
      </c>
      <c r="I1051" s="10" t="s">
        <v>810</v>
      </c>
      <c r="J1051" s="7" t="s">
        <v>811</v>
      </c>
      <c r="K1051" s="10" t="s">
        <v>288</v>
      </c>
      <c r="L1051" s="7" t="s">
        <v>289</v>
      </c>
      <c r="M1051" s="7"/>
      <c r="N1051" s="7">
        <f>VLOOKUP(J1051,[1]Sheet1!$C:$D,2,FALSE)</f>
        <v>2077</v>
      </c>
      <c r="O1051" s="7">
        <f>VLOOKUP(J1051,[2]Desa!$A:$D,4,FALSE)</f>
        <v>53</v>
      </c>
      <c r="P1051" s="7">
        <f>VLOOKUP(J1051,[3]Sheet1!$D:$F,3,FALSE)</f>
        <v>6</v>
      </c>
      <c r="Q1051" s="7"/>
      <c r="R1051" s="7"/>
      <c r="S1051" s="12">
        <v>-8.5476249595613201</v>
      </c>
      <c r="T1051" s="12">
        <v>116.117632523742</v>
      </c>
      <c r="U1051" s="7"/>
      <c r="V1051" s="50">
        <f>Table13678[[#This Row],[PAGU SEMULA]]-Table13678[[#This Row],[PAGU ANGGARAN]]</f>
        <v>-10000000</v>
      </c>
      <c r="W1051" s="50">
        <f>Table13678[[#This Row],[PAGU SEMULA]]-Table13678[[#This Row],[PAGU ANGGARAN]]</f>
        <v>-10000000</v>
      </c>
      <c r="X1051" t="s">
        <v>986</v>
      </c>
    </row>
    <row r="1052" spans="3:24" hidden="1">
      <c r="C1052" s="7" t="s">
        <v>35</v>
      </c>
      <c r="D1052" s="7" t="s">
        <v>156</v>
      </c>
      <c r="E1052" s="7" t="s">
        <v>157</v>
      </c>
      <c r="F1052" s="7" t="s">
        <v>158</v>
      </c>
      <c r="G1052" s="7" t="s">
        <v>816</v>
      </c>
      <c r="H1052" s="15">
        <v>134000000</v>
      </c>
      <c r="I1052" s="10" t="s">
        <v>810</v>
      </c>
      <c r="J1052" s="7" t="s">
        <v>811</v>
      </c>
      <c r="K1052" s="10" t="s">
        <v>288</v>
      </c>
      <c r="L1052" s="7" t="s">
        <v>289</v>
      </c>
      <c r="M1052" s="7"/>
      <c r="N1052" s="7">
        <f>VLOOKUP(J1052,[1]Sheet1!$C:$D,2,FALSE)</f>
        <v>2077</v>
      </c>
      <c r="O1052" s="7">
        <f>VLOOKUP(J1052,[2]Desa!$A:$D,4,FALSE)</f>
        <v>53</v>
      </c>
      <c r="P1052" s="7">
        <f>VLOOKUP(J1052,[3]Sheet1!$D:$F,3,FALSE)</f>
        <v>6</v>
      </c>
      <c r="Q1052" s="7"/>
      <c r="R1052" s="7"/>
      <c r="S1052" s="12">
        <v>-8.5476249595613201</v>
      </c>
      <c r="T1052" s="12">
        <v>116.117632523742</v>
      </c>
      <c r="U1052" s="7"/>
      <c r="V1052" s="50">
        <f>Table13678[[#This Row],[PAGU SEMULA]]-Table13678[[#This Row],[PAGU ANGGARAN]]</f>
        <v>-134000000</v>
      </c>
      <c r="W1052" s="50">
        <f>Table13678[[#This Row],[PAGU SEMULA]]-Table13678[[#This Row],[PAGU ANGGARAN]]</f>
        <v>-134000000</v>
      </c>
      <c r="X1052" t="s">
        <v>986</v>
      </c>
    </row>
    <row r="1053" spans="3:24" hidden="1">
      <c r="C1053" s="7" t="s">
        <v>35</v>
      </c>
      <c r="D1053" s="7" t="s">
        <v>65</v>
      </c>
      <c r="E1053" s="7" t="s">
        <v>66</v>
      </c>
      <c r="F1053" s="7" t="s">
        <v>93</v>
      </c>
      <c r="G1053" s="7" t="s">
        <v>817</v>
      </c>
      <c r="H1053" s="15">
        <v>10000000</v>
      </c>
      <c r="I1053" s="10" t="s">
        <v>810</v>
      </c>
      <c r="J1053" s="7" t="s">
        <v>811</v>
      </c>
      <c r="K1053" s="10" t="s">
        <v>288</v>
      </c>
      <c r="L1053" s="7" t="s">
        <v>289</v>
      </c>
      <c r="M1053" s="7"/>
      <c r="N1053" s="7">
        <f>VLOOKUP(J1053,[1]Sheet1!$C:$D,2,FALSE)</f>
        <v>2077</v>
      </c>
      <c r="O1053" s="7">
        <f>VLOOKUP(J1053,[2]Desa!$A:$D,4,FALSE)</f>
        <v>53</v>
      </c>
      <c r="P1053" s="7">
        <f>VLOOKUP(J1053,[3]Sheet1!$D:$F,3,FALSE)</f>
        <v>6</v>
      </c>
      <c r="Q1053" s="7"/>
      <c r="R1053" s="7"/>
      <c r="S1053" s="12">
        <v>-8.5476249595613201</v>
      </c>
      <c r="T1053" s="12">
        <v>116.117632523742</v>
      </c>
      <c r="U1053" s="7"/>
      <c r="V1053" s="50">
        <f>Table13678[[#This Row],[PAGU SEMULA]]-Table13678[[#This Row],[PAGU ANGGARAN]]</f>
        <v>-10000000</v>
      </c>
      <c r="W1053" s="50">
        <f>Table13678[[#This Row],[PAGU SEMULA]]-Table13678[[#This Row],[PAGU ANGGARAN]]</f>
        <v>-10000000</v>
      </c>
      <c r="X1053" t="s">
        <v>986</v>
      </c>
    </row>
    <row r="1054" spans="3:24" hidden="1">
      <c r="C1054" s="7" t="s">
        <v>35</v>
      </c>
      <c r="D1054" s="7" t="s">
        <v>65</v>
      </c>
      <c r="E1054" s="7" t="s">
        <v>66</v>
      </c>
      <c r="F1054" s="7" t="s">
        <v>93</v>
      </c>
      <c r="G1054" s="7" t="s">
        <v>818</v>
      </c>
      <c r="H1054" s="15">
        <v>10000000</v>
      </c>
      <c r="I1054" s="10" t="s">
        <v>810</v>
      </c>
      <c r="J1054" s="7" t="s">
        <v>811</v>
      </c>
      <c r="K1054" s="10" t="s">
        <v>288</v>
      </c>
      <c r="L1054" s="7" t="s">
        <v>289</v>
      </c>
      <c r="M1054" s="7"/>
      <c r="N1054" s="7">
        <f>VLOOKUP(J1054,[1]Sheet1!$C:$D,2,FALSE)</f>
        <v>2077</v>
      </c>
      <c r="O1054" s="7">
        <f>VLOOKUP(J1054,[2]Desa!$A:$D,4,FALSE)</f>
        <v>53</v>
      </c>
      <c r="P1054" s="7">
        <f>VLOOKUP(J1054,[3]Sheet1!$D:$F,3,FALSE)</f>
        <v>6</v>
      </c>
      <c r="Q1054" s="7"/>
      <c r="R1054" s="7"/>
      <c r="S1054" s="12">
        <v>-8.5476249595613201</v>
      </c>
      <c r="T1054" s="12">
        <v>116.117632523742</v>
      </c>
      <c r="U1054" s="7"/>
      <c r="V1054" s="50">
        <f>Table13678[[#This Row],[PAGU SEMULA]]-Table13678[[#This Row],[PAGU ANGGARAN]]</f>
        <v>-10000000</v>
      </c>
      <c r="W1054" s="50">
        <f>Table13678[[#This Row],[PAGU SEMULA]]-Table13678[[#This Row],[PAGU ANGGARAN]]</f>
        <v>-10000000</v>
      </c>
      <c r="X1054" t="s">
        <v>986</v>
      </c>
    </row>
    <row r="1055" spans="3:24" hidden="1">
      <c r="C1055" s="7" t="s">
        <v>35</v>
      </c>
      <c r="D1055" s="7" t="s">
        <v>65</v>
      </c>
      <c r="E1055" s="7" t="s">
        <v>66</v>
      </c>
      <c r="F1055" s="7" t="s">
        <v>93</v>
      </c>
      <c r="G1055" s="7" t="s">
        <v>819</v>
      </c>
      <c r="H1055" s="15">
        <v>134000000</v>
      </c>
      <c r="I1055" s="10" t="s">
        <v>810</v>
      </c>
      <c r="J1055" s="7" t="s">
        <v>811</v>
      </c>
      <c r="K1055" s="10" t="s">
        <v>288</v>
      </c>
      <c r="L1055" s="7" t="s">
        <v>289</v>
      </c>
      <c r="M1055" s="7"/>
      <c r="N1055" s="7">
        <f>VLOOKUP(J1055,[1]Sheet1!$C:$D,2,FALSE)</f>
        <v>2077</v>
      </c>
      <c r="O1055" s="7">
        <f>VLOOKUP(J1055,[2]Desa!$A:$D,4,FALSE)</f>
        <v>53</v>
      </c>
      <c r="P1055" s="7">
        <f>VLOOKUP(J1055,[3]Sheet1!$D:$F,3,FALSE)</f>
        <v>6</v>
      </c>
      <c r="Q1055" s="7"/>
      <c r="R1055" s="7"/>
      <c r="S1055" s="12">
        <v>-8.5476249595613201</v>
      </c>
      <c r="T1055" s="12">
        <v>116.117632523742</v>
      </c>
      <c r="U1055" s="7"/>
      <c r="V1055" s="50">
        <f>Table13678[[#This Row],[PAGU SEMULA]]-Table13678[[#This Row],[PAGU ANGGARAN]]</f>
        <v>-134000000</v>
      </c>
      <c r="W1055" s="50">
        <f>Table13678[[#This Row],[PAGU SEMULA]]-Table13678[[#This Row],[PAGU ANGGARAN]]</f>
        <v>-134000000</v>
      </c>
      <c r="X1055" t="s">
        <v>986</v>
      </c>
    </row>
    <row r="1056" spans="3:24" hidden="1">
      <c r="C1056" s="7" t="s">
        <v>46</v>
      </c>
      <c r="D1056" s="7" t="s">
        <v>100</v>
      </c>
      <c r="E1056" s="7" t="s">
        <v>101</v>
      </c>
      <c r="F1056" s="7" t="s">
        <v>102</v>
      </c>
      <c r="G1056" s="7" t="s">
        <v>327</v>
      </c>
      <c r="H1056" s="8">
        <v>46410000</v>
      </c>
      <c r="I1056" s="10" t="s">
        <v>810</v>
      </c>
      <c r="J1056" s="7" t="s">
        <v>811</v>
      </c>
      <c r="K1056" s="10" t="s">
        <v>288</v>
      </c>
      <c r="L1056" s="7" t="s">
        <v>289</v>
      </c>
      <c r="M1056" s="7"/>
      <c r="N1056" s="7">
        <f>VLOOKUP(J1056,[1]Sheet1!$C:$D,2,FALSE)</f>
        <v>2077</v>
      </c>
      <c r="O1056" s="7">
        <f>VLOOKUP(J1056,[2]Desa!$A:$D,4,FALSE)</f>
        <v>53</v>
      </c>
      <c r="P1056" s="7">
        <f>VLOOKUP(J1056,[3]Sheet1!$D:$F,3,FALSE)</f>
        <v>6</v>
      </c>
      <c r="Q1056" s="7"/>
      <c r="R1056" s="7"/>
      <c r="S1056" s="12">
        <v>-8.5476249595613201</v>
      </c>
      <c r="T1056" s="12">
        <v>116.117632523742</v>
      </c>
      <c r="U1056" s="7"/>
      <c r="V1056" s="50">
        <f>Table13678[[#This Row],[PAGU SEMULA]]-Table13678[[#This Row],[PAGU ANGGARAN]]</f>
        <v>-46410000</v>
      </c>
      <c r="W1056" s="50">
        <f>Table13678[[#This Row],[PAGU SEMULA]]-Table13678[[#This Row],[PAGU ANGGARAN]]</f>
        <v>-46410000</v>
      </c>
      <c r="X1056" t="s">
        <v>987</v>
      </c>
    </row>
    <row r="1057" spans="3:24" hidden="1">
      <c r="C1057" s="7" t="s">
        <v>46</v>
      </c>
      <c r="D1057" s="7" t="s">
        <v>100</v>
      </c>
      <c r="E1057" s="7" t="s">
        <v>101</v>
      </c>
      <c r="F1057" s="7" t="s">
        <v>102</v>
      </c>
      <c r="G1057" s="7" t="s">
        <v>121</v>
      </c>
      <c r="H1057" s="8">
        <v>31500000</v>
      </c>
      <c r="I1057" s="10" t="s">
        <v>810</v>
      </c>
      <c r="J1057" s="7" t="s">
        <v>811</v>
      </c>
      <c r="K1057" s="10" t="s">
        <v>288</v>
      </c>
      <c r="L1057" s="7" t="s">
        <v>289</v>
      </c>
      <c r="M1057" s="7"/>
      <c r="N1057" s="7">
        <f>VLOOKUP(J1057,[1]Sheet1!$C:$D,2,FALSE)</f>
        <v>2077</v>
      </c>
      <c r="O1057" s="7">
        <f>VLOOKUP(J1057,[2]Desa!$A:$D,4,FALSE)</f>
        <v>53</v>
      </c>
      <c r="P1057" s="7">
        <f>VLOOKUP(J1057,[3]Sheet1!$D:$F,3,FALSE)</f>
        <v>6</v>
      </c>
      <c r="Q1057" s="7"/>
      <c r="R1057" s="7"/>
      <c r="S1057" s="12">
        <v>-8.5476249595613201</v>
      </c>
      <c r="T1057" s="12">
        <v>116.117632523742</v>
      </c>
      <c r="U1057" s="7"/>
      <c r="V1057" s="50">
        <f>Table13678[[#This Row],[PAGU SEMULA]]-Table13678[[#This Row],[PAGU ANGGARAN]]</f>
        <v>-31500000</v>
      </c>
      <c r="W1057" s="50">
        <f>Table13678[[#This Row],[PAGU SEMULA]]-Table13678[[#This Row],[PAGU ANGGARAN]]</f>
        <v>-31500000</v>
      </c>
      <c r="X1057" t="s">
        <v>987</v>
      </c>
    </row>
    <row r="1058" spans="3:24" hidden="1">
      <c r="C1058" s="7" t="s">
        <v>46</v>
      </c>
      <c r="D1058" s="7" t="s">
        <v>100</v>
      </c>
      <c r="E1058" s="7" t="s">
        <v>101</v>
      </c>
      <c r="F1058" s="7" t="s">
        <v>102</v>
      </c>
      <c r="G1058" s="71" t="s">
        <v>647</v>
      </c>
      <c r="H1058" s="8">
        <v>0</v>
      </c>
      <c r="I1058" s="10" t="s">
        <v>810</v>
      </c>
      <c r="J1058" s="7" t="s">
        <v>811</v>
      </c>
      <c r="K1058" s="10" t="s">
        <v>288</v>
      </c>
      <c r="L1058" s="7" t="s">
        <v>289</v>
      </c>
      <c r="M1058" s="7"/>
      <c r="N1058" s="7">
        <f>VLOOKUP(J1058,[1]Sheet1!$C:$D,2,FALSE)</f>
        <v>2077</v>
      </c>
      <c r="O1058" s="7">
        <f>VLOOKUP(J1058,[2]Desa!$A:$D,4,FALSE)</f>
        <v>53</v>
      </c>
      <c r="P1058" s="7">
        <f>VLOOKUP(J1058,[3]Sheet1!$D:$F,3,FALSE)</f>
        <v>6</v>
      </c>
      <c r="Q1058" s="7"/>
      <c r="R1058" s="7"/>
      <c r="S1058" s="12">
        <v>-8.5476249595613201</v>
      </c>
      <c r="T1058" s="12">
        <v>116.117632523742</v>
      </c>
      <c r="U1058" s="65">
        <v>25940000</v>
      </c>
      <c r="V1058" s="62">
        <f>Table13678[[#This Row],[PAGU SEMULA]]-Table13678[[#This Row],[PAGU ANGGARAN]]</f>
        <v>25940000</v>
      </c>
      <c r="W1058" s="50">
        <f>Table13678[[#This Row],[PAGU SEMULA]]-Table13678[[#This Row],[PAGU ANGGARAN]]</f>
        <v>25940000</v>
      </c>
      <c r="X1058" t="s">
        <v>987</v>
      </c>
    </row>
    <row r="1059" spans="3:24" hidden="1">
      <c r="C1059" s="71" t="s">
        <v>46</v>
      </c>
      <c r="D1059" s="7" t="s">
        <v>100</v>
      </c>
      <c r="E1059" s="7" t="s">
        <v>101</v>
      </c>
      <c r="F1059" s="7" t="s">
        <v>102</v>
      </c>
      <c r="G1059" s="29" t="s">
        <v>959</v>
      </c>
      <c r="H1059" s="8">
        <v>125000000</v>
      </c>
      <c r="I1059" s="10" t="s">
        <v>810</v>
      </c>
      <c r="J1059" s="7" t="s">
        <v>811</v>
      </c>
      <c r="K1059" s="10" t="s">
        <v>288</v>
      </c>
      <c r="L1059" s="7" t="s">
        <v>289</v>
      </c>
      <c r="M1059" s="29"/>
      <c r="N1059" s="29">
        <f>VLOOKUP(J1059,[1]Sheet1!$C:$D,2,FALSE)</f>
        <v>2077</v>
      </c>
      <c r="O1059" s="29">
        <f>VLOOKUP(J1059,[2]Desa!$A:$D,4,FALSE)</f>
        <v>53</v>
      </c>
      <c r="P1059" s="29">
        <f>VLOOKUP(J1059,[3]Sheet1!$D:$F,3,FALSE)</f>
        <v>6</v>
      </c>
      <c r="Q1059" s="29"/>
      <c r="R1059" s="35"/>
      <c r="S1059" s="36"/>
      <c r="T1059" s="32"/>
      <c r="U1059" s="75"/>
      <c r="V1059" s="54">
        <f>Table13678[[#This Row],[PAGU SEMULA]]-Table13678[[#This Row],[PAGU ANGGARAN]]</f>
        <v>-125000000</v>
      </c>
      <c r="W1059" s="54">
        <f>Table13678[[#This Row],[PAGU SEMULA]]-Table13678[[#This Row],[PAGU ANGGARAN]]</f>
        <v>-125000000</v>
      </c>
      <c r="X1059" t="s">
        <v>987</v>
      </c>
    </row>
    <row r="1060" spans="3:24" hidden="1">
      <c r="C1060" s="7" t="s">
        <v>51</v>
      </c>
      <c r="D1060" s="7" t="s">
        <v>52</v>
      </c>
      <c r="E1060" s="7" t="s">
        <v>53</v>
      </c>
      <c r="F1060" s="7" t="s">
        <v>54</v>
      </c>
      <c r="G1060" s="7" t="s">
        <v>55</v>
      </c>
      <c r="H1060" s="8">
        <v>189090000</v>
      </c>
      <c r="I1060" s="10" t="s">
        <v>810</v>
      </c>
      <c r="J1060" s="7" t="s">
        <v>811</v>
      </c>
      <c r="K1060" s="10" t="s">
        <v>288</v>
      </c>
      <c r="L1060" s="7" t="s">
        <v>289</v>
      </c>
      <c r="M1060" s="7"/>
      <c r="N1060" s="7">
        <f>VLOOKUP(J1060,[1]Sheet1!$C:$D,2,FALSE)</f>
        <v>2077</v>
      </c>
      <c r="O1060" s="7">
        <f>VLOOKUP(J1060,[2]Desa!$A:$D,4,FALSE)</f>
        <v>53</v>
      </c>
      <c r="P1060" s="7">
        <f>VLOOKUP(J1060,[3]Sheet1!$D:$F,3,FALSE)</f>
        <v>6</v>
      </c>
      <c r="Q1060" s="7"/>
      <c r="R1060" s="7"/>
      <c r="S1060" s="12">
        <v>-8.5476249595613201</v>
      </c>
      <c r="T1060" s="12">
        <v>116.117632523742</v>
      </c>
      <c r="U1060" s="7"/>
      <c r="V1060" s="50">
        <f>Table13678[[#This Row],[PAGU SEMULA]]-Table13678[[#This Row],[PAGU ANGGARAN]]</f>
        <v>-189090000</v>
      </c>
      <c r="W1060" s="50">
        <f>Table13678[[#This Row],[PAGU SEMULA]]-Table13678[[#This Row],[PAGU ANGGARAN]]</f>
        <v>-189090000</v>
      </c>
      <c r="X1060" t="s">
        <v>986</v>
      </c>
    </row>
    <row r="1061" spans="3:24" hidden="1">
      <c r="C1061" s="7" t="s">
        <v>29</v>
      </c>
      <c r="D1061" s="7" t="s">
        <v>30</v>
      </c>
      <c r="E1061" s="7" t="s">
        <v>31</v>
      </c>
      <c r="F1061" s="7" t="s">
        <v>32</v>
      </c>
      <c r="G1061" s="7" t="s">
        <v>33</v>
      </c>
      <c r="H1061" s="8">
        <v>391440000</v>
      </c>
      <c r="I1061" s="10" t="s">
        <v>820</v>
      </c>
      <c r="J1061" s="7" t="s">
        <v>821</v>
      </c>
      <c r="K1061" s="10" t="s">
        <v>142</v>
      </c>
      <c r="L1061" s="7" t="s">
        <v>143</v>
      </c>
      <c r="M1061" s="7"/>
      <c r="N1061" s="7">
        <f>VLOOKUP(J1061,[1]Sheet1!$C:$D,2,FALSE)</f>
        <v>6160</v>
      </c>
      <c r="O1061" s="7">
        <f>VLOOKUP(J1061,[2]Desa!$A:$D,4,FALSE)</f>
        <v>109</v>
      </c>
      <c r="P1061" s="7">
        <f>VLOOKUP(J1061,[3]Sheet1!$D:$F,3,FALSE)</f>
        <v>39</v>
      </c>
      <c r="Q1061" s="7"/>
      <c r="R1061" s="7"/>
      <c r="S1061" s="12">
        <v>-8.6458025254307103</v>
      </c>
      <c r="T1061" s="12">
        <v>116.128366321784</v>
      </c>
      <c r="U1061" s="7"/>
      <c r="V1061" s="50">
        <f>Table13678[[#This Row],[PAGU SEMULA]]-Table13678[[#This Row],[PAGU ANGGARAN]]</f>
        <v>-391440000</v>
      </c>
      <c r="W1061" s="50">
        <f>Table13678[[#This Row],[PAGU SEMULA]]-Table13678[[#This Row],[PAGU ANGGARAN]]</f>
        <v>-391440000</v>
      </c>
      <c r="X1061" t="s">
        <v>984</v>
      </c>
    </row>
    <row r="1062" spans="3:24" hidden="1">
      <c r="C1062" s="7" t="s">
        <v>29</v>
      </c>
      <c r="D1062" s="7" t="s">
        <v>30</v>
      </c>
      <c r="E1062" s="7" t="s">
        <v>31</v>
      </c>
      <c r="F1062" s="7" t="s">
        <v>32</v>
      </c>
      <c r="G1062" s="7" t="s">
        <v>34</v>
      </c>
      <c r="H1062" s="8">
        <v>31315200</v>
      </c>
      <c r="I1062" s="10" t="s">
        <v>820</v>
      </c>
      <c r="J1062" s="7" t="s">
        <v>821</v>
      </c>
      <c r="K1062" s="10" t="s">
        <v>142</v>
      </c>
      <c r="L1062" s="7" t="s">
        <v>143</v>
      </c>
      <c r="M1062" s="7"/>
      <c r="N1062" s="7">
        <f>VLOOKUP(J1062,[1]Sheet1!$C:$D,2,FALSE)</f>
        <v>6160</v>
      </c>
      <c r="O1062" s="7">
        <f>VLOOKUP(J1062,[2]Desa!$A:$D,4,FALSE)</f>
        <v>109</v>
      </c>
      <c r="P1062" s="7">
        <f>VLOOKUP(J1062,[3]Sheet1!$D:$F,3,FALSE)</f>
        <v>39</v>
      </c>
      <c r="Q1062" s="7"/>
      <c r="R1062" s="7"/>
      <c r="S1062" s="12">
        <v>-8.6458025254307103</v>
      </c>
      <c r="T1062" s="12">
        <v>116.128366321784</v>
      </c>
      <c r="U1062" s="7"/>
      <c r="V1062" s="50">
        <f>Table13678[[#This Row],[PAGU SEMULA]]-Table13678[[#This Row],[PAGU ANGGARAN]]</f>
        <v>-31315200</v>
      </c>
      <c r="W1062" s="50">
        <f>Table13678[[#This Row],[PAGU SEMULA]]-Table13678[[#This Row],[PAGU ANGGARAN]]</f>
        <v>-31315200</v>
      </c>
      <c r="X1062" t="s">
        <v>984</v>
      </c>
    </row>
    <row r="1063" spans="3:24" hidden="1">
      <c r="C1063" s="7" t="s">
        <v>546</v>
      </c>
      <c r="D1063" s="7" t="s">
        <v>75</v>
      </c>
      <c r="E1063" s="7" t="s">
        <v>547</v>
      </c>
      <c r="F1063" s="7" t="s">
        <v>548</v>
      </c>
      <c r="G1063" s="7" t="s">
        <v>549</v>
      </c>
      <c r="H1063" s="8">
        <v>99675000</v>
      </c>
      <c r="I1063" s="10" t="s">
        <v>820</v>
      </c>
      <c r="J1063" s="7" t="s">
        <v>821</v>
      </c>
      <c r="K1063" s="10" t="s">
        <v>142</v>
      </c>
      <c r="L1063" s="7" t="s">
        <v>143</v>
      </c>
      <c r="M1063" s="7"/>
      <c r="N1063" s="7">
        <f>VLOOKUP(J1063,[1]Sheet1!$C:$D,2,FALSE)</f>
        <v>6160</v>
      </c>
      <c r="O1063" s="7">
        <f>VLOOKUP(J1063,[2]Desa!$A:$D,4,FALSE)</f>
        <v>109</v>
      </c>
      <c r="P1063" s="7">
        <f>VLOOKUP(J1063,[3]Sheet1!$D:$F,3,FALSE)</f>
        <v>39</v>
      </c>
      <c r="Q1063" s="7"/>
      <c r="R1063" s="7"/>
      <c r="S1063" s="12">
        <v>-8.6458025254307103</v>
      </c>
      <c r="T1063" s="12">
        <v>116.128366321784</v>
      </c>
      <c r="U1063" s="7"/>
      <c r="V1063" s="50">
        <f>Table13678[[#This Row],[PAGU SEMULA]]-Table13678[[#This Row],[PAGU ANGGARAN]]</f>
        <v>-99675000</v>
      </c>
      <c r="W1063" s="50">
        <f>Table13678[[#This Row],[PAGU SEMULA]]-Table13678[[#This Row],[PAGU ANGGARAN]]</f>
        <v>-99675000</v>
      </c>
      <c r="X1063" t="s">
        <v>982</v>
      </c>
    </row>
    <row r="1064" spans="3:24" hidden="1">
      <c r="C1064" s="7" t="s">
        <v>110</v>
      </c>
      <c r="D1064" s="7" t="s">
        <v>178</v>
      </c>
      <c r="E1064" s="7" t="s">
        <v>179</v>
      </c>
      <c r="F1064" s="7" t="s">
        <v>180</v>
      </c>
      <c r="G1064" s="71" t="s">
        <v>640</v>
      </c>
      <c r="H1064" s="8">
        <v>0</v>
      </c>
      <c r="I1064" s="10" t="s">
        <v>820</v>
      </c>
      <c r="J1064" s="7" t="s">
        <v>821</v>
      </c>
      <c r="K1064" s="10" t="s">
        <v>142</v>
      </c>
      <c r="L1064" s="7" t="s">
        <v>143</v>
      </c>
      <c r="M1064" s="7"/>
      <c r="N1064" s="7">
        <f>VLOOKUP(J1064,[1]Sheet1!$C:$D,2,FALSE)</f>
        <v>6160</v>
      </c>
      <c r="O1064" s="7">
        <f>VLOOKUP(J1064,[2]Desa!$A:$D,4,FALSE)</f>
        <v>109</v>
      </c>
      <c r="P1064" s="7">
        <f>VLOOKUP(J1064,[3]Sheet1!$D:$F,3,FALSE)</f>
        <v>39</v>
      </c>
      <c r="Q1064" s="7"/>
      <c r="R1064" s="7"/>
      <c r="S1064" s="12">
        <v>-8.6458025254307103</v>
      </c>
      <c r="T1064" s="12">
        <v>116.128366321784</v>
      </c>
      <c r="U1064" s="7"/>
      <c r="V1064" s="50">
        <f>Table13678[[#This Row],[PAGU SEMULA]]-Table13678[[#This Row],[PAGU ANGGARAN]]</f>
        <v>0</v>
      </c>
      <c r="W1064" s="50">
        <f>Table13678[[#This Row],[PAGU SEMULA]]-Table13678[[#This Row],[PAGU ANGGARAN]]</f>
        <v>0</v>
      </c>
      <c r="X1064" t="s">
        <v>982</v>
      </c>
    </row>
    <row r="1065" spans="3:24" hidden="1">
      <c r="C1065" s="7" t="s">
        <v>35</v>
      </c>
      <c r="D1065" s="7" t="s">
        <v>36</v>
      </c>
      <c r="E1065" s="7" t="s">
        <v>37</v>
      </c>
      <c r="F1065" s="7" t="s">
        <v>38</v>
      </c>
      <c r="G1065" s="7" t="s">
        <v>39</v>
      </c>
      <c r="H1065" s="15">
        <v>125000000</v>
      </c>
      <c r="I1065" s="10" t="s">
        <v>820</v>
      </c>
      <c r="J1065" s="7" t="s">
        <v>821</v>
      </c>
      <c r="K1065" s="10" t="s">
        <v>142</v>
      </c>
      <c r="L1065" s="7" t="s">
        <v>143</v>
      </c>
      <c r="M1065" s="7"/>
      <c r="N1065" s="7">
        <f>VLOOKUP(J1065,[1]Sheet1!$C:$D,2,FALSE)</f>
        <v>6160</v>
      </c>
      <c r="O1065" s="7">
        <f>VLOOKUP(J1065,[2]Desa!$A:$D,4,FALSE)</f>
        <v>109</v>
      </c>
      <c r="P1065" s="7">
        <f>VLOOKUP(J1065,[3]Sheet1!$D:$F,3,FALSE)</f>
        <v>39</v>
      </c>
      <c r="Q1065" s="7"/>
      <c r="R1065" s="7"/>
      <c r="S1065" s="12">
        <v>-8.6458025254307103</v>
      </c>
      <c r="T1065" s="12">
        <v>116.128366321784</v>
      </c>
      <c r="U1065" s="7"/>
      <c r="V1065" s="50">
        <f>Table13678[[#This Row],[PAGU SEMULA]]-Table13678[[#This Row],[PAGU ANGGARAN]]</f>
        <v>-125000000</v>
      </c>
      <c r="W1065" s="50">
        <f>Table13678[[#This Row],[PAGU SEMULA]]-Table13678[[#This Row],[PAGU ANGGARAN]]</f>
        <v>-125000000</v>
      </c>
      <c r="X1065" t="s">
        <v>984</v>
      </c>
    </row>
    <row r="1066" spans="3:24" hidden="1">
      <c r="C1066" s="7" t="s">
        <v>35</v>
      </c>
      <c r="D1066" s="7" t="s">
        <v>52</v>
      </c>
      <c r="E1066" s="7" t="s">
        <v>95</v>
      </c>
      <c r="F1066" s="7" t="s">
        <v>96</v>
      </c>
      <c r="G1066" s="7" t="s">
        <v>98</v>
      </c>
      <c r="H1066" s="17">
        <v>193500000</v>
      </c>
      <c r="I1066" s="10" t="s">
        <v>820</v>
      </c>
      <c r="J1066" s="7" t="s">
        <v>821</v>
      </c>
      <c r="K1066" s="10" t="s">
        <v>142</v>
      </c>
      <c r="L1066" s="7" t="s">
        <v>143</v>
      </c>
      <c r="M1066" s="7"/>
      <c r="N1066" s="7">
        <f>VLOOKUP(J1066,[1]Sheet1!$C:$D,2,FALSE)</f>
        <v>6160</v>
      </c>
      <c r="O1066" s="7">
        <f>VLOOKUP(J1066,[2]Desa!$A:$D,4,FALSE)</f>
        <v>109</v>
      </c>
      <c r="P1066" s="7">
        <f>VLOOKUP(J1066,[3]Sheet1!$D:$F,3,FALSE)</f>
        <v>39</v>
      </c>
      <c r="Q1066" s="7"/>
      <c r="R1066" s="7"/>
      <c r="S1066" s="12">
        <v>-8.6458025254307103</v>
      </c>
      <c r="T1066" s="12">
        <v>116.128366321784</v>
      </c>
      <c r="U1066" s="7"/>
      <c r="V1066" s="50">
        <f>Table13678[[#This Row],[PAGU SEMULA]]-Table13678[[#This Row],[PAGU ANGGARAN]]</f>
        <v>-193500000</v>
      </c>
      <c r="W1066" s="50">
        <f>Table13678[[#This Row],[PAGU SEMULA]]-Table13678[[#This Row],[PAGU ANGGARAN]]</f>
        <v>-193500000</v>
      </c>
      <c r="X1066" t="s">
        <v>986</v>
      </c>
    </row>
    <row r="1067" spans="3:24" hidden="1">
      <c r="C1067" s="7" t="s">
        <v>35</v>
      </c>
      <c r="D1067" s="7" t="s">
        <v>52</v>
      </c>
      <c r="E1067" s="7" t="s">
        <v>95</v>
      </c>
      <c r="F1067" s="7" t="s">
        <v>96</v>
      </c>
      <c r="G1067" s="7" t="s">
        <v>367</v>
      </c>
      <c r="H1067" s="17">
        <v>96750000</v>
      </c>
      <c r="I1067" s="10" t="s">
        <v>820</v>
      </c>
      <c r="J1067" s="7" t="s">
        <v>821</v>
      </c>
      <c r="K1067" s="10" t="s">
        <v>142</v>
      </c>
      <c r="L1067" s="7" t="s">
        <v>143</v>
      </c>
      <c r="M1067" s="7"/>
      <c r="N1067" s="7">
        <f>VLOOKUP(J1067,[1]Sheet1!$C:$D,2,FALSE)</f>
        <v>6160</v>
      </c>
      <c r="O1067" s="7">
        <f>VLOOKUP(J1067,[2]Desa!$A:$D,4,FALSE)</f>
        <v>109</v>
      </c>
      <c r="P1067" s="7">
        <f>VLOOKUP(J1067,[3]Sheet1!$D:$F,3,FALSE)</f>
        <v>39</v>
      </c>
      <c r="Q1067" s="7"/>
      <c r="R1067" s="7"/>
      <c r="S1067" s="12">
        <v>-8.6458025254307103</v>
      </c>
      <c r="T1067" s="12">
        <v>116.128366321784</v>
      </c>
      <c r="U1067" s="7"/>
      <c r="V1067" s="50">
        <f>Table13678[[#This Row],[PAGU SEMULA]]-Table13678[[#This Row],[PAGU ANGGARAN]]</f>
        <v>-96750000</v>
      </c>
      <c r="W1067" s="50">
        <f>Table13678[[#This Row],[PAGU SEMULA]]-Table13678[[#This Row],[PAGU ANGGARAN]]</f>
        <v>-96750000</v>
      </c>
      <c r="X1067" t="s">
        <v>986</v>
      </c>
    </row>
    <row r="1068" spans="3:24" hidden="1">
      <c r="C1068" s="7" t="s">
        <v>68</v>
      </c>
      <c r="D1068" s="7" t="s">
        <v>535</v>
      </c>
      <c r="E1068" s="7" t="s">
        <v>536</v>
      </c>
      <c r="F1068" s="7" t="s">
        <v>537</v>
      </c>
      <c r="G1068" s="7" t="s">
        <v>538</v>
      </c>
      <c r="H1068" s="8">
        <v>71792500</v>
      </c>
      <c r="I1068" s="10" t="s">
        <v>820</v>
      </c>
      <c r="J1068" s="7" t="s">
        <v>821</v>
      </c>
      <c r="K1068" s="10" t="s">
        <v>142</v>
      </c>
      <c r="L1068" s="7" t="s">
        <v>143</v>
      </c>
      <c r="M1068" s="7"/>
      <c r="N1068" s="7">
        <f>VLOOKUP(J1068,[1]Sheet1!$C:$D,2,FALSE)</f>
        <v>6160</v>
      </c>
      <c r="O1068" s="7">
        <f>VLOOKUP(J1068,[2]Desa!$A:$D,4,FALSE)</f>
        <v>109</v>
      </c>
      <c r="P1068" s="7">
        <f>VLOOKUP(J1068,[3]Sheet1!$D:$F,3,FALSE)</f>
        <v>39</v>
      </c>
      <c r="Q1068" s="7"/>
      <c r="R1068" s="7"/>
      <c r="S1068" s="12">
        <v>-8.6458025254307103</v>
      </c>
      <c r="T1068" s="12">
        <v>116.128366321784</v>
      </c>
      <c r="U1068" s="7"/>
      <c r="V1068" s="50">
        <f>Table13678[[#This Row],[PAGU SEMULA]]-Table13678[[#This Row],[PAGU ANGGARAN]]</f>
        <v>-71792500</v>
      </c>
      <c r="W1068" s="50">
        <f>Table13678[[#This Row],[PAGU SEMULA]]-Table13678[[#This Row],[PAGU ANGGARAN]]</f>
        <v>-71792500</v>
      </c>
      <c r="X1068" t="s">
        <v>982</v>
      </c>
    </row>
    <row r="1069" spans="3:24" hidden="1">
      <c r="C1069" s="7" t="s">
        <v>46</v>
      </c>
      <c r="D1069" s="7" t="s">
        <v>122</v>
      </c>
      <c r="E1069" s="7" t="s">
        <v>123</v>
      </c>
      <c r="F1069" s="7" t="s">
        <v>124</v>
      </c>
      <c r="G1069" s="7" t="s">
        <v>192</v>
      </c>
      <c r="H1069" s="8">
        <v>100000000</v>
      </c>
      <c r="I1069" s="10" t="s">
        <v>820</v>
      </c>
      <c r="J1069" s="7" t="s">
        <v>821</v>
      </c>
      <c r="K1069" s="10" t="s">
        <v>142</v>
      </c>
      <c r="L1069" s="7" t="s">
        <v>143</v>
      </c>
      <c r="M1069" s="7"/>
      <c r="N1069" s="7">
        <f>VLOOKUP(J1069,[1]Sheet1!$C:$D,2,FALSE)</f>
        <v>6160</v>
      </c>
      <c r="O1069" s="7">
        <f>VLOOKUP(J1069,[2]Desa!$A:$D,4,FALSE)</f>
        <v>109</v>
      </c>
      <c r="P1069" s="7">
        <f>VLOOKUP(J1069,[3]Sheet1!$D:$F,3,FALSE)</f>
        <v>39</v>
      </c>
      <c r="Q1069" s="7"/>
      <c r="R1069" s="7"/>
      <c r="S1069" s="12">
        <v>-8.6458025254307103</v>
      </c>
      <c r="T1069" s="12">
        <v>116.128366321784</v>
      </c>
      <c r="U1069" s="7"/>
      <c r="V1069" s="50">
        <f>Table13678[[#This Row],[PAGU SEMULA]]-Table13678[[#This Row],[PAGU ANGGARAN]]</f>
        <v>-100000000</v>
      </c>
      <c r="W1069" s="50">
        <f>Table13678[[#This Row],[PAGU SEMULA]]-Table13678[[#This Row],[PAGU ANGGARAN]]</f>
        <v>-100000000</v>
      </c>
      <c r="X1069" t="s">
        <v>987</v>
      </c>
    </row>
    <row r="1070" spans="3:24" hidden="1">
      <c r="C1070" s="7" t="s">
        <v>51</v>
      </c>
      <c r="D1070" s="7" t="s">
        <v>52</v>
      </c>
      <c r="E1070" s="7" t="s">
        <v>53</v>
      </c>
      <c r="F1070" s="7" t="s">
        <v>54</v>
      </c>
      <c r="G1070" s="7" t="s">
        <v>73</v>
      </c>
      <c r="H1070" s="8">
        <v>189090000</v>
      </c>
      <c r="I1070" s="10" t="s">
        <v>820</v>
      </c>
      <c r="J1070" s="7" t="s">
        <v>821</v>
      </c>
      <c r="K1070" s="10" t="s">
        <v>142</v>
      </c>
      <c r="L1070" s="7" t="s">
        <v>143</v>
      </c>
      <c r="M1070" s="7"/>
      <c r="N1070" s="7">
        <f>VLOOKUP(J1070,[1]Sheet1!$C:$D,2,FALSE)</f>
        <v>6160</v>
      </c>
      <c r="O1070" s="7">
        <f>VLOOKUP(J1070,[2]Desa!$A:$D,4,FALSE)</f>
        <v>109</v>
      </c>
      <c r="P1070" s="7">
        <f>VLOOKUP(J1070,[3]Sheet1!$D:$F,3,FALSE)</f>
        <v>39</v>
      </c>
      <c r="Q1070" s="7"/>
      <c r="R1070" s="7"/>
      <c r="S1070" s="12">
        <v>-8.6458025254307103</v>
      </c>
      <c r="T1070" s="12">
        <v>116.128366321784</v>
      </c>
      <c r="U1070" s="7"/>
      <c r="V1070" s="50">
        <f>Table13678[[#This Row],[PAGU SEMULA]]-Table13678[[#This Row],[PAGU ANGGARAN]]</f>
        <v>-189090000</v>
      </c>
      <c r="W1070" s="50">
        <f>Table13678[[#This Row],[PAGU SEMULA]]-Table13678[[#This Row],[PAGU ANGGARAN]]</f>
        <v>-189090000</v>
      </c>
      <c r="X1070" t="s">
        <v>986</v>
      </c>
    </row>
    <row r="1071" spans="3:24" hidden="1">
      <c r="C1071" s="7" t="s">
        <v>20</v>
      </c>
      <c r="D1071" s="7" t="s">
        <v>104</v>
      </c>
      <c r="E1071" s="7" t="s">
        <v>145</v>
      </c>
      <c r="F1071" s="7" t="s">
        <v>146</v>
      </c>
      <c r="G1071" s="71" t="s">
        <v>822</v>
      </c>
      <c r="H1071" s="15">
        <v>59000000</v>
      </c>
      <c r="I1071" s="10" t="s">
        <v>823</v>
      </c>
      <c r="J1071" s="7" t="s">
        <v>824</v>
      </c>
      <c r="K1071" s="10" t="s">
        <v>207</v>
      </c>
      <c r="L1071" s="7" t="s">
        <v>206</v>
      </c>
      <c r="M1071" s="7"/>
      <c r="N1071" s="7">
        <f>VLOOKUP(J1071,[1]Sheet1!$C:$D,2,FALSE)</f>
        <v>15681</v>
      </c>
      <c r="O1071" s="7">
        <f>VLOOKUP(J1071,[2]Desa!$A:$D,4,FALSE)</f>
        <v>211</v>
      </c>
      <c r="P1071" s="7">
        <f>VLOOKUP(J1071,[3]Sheet1!$D:$F,3,FALSE)</f>
        <v>73</v>
      </c>
      <c r="Q1071" s="7"/>
      <c r="R1071" s="7"/>
      <c r="S1071" s="12">
        <v>-8.5382204402398596</v>
      </c>
      <c r="T1071" s="12">
        <v>116.089287190672</v>
      </c>
      <c r="U1071" s="7"/>
      <c r="V1071" s="50">
        <f>Table13678[[#This Row],[PAGU SEMULA]]-Table13678[[#This Row],[PAGU ANGGARAN]]</f>
        <v>-59000000</v>
      </c>
      <c r="W1071" s="50">
        <f>Table13678[[#This Row],[PAGU SEMULA]]-Table13678[[#This Row],[PAGU ANGGARAN]]</f>
        <v>-59000000</v>
      </c>
      <c r="X1071" t="s">
        <v>984</v>
      </c>
    </row>
    <row r="1072" spans="3:24" hidden="1">
      <c r="C1072" s="7" t="s">
        <v>29</v>
      </c>
      <c r="D1072" s="7" t="s">
        <v>30</v>
      </c>
      <c r="E1072" s="7" t="s">
        <v>31</v>
      </c>
      <c r="F1072" s="7" t="s">
        <v>32</v>
      </c>
      <c r="G1072" s="7" t="s">
        <v>33</v>
      </c>
      <c r="H1072" s="8">
        <v>1248660000</v>
      </c>
      <c r="I1072" s="10" t="s">
        <v>823</v>
      </c>
      <c r="J1072" s="7" t="s">
        <v>824</v>
      </c>
      <c r="K1072" s="10" t="s">
        <v>207</v>
      </c>
      <c r="L1072" s="7" t="s">
        <v>206</v>
      </c>
      <c r="M1072" s="7"/>
      <c r="N1072" s="7">
        <f>VLOOKUP(J1072,[1]Sheet1!$C:$D,2,FALSE)</f>
        <v>15681</v>
      </c>
      <c r="O1072" s="7">
        <f>VLOOKUP(J1072,[2]Desa!$A:$D,4,FALSE)</f>
        <v>211</v>
      </c>
      <c r="P1072" s="7">
        <f>VLOOKUP(J1072,[3]Sheet1!$D:$F,3,FALSE)</f>
        <v>73</v>
      </c>
      <c r="Q1072" s="7"/>
      <c r="R1072" s="7"/>
      <c r="S1072" s="12">
        <v>-8.5382204402398596</v>
      </c>
      <c r="T1072" s="12">
        <v>116.089287190672</v>
      </c>
      <c r="U1072" s="7"/>
      <c r="V1072" s="50">
        <f>Table13678[[#This Row],[PAGU SEMULA]]-Table13678[[#This Row],[PAGU ANGGARAN]]</f>
        <v>-1248660000</v>
      </c>
      <c r="W1072" s="50">
        <f>Table13678[[#This Row],[PAGU SEMULA]]-Table13678[[#This Row],[PAGU ANGGARAN]]</f>
        <v>-1248660000</v>
      </c>
      <c r="X1072" t="s">
        <v>984</v>
      </c>
    </row>
    <row r="1073" spans="3:24" hidden="1">
      <c r="C1073" s="7" t="s">
        <v>29</v>
      </c>
      <c r="D1073" s="7" t="s">
        <v>30</v>
      </c>
      <c r="E1073" s="7" t="s">
        <v>31</v>
      </c>
      <c r="F1073" s="7" t="s">
        <v>32</v>
      </c>
      <c r="G1073" s="7" t="s">
        <v>34</v>
      </c>
      <c r="H1073" s="8">
        <v>99892800</v>
      </c>
      <c r="I1073" s="10" t="s">
        <v>823</v>
      </c>
      <c r="J1073" s="7" t="s">
        <v>824</v>
      </c>
      <c r="K1073" s="10" t="s">
        <v>207</v>
      </c>
      <c r="L1073" s="7" t="s">
        <v>206</v>
      </c>
      <c r="M1073" s="7"/>
      <c r="N1073" s="7">
        <f>VLOOKUP(J1073,[1]Sheet1!$C:$D,2,FALSE)</f>
        <v>15681</v>
      </c>
      <c r="O1073" s="7">
        <f>VLOOKUP(J1073,[2]Desa!$A:$D,4,FALSE)</f>
        <v>211</v>
      </c>
      <c r="P1073" s="7">
        <f>VLOOKUP(J1073,[3]Sheet1!$D:$F,3,FALSE)</f>
        <v>73</v>
      </c>
      <c r="Q1073" s="7"/>
      <c r="R1073" s="7"/>
      <c r="S1073" s="12">
        <v>-8.5382204402398596</v>
      </c>
      <c r="T1073" s="12">
        <v>116.089287190672</v>
      </c>
      <c r="U1073" s="7"/>
      <c r="V1073" s="50">
        <f>Table13678[[#This Row],[PAGU SEMULA]]-Table13678[[#This Row],[PAGU ANGGARAN]]</f>
        <v>-99892800</v>
      </c>
      <c r="W1073" s="50">
        <f>Table13678[[#This Row],[PAGU SEMULA]]-Table13678[[#This Row],[PAGU ANGGARAN]]</f>
        <v>-99892800</v>
      </c>
      <c r="X1073" t="s">
        <v>984</v>
      </c>
    </row>
    <row r="1074" spans="3:24" hidden="1">
      <c r="C1074" s="7" t="s">
        <v>130</v>
      </c>
      <c r="D1074" s="7" t="s">
        <v>131</v>
      </c>
      <c r="E1074" s="7" t="s">
        <v>132</v>
      </c>
      <c r="F1074" s="7" t="s">
        <v>132</v>
      </c>
      <c r="G1074" s="7" t="s">
        <v>133</v>
      </c>
      <c r="H1074" s="8">
        <v>2112250000</v>
      </c>
      <c r="I1074" s="10" t="s">
        <v>823</v>
      </c>
      <c r="J1074" s="7" t="s">
        <v>824</v>
      </c>
      <c r="K1074" s="10" t="s">
        <v>207</v>
      </c>
      <c r="L1074" s="7" t="s">
        <v>206</v>
      </c>
      <c r="M1074" s="7"/>
      <c r="N1074" s="7">
        <f>VLOOKUP(J1074,[1]Sheet1!$C:$D,2,FALSE)</f>
        <v>15681</v>
      </c>
      <c r="O1074" s="7">
        <f>VLOOKUP(J1074,[2]Desa!$A:$D,4,FALSE)</f>
        <v>211</v>
      </c>
      <c r="P1074" s="7">
        <f>VLOOKUP(J1074,[3]Sheet1!$D:$F,3,FALSE)</f>
        <v>73</v>
      </c>
      <c r="Q1074" s="7"/>
      <c r="R1074" s="7"/>
      <c r="S1074" s="12">
        <v>-8.5382204402398596</v>
      </c>
      <c r="T1074" s="12">
        <v>116.089287190672</v>
      </c>
      <c r="U1074" s="7"/>
      <c r="V1074" s="50">
        <f>Table13678[[#This Row],[PAGU SEMULA]]-Table13678[[#This Row],[PAGU ANGGARAN]]</f>
        <v>-2112250000</v>
      </c>
      <c r="W1074" s="50">
        <f>Table13678[[#This Row],[PAGU SEMULA]]-Table13678[[#This Row],[PAGU ANGGARAN]]</f>
        <v>-2112250000</v>
      </c>
      <c r="X1074" t="s">
        <v>986</v>
      </c>
    </row>
    <row r="1075" spans="3:24" hidden="1">
      <c r="C1075" s="7" t="s">
        <v>110</v>
      </c>
      <c r="D1075" s="7" t="s">
        <v>178</v>
      </c>
      <c r="E1075" s="7" t="s">
        <v>179</v>
      </c>
      <c r="F1075" s="7" t="s">
        <v>180</v>
      </c>
      <c r="G1075" s="71" t="s">
        <v>699</v>
      </c>
      <c r="H1075" s="8">
        <v>0</v>
      </c>
      <c r="I1075" s="10" t="s">
        <v>823</v>
      </c>
      <c r="J1075" s="7" t="s">
        <v>824</v>
      </c>
      <c r="K1075" s="10" t="s">
        <v>207</v>
      </c>
      <c r="L1075" s="7" t="s">
        <v>206</v>
      </c>
      <c r="M1075" s="7"/>
      <c r="N1075" s="7">
        <f>VLOOKUP(J1075,[1]Sheet1!$C:$D,2,FALSE)</f>
        <v>15681</v>
      </c>
      <c r="O1075" s="7">
        <f>VLOOKUP(J1075,[2]Desa!$A:$D,4,FALSE)</f>
        <v>211</v>
      </c>
      <c r="P1075" s="7">
        <f>VLOOKUP(J1075,[3]Sheet1!$D:$F,3,FALSE)</f>
        <v>73</v>
      </c>
      <c r="Q1075" s="7"/>
      <c r="R1075" s="7"/>
      <c r="S1075" s="12">
        <v>-8.5382204402398596</v>
      </c>
      <c r="T1075" s="12">
        <v>116.089287190672</v>
      </c>
      <c r="U1075" s="7"/>
      <c r="V1075" s="50">
        <f>Table13678[[#This Row],[PAGU SEMULA]]-Table13678[[#This Row],[PAGU ANGGARAN]]</f>
        <v>0</v>
      </c>
      <c r="W1075" s="50">
        <f>Table13678[[#This Row],[PAGU SEMULA]]-Table13678[[#This Row],[PAGU ANGGARAN]]</f>
        <v>0</v>
      </c>
      <c r="X1075" t="s">
        <v>982</v>
      </c>
    </row>
    <row r="1076" spans="3:24" hidden="1">
      <c r="C1076" s="7" t="s">
        <v>35</v>
      </c>
      <c r="D1076" s="7" t="s">
        <v>36</v>
      </c>
      <c r="E1076" s="7" t="s">
        <v>37</v>
      </c>
      <c r="F1076" s="7" t="s">
        <v>38</v>
      </c>
      <c r="G1076" s="7" t="s">
        <v>39</v>
      </c>
      <c r="H1076" s="15">
        <v>75000000</v>
      </c>
      <c r="I1076" s="10" t="s">
        <v>823</v>
      </c>
      <c r="J1076" s="7" t="s">
        <v>824</v>
      </c>
      <c r="K1076" s="10" t="s">
        <v>207</v>
      </c>
      <c r="L1076" s="7" t="s">
        <v>206</v>
      </c>
      <c r="M1076" s="7"/>
      <c r="N1076" s="7">
        <f>VLOOKUP(J1076,[1]Sheet1!$C:$D,2,FALSE)</f>
        <v>15681</v>
      </c>
      <c r="O1076" s="7">
        <f>VLOOKUP(J1076,[2]Desa!$A:$D,4,FALSE)</f>
        <v>211</v>
      </c>
      <c r="P1076" s="7">
        <f>VLOOKUP(J1076,[3]Sheet1!$D:$F,3,FALSE)</f>
        <v>73</v>
      </c>
      <c r="Q1076" s="7"/>
      <c r="R1076" s="7"/>
      <c r="S1076" s="12">
        <v>-8.5382204402398596</v>
      </c>
      <c r="T1076" s="12">
        <v>116.089287190672</v>
      </c>
      <c r="U1076" s="7"/>
      <c r="V1076" s="50">
        <f>Table13678[[#This Row],[PAGU SEMULA]]-Table13678[[#This Row],[PAGU ANGGARAN]]</f>
        <v>-75000000</v>
      </c>
      <c r="W1076" s="50">
        <f>Table13678[[#This Row],[PAGU SEMULA]]-Table13678[[#This Row],[PAGU ANGGARAN]]</f>
        <v>-75000000</v>
      </c>
      <c r="X1076" t="s">
        <v>984</v>
      </c>
    </row>
    <row r="1077" spans="3:24" hidden="1">
      <c r="C1077" s="7" t="s">
        <v>35</v>
      </c>
      <c r="D1077" s="7" t="s">
        <v>65</v>
      </c>
      <c r="E1077" s="7" t="s">
        <v>66</v>
      </c>
      <c r="F1077" s="7" t="s">
        <v>322</v>
      </c>
      <c r="G1077" s="7" t="s">
        <v>322</v>
      </c>
      <c r="H1077" s="15">
        <v>68302000</v>
      </c>
      <c r="I1077" s="10" t="s">
        <v>823</v>
      </c>
      <c r="J1077" s="7" t="s">
        <v>824</v>
      </c>
      <c r="K1077" s="10" t="s">
        <v>207</v>
      </c>
      <c r="L1077" s="7" t="s">
        <v>206</v>
      </c>
      <c r="M1077" s="7"/>
      <c r="N1077" s="7">
        <f>VLOOKUP(J1077,[1]Sheet1!$C:$D,2,FALSE)</f>
        <v>15681</v>
      </c>
      <c r="O1077" s="7">
        <f>VLOOKUP(J1077,[2]Desa!$A:$D,4,FALSE)</f>
        <v>211</v>
      </c>
      <c r="P1077" s="7">
        <f>VLOOKUP(J1077,[3]Sheet1!$D:$F,3,FALSE)</f>
        <v>73</v>
      </c>
      <c r="Q1077" s="7"/>
      <c r="R1077" s="7"/>
      <c r="S1077" s="12">
        <v>-8.5382204402398596</v>
      </c>
      <c r="T1077" s="12">
        <v>116.089287190672</v>
      </c>
      <c r="U1077" s="7"/>
      <c r="V1077" s="50">
        <f>Table13678[[#This Row],[PAGU SEMULA]]-Table13678[[#This Row],[PAGU ANGGARAN]]</f>
        <v>-68302000</v>
      </c>
      <c r="W1077" s="50">
        <f>Table13678[[#This Row],[PAGU SEMULA]]-Table13678[[#This Row],[PAGU ANGGARAN]]</f>
        <v>-68302000</v>
      </c>
      <c r="X1077" t="s">
        <v>986</v>
      </c>
    </row>
    <row r="1078" spans="3:24" hidden="1">
      <c r="C1078" s="7" t="s">
        <v>35</v>
      </c>
      <c r="D1078" s="7" t="s">
        <v>52</v>
      </c>
      <c r="E1078" s="7" t="s">
        <v>95</v>
      </c>
      <c r="F1078" s="7" t="s">
        <v>96</v>
      </c>
      <c r="G1078" s="7" t="s">
        <v>98</v>
      </c>
      <c r="H1078" s="17">
        <v>266062500</v>
      </c>
      <c r="I1078" s="10" t="s">
        <v>823</v>
      </c>
      <c r="J1078" s="7" t="s">
        <v>824</v>
      </c>
      <c r="K1078" s="10" t="s">
        <v>207</v>
      </c>
      <c r="L1078" s="7" t="s">
        <v>206</v>
      </c>
      <c r="M1078" s="7"/>
      <c r="N1078" s="7">
        <f>VLOOKUP(J1078,[1]Sheet1!$C:$D,2,FALSE)</f>
        <v>15681</v>
      </c>
      <c r="O1078" s="7">
        <f>VLOOKUP(J1078,[2]Desa!$A:$D,4,FALSE)</f>
        <v>211</v>
      </c>
      <c r="P1078" s="7">
        <f>VLOOKUP(J1078,[3]Sheet1!$D:$F,3,FALSE)</f>
        <v>73</v>
      </c>
      <c r="Q1078" s="7"/>
      <c r="R1078" s="7"/>
      <c r="S1078" s="12">
        <v>-8.5382204402398596</v>
      </c>
      <c r="T1078" s="12">
        <v>116.089287190672</v>
      </c>
      <c r="U1078" s="7"/>
      <c r="V1078" s="50">
        <f>Table13678[[#This Row],[PAGU SEMULA]]-Table13678[[#This Row],[PAGU ANGGARAN]]</f>
        <v>-266062500</v>
      </c>
      <c r="W1078" s="50">
        <f>Table13678[[#This Row],[PAGU SEMULA]]-Table13678[[#This Row],[PAGU ANGGARAN]]</f>
        <v>-266062500</v>
      </c>
      <c r="X1078" t="s">
        <v>986</v>
      </c>
    </row>
    <row r="1079" spans="3:24" hidden="1">
      <c r="C1079" s="7" t="s">
        <v>35</v>
      </c>
      <c r="D1079" s="7" t="s">
        <v>52</v>
      </c>
      <c r="E1079" s="7" t="s">
        <v>95</v>
      </c>
      <c r="F1079" s="7" t="s">
        <v>96</v>
      </c>
      <c r="G1079" s="7" t="s">
        <v>99</v>
      </c>
      <c r="H1079" s="17">
        <v>48375000</v>
      </c>
      <c r="I1079" s="10" t="s">
        <v>823</v>
      </c>
      <c r="J1079" s="7" t="s">
        <v>824</v>
      </c>
      <c r="K1079" s="10" t="s">
        <v>207</v>
      </c>
      <c r="L1079" s="7" t="s">
        <v>206</v>
      </c>
      <c r="M1079" s="7"/>
      <c r="N1079" s="7">
        <f>VLOOKUP(J1079,[1]Sheet1!$C:$D,2,FALSE)</f>
        <v>15681</v>
      </c>
      <c r="O1079" s="7">
        <f>VLOOKUP(J1079,[2]Desa!$A:$D,4,FALSE)</f>
        <v>211</v>
      </c>
      <c r="P1079" s="7">
        <f>VLOOKUP(J1079,[3]Sheet1!$D:$F,3,FALSE)</f>
        <v>73</v>
      </c>
      <c r="Q1079" s="7"/>
      <c r="R1079" s="7"/>
      <c r="S1079" s="12">
        <v>-8.5382204402398596</v>
      </c>
      <c r="T1079" s="12">
        <v>116.089287190672</v>
      </c>
      <c r="U1079" s="7"/>
      <c r="V1079" s="50">
        <f>Table13678[[#This Row],[PAGU SEMULA]]-Table13678[[#This Row],[PAGU ANGGARAN]]</f>
        <v>-48375000</v>
      </c>
      <c r="W1079" s="50">
        <f>Table13678[[#This Row],[PAGU SEMULA]]-Table13678[[#This Row],[PAGU ANGGARAN]]</f>
        <v>-48375000</v>
      </c>
      <c r="X1079" t="s">
        <v>986</v>
      </c>
    </row>
    <row r="1080" spans="3:24" hidden="1">
      <c r="C1080" s="7" t="s">
        <v>35</v>
      </c>
      <c r="D1080" s="7" t="s">
        <v>156</v>
      </c>
      <c r="E1080" s="7" t="s">
        <v>157</v>
      </c>
      <c r="F1080" s="7" t="s">
        <v>158</v>
      </c>
      <c r="G1080" s="7" t="s">
        <v>621</v>
      </c>
      <c r="H1080" s="15">
        <v>0</v>
      </c>
      <c r="I1080" s="10" t="s">
        <v>823</v>
      </c>
      <c r="J1080" s="7" t="s">
        <v>824</v>
      </c>
      <c r="K1080" s="10" t="s">
        <v>207</v>
      </c>
      <c r="L1080" s="7" t="s">
        <v>206</v>
      </c>
      <c r="M1080" s="7"/>
      <c r="N1080" s="7">
        <f>VLOOKUP(J1080,[1]Sheet1!$C:$D,2,FALSE)</f>
        <v>15681</v>
      </c>
      <c r="O1080" s="7">
        <f>VLOOKUP(J1080,[2]Desa!$A:$D,4,FALSE)</f>
        <v>211</v>
      </c>
      <c r="P1080" s="7">
        <f>VLOOKUP(J1080,[3]Sheet1!$D:$F,3,FALSE)</f>
        <v>73</v>
      </c>
      <c r="Q1080" s="7"/>
      <c r="R1080" s="7"/>
      <c r="S1080" s="12">
        <v>-8.5382204402398596</v>
      </c>
      <c r="T1080" s="12">
        <v>116.089287190672</v>
      </c>
      <c r="U1080" s="7"/>
      <c r="V1080" s="50">
        <f>Table13678[[#This Row],[PAGU SEMULA]]-Table13678[[#This Row],[PAGU ANGGARAN]]</f>
        <v>0</v>
      </c>
      <c r="W1080" s="50">
        <f>Table13678[[#This Row],[PAGU SEMULA]]-Table13678[[#This Row],[PAGU ANGGARAN]]</f>
        <v>0</v>
      </c>
      <c r="X1080" t="s">
        <v>986</v>
      </c>
    </row>
    <row r="1081" spans="3:24" hidden="1">
      <c r="C1081" s="7" t="s">
        <v>68</v>
      </c>
      <c r="D1081" s="7" t="s">
        <v>118</v>
      </c>
      <c r="E1081" s="7" t="s">
        <v>119</v>
      </c>
      <c r="F1081" s="7" t="s">
        <v>120</v>
      </c>
      <c r="G1081" s="7" t="s">
        <v>825</v>
      </c>
      <c r="H1081" s="8">
        <v>49000000</v>
      </c>
      <c r="I1081" s="10" t="s">
        <v>823</v>
      </c>
      <c r="J1081" s="7" t="s">
        <v>824</v>
      </c>
      <c r="K1081" s="10" t="s">
        <v>207</v>
      </c>
      <c r="L1081" s="7" t="s">
        <v>206</v>
      </c>
      <c r="M1081" s="7"/>
      <c r="N1081" s="7">
        <f>VLOOKUP(J1081,[1]Sheet1!$C:$D,2,FALSE)</f>
        <v>15681</v>
      </c>
      <c r="O1081" s="7">
        <f>VLOOKUP(J1081,[2]Desa!$A:$D,4,FALSE)</f>
        <v>211</v>
      </c>
      <c r="P1081" s="7">
        <f>VLOOKUP(J1081,[3]Sheet1!$D:$F,3,FALSE)</f>
        <v>73</v>
      </c>
      <c r="Q1081" s="7"/>
      <c r="R1081" s="7"/>
      <c r="S1081" s="12">
        <v>-8.5382204402398596</v>
      </c>
      <c r="T1081" s="12">
        <v>116.089287190672</v>
      </c>
      <c r="U1081" s="7"/>
      <c r="V1081" s="50">
        <f>Table13678[[#This Row],[PAGU SEMULA]]-Table13678[[#This Row],[PAGU ANGGARAN]]</f>
        <v>-49000000</v>
      </c>
      <c r="W1081" s="50">
        <f>Table13678[[#This Row],[PAGU SEMULA]]-Table13678[[#This Row],[PAGU ANGGARAN]]</f>
        <v>-49000000</v>
      </c>
      <c r="X1081" t="s">
        <v>982</v>
      </c>
    </row>
    <row r="1082" spans="3:24">
      <c r="C1082" s="7" t="s">
        <v>46</v>
      </c>
      <c r="D1082" s="7" t="s">
        <v>122</v>
      </c>
      <c r="E1082" s="16" t="s">
        <v>123</v>
      </c>
      <c r="F1082" s="7" t="s">
        <v>124</v>
      </c>
      <c r="G1082" s="7" t="s">
        <v>826</v>
      </c>
      <c r="H1082" s="8">
        <v>0</v>
      </c>
      <c r="I1082" s="10" t="s">
        <v>823</v>
      </c>
      <c r="J1082" s="7" t="s">
        <v>824</v>
      </c>
      <c r="K1082" s="10" t="s">
        <v>207</v>
      </c>
      <c r="L1082" s="7" t="s">
        <v>206</v>
      </c>
      <c r="M1082" s="7"/>
      <c r="N1082" s="7">
        <f>VLOOKUP(J1082,[1]Sheet1!$C:$D,2,FALSE)</f>
        <v>15681</v>
      </c>
      <c r="O1082" s="7">
        <f>VLOOKUP(J1082,[2]Desa!$A:$D,4,FALSE)</f>
        <v>211</v>
      </c>
      <c r="P1082" s="7">
        <f>VLOOKUP(J1082,[3]Sheet1!$D:$F,3,FALSE)</f>
        <v>73</v>
      </c>
      <c r="Q1082" s="7"/>
      <c r="R1082" s="7"/>
      <c r="S1082" s="12">
        <v>-8.5382204402398596</v>
      </c>
      <c r="T1082" s="12">
        <v>116.089287190672</v>
      </c>
      <c r="U1082" s="7"/>
      <c r="V1082" s="50">
        <f>Table13678[[#This Row],[PAGU SEMULA]]-Table13678[[#This Row],[PAGU ANGGARAN]]</f>
        <v>0</v>
      </c>
      <c r="W1082" s="50">
        <f>Table13678[[#This Row],[PAGU SEMULA]]-Table13678[[#This Row],[PAGU ANGGARAN]]</f>
        <v>0</v>
      </c>
      <c r="X1082" t="s">
        <v>987</v>
      </c>
    </row>
    <row r="1083" spans="3:24">
      <c r="C1083" s="7" t="s">
        <v>46</v>
      </c>
      <c r="D1083" s="7" t="s">
        <v>47</v>
      </c>
      <c r="E1083" s="7" t="s">
        <v>48</v>
      </c>
      <c r="F1083" s="7" t="s">
        <v>282</v>
      </c>
      <c r="G1083" s="7" t="s">
        <v>283</v>
      </c>
      <c r="H1083" s="8">
        <v>99000000</v>
      </c>
      <c r="I1083" s="10" t="s">
        <v>823</v>
      </c>
      <c r="J1083" s="7" t="s">
        <v>824</v>
      </c>
      <c r="K1083" s="10" t="s">
        <v>207</v>
      </c>
      <c r="L1083" s="7" t="s">
        <v>206</v>
      </c>
      <c r="M1083" s="7"/>
      <c r="N1083" s="7">
        <f>VLOOKUP(J1083,[1]Sheet1!$C:$D,2,FALSE)</f>
        <v>15681</v>
      </c>
      <c r="O1083" s="7">
        <f>VLOOKUP(J1083,[2]Desa!$A:$D,4,FALSE)</f>
        <v>211</v>
      </c>
      <c r="P1083" s="7">
        <f>VLOOKUP(J1083,[3]Sheet1!$D:$F,3,FALSE)</f>
        <v>73</v>
      </c>
      <c r="Q1083" s="7"/>
      <c r="R1083" s="7"/>
      <c r="S1083" s="12">
        <v>-8.5382204402398596</v>
      </c>
      <c r="T1083" s="12">
        <v>116.089287190672</v>
      </c>
      <c r="U1083" s="7"/>
      <c r="V1083" s="50">
        <f>Table13678[[#This Row],[PAGU SEMULA]]-Table13678[[#This Row],[PAGU ANGGARAN]]</f>
        <v>-99000000</v>
      </c>
      <c r="W1083" s="50">
        <f>Table13678[[#This Row],[PAGU SEMULA]]-Table13678[[#This Row],[PAGU ANGGARAN]]</f>
        <v>-99000000</v>
      </c>
      <c r="X1083" t="s">
        <v>987</v>
      </c>
    </row>
    <row r="1084" spans="3:24">
      <c r="C1084" s="7" t="s">
        <v>46</v>
      </c>
      <c r="D1084" s="7" t="s">
        <v>100</v>
      </c>
      <c r="E1084" s="7" t="s">
        <v>101</v>
      </c>
      <c r="F1084" s="7" t="s">
        <v>102</v>
      </c>
      <c r="G1084" s="71" t="s">
        <v>827</v>
      </c>
      <c r="H1084" s="8">
        <v>47300000</v>
      </c>
      <c r="I1084" s="10" t="s">
        <v>823</v>
      </c>
      <c r="J1084" s="7" t="s">
        <v>824</v>
      </c>
      <c r="K1084" s="10" t="s">
        <v>207</v>
      </c>
      <c r="L1084" s="7" t="s">
        <v>206</v>
      </c>
      <c r="M1084" s="7"/>
      <c r="N1084" s="7">
        <f>VLOOKUP(J1084,[1]Sheet1!$C:$D,2,FALSE)</f>
        <v>15681</v>
      </c>
      <c r="O1084" s="7">
        <f>VLOOKUP(J1084,[2]Desa!$A:$D,4,FALSE)</f>
        <v>211</v>
      </c>
      <c r="P1084" s="7">
        <f>VLOOKUP(J1084,[3]Sheet1!$D:$F,3,FALSE)</f>
        <v>73</v>
      </c>
      <c r="Q1084" s="7"/>
      <c r="R1084" s="7"/>
      <c r="S1084" s="12">
        <v>-8.5382204402398596</v>
      </c>
      <c r="T1084" s="12">
        <v>116.089287190672</v>
      </c>
      <c r="U1084" s="7"/>
      <c r="V1084" s="50">
        <f>Table13678[[#This Row],[PAGU SEMULA]]-Table13678[[#This Row],[PAGU ANGGARAN]]</f>
        <v>-47300000</v>
      </c>
      <c r="W1084" s="50">
        <f>Table13678[[#This Row],[PAGU SEMULA]]-Table13678[[#This Row],[PAGU ANGGARAN]]</f>
        <v>-47300000</v>
      </c>
      <c r="X1084" t="s">
        <v>987</v>
      </c>
    </row>
    <row r="1085" spans="3:24">
      <c r="C1085" s="7" t="s">
        <v>46</v>
      </c>
      <c r="D1085" s="7" t="s">
        <v>100</v>
      </c>
      <c r="E1085" s="7" t="s">
        <v>101</v>
      </c>
      <c r="F1085" s="7" t="s">
        <v>102</v>
      </c>
      <c r="G1085" s="7" t="s">
        <v>828</v>
      </c>
      <c r="H1085" s="8">
        <v>52550000</v>
      </c>
      <c r="I1085" s="10" t="s">
        <v>823</v>
      </c>
      <c r="J1085" s="7" t="s">
        <v>824</v>
      </c>
      <c r="K1085" s="10" t="s">
        <v>207</v>
      </c>
      <c r="L1085" s="7" t="s">
        <v>206</v>
      </c>
      <c r="M1085" s="7"/>
      <c r="N1085" s="7">
        <f>VLOOKUP(J1085,[1]Sheet1!$C:$D,2,FALSE)</f>
        <v>15681</v>
      </c>
      <c r="O1085" s="7">
        <f>VLOOKUP(J1085,[2]Desa!$A:$D,4,FALSE)</f>
        <v>211</v>
      </c>
      <c r="P1085" s="7">
        <f>VLOOKUP(J1085,[3]Sheet1!$D:$F,3,FALSE)</f>
        <v>73</v>
      </c>
      <c r="Q1085" s="7"/>
      <c r="R1085" s="7"/>
      <c r="S1085" s="12">
        <v>-8.5382204402398596</v>
      </c>
      <c r="T1085" s="12">
        <v>116.089287190672</v>
      </c>
      <c r="U1085" s="7"/>
      <c r="V1085" s="50">
        <f>Table13678[[#This Row],[PAGU SEMULA]]-Table13678[[#This Row],[PAGU ANGGARAN]]</f>
        <v>-52550000</v>
      </c>
      <c r="W1085" s="50">
        <f>Table13678[[#This Row],[PAGU SEMULA]]-Table13678[[#This Row],[PAGU ANGGARAN]]</f>
        <v>-52550000</v>
      </c>
      <c r="X1085" t="s">
        <v>987</v>
      </c>
    </row>
    <row r="1086" spans="3:24" hidden="1">
      <c r="C1086" s="7" t="s">
        <v>51</v>
      </c>
      <c r="D1086" s="7" t="s">
        <v>52</v>
      </c>
      <c r="E1086" s="7" t="s">
        <v>53</v>
      </c>
      <c r="F1086" s="7" t="s">
        <v>54</v>
      </c>
      <c r="G1086" s="7" t="s">
        <v>73</v>
      </c>
      <c r="H1086" s="8">
        <v>189090000</v>
      </c>
      <c r="I1086" s="10" t="s">
        <v>823</v>
      </c>
      <c r="J1086" s="7" t="s">
        <v>824</v>
      </c>
      <c r="K1086" s="10" t="s">
        <v>207</v>
      </c>
      <c r="L1086" s="7" t="s">
        <v>206</v>
      </c>
      <c r="M1086" s="7"/>
      <c r="N1086" s="7">
        <f>VLOOKUP(J1086,[1]Sheet1!$C:$D,2,FALSE)</f>
        <v>15681</v>
      </c>
      <c r="O1086" s="7">
        <f>VLOOKUP(J1086,[2]Desa!$A:$D,4,FALSE)</f>
        <v>211</v>
      </c>
      <c r="P1086" s="7">
        <f>VLOOKUP(J1086,[3]Sheet1!$D:$F,3,FALSE)</f>
        <v>73</v>
      </c>
      <c r="Q1086" s="7"/>
      <c r="R1086" s="7"/>
      <c r="S1086" s="12">
        <v>-8.5382204402398596</v>
      </c>
      <c r="T1086" s="12">
        <v>116.089287190672</v>
      </c>
      <c r="U1086" s="7"/>
      <c r="V1086" s="50">
        <f>Table13678[[#This Row],[PAGU SEMULA]]-Table13678[[#This Row],[PAGU ANGGARAN]]</f>
        <v>-189090000</v>
      </c>
      <c r="W1086" s="50">
        <f>Table13678[[#This Row],[PAGU SEMULA]]-Table13678[[#This Row],[PAGU ANGGARAN]]</f>
        <v>-189090000</v>
      </c>
      <c r="X1086" t="s">
        <v>986</v>
      </c>
    </row>
    <row r="1087" spans="3:24" hidden="1">
      <c r="C1087" s="7" t="s">
        <v>51</v>
      </c>
      <c r="D1087" s="7" t="s">
        <v>52</v>
      </c>
      <c r="E1087" s="7" t="s">
        <v>53</v>
      </c>
      <c r="F1087" s="7" t="s">
        <v>54</v>
      </c>
      <c r="G1087" s="7" t="s">
        <v>73</v>
      </c>
      <c r="H1087" s="8">
        <v>189090000</v>
      </c>
      <c r="I1087" s="10" t="s">
        <v>823</v>
      </c>
      <c r="J1087" s="7" t="s">
        <v>824</v>
      </c>
      <c r="K1087" s="10" t="s">
        <v>207</v>
      </c>
      <c r="L1087" s="7" t="s">
        <v>206</v>
      </c>
      <c r="M1087" s="7"/>
      <c r="N1087" s="7">
        <f>VLOOKUP(J1087,[1]Sheet1!$C:$D,2,FALSE)</f>
        <v>15681</v>
      </c>
      <c r="O1087" s="7">
        <f>VLOOKUP(J1087,[2]Desa!$A:$D,4,FALSE)</f>
        <v>211</v>
      </c>
      <c r="P1087" s="7">
        <f>VLOOKUP(J1087,[3]Sheet1!$D:$F,3,FALSE)</f>
        <v>73</v>
      </c>
      <c r="Q1087" s="7"/>
      <c r="R1087" s="7"/>
      <c r="S1087" s="12">
        <v>-8.5382204402398596</v>
      </c>
      <c r="T1087" s="12">
        <v>116.089287190672</v>
      </c>
      <c r="U1087" s="7"/>
      <c r="V1087" s="50">
        <f>Table13678[[#This Row],[PAGU SEMULA]]-Table13678[[#This Row],[PAGU ANGGARAN]]</f>
        <v>-189090000</v>
      </c>
      <c r="W1087" s="50">
        <f>Table13678[[#This Row],[PAGU SEMULA]]-Table13678[[#This Row],[PAGU ANGGARAN]]</f>
        <v>-189090000</v>
      </c>
      <c r="X1087" t="s">
        <v>986</v>
      </c>
    </row>
    <row r="1088" spans="3:24" hidden="1">
      <c r="C1088" s="7" t="s">
        <v>51</v>
      </c>
      <c r="D1088" s="7" t="s">
        <v>52</v>
      </c>
      <c r="E1088" s="7" t="s">
        <v>53</v>
      </c>
      <c r="F1088" s="7" t="s">
        <v>54</v>
      </c>
      <c r="G1088" s="7" t="s">
        <v>73</v>
      </c>
      <c r="H1088" s="8">
        <v>189090000</v>
      </c>
      <c r="I1088" s="10" t="s">
        <v>823</v>
      </c>
      <c r="J1088" s="7" t="s">
        <v>824</v>
      </c>
      <c r="K1088" s="10" t="s">
        <v>207</v>
      </c>
      <c r="L1088" s="7" t="s">
        <v>206</v>
      </c>
      <c r="M1088" s="7"/>
      <c r="N1088" s="7">
        <f>VLOOKUP(J1088,[1]Sheet1!$C:$D,2,FALSE)</f>
        <v>15681</v>
      </c>
      <c r="O1088" s="7">
        <f>VLOOKUP(J1088,[2]Desa!$A:$D,4,FALSE)</f>
        <v>211</v>
      </c>
      <c r="P1088" s="7">
        <f>VLOOKUP(J1088,[3]Sheet1!$D:$F,3,FALSE)</f>
        <v>73</v>
      </c>
      <c r="Q1088" s="7"/>
      <c r="R1088" s="7"/>
      <c r="S1088" s="12">
        <v>-8.5382204402398596</v>
      </c>
      <c r="T1088" s="12">
        <v>116.089287190672</v>
      </c>
      <c r="U1088" s="7"/>
      <c r="V1088" s="50">
        <f>Table13678[[#This Row],[PAGU SEMULA]]-Table13678[[#This Row],[PAGU ANGGARAN]]</f>
        <v>-189090000</v>
      </c>
      <c r="W1088" s="50">
        <f>Table13678[[#This Row],[PAGU SEMULA]]-Table13678[[#This Row],[PAGU ANGGARAN]]</f>
        <v>-189090000</v>
      </c>
      <c r="X1088" t="s">
        <v>986</v>
      </c>
    </row>
    <row r="1089" spans="3:24" hidden="1">
      <c r="C1089" s="7" t="s">
        <v>74</v>
      </c>
      <c r="D1089" s="7" t="s">
        <v>75</v>
      </c>
      <c r="E1089" s="7" t="s">
        <v>76</v>
      </c>
      <c r="F1089" s="7" t="s">
        <v>77</v>
      </c>
      <c r="G1089" s="7" t="s">
        <v>829</v>
      </c>
      <c r="H1089" s="8">
        <v>95000000</v>
      </c>
      <c r="I1089" s="10" t="s">
        <v>823</v>
      </c>
      <c r="J1089" s="7" t="s">
        <v>824</v>
      </c>
      <c r="K1089" s="10" t="s">
        <v>207</v>
      </c>
      <c r="L1089" s="7" t="s">
        <v>206</v>
      </c>
      <c r="M1089" s="7"/>
      <c r="N1089" s="7">
        <f>VLOOKUP(J1089,[1]Sheet1!$C:$D,2,FALSE)</f>
        <v>15681</v>
      </c>
      <c r="O1089" s="7">
        <f>VLOOKUP(J1089,[2]Desa!$A:$D,4,FALSE)</f>
        <v>211</v>
      </c>
      <c r="P1089" s="7">
        <f>VLOOKUP(J1089,[3]Sheet1!$D:$F,3,FALSE)</f>
        <v>73</v>
      </c>
      <c r="Q1089" s="7"/>
      <c r="R1089" s="7"/>
      <c r="S1089" s="12">
        <v>-8.5382204402398596</v>
      </c>
      <c r="T1089" s="12">
        <v>116.089287190672</v>
      </c>
      <c r="U1089" s="7"/>
      <c r="V1089" s="50">
        <f>Table13678[[#This Row],[PAGU SEMULA]]-Table13678[[#This Row],[PAGU ANGGARAN]]</f>
        <v>-95000000</v>
      </c>
      <c r="W1089" s="50">
        <f>Table13678[[#This Row],[PAGU SEMULA]]-Table13678[[#This Row],[PAGU ANGGARAN]]</f>
        <v>-95000000</v>
      </c>
      <c r="X1089" t="s">
        <v>982</v>
      </c>
    </row>
    <row r="1090" spans="3:24" hidden="1">
      <c r="C1090" s="7" t="s">
        <v>29</v>
      </c>
      <c r="D1090" s="7" t="s">
        <v>30</v>
      </c>
      <c r="E1090" s="7" t="s">
        <v>31</v>
      </c>
      <c r="F1090" s="7" t="s">
        <v>32</v>
      </c>
      <c r="G1090" s="7" t="s">
        <v>33</v>
      </c>
      <c r="H1090" s="8">
        <v>199920000</v>
      </c>
      <c r="I1090" s="10" t="s">
        <v>830</v>
      </c>
      <c r="J1090" s="7" t="s">
        <v>831</v>
      </c>
      <c r="K1090" s="10" t="s">
        <v>167</v>
      </c>
      <c r="L1090" s="7" t="s">
        <v>168</v>
      </c>
      <c r="M1090" s="7"/>
      <c r="N1090" s="7">
        <f>VLOOKUP(J1090,[1]Sheet1!$C:$D,2,FALSE)</f>
        <v>2402</v>
      </c>
      <c r="O1090" s="7">
        <f>VLOOKUP(J1090,[2]Desa!$A:$D,4,FALSE)</f>
        <v>72</v>
      </c>
      <c r="P1090" s="7">
        <f>VLOOKUP(J1090,[3]Sheet1!$D:$F,3,FALSE)</f>
        <v>17</v>
      </c>
      <c r="Q1090" s="7"/>
      <c r="R1090" s="7"/>
      <c r="S1090" s="12">
        <v>-8.5670734993361606</v>
      </c>
      <c r="T1090" s="12">
        <v>116.179299464344</v>
      </c>
      <c r="U1090" s="7"/>
      <c r="V1090" s="50">
        <f>Table13678[[#This Row],[PAGU SEMULA]]-Table13678[[#This Row],[PAGU ANGGARAN]]</f>
        <v>-199920000</v>
      </c>
      <c r="W1090" s="50">
        <f>Table13678[[#This Row],[PAGU SEMULA]]-Table13678[[#This Row],[PAGU ANGGARAN]]</f>
        <v>-199920000</v>
      </c>
      <c r="X1090" t="s">
        <v>984</v>
      </c>
    </row>
    <row r="1091" spans="3:24" hidden="1">
      <c r="C1091" s="7" t="s">
        <v>29</v>
      </c>
      <c r="D1091" s="7" t="s">
        <v>30</v>
      </c>
      <c r="E1091" s="7" t="s">
        <v>31</v>
      </c>
      <c r="F1091" s="7" t="s">
        <v>32</v>
      </c>
      <c r="G1091" s="7" t="s">
        <v>34</v>
      </c>
      <c r="H1091" s="8">
        <v>15993600</v>
      </c>
      <c r="I1091" s="10" t="s">
        <v>830</v>
      </c>
      <c r="J1091" s="7" t="s">
        <v>831</v>
      </c>
      <c r="K1091" s="10" t="s">
        <v>167</v>
      </c>
      <c r="L1091" s="7" t="s">
        <v>168</v>
      </c>
      <c r="M1091" s="7"/>
      <c r="N1091" s="7">
        <f>VLOOKUP(J1091,[1]Sheet1!$C:$D,2,FALSE)</f>
        <v>2402</v>
      </c>
      <c r="O1091" s="7">
        <f>VLOOKUP(J1091,[2]Desa!$A:$D,4,FALSE)</f>
        <v>72</v>
      </c>
      <c r="P1091" s="7">
        <f>VLOOKUP(J1091,[3]Sheet1!$D:$F,3,FALSE)</f>
        <v>17</v>
      </c>
      <c r="Q1091" s="7"/>
      <c r="R1091" s="7"/>
      <c r="S1091" s="12">
        <v>-8.5670734993361606</v>
      </c>
      <c r="T1091" s="12">
        <v>116.179299464344</v>
      </c>
      <c r="U1091" s="7"/>
      <c r="V1091" s="50">
        <f>Table13678[[#This Row],[PAGU SEMULA]]-Table13678[[#This Row],[PAGU ANGGARAN]]</f>
        <v>-15993600</v>
      </c>
      <c r="W1091" s="50">
        <f>Table13678[[#This Row],[PAGU SEMULA]]-Table13678[[#This Row],[PAGU ANGGARAN]]</f>
        <v>-15993600</v>
      </c>
      <c r="X1091" t="s">
        <v>984</v>
      </c>
    </row>
    <row r="1092" spans="3:24" hidden="1">
      <c r="C1092" s="7" t="s">
        <v>35</v>
      </c>
      <c r="D1092" s="7" t="s">
        <v>36</v>
      </c>
      <c r="E1092" s="7" t="s">
        <v>37</v>
      </c>
      <c r="F1092" s="7" t="s">
        <v>38</v>
      </c>
      <c r="G1092" s="7" t="s">
        <v>39</v>
      </c>
      <c r="H1092" s="67">
        <f>75000000+(5.4%*75000000)</f>
        <v>79050000</v>
      </c>
      <c r="I1092" s="10" t="s">
        <v>830</v>
      </c>
      <c r="J1092" s="7" t="s">
        <v>831</v>
      </c>
      <c r="K1092" s="10" t="s">
        <v>167</v>
      </c>
      <c r="L1092" s="7" t="s">
        <v>168</v>
      </c>
      <c r="M1092" s="7"/>
      <c r="N1092" s="7">
        <f>VLOOKUP(J1092,[1]Sheet1!$C:$D,2,FALSE)</f>
        <v>2402</v>
      </c>
      <c r="O1092" s="7">
        <f>VLOOKUP(J1092,[2]Desa!$A:$D,4,FALSE)</f>
        <v>72</v>
      </c>
      <c r="P1092" s="7">
        <f>VLOOKUP(J1092,[3]Sheet1!$D:$F,3,FALSE)</f>
        <v>17</v>
      </c>
      <c r="Q1092" s="7"/>
      <c r="R1092" s="7"/>
      <c r="S1092" s="12">
        <v>-8.5670734993361606</v>
      </c>
      <c r="T1092" s="12">
        <v>116.179299464344</v>
      </c>
      <c r="U1092" s="7"/>
      <c r="V1092" s="50">
        <f>Table13678[[#This Row],[PAGU SEMULA]]-Table13678[[#This Row],[PAGU ANGGARAN]]</f>
        <v>-79050000</v>
      </c>
      <c r="W1092" s="50">
        <f>Table13678[[#This Row],[PAGU SEMULA]]-Table13678[[#This Row],[PAGU ANGGARAN]]</f>
        <v>-79050000</v>
      </c>
      <c r="X1092" t="s">
        <v>984</v>
      </c>
    </row>
    <row r="1093" spans="3:24" hidden="1">
      <c r="C1093" s="7" t="s">
        <v>35</v>
      </c>
      <c r="D1093" s="7" t="s">
        <v>36</v>
      </c>
      <c r="E1093" s="7" t="s">
        <v>37</v>
      </c>
      <c r="F1093" s="7" t="s">
        <v>40</v>
      </c>
      <c r="G1093" s="7" t="s">
        <v>98</v>
      </c>
      <c r="H1093" s="15">
        <v>180000000</v>
      </c>
      <c r="I1093" s="10" t="s">
        <v>830</v>
      </c>
      <c r="J1093" s="7" t="s">
        <v>831</v>
      </c>
      <c r="K1093" s="10" t="s">
        <v>167</v>
      </c>
      <c r="L1093" s="7" t="s">
        <v>168</v>
      </c>
      <c r="M1093" s="7"/>
      <c r="N1093" s="7">
        <f>VLOOKUP(J1093,[1]Sheet1!$C:$D,2,FALSE)</f>
        <v>2402</v>
      </c>
      <c r="O1093" s="7">
        <f>VLOOKUP(J1093,[2]Desa!$A:$D,4,FALSE)</f>
        <v>72</v>
      </c>
      <c r="P1093" s="7">
        <f>VLOOKUP(J1093,[3]Sheet1!$D:$F,3,FALSE)</f>
        <v>17</v>
      </c>
      <c r="Q1093" s="7"/>
      <c r="R1093" s="7"/>
      <c r="S1093" s="12">
        <v>-8.5670734993361606</v>
      </c>
      <c r="T1093" s="12">
        <v>116.179299464344</v>
      </c>
      <c r="U1093" s="7"/>
      <c r="V1093" s="50">
        <f>Table13678[[#This Row],[PAGU SEMULA]]-Table13678[[#This Row],[PAGU ANGGARAN]]</f>
        <v>-180000000</v>
      </c>
      <c r="W1093" s="50">
        <f>Table13678[[#This Row],[PAGU SEMULA]]-Table13678[[#This Row],[PAGU ANGGARAN]]</f>
        <v>-180000000</v>
      </c>
      <c r="X1093" t="s">
        <v>986</v>
      </c>
    </row>
    <row r="1094" spans="3:24" hidden="1">
      <c r="C1094" s="73" t="s">
        <v>35</v>
      </c>
      <c r="D1094" s="29"/>
      <c r="E1094" s="29"/>
      <c r="F1094" s="29"/>
      <c r="G1094" s="29" t="s">
        <v>961</v>
      </c>
      <c r="H1094" s="77">
        <v>395000000</v>
      </c>
      <c r="I1094" s="10" t="s">
        <v>830</v>
      </c>
      <c r="J1094" s="7" t="s">
        <v>831</v>
      </c>
      <c r="K1094" s="10" t="s">
        <v>167</v>
      </c>
      <c r="L1094" s="7" t="s">
        <v>168</v>
      </c>
      <c r="M1094" s="29"/>
      <c r="N1094" s="29">
        <f>VLOOKUP(J1094,[1]Sheet1!$C:$D,2,FALSE)</f>
        <v>2402</v>
      </c>
      <c r="O1094" s="29">
        <f>VLOOKUP(J1094,[2]Desa!$A:$D,4,FALSE)</f>
        <v>72</v>
      </c>
      <c r="P1094" s="29">
        <f>VLOOKUP(J1094,[3]Sheet1!$D:$F,3,FALSE)</f>
        <v>17</v>
      </c>
      <c r="Q1094" s="29"/>
      <c r="R1094" s="35"/>
      <c r="S1094" s="36"/>
      <c r="T1094" s="32"/>
      <c r="U1094" s="25"/>
      <c r="V1094" s="54">
        <f>Table13678[[#This Row],[PAGU SEMULA]]-Table13678[[#This Row],[PAGU ANGGARAN]]</f>
        <v>-395000000</v>
      </c>
      <c r="W1094" s="54">
        <f>Table13678[[#This Row],[PAGU SEMULA]]-Table13678[[#This Row],[PAGU ANGGARAN]]</f>
        <v>-395000000</v>
      </c>
      <c r="X1094" t="s">
        <v>986</v>
      </c>
    </row>
    <row r="1095" spans="3:24" hidden="1">
      <c r="C1095" s="7" t="s">
        <v>35</v>
      </c>
      <c r="D1095" s="7" t="s">
        <v>156</v>
      </c>
      <c r="E1095" s="7" t="s">
        <v>157</v>
      </c>
      <c r="F1095" s="7" t="s">
        <v>158</v>
      </c>
      <c r="G1095" s="7" t="s">
        <v>832</v>
      </c>
      <c r="H1095" s="61"/>
      <c r="I1095" s="10" t="s">
        <v>830</v>
      </c>
      <c r="J1095" s="7" t="s">
        <v>831</v>
      </c>
      <c r="K1095" s="10" t="s">
        <v>167</v>
      </c>
      <c r="L1095" s="7" t="s">
        <v>168</v>
      </c>
      <c r="M1095" s="7"/>
      <c r="N1095" s="7">
        <f>VLOOKUP(J1095,[1]Sheet1!$C:$D,2,FALSE)</f>
        <v>2402</v>
      </c>
      <c r="O1095" s="7">
        <f>VLOOKUP(J1095,[2]Desa!$A:$D,4,FALSE)</f>
        <v>72</v>
      </c>
      <c r="P1095" s="7">
        <f>VLOOKUP(J1095,[3]Sheet1!$D:$F,3,FALSE)</f>
        <v>17</v>
      </c>
      <c r="Q1095" s="7"/>
      <c r="R1095" s="7"/>
      <c r="S1095" s="12">
        <v>-8.5670734993361606</v>
      </c>
      <c r="T1095" s="12">
        <v>116.179299464344</v>
      </c>
      <c r="U1095" s="63">
        <v>5704700000</v>
      </c>
      <c r="V1095" s="57">
        <f>Table13678[[#This Row],[PAGU SEMULA]]-Table13678[[#This Row],[PAGU ANGGARAN]]</f>
        <v>5704700000</v>
      </c>
      <c r="W1095" s="50">
        <f>Table13678[[#This Row],[PAGU SEMULA]]-Table13678[[#This Row],[PAGU ANGGARAN]]</f>
        <v>5704700000</v>
      </c>
      <c r="X1095" t="s">
        <v>986</v>
      </c>
    </row>
    <row r="1096" spans="3:24" hidden="1">
      <c r="C1096" s="7" t="s">
        <v>35</v>
      </c>
      <c r="D1096" s="7" t="s">
        <v>156</v>
      </c>
      <c r="E1096" s="7" t="s">
        <v>157</v>
      </c>
      <c r="F1096" s="7" t="s">
        <v>158</v>
      </c>
      <c r="G1096" s="7" t="s">
        <v>621</v>
      </c>
      <c r="H1096" s="61">
        <v>0</v>
      </c>
      <c r="I1096" s="10" t="s">
        <v>830</v>
      </c>
      <c r="J1096" s="7" t="s">
        <v>831</v>
      </c>
      <c r="K1096" s="10" t="s">
        <v>167</v>
      </c>
      <c r="L1096" s="7" t="s">
        <v>168</v>
      </c>
      <c r="M1096" s="7"/>
      <c r="N1096" s="7">
        <f>VLOOKUP(J1096,[1]Sheet1!$C:$D,2,FALSE)</f>
        <v>2402</v>
      </c>
      <c r="O1096" s="7">
        <f>VLOOKUP(J1096,[2]Desa!$A:$D,4,FALSE)</f>
        <v>72</v>
      </c>
      <c r="P1096" s="7">
        <f>VLOOKUP(J1096,[3]Sheet1!$D:$F,3,FALSE)</f>
        <v>17</v>
      </c>
      <c r="Q1096" s="8"/>
      <c r="R1096" s="7"/>
      <c r="S1096" s="12">
        <v>-8.5670734993361606</v>
      </c>
      <c r="T1096" s="12">
        <v>116.179299464344</v>
      </c>
      <c r="U1096" s="63">
        <v>6080000000</v>
      </c>
      <c r="V1096" s="57">
        <f>Table13678[[#This Row],[PAGU SEMULA]]-Table13678[[#This Row],[PAGU ANGGARAN]]</f>
        <v>6080000000</v>
      </c>
      <c r="W1096" s="50">
        <f>Table13678[[#This Row],[PAGU SEMULA]]-Table13678[[#This Row],[PAGU ANGGARAN]]</f>
        <v>6080000000</v>
      </c>
      <c r="X1096" t="s">
        <v>986</v>
      </c>
    </row>
    <row r="1097" spans="3:24" hidden="1">
      <c r="C1097" s="7" t="s">
        <v>51</v>
      </c>
      <c r="D1097" s="7" t="s">
        <v>52</v>
      </c>
      <c r="E1097" s="7" t="s">
        <v>53</v>
      </c>
      <c r="F1097" s="7" t="s">
        <v>54</v>
      </c>
      <c r="G1097" s="7" t="s">
        <v>174</v>
      </c>
      <c r="H1097" s="8">
        <v>189090000</v>
      </c>
      <c r="I1097" s="10" t="s">
        <v>830</v>
      </c>
      <c r="J1097" s="7" t="s">
        <v>831</v>
      </c>
      <c r="K1097" s="10" t="s">
        <v>167</v>
      </c>
      <c r="L1097" s="7" t="s">
        <v>168</v>
      </c>
      <c r="M1097" s="7"/>
      <c r="N1097" s="7">
        <f>VLOOKUP(J1097,[1]Sheet1!$C:$D,2,FALSE)</f>
        <v>2402</v>
      </c>
      <c r="O1097" s="7">
        <f>VLOOKUP(J1097,[2]Desa!$A:$D,4,FALSE)</f>
        <v>72</v>
      </c>
      <c r="P1097" s="7">
        <f>VLOOKUP(J1097,[3]Sheet1!$D:$F,3,FALSE)</f>
        <v>17</v>
      </c>
      <c r="Q1097" s="7"/>
      <c r="R1097" s="7"/>
      <c r="S1097" s="12">
        <v>-8.5670734993361606</v>
      </c>
      <c r="T1097" s="12">
        <v>116.179299464344</v>
      </c>
      <c r="U1097" s="7"/>
      <c r="V1097" s="50">
        <f>Table13678[[#This Row],[PAGU SEMULA]]-Table13678[[#This Row],[PAGU ANGGARAN]]</f>
        <v>-189090000</v>
      </c>
      <c r="W1097" s="50">
        <f>Table13678[[#This Row],[PAGU SEMULA]]-Table13678[[#This Row],[PAGU ANGGARAN]]</f>
        <v>-189090000</v>
      </c>
      <c r="X1097" t="s">
        <v>986</v>
      </c>
    </row>
    <row r="1098" spans="3:24" hidden="1">
      <c r="C1098" s="7" t="s">
        <v>20</v>
      </c>
      <c r="D1098" s="7" t="s">
        <v>104</v>
      </c>
      <c r="E1098" s="7" t="s">
        <v>145</v>
      </c>
      <c r="F1098" s="7" t="s">
        <v>243</v>
      </c>
      <c r="G1098" s="71" t="s">
        <v>833</v>
      </c>
      <c r="H1098" s="15">
        <v>98617000</v>
      </c>
      <c r="I1098" s="10" t="s">
        <v>834</v>
      </c>
      <c r="J1098" s="7" t="s">
        <v>835</v>
      </c>
      <c r="K1098" s="10" t="s">
        <v>58</v>
      </c>
      <c r="L1098" s="7" t="s">
        <v>59</v>
      </c>
      <c r="M1098" s="7"/>
      <c r="N1098" s="7">
        <f>VLOOKUP(J1098,[1]Sheet1!$C:$D,2,FALSE)</f>
        <v>5535</v>
      </c>
      <c r="O1098" s="7">
        <f>VLOOKUP(J1098,[2]Desa!$A:$D,4,FALSE)</f>
        <v>254</v>
      </c>
      <c r="P1098" s="7">
        <f>VLOOKUP(J1098,[3]Sheet1!$D:$F,3,FALSE)</f>
        <v>50</v>
      </c>
      <c r="Q1098" s="7"/>
      <c r="R1098" s="7"/>
      <c r="S1098" s="12">
        <v>-8.5682606454813293</v>
      </c>
      <c r="T1098" s="12">
        <v>116.25849830667801</v>
      </c>
      <c r="U1098" s="7"/>
      <c r="V1098" s="50">
        <f>Table13678[[#This Row],[PAGU SEMULA]]-Table13678[[#This Row],[PAGU ANGGARAN]]</f>
        <v>-98617000</v>
      </c>
      <c r="W1098" s="50">
        <f>Table13678[[#This Row],[PAGU SEMULA]]-Table13678[[#This Row],[PAGU ANGGARAN]]</f>
        <v>-98617000</v>
      </c>
      <c r="X1098" t="s">
        <v>984</v>
      </c>
    </row>
    <row r="1099" spans="3:24" hidden="1">
      <c r="C1099" s="7" t="s">
        <v>20</v>
      </c>
      <c r="D1099" s="7" t="s">
        <v>104</v>
      </c>
      <c r="E1099" s="7" t="s">
        <v>105</v>
      </c>
      <c r="F1099" s="7" t="s">
        <v>106</v>
      </c>
      <c r="G1099" s="71" t="s">
        <v>836</v>
      </c>
      <c r="H1099" s="15">
        <v>398080000</v>
      </c>
      <c r="I1099" s="10" t="s">
        <v>834</v>
      </c>
      <c r="J1099" s="7" t="s">
        <v>835</v>
      </c>
      <c r="K1099" s="10" t="s">
        <v>58</v>
      </c>
      <c r="L1099" s="7" t="s">
        <v>59</v>
      </c>
      <c r="M1099" s="7"/>
      <c r="N1099" s="7">
        <f>VLOOKUP(J1099,[1]Sheet1!$C:$D,2,FALSE)</f>
        <v>5535</v>
      </c>
      <c r="O1099" s="7">
        <f>VLOOKUP(J1099,[2]Desa!$A:$D,4,FALSE)</f>
        <v>254</v>
      </c>
      <c r="P1099" s="7">
        <f>VLOOKUP(J1099,[3]Sheet1!$D:$F,3,FALSE)</f>
        <v>50</v>
      </c>
      <c r="Q1099" s="7"/>
      <c r="R1099" s="7"/>
      <c r="S1099" s="12">
        <v>-8.5682606454813293</v>
      </c>
      <c r="T1099" s="12">
        <v>116.25849830667801</v>
      </c>
      <c r="U1099" s="7"/>
      <c r="V1099" s="50">
        <f>Table13678[[#This Row],[PAGU SEMULA]]-Table13678[[#This Row],[PAGU ANGGARAN]]</f>
        <v>-398080000</v>
      </c>
      <c r="W1099" s="50">
        <f>Table13678[[#This Row],[PAGU SEMULA]]-Table13678[[#This Row],[PAGU ANGGARAN]]</f>
        <v>-398080000</v>
      </c>
      <c r="X1099" t="s">
        <v>984</v>
      </c>
    </row>
    <row r="1100" spans="3:24" hidden="1">
      <c r="C1100" s="7" t="s">
        <v>29</v>
      </c>
      <c r="D1100" s="7" t="s">
        <v>30</v>
      </c>
      <c r="E1100" s="7" t="s">
        <v>148</v>
      </c>
      <c r="F1100" s="7" t="s">
        <v>149</v>
      </c>
      <c r="G1100" s="7" t="s">
        <v>150</v>
      </c>
      <c r="H1100" s="8">
        <v>1321585000</v>
      </c>
      <c r="I1100" s="10" t="s">
        <v>834</v>
      </c>
      <c r="J1100" s="7" t="s">
        <v>835</v>
      </c>
      <c r="K1100" s="10" t="s">
        <v>58</v>
      </c>
      <c r="L1100" s="7" t="s">
        <v>59</v>
      </c>
      <c r="M1100" s="7"/>
      <c r="N1100" s="7">
        <f>VLOOKUP(J1100,[1]Sheet1!$C:$D,2,FALSE)</f>
        <v>5535</v>
      </c>
      <c r="O1100" s="7">
        <f>VLOOKUP(J1100,[2]Desa!$A:$D,4,FALSE)</f>
        <v>254</v>
      </c>
      <c r="P1100" s="7">
        <f>VLOOKUP(J1100,[3]Sheet1!$D:$F,3,FALSE)</f>
        <v>50</v>
      </c>
      <c r="Q1100" s="7"/>
      <c r="R1100" s="7"/>
      <c r="S1100" s="12">
        <v>-8.5682606454813293</v>
      </c>
      <c r="T1100" s="12">
        <v>116.25849830667801</v>
      </c>
      <c r="U1100" s="7"/>
      <c r="V1100" s="50">
        <f>Table13678[[#This Row],[PAGU SEMULA]]-Table13678[[#This Row],[PAGU ANGGARAN]]</f>
        <v>-1321585000</v>
      </c>
      <c r="W1100" s="50">
        <f>Table13678[[#This Row],[PAGU SEMULA]]-Table13678[[#This Row],[PAGU ANGGARAN]]</f>
        <v>-1321585000</v>
      </c>
      <c r="X1100" t="s">
        <v>984</v>
      </c>
    </row>
    <row r="1101" spans="3:24" hidden="1">
      <c r="C1101" s="7" t="s">
        <v>29</v>
      </c>
      <c r="D1101" s="7" t="s">
        <v>30</v>
      </c>
      <c r="E1101" s="7" t="s">
        <v>31</v>
      </c>
      <c r="F1101" s="7" t="s">
        <v>32</v>
      </c>
      <c r="G1101" s="7" t="s">
        <v>33</v>
      </c>
      <c r="H1101" s="8">
        <v>612360000</v>
      </c>
      <c r="I1101" s="10" t="s">
        <v>834</v>
      </c>
      <c r="J1101" s="7" t="s">
        <v>835</v>
      </c>
      <c r="K1101" s="10" t="s">
        <v>58</v>
      </c>
      <c r="L1101" s="7" t="s">
        <v>59</v>
      </c>
      <c r="M1101" s="7"/>
      <c r="N1101" s="7">
        <f>VLOOKUP(J1101,[1]Sheet1!$C:$D,2,FALSE)</f>
        <v>5535</v>
      </c>
      <c r="O1101" s="7">
        <f>VLOOKUP(J1101,[2]Desa!$A:$D,4,FALSE)</f>
        <v>254</v>
      </c>
      <c r="P1101" s="7">
        <f>VLOOKUP(J1101,[3]Sheet1!$D:$F,3,FALSE)</f>
        <v>50</v>
      </c>
      <c r="Q1101" s="7"/>
      <c r="R1101" s="7"/>
      <c r="S1101" s="12">
        <v>-8.5682606454813293</v>
      </c>
      <c r="T1101" s="12">
        <v>116.25849830667801</v>
      </c>
      <c r="U1101" s="7"/>
      <c r="V1101" s="50">
        <f>Table13678[[#This Row],[PAGU SEMULA]]-Table13678[[#This Row],[PAGU ANGGARAN]]</f>
        <v>-612360000</v>
      </c>
      <c r="W1101" s="50">
        <f>Table13678[[#This Row],[PAGU SEMULA]]-Table13678[[#This Row],[PAGU ANGGARAN]]</f>
        <v>-612360000</v>
      </c>
      <c r="X1101" t="s">
        <v>984</v>
      </c>
    </row>
    <row r="1102" spans="3:24" hidden="1">
      <c r="C1102" s="7" t="s">
        <v>29</v>
      </c>
      <c r="D1102" s="7" t="s">
        <v>30</v>
      </c>
      <c r="E1102" s="7" t="s">
        <v>31</v>
      </c>
      <c r="F1102" s="7" t="s">
        <v>32</v>
      </c>
      <c r="G1102" s="7" t="s">
        <v>34</v>
      </c>
      <c r="H1102" s="8">
        <v>48988800</v>
      </c>
      <c r="I1102" s="10" t="s">
        <v>834</v>
      </c>
      <c r="J1102" s="7" t="s">
        <v>835</v>
      </c>
      <c r="K1102" s="10" t="s">
        <v>58</v>
      </c>
      <c r="L1102" s="7" t="s">
        <v>59</v>
      </c>
      <c r="M1102" s="7"/>
      <c r="N1102" s="7">
        <f>VLOOKUP(J1102,[1]Sheet1!$C:$D,2,FALSE)</f>
        <v>5535</v>
      </c>
      <c r="O1102" s="7">
        <f>VLOOKUP(J1102,[2]Desa!$A:$D,4,FALSE)</f>
        <v>254</v>
      </c>
      <c r="P1102" s="7">
        <f>VLOOKUP(J1102,[3]Sheet1!$D:$F,3,FALSE)</f>
        <v>50</v>
      </c>
      <c r="Q1102" s="7"/>
      <c r="R1102" s="7"/>
      <c r="S1102" s="12">
        <v>-8.5682606454813293</v>
      </c>
      <c r="T1102" s="12">
        <v>116.25849830667801</v>
      </c>
      <c r="U1102" s="7"/>
      <c r="V1102" s="50">
        <f>Table13678[[#This Row],[PAGU SEMULA]]-Table13678[[#This Row],[PAGU ANGGARAN]]</f>
        <v>-48988800</v>
      </c>
      <c r="W1102" s="50">
        <f>Table13678[[#This Row],[PAGU SEMULA]]-Table13678[[#This Row],[PAGU ANGGARAN]]</f>
        <v>-48988800</v>
      </c>
      <c r="X1102" t="s">
        <v>984</v>
      </c>
    </row>
    <row r="1103" spans="3:24" hidden="1">
      <c r="C1103" s="7" t="s">
        <v>84</v>
      </c>
      <c r="D1103" s="7" t="s">
        <v>85</v>
      </c>
      <c r="E1103" s="7" t="s">
        <v>86</v>
      </c>
      <c r="F1103" s="7" t="s">
        <v>87</v>
      </c>
      <c r="G1103" s="7" t="s">
        <v>837</v>
      </c>
      <c r="H1103" s="8">
        <v>90750000</v>
      </c>
      <c r="I1103" s="10" t="s">
        <v>834</v>
      </c>
      <c r="J1103" s="7" t="s">
        <v>835</v>
      </c>
      <c r="K1103" s="10" t="s">
        <v>58</v>
      </c>
      <c r="L1103" s="7" t="s">
        <v>59</v>
      </c>
      <c r="M1103" s="7"/>
      <c r="N1103" s="7">
        <f>VLOOKUP(J1103,[1]Sheet1!$C:$D,2,FALSE)</f>
        <v>5535</v>
      </c>
      <c r="O1103" s="7">
        <f>VLOOKUP(J1103,[2]Desa!$A:$D,4,FALSE)</f>
        <v>254</v>
      </c>
      <c r="P1103" s="7">
        <f>VLOOKUP(J1103,[3]Sheet1!$D:$F,3,FALSE)</f>
        <v>50</v>
      </c>
      <c r="Q1103" s="7"/>
      <c r="R1103" s="7"/>
      <c r="S1103" s="12">
        <v>-8.5682606454813293</v>
      </c>
      <c r="T1103" s="12">
        <v>116.25849830667801</v>
      </c>
      <c r="U1103" s="7"/>
      <c r="V1103" s="50">
        <f>Table13678[[#This Row],[PAGU SEMULA]]-Table13678[[#This Row],[PAGU ANGGARAN]]</f>
        <v>-90750000</v>
      </c>
      <c r="W1103" s="50">
        <f>Table13678[[#This Row],[PAGU SEMULA]]-Table13678[[#This Row],[PAGU ANGGARAN]]</f>
        <v>-90750000</v>
      </c>
      <c r="X1103" t="s">
        <v>982</v>
      </c>
    </row>
    <row r="1104" spans="3:24" hidden="1">
      <c r="C1104" s="7" t="s">
        <v>110</v>
      </c>
      <c r="D1104" s="7" t="s">
        <v>291</v>
      </c>
      <c r="E1104" s="7" t="s">
        <v>292</v>
      </c>
      <c r="F1104" s="7" t="s">
        <v>293</v>
      </c>
      <c r="G1104" s="71" t="s">
        <v>838</v>
      </c>
      <c r="H1104" s="8">
        <v>143000000</v>
      </c>
      <c r="I1104" s="10" t="s">
        <v>834</v>
      </c>
      <c r="J1104" s="7" t="s">
        <v>835</v>
      </c>
      <c r="K1104" s="10" t="s">
        <v>58</v>
      </c>
      <c r="L1104" s="7" t="s">
        <v>59</v>
      </c>
      <c r="M1104" s="7"/>
      <c r="N1104" s="7">
        <f>VLOOKUP(J1104,[1]Sheet1!$C:$D,2,FALSE)</f>
        <v>5535</v>
      </c>
      <c r="O1104" s="7">
        <f>VLOOKUP(J1104,[2]Desa!$A:$D,4,FALSE)</f>
        <v>254</v>
      </c>
      <c r="P1104" s="7">
        <f>VLOOKUP(J1104,[3]Sheet1!$D:$F,3,FALSE)</f>
        <v>50</v>
      </c>
      <c r="Q1104" s="7"/>
      <c r="R1104" s="7"/>
      <c r="S1104" s="12">
        <v>-8.5682606454813293</v>
      </c>
      <c r="T1104" s="12">
        <v>116.25849830667801</v>
      </c>
      <c r="U1104" s="7"/>
      <c r="V1104" s="50">
        <f>Table13678[[#This Row],[PAGU SEMULA]]-Table13678[[#This Row],[PAGU ANGGARAN]]</f>
        <v>-143000000</v>
      </c>
      <c r="W1104" s="50">
        <f>Table13678[[#This Row],[PAGU SEMULA]]-Table13678[[#This Row],[PAGU ANGGARAN]]</f>
        <v>-143000000</v>
      </c>
      <c r="X1104" t="s">
        <v>982</v>
      </c>
    </row>
    <row r="1105" spans="3:24" hidden="1">
      <c r="C1105" s="7" t="s">
        <v>110</v>
      </c>
      <c r="D1105" s="7" t="s">
        <v>208</v>
      </c>
      <c r="E1105" s="7" t="s">
        <v>209</v>
      </c>
      <c r="F1105" s="7" t="s">
        <v>210</v>
      </c>
      <c r="G1105" s="71" t="s">
        <v>211</v>
      </c>
      <c r="H1105" s="8">
        <v>53500000</v>
      </c>
      <c r="I1105" s="10" t="s">
        <v>834</v>
      </c>
      <c r="J1105" s="7" t="s">
        <v>835</v>
      </c>
      <c r="K1105" s="10" t="s">
        <v>58</v>
      </c>
      <c r="L1105" s="7" t="s">
        <v>59</v>
      </c>
      <c r="M1105" s="7"/>
      <c r="N1105" s="7">
        <f>VLOOKUP(J1105,[1]Sheet1!$C:$D,2,FALSE)</f>
        <v>5535</v>
      </c>
      <c r="O1105" s="7">
        <f>VLOOKUP(J1105,[2]Desa!$A:$D,4,FALSE)</f>
        <v>254</v>
      </c>
      <c r="P1105" s="7">
        <f>VLOOKUP(J1105,[3]Sheet1!$D:$F,3,FALSE)</f>
        <v>50</v>
      </c>
      <c r="Q1105" s="7"/>
      <c r="R1105" s="7"/>
      <c r="S1105" s="12">
        <v>-8.5682606454813293</v>
      </c>
      <c r="T1105" s="12">
        <v>116.25849830667801</v>
      </c>
      <c r="U1105" s="7"/>
      <c r="V1105" s="50">
        <f>Table13678[[#This Row],[PAGU SEMULA]]-Table13678[[#This Row],[PAGU ANGGARAN]]</f>
        <v>-53500000</v>
      </c>
      <c r="W1105" s="50">
        <f>Table13678[[#This Row],[PAGU SEMULA]]-Table13678[[#This Row],[PAGU ANGGARAN]]</f>
        <v>-53500000</v>
      </c>
      <c r="X1105" t="s">
        <v>982</v>
      </c>
    </row>
    <row r="1106" spans="3:24" hidden="1">
      <c r="C1106" s="7" t="s">
        <v>35</v>
      </c>
      <c r="D1106" s="7" t="s">
        <v>36</v>
      </c>
      <c r="E1106" s="7" t="s">
        <v>37</v>
      </c>
      <c r="F1106" s="7" t="s">
        <v>38</v>
      </c>
      <c r="G1106" s="7" t="s">
        <v>39</v>
      </c>
      <c r="H1106" s="15">
        <v>75000000</v>
      </c>
      <c r="I1106" s="10" t="s">
        <v>834</v>
      </c>
      <c r="J1106" s="7" t="s">
        <v>835</v>
      </c>
      <c r="K1106" s="10" t="s">
        <v>58</v>
      </c>
      <c r="L1106" s="7" t="s">
        <v>59</v>
      </c>
      <c r="M1106" s="7"/>
      <c r="N1106" s="7">
        <f>VLOOKUP(J1106,[1]Sheet1!$C:$D,2,FALSE)</f>
        <v>5535</v>
      </c>
      <c r="O1106" s="7">
        <f>VLOOKUP(J1106,[2]Desa!$A:$D,4,FALSE)</f>
        <v>254</v>
      </c>
      <c r="P1106" s="7">
        <f>VLOOKUP(J1106,[3]Sheet1!$D:$F,3,FALSE)</f>
        <v>50</v>
      </c>
      <c r="Q1106" s="7"/>
      <c r="R1106" s="7"/>
      <c r="S1106" s="12">
        <v>-8.5682606454813293</v>
      </c>
      <c r="T1106" s="12">
        <v>116.25849830667801</v>
      </c>
      <c r="U1106" s="7"/>
      <c r="V1106" s="50">
        <f>Table13678[[#This Row],[PAGU SEMULA]]-Table13678[[#This Row],[PAGU ANGGARAN]]</f>
        <v>-75000000</v>
      </c>
      <c r="W1106" s="50">
        <f>Table13678[[#This Row],[PAGU SEMULA]]-Table13678[[#This Row],[PAGU ANGGARAN]]</f>
        <v>-75000000</v>
      </c>
      <c r="X1106" t="s">
        <v>984</v>
      </c>
    </row>
    <row r="1107" spans="3:24" hidden="1">
      <c r="C1107" s="7" t="s">
        <v>35</v>
      </c>
      <c r="D1107" s="7" t="s">
        <v>65</v>
      </c>
      <c r="E1107" s="7" t="s">
        <v>66</v>
      </c>
      <c r="F1107" s="7" t="s">
        <v>93</v>
      </c>
      <c r="G1107" s="7" t="s">
        <v>386</v>
      </c>
      <c r="H1107" s="15">
        <v>1658875000</v>
      </c>
      <c r="I1107" s="10" t="s">
        <v>834</v>
      </c>
      <c r="J1107" s="7" t="s">
        <v>835</v>
      </c>
      <c r="K1107" s="10" t="s">
        <v>58</v>
      </c>
      <c r="L1107" s="7" t="s">
        <v>59</v>
      </c>
      <c r="M1107" s="7"/>
      <c r="N1107" s="7">
        <f>VLOOKUP(J1107,[1]Sheet1!$C:$D,2,FALSE)</f>
        <v>5535</v>
      </c>
      <c r="O1107" s="7">
        <f>VLOOKUP(J1107,[2]Desa!$A:$D,4,FALSE)</f>
        <v>254</v>
      </c>
      <c r="P1107" s="7">
        <f>VLOOKUP(J1107,[3]Sheet1!$D:$F,3,FALSE)</f>
        <v>50</v>
      </c>
      <c r="Q1107" s="7"/>
      <c r="R1107" s="7"/>
      <c r="S1107" s="12">
        <v>-8.5682606454813293</v>
      </c>
      <c r="T1107" s="12">
        <v>116.25849830667801</v>
      </c>
      <c r="U1107" s="7"/>
      <c r="V1107" s="50">
        <f>Table13678[[#This Row],[PAGU SEMULA]]-Table13678[[#This Row],[PAGU ANGGARAN]]</f>
        <v>-1658875000</v>
      </c>
      <c r="W1107" s="50">
        <f>Table13678[[#This Row],[PAGU SEMULA]]-Table13678[[#This Row],[PAGU ANGGARAN]]</f>
        <v>-1658875000</v>
      </c>
      <c r="X1107" t="s">
        <v>986</v>
      </c>
    </row>
    <row r="1108" spans="3:24" hidden="1">
      <c r="C1108" s="7" t="s">
        <v>51</v>
      </c>
      <c r="D1108" s="7" t="s">
        <v>52</v>
      </c>
      <c r="E1108" s="7" t="s">
        <v>53</v>
      </c>
      <c r="F1108" s="7" t="s">
        <v>54</v>
      </c>
      <c r="G1108" s="7" t="s">
        <v>73</v>
      </c>
      <c r="H1108" s="8">
        <v>189090000</v>
      </c>
      <c r="I1108" s="10" t="s">
        <v>834</v>
      </c>
      <c r="J1108" s="7" t="s">
        <v>835</v>
      </c>
      <c r="K1108" s="10" t="s">
        <v>58</v>
      </c>
      <c r="L1108" s="7" t="s">
        <v>59</v>
      </c>
      <c r="M1108" s="7"/>
      <c r="N1108" s="7">
        <f>VLOOKUP(J1108,[1]Sheet1!$C:$D,2,FALSE)</f>
        <v>5535</v>
      </c>
      <c r="O1108" s="7">
        <f>VLOOKUP(J1108,[2]Desa!$A:$D,4,FALSE)</f>
        <v>254</v>
      </c>
      <c r="P1108" s="7">
        <f>VLOOKUP(J1108,[3]Sheet1!$D:$F,3,FALSE)</f>
        <v>50</v>
      </c>
      <c r="Q1108" s="7"/>
      <c r="R1108" s="7"/>
      <c r="S1108" s="12">
        <v>-8.5682606454813293</v>
      </c>
      <c r="T1108" s="12">
        <v>116.25849830667801</v>
      </c>
      <c r="U1108" s="7"/>
      <c r="V1108" s="50">
        <f>Table13678[[#This Row],[PAGU SEMULA]]-Table13678[[#This Row],[PAGU ANGGARAN]]</f>
        <v>-189090000</v>
      </c>
      <c r="W1108" s="50">
        <f>Table13678[[#This Row],[PAGU SEMULA]]-Table13678[[#This Row],[PAGU ANGGARAN]]</f>
        <v>-189090000</v>
      </c>
      <c r="X1108" t="s">
        <v>986</v>
      </c>
    </row>
    <row r="1109" spans="3:24" hidden="1">
      <c r="C1109" s="7" t="s">
        <v>51</v>
      </c>
      <c r="D1109" s="7" t="s">
        <v>52</v>
      </c>
      <c r="E1109" s="7" t="s">
        <v>53</v>
      </c>
      <c r="F1109" s="7" t="s">
        <v>54</v>
      </c>
      <c r="G1109" s="7" t="s">
        <v>73</v>
      </c>
      <c r="H1109" s="8">
        <v>189090000</v>
      </c>
      <c r="I1109" s="10" t="s">
        <v>834</v>
      </c>
      <c r="J1109" s="7" t="s">
        <v>835</v>
      </c>
      <c r="K1109" s="10" t="s">
        <v>58</v>
      </c>
      <c r="L1109" s="7" t="s">
        <v>59</v>
      </c>
      <c r="M1109" s="7"/>
      <c r="N1109" s="7">
        <f>VLOOKUP(J1109,[1]Sheet1!$C:$D,2,FALSE)</f>
        <v>5535</v>
      </c>
      <c r="O1109" s="7">
        <f>VLOOKUP(J1109,[2]Desa!$A:$D,4,FALSE)</f>
        <v>254</v>
      </c>
      <c r="P1109" s="7">
        <f>VLOOKUP(J1109,[3]Sheet1!$D:$F,3,FALSE)</f>
        <v>50</v>
      </c>
      <c r="Q1109" s="7"/>
      <c r="R1109" s="7"/>
      <c r="S1109" s="12">
        <v>-8.5682606454813293</v>
      </c>
      <c r="T1109" s="12">
        <v>116.25849830667801</v>
      </c>
      <c r="U1109" s="7"/>
      <c r="V1109" s="50">
        <f>Table13678[[#This Row],[PAGU SEMULA]]-Table13678[[#This Row],[PAGU ANGGARAN]]</f>
        <v>-189090000</v>
      </c>
      <c r="W1109" s="50">
        <f>Table13678[[#This Row],[PAGU SEMULA]]-Table13678[[#This Row],[PAGU ANGGARAN]]</f>
        <v>-189090000</v>
      </c>
      <c r="X1109" t="s">
        <v>986</v>
      </c>
    </row>
    <row r="1110" spans="3:24" hidden="1">
      <c r="C1110" s="7" t="s">
        <v>29</v>
      </c>
      <c r="D1110" s="7" t="s">
        <v>30</v>
      </c>
      <c r="E1110" s="7" t="s">
        <v>31</v>
      </c>
      <c r="F1110" s="7" t="s">
        <v>32</v>
      </c>
      <c r="G1110" s="7" t="s">
        <v>33</v>
      </c>
      <c r="H1110" s="8">
        <v>790440000</v>
      </c>
      <c r="I1110" s="10" t="s">
        <v>839</v>
      </c>
      <c r="J1110" s="7" t="s">
        <v>840</v>
      </c>
      <c r="K1110" s="10" t="s">
        <v>196</v>
      </c>
      <c r="L1110" s="7" t="s">
        <v>197</v>
      </c>
      <c r="M1110" s="7"/>
      <c r="N1110" s="7">
        <f>VLOOKUP(J1110,[1]Sheet1!$C:$D,2,FALSE)</f>
        <v>10749</v>
      </c>
      <c r="O1110" s="7">
        <f>VLOOKUP(J1110,[2]Desa!$A:$D,4,FALSE)</f>
        <v>696</v>
      </c>
      <c r="P1110" s="7">
        <f>VLOOKUP(J1110,[3]Sheet1!$D:$F,3,FALSE)</f>
        <v>62</v>
      </c>
      <c r="Q1110" s="7"/>
      <c r="R1110" s="7"/>
      <c r="S1110" s="12">
        <v>-8.75158110202179</v>
      </c>
      <c r="T1110" s="12">
        <v>116.00844610852501</v>
      </c>
      <c r="U1110" s="7"/>
      <c r="V1110" s="50">
        <f>Table13678[[#This Row],[PAGU SEMULA]]-Table13678[[#This Row],[PAGU ANGGARAN]]</f>
        <v>-790440000</v>
      </c>
      <c r="W1110" s="50">
        <f>Table13678[[#This Row],[PAGU SEMULA]]-Table13678[[#This Row],[PAGU ANGGARAN]]</f>
        <v>-790440000</v>
      </c>
      <c r="X1110" t="s">
        <v>984</v>
      </c>
    </row>
    <row r="1111" spans="3:24" hidden="1">
      <c r="C1111" s="7" t="s">
        <v>29</v>
      </c>
      <c r="D1111" s="7" t="s">
        <v>30</v>
      </c>
      <c r="E1111" s="7" t="s">
        <v>31</v>
      </c>
      <c r="F1111" s="7" t="s">
        <v>32</v>
      </c>
      <c r="G1111" s="7" t="s">
        <v>34</v>
      </c>
      <c r="H1111" s="8">
        <v>63235200</v>
      </c>
      <c r="I1111" s="10" t="s">
        <v>839</v>
      </c>
      <c r="J1111" s="7" t="s">
        <v>840</v>
      </c>
      <c r="K1111" s="10" t="s">
        <v>196</v>
      </c>
      <c r="L1111" s="7" t="s">
        <v>197</v>
      </c>
      <c r="M1111" s="7"/>
      <c r="N1111" s="7">
        <f>VLOOKUP(J1111,[1]Sheet1!$C:$D,2,FALSE)</f>
        <v>10749</v>
      </c>
      <c r="O1111" s="7">
        <f>VLOOKUP(J1111,[2]Desa!$A:$D,4,FALSE)</f>
        <v>696</v>
      </c>
      <c r="P1111" s="7">
        <f>VLOOKUP(J1111,[3]Sheet1!$D:$F,3,FALSE)</f>
        <v>62</v>
      </c>
      <c r="Q1111" s="7"/>
      <c r="R1111" s="7"/>
      <c r="S1111" s="12">
        <v>-8.75158110202179</v>
      </c>
      <c r="T1111" s="12">
        <v>116.00844610852501</v>
      </c>
      <c r="U1111" s="7"/>
      <c r="V1111" s="50">
        <f>Table13678[[#This Row],[PAGU SEMULA]]-Table13678[[#This Row],[PAGU ANGGARAN]]</f>
        <v>-63235200</v>
      </c>
      <c r="W1111" s="50">
        <f>Table13678[[#This Row],[PAGU SEMULA]]-Table13678[[#This Row],[PAGU ANGGARAN]]</f>
        <v>-63235200</v>
      </c>
      <c r="X1111" t="s">
        <v>984</v>
      </c>
    </row>
    <row r="1112" spans="3:24" hidden="1">
      <c r="C1112" s="7" t="s">
        <v>110</v>
      </c>
      <c r="D1112" s="7" t="s">
        <v>208</v>
      </c>
      <c r="E1112" s="7" t="s">
        <v>209</v>
      </c>
      <c r="F1112" s="7" t="s">
        <v>210</v>
      </c>
      <c r="G1112" s="71" t="s">
        <v>211</v>
      </c>
      <c r="H1112" s="8">
        <v>53500000</v>
      </c>
      <c r="I1112" s="10" t="s">
        <v>839</v>
      </c>
      <c r="J1112" s="7" t="s">
        <v>840</v>
      </c>
      <c r="K1112" s="10" t="s">
        <v>196</v>
      </c>
      <c r="L1112" s="7" t="s">
        <v>197</v>
      </c>
      <c r="M1112" s="7"/>
      <c r="N1112" s="7">
        <f>VLOOKUP(J1112,[1]Sheet1!$C:$D,2,FALSE)</f>
        <v>10749</v>
      </c>
      <c r="O1112" s="7">
        <f>VLOOKUP(J1112,[2]Desa!$A:$D,4,FALSE)</f>
        <v>696</v>
      </c>
      <c r="P1112" s="7">
        <f>VLOOKUP(J1112,[3]Sheet1!$D:$F,3,FALSE)</f>
        <v>62</v>
      </c>
      <c r="Q1112" s="7"/>
      <c r="R1112" s="7"/>
      <c r="S1112" s="12">
        <v>-8.75158110202179</v>
      </c>
      <c r="T1112" s="12">
        <v>116.00844610852501</v>
      </c>
      <c r="U1112" s="7"/>
      <c r="V1112" s="50">
        <f>Table13678[[#This Row],[PAGU SEMULA]]-Table13678[[#This Row],[PAGU ANGGARAN]]</f>
        <v>-53500000</v>
      </c>
      <c r="W1112" s="50">
        <f>Table13678[[#This Row],[PAGU SEMULA]]-Table13678[[#This Row],[PAGU ANGGARAN]]</f>
        <v>-53500000</v>
      </c>
      <c r="X1112" t="s">
        <v>982</v>
      </c>
    </row>
    <row r="1113" spans="3:24" hidden="1">
      <c r="C1113" s="7" t="s">
        <v>35</v>
      </c>
      <c r="D1113" s="7" t="s">
        <v>36</v>
      </c>
      <c r="E1113" s="7" t="s">
        <v>37</v>
      </c>
      <c r="F1113" s="7" t="s">
        <v>40</v>
      </c>
      <c r="G1113" s="7" t="s">
        <v>319</v>
      </c>
      <c r="H1113" s="15">
        <v>135000000</v>
      </c>
      <c r="I1113" s="10" t="s">
        <v>839</v>
      </c>
      <c r="J1113" s="7" t="s">
        <v>840</v>
      </c>
      <c r="K1113" s="10" t="s">
        <v>196</v>
      </c>
      <c r="L1113" s="7" t="s">
        <v>197</v>
      </c>
      <c r="M1113" s="7"/>
      <c r="N1113" s="7">
        <f>VLOOKUP(J1113,[1]Sheet1!$C:$D,2,FALSE)</f>
        <v>10749</v>
      </c>
      <c r="O1113" s="7">
        <f>VLOOKUP(J1113,[2]Desa!$A:$D,4,FALSE)</f>
        <v>696</v>
      </c>
      <c r="P1113" s="7">
        <f>VLOOKUP(J1113,[3]Sheet1!$D:$F,3,FALSE)</f>
        <v>62</v>
      </c>
      <c r="Q1113" s="7"/>
      <c r="R1113" s="7"/>
      <c r="S1113" s="12">
        <v>-8.75158110202179</v>
      </c>
      <c r="T1113" s="12">
        <v>116.00844610852501</v>
      </c>
      <c r="U1113" s="7"/>
      <c r="V1113" s="50">
        <f>Table13678[[#This Row],[PAGU SEMULA]]-Table13678[[#This Row],[PAGU ANGGARAN]]</f>
        <v>-135000000</v>
      </c>
      <c r="W1113" s="50">
        <f>Table13678[[#This Row],[PAGU SEMULA]]-Table13678[[#This Row],[PAGU ANGGARAN]]</f>
        <v>-135000000</v>
      </c>
      <c r="X1113" t="s">
        <v>986</v>
      </c>
    </row>
    <row r="1114" spans="3:24" hidden="1">
      <c r="C1114" s="7" t="s">
        <v>35</v>
      </c>
      <c r="D1114" s="7" t="s">
        <v>52</v>
      </c>
      <c r="E1114" s="7" t="s">
        <v>95</v>
      </c>
      <c r="F1114" s="7" t="s">
        <v>96</v>
      </c>
      <c r="G1114" s="7" t="s">
        <v>99</v>
      </c>
      <c r="H1114" s="17">
        <v>96750000</v>
      </c>
      <c r="I1114" s="10" t="s">
        <v>839</v>
      </c>
      <c r="J1114" s="7" t="s">
        <v>840</v>
      </c>
      <c r="K1114" s="10" t="s">
        <v>196</v>
      </c>
      <c r="L1114" s="7" t="s">
        <v>197</v>
      </c>
      <c r="M1114" s="7"/>
      <c r="N1114" s="7">
        <f>VLOOKUP(J1114,[1]Sheet1!$C:$D,2,FALSE)</f>
        <v>10749</v>
      </c>
      <c r="O1114" s="7">
        <f>VLOOKUP(J1114,[2]Desa!$A:$D,4,FALSE)</f>
        <v>696</v>
      </c>
      <c r="P1114" s="7">
        <f>VLOOKUP(J1114,[3]Sheet1!$D:$F,3,FALSE)</f>
        <v>62</v>
      </c>
      <c r="Q1114" s="7"/>
      <c r="R1114" s="7"/>
      <c r="S1114" s="12">
        <v>-8.75158110202179</v>
      </c>
      <c r="T1114" s="12">
        <v>116.00844610852501</v>
      </c>
      <c r="U1114" s="7"/>
      <c r="V1114" s="50">
        <f>Table13678[[#This Row],[PAGU SEMULA]]-Table13678[[#This Row],[PAGU ANGGARAN]]</f>
        <v>-96750000</v>
      </c>
      <c r="W1114" s="50">
        <f>Table13678[[#This Row],[PAGU SEMULA]]-Table13678[[#This Row],[PAGU ANGGARAN]]</f>
        <v>-96750000</v>
      </c>
      <c r="X1114" t="s">
        <v>986</v>
      </c>
    </row>
    <row r="1115" spans="3:24" hidden="1">
      <c r="C1115" s="7" t="s">
        <v>20</v>
      </c>
      <c r="D1115" s="7" t="s">
        <v>104</v>
      </c>
      <c r="E1115" s="7" t="s">
        <v>105</v>
      </c>
      <c r="F1115" s="7" t="s">
        <v>106</v>
      </c>
      <c r="G1115" s="71" t="s">
        <v>841</v>
      </c>
      <c r="H1115" s="15">
        <v>277770000</v>
      </c>
      <c r="I1115" s="10" t="s">
        <v>842</v>
      </c>
      <c r="J1115" s="7" t="s">
        <v>843</v>
      </c>
      <c r="K1115" s="10" t="s">
        <v>196</v>
      </c>
      <c r="L1115" s="7" t="s">
        <v>197</v>
      </c>
      <c r="M1115" s="7"/>
      <c r="N1115" s="7">
        <f>VLOOKUP(J1115,[1]Sheet1!$C:$D,2,FALSE)</f>
        <v>8741</v>
      </c>
      <c r="O1115" s="7">
        <f>VLOOKUP(J1115,[2]Desa!$A:$D,4,FALSE)</f>
        <v>640</v>
      </c>
      <c r="P1115" s="7">
        <f>VLOOKUP(J1115,[3]Sheet1!$D:$F,3,FALSE)</f>
        <v>72</v>
      </c>
      <c r="Q1115" s="7"/>
      <c r="R1115" s="7"/>
      <c r="S1115" s="12">
        <v>-8.7744934248796298</v>
      </c>
      <c r="T1115" s="12">
        <v>116.04756175086899</v>
      </c>
      <c r="U1115" s="7"/>
      <c r="V1115" s="50">
        <f>Table13678[[#This Row],[PAGU SEMULA]]-Table13678[[#This Row],[PAGU ANGGARAN]]</f>
        <v>-277770000</v>
      </c>
      <c r="W1115" s="50">
        <f>Table13678[[#This Row],[PAGU SEMULA]]-Table13678[[#This Row],[PAGU ANGGARAN]]</f>
        <v>-277770000</v>
      </c>
      <c r="X1115" t="s">
        <v>984</v>
      </c>
    </row>
    <row r="1116" spans="3:24" hidden="1">
      <c r="C1116" s="7" t="s">
        <v>20</v>
      </c>
      <c r="D1116" s="7" t="s">
        <v>104</v>
      </c>
      <c r="E1116" s="7" t="s">
        <v>145</v>
      </c>
      <c r="F1116" s="7" t="s">
        <v>243</v>
      </c>
      <c r="G1116" s="71" t="s">
        <v>844</v>
      </c>
      <c r="H1116" s="15">
        <v>70920000</v>
      </c>
      <c r="I1116" s="10" t="s">
        <v>842</v>
      </c>
      <c r="J1116" s="7" t="s">
        <v>843</v>
      </c>
      <c r="K1116" s="10" t="s">
        <v>196</v>
      </c>
      <c r="L1116" s="7" t="s">
        <v>197</v>
      </c>
      <c r="M1116" s="7"/>
      <c r="N1116" s="7">
        <f>VLOOKUP(J1116,[1]Sheet1!$C:$D,2,FALSE)</f>
        <v>8741</v>
      </c>
      <c r="O1116" s="7">
        <f>VLOOKUP(J1116,[2]Desa!$A:$D,4,FALSE)</f>
        <v>640</v>
      </c>
      <c r="P1116" s="7">
        <f>VLOOKUP(J1116,[3]Sheet1!$D:$F,3,FALSE)</f>
        <v>72</v>
      </c>
      <c r="Q1116" s="7"/>
      <c r="R1116" s="7"/>
      <c r="S1116" s="12">
        <v>-8.7744934248796298</v>
      </c>
      <c r="T1116" s="12">
        <v>116.04756175086899</v>
      </c>
      <c r="U1116" s="7"/>
      <c r="V1116" s="50">
        <f>Table13678[[#This Row],[PAGU SEMULA]]-Table13678[[#This Row],[PAGU ANGGARAN]]</f>
        <v>-70920000</v>
      </c>
      <c r="W1116" s="50">
        <f>Table13678[[#This Row],[PAGU SEMULA]]-Table13678[[#This Row],[PAGU ANGGARAN]]</f>
        <v>-70920000</v>
      </c>
      <c r="X1116" t="s">
        <v>984</v>
      </c>
    </row>
    <row r="1117" spans="3:24" hidden="1">
      <c r="C1117" s="7" t="s">
        <v>29</v>
      </c>
      <c r="D1117" s="7" t="s">
        <v>30</v>
      </c>
      <c r="E1117" s="7" t="s">
        <v>31</v>
      </c>
      <c r="F1117" s="7" t="s">
        <v>32</v>
      </c>
      <c r="G1117" s="7" t="s">
        <v>33</v>
      </c>
      <c r="H1117" s="8">
        <v>856800000</v>
      </c>
      <c r="I1117" s="10" t="s">
        <v>842</v>
      </c>
      <c r="J1117" s="7" t="s">
        <v>843</v>
      </c>
      <c r="K1117" s="10" t="s">
        <v>196</v>
      </c>
      <c r="L1117" s="7" t="s">
        <v>197</v>
      </c>
      <c r="M1117" s="7"/>
      <c r="N1117" s="7">
        <f>VLOOKUP(J1117,[1]Sheet1!$C:$D,2,FALSE)</f>
        <v>8741</v>
      </c>
      <c r="O1117" s="7">
        <f>VLOOKUP(J1117,[2]Desa!$A:$D,4,FALSE)</f>
        <v>640</v>
      </c>
      <c r="P1117" s="7">
        <f>VLOOKUP(J1117,[3]Sheet1!$D:$F,3,FALSE)</f>
        <v>72</v>
      </c>
      <c r="Q1117" s="7"/>
      <c r="R1117" s="7"/>
      <c r="S1117" s="12">
        <v>-8.7744934248796298</v>
      </c>
      <c r="T1117" s="12">
        <v>116.04756175086899</v>
      </c>
      <c r="U1117" s="7"/>
      <c r="V1117" s="50">
        <f>Table13678[[#This Row],[PAGU SEMULA]]-Table13678[[#This Row],[PAGU ANGGARAN]]</f>
        <v>-856800000</v>
      </c>
      <c r="W1117" s="50">
        <f>Table13678[[#This Row],[PAGU SEMULA]]-Table13678[[#This Row],[PAGU ANGGARAN]]</f>
        <v>-856800000</v>
      </c>
      <c r="X1117" t="s">
        <v>984</v>
      </c>
    </row>
    <row r="1118" spans="3:24" hidden="1">
      <c r="C1118" s="7" t="s">
        <v>29</v>
      </c>
      <c r="D1118" s="7" t="s">
        <v>30</v>
      </c>
      <c r="E1118" s="7" t="s">
        <v>31</v>
      </c>
      <c r="F1118" s="7" t="s">
        <v>32</v>
      </c>
      <c r="G1118" s="7" t="s">
        <v>34</v>
      </c>
      <c r="H1118" s="8">
        <v>68544000</v>
      </c>
      <c r="I1118" s="10" t="s">
        <v>842</v>
      </c>
      <c r="J1118" s="7" t="s">
        <v>843</v>
      </c>
      <c r="K1118" s="10" t="s">
        <v>196</v>
      </c>
      <c r="L1118" s="7" t="s">
        <v>197</v>
      </c>
      <c r="M1118" s="7"/>
      <c r="N1118" s="7">
        <f>VLOOKUP(J1118,[1]Sheet1!$C:$D,2,FALSE)</f>
        <v>8741</v>
      </c>
      <c r="O1118" s="7">
        <f>VLOOKUP(J1118,[2]Desa!$A:$D,4,FALSE)</f>
        <v>640</v>
      </c>
      <c r="P1118" s="7">
        <f>VLOOKUP(J1118,[3]Sheet1!$D:$F,3,FALSE)</f>
        <v>72</v>
      </c>
      <c r="Q1118" s="7"/>
      <c r="R1118" s="7"/>
      <c r="S1118" s="12">
        <v>-8.7744934248796298</v>
      </c>
      <c r="T1118" s="12">
        <v>116.04756175086899</v>
      </c>
      <c r="U1118" s="7"/>
      <c r="V1118" s="50">
        <f>Table13678[[#This Row],[PAGU SEMULA]]-Table13678[[#This Row],[PAGU ANGGARAN]]</f>
        <v>-68544000</v>
      </c>
      <c r="W1118" s="50">
        <f>Table13678[[#This Row],[PAGU SEMULA]]-Table13678[[#This Row],[PAGU ANGGARAN]]</f>
        <v>-68544000</v>
      </c>
      <c r="X1118" t="s">
        <v>984</v>
      </c>
    </row>
    <row r="1119" spans="3:24" hidden="1">
      <c r="C1119" s="7" t="s">
        <v>60</v>
      </c>
      <c r="D1119" s="7" t="s">
        <v>728</v>
      </c>
      <c r="E1119" s="7" t="s">
        <v>729</v>
      </c>
      <c r="F1119" s="7" t="s">
        <v>730</v>
      </c>
      <c r="G1119" s="71" t="s">
        <v>845</v>
      </c>
      <c r="H1119" s="15">
        <v>75000000</v>
      </c>
      <c r="I1119" s="10" t="s">
        <v>842</v>
      </c>
      <c r="J1119" s="7" t="s">
        <v>843</v>
      </c>
      <c r="K1119" s="10" t="s">
        <v>196</v>
      </c>
      <c r="L1119" s="7" t="s">
        <v>197</v>
      </c>
      <c r="M1119" s="7"/>
      <c r="N1119" s="7">
        <f>VLOOKUP(J1119,[1]Sheet1!$C:$D,2,FALSE)</f>
        <v>8741</v>
      </c>
      <c r="O1119" s="7">
        <f>VLOOKUP(J1119,[2]Desa!$A:$D,4,FALSE)</f>
        <v>640</v>
      </c>
      <c r="P1119" s="7">
        <f>VLOOKUP(J1119,[3]Sheet1!$D:$F,3,FALSE)</f>
        <v>72</v>
      </c>
      <c r="Q1119" s="7"/>
      <c r="R1119" s="7"/>
      <c r="S1119" s="12">
        <v>-8.7744934248796298</v>
      </c>
      <c r="T1119" s="12">
        <v>116.04756175086899</v>
      </c>
      <c r="U1119" s="7"/>
      <c r="V1119" s="50">
        <f>Table13678[[#This Row],[PAGU SEMULA]]-Table13678[[#This Row],[PAGU ANGGARAN]]</f>
        <v>-75000000</v>
      </c>
      <c r="W1119" s="50">
        <f>Table13678[[#This Row],[PAGU SEMULA]]-Table13678[[#This Row],[PAGU ANGGARAN]]</f>
        <v>-75000000</v>
      </c>
      <c r="X1119" t="s">
        <v>987</v>
      </c>
    </row>
    <row r="1120" spans="3:24" hidden="1">
      <c r="C1120" s="7" t="s">
        <v>35</v>
      </c>
      <c r="D1120" s="7" t="s">
        <v>36</v>
      </c>
      <c r="E1120" s="7" t="s">
        <v>37</v>
      </c>
      <c r="F1120" s="7" t="s">
        <v>38</v>
      </c>
      <c r="G1120" s="7" t="s">
        <v>39</v>
      </c>
      <c r="H1120" s="15">
        <v>105000000</v>
      </c>
      <c r="I1120" s="10" t="s">
        <v>842</v>
      </c>
      <c r="J1120" s="7" t="s">
        <v>843</v>
      </c>
      <c r="K1120" s="10" t="s">
        <v>196</v>
      </c>
      <c r="L1120" s="7" t="s">
        <v>197</v>
      </c>
      <c r="M1120" s="7"/>
      <c r="N1120" s="7">
        <f>VLOOKUP(J1120,[1]Sheet1!$C:$D,2,FALSE)</f>
        <v>8741</v>
      </c>
      <c r="O1120" s="7">
        <f>VLOOKUP(J1120,[2]Desa!$A:$D,4,FALSE)</f>
        <v>640</v>
      </c>
      <c r="P1120" s="7">
        <f>VLOOKUP(J1120,[3]Sheet1!$D:$F,3,FALSE)</f>
        <v>72</v>
      </c>
      <c r="Q1120" s="7"/>
      <c r="R1120" s="7"/>
      <c r="S1120" s="12">
        <v>-8.7744934248796298</v>
      </c>
      <c r="T1120" s="12">
        <v>116.04756175086899</v>
      </c>
      <c r="U1120" s="7"/>
      <c r="V1120" s="50">
        <f>Table13678[[#This Row],[PAGU SEMULA]]-Table13678[[#This Row],[PAGU ANGGARAN]]</f>
        <v>-105000000</v>
      </c>
      <c r="W1120" s="50">
        <f>Table13678[[#This Row],[PAGU SEMULA]]-Table13678[[#This Row],[PAGU ANGGARAN]]</f>
        <v>-105000000</v>
      </c>
      <c r="X1120" t="s">
        <v>984</v>
      </c>
    </row>
    <row r="1121" spans="3:24" hidden="1">
      <c r="C1121" s="7" t="s">
        <v>35</v>
      </c>
      <c r="D1121" s="7" t="s">
        <v>65</v>
      </c>
      <c r="E1121" s="7" t="s">
        <v>66</v>
      </c>
      <c r="F1121" s="7" t="s">
        <v>322</v>
      </c>
      <c r="G1121" s="7" t="s">
        <v>322</v>
      </c>
      <c r="H1121" s="15">
        <v>51226500</v>
      </c>
      <c r="I1121" s="10" t="s">
        <v>842</v>
      </c>
      <c r="J1121" s="7" t="s">
        <v>843</v>
      </c>
      <c r="K1121" s="10" t="s">
        <v>196</v>
      </c>
      <c r="L1121" s="7" t="s">
        <v>197</v>
      </c>
      <c r="M1121" s="7"/>
      <c r="N1121" s="7">
        <f>VLOOKUP(J1121,[1]Sheet1!$C:$D,2,FALSE)</f>
        <v>8741</v>
      </c>
      <c r="O1121" s="7">
        <f>VLOOKUP(J1121,[2]Desa!$A:$D,4,FALSE)</f>
        <v>640</v>
      </c>
      <c r="P1121" s="7">
        <f>VLOOKUP(J1121,[3]Sheet1!$D:$F,3,FALSE)</f>
        <v>72</v>
      </c>
      <c r="Q1121" s="7"/>
      <c r="R1121" s="7"/>
      <c r="S1121" s="12">
        <v>-8.7744934248796298</v>
      </c>
      <c r="T1121" s="12">
        <v>116.04756175086899</v>
      </c>
      <c r="U1121" s="7"/>
      <c r="V1121" s="50">
        <f>Table13678[[#This Row],[PAGU SEMULA]]-Table13678[[#This Row],[PAGU ANGGARAN]]</f>
        <v>-51226500</v>
      </c>
      <c r="W1121" s="50">
        <f>Table13678[[#This Row],[PAGU SEMULA]]-Table13678[[#This Row],[PAGU ANGGARAN]]</f>
        <v>-51226500</v>
      </c>
      <c r="X1121" t="s">
        <v>986</v>
      </c>
    </row>
    <row r="1122" spans="3:24" hidden="1">
      <c r="C1122" s="7" t="s">
        <v>35</v>
      </c>
      <c r="D1122" s="7" t="s">
        <v>65</v>
      </c>
      <c r="E1122" s="7" t="s">
        <v>66</v>
      </c>
      <c r="F1122" s="7" t="s">
        <v>93</v>
      </c>
      <c r="G1122" s="7" t="s">
        <v>309</v>
      </c>
      <c r="H1122" s="17">
        <v>430000000</v>
      </c>
      <c r="I1122" s="10" t="s">
        <v>842</v>
      </c>
      <c r="J1122" s="7" t="s">
        <v>843</v>
      </c>
      <c r="K1122" s="10" t="s">
        <v>196</v>
      </c>
      <c r="L1122" s="7" t="s">
        <v>197</v>
      </c>
      <c r="M1122" s="7"/>
      <c r="N1122" s="7">
        <f>VLOOKUP(J1122,[1]Sheet1!$C:$D,2,FALSE)</f>
        <v>8741</v>
      </c>
      <c r="O1122" s="7">
        <f>VLOOKUP(J1122,[2]Desa!$A:$D,4,FALSE)</f>
        <v>640</v>
      </c>
      <c r="P1122" s="7">
        <f>VLOOKUP(J1122,[3]Sheet1!$D:$F,3,FALSE)</f>
        <v>72</v>
      </c>
      <c r="Q1122" s="7"/>
      <c r="R1122" s="7"/>
      <c r="S1122" s="12">
        <v>-8.7744934248796298</v>
      </c>
      <c r="T1122" s="12">
        <v>116.04756175086899</v>
      </c>
      <c r="U1122" s="7"/>
      <c r="V1122" s="50">
        <f>Table13678[[#This Row],[PAGU SEMULA]]-Table13678[[#This Row],[PAGU ANGGARAN]]</f>
        <v>-430000000</v>
      </c>
      <c r="W1122" s="50">
        <f>Table13678[[#This Row],[PAGU SEMULA]]-Table13678[[#This Row],[PAGU ANGGARAN]]</f>
        <v>-430000000</v>
      </c>
      <c r="X1122" t="s">
        <v>986</v>
      </c>
    </row>
    <row r="1123" spans="3:24" hidden="1">
      <c r="C1123" s="7" t="s">
        <v>35</v>
      </c>
      <c r="D1123" s="7" t="s">
        <v>65</v>
      </c>
      <c r="E1123" s="7" t="s">
        <v>66</v>
      </c>
      <c r="F1123" s="7" t="s">
        <v>160</v>
      </c>
      <c r="G1123" s="7" t="s">
        <v>161</v>
      </c>
      <c r="H1123" s="15">
        <v>1885305700</v>
      </c>
      <c r="I1123" s="10" t="s">
        <v>842</v>
      </c>
      <c r="J1123" s="7" t="s">
        <v>843</v>
      </c>
      <c r="K1123" s="10" t="s">
        <v>196</v>
      </c>
      <c r="L1123" s="7" t="s">
        <v>197</v>
      </c>
      <c r="M1123" s="7"/>
      <c r="N1123" s="7">
        <f>VLOOKUP(J1123,[1]Sheet1!$C:$D,2,FALSE)</f>
        <v>8741</v>
      </c>
      <c r="O1123" s="7">
        <f>VLOOKUP(J1123,[2]Desa!$A:$D,4,FALSE)</f>
        <v>640</v>
      </c>
      <c r="P1123" s="7">
        <f>VLOOKUP(J1123,[3]Sheet1!$D:$F,3,FALSE)</f>
        <v>72</v>
      </c>
      <c r="Q1123" s="7"/>
      <c r="R1123" s="7"/>
      <c r="S1123" s="12">
        <v>-8.7744934248796298</v>
      </c>
      <c r="T1123" s="12">
        <v>116.04756175086899</v>
      </c>
      <c r="U1123" s="7"/>
      <c r="V1123" s="50">
        <f>Table13678[[#This Row],[PAGU SEMULA]]-Table13678[[#This Row],[PAGU ANGGARAN]]</f>
        <v>-1885305700</v>
      </c>
      <c r="W1123" s="50">
        <f>Table13678[[#This Row],[PAGU SEMULA]]-Table13678[[#This Row],[PAGU ANGGARAN]]</f>
        <v>-1885305700</v>
      </c>
      <c r="X1123" t="s">
        <v>986</v>
      </c>
    </row>
    <row r="1124" spans="3:24" hidden="1">
      <c r="C1124" s="7" t="s">
        <v>35</v>
      </c>
      <c r="D1124" s="7" t="s">
        <v>65</v>
      </c>
      <c r="E1124" s="7" t="s">
        <v>66</v>
      </c>
      <c r="F1124" s="7" t="s">
        <v>160</v>
      </c>
      <c r="G1124" s="7" t="s">
        <v>846</v>
      </c>
      <c r="H1124" s="15">
        <v>2166903750</v>
      </c>
      <c r="I1124" s="10" t="s">
        <v>842</v>
      </c>
      <c r="J1124" s="7" t="s">
        <v>843</v>
      </c>
      <c r="K1124" s="10" t="s">
        <v>196</v>
      </c>
      <c r="L1124" s="7" t="s">
        <v>197</v>
      </c>
      <c r="M1124" s="7"/>
      <c r="N1124" s="7">
        <f>VLOOKUP(J1124,[1]Sheet1!$C:$D,2,FALSE)</f>
        <v>8741</v>
      </c>
      <c r="O1124" s="7">
        <f>VLOOKUP(J1124,[2]Desa!$A:$D,4,FALSE)</f>
        <v>640</v>
      </c>
      <c r="P1124" s="7">
        <f>VLOOKUP(J1124,[3]Sheet1!$D:$F,3,FALSE)</f>
        <v>72</v>
      </c>
      <c r="Q1124" s="7"/>
      <c r="R1124" s="7"/>
      <c r="S1124" s="12">
        <v>-8.7744934248796298</v>
      </c>
      <c r="T1124" s="12">
        <v>116.04756175086899</v>
      </c>
      <c r="U1124" s="7"/>
      <c r="V1124" s="50">
        <f>Table13678[[#This Row],[PAGU SEMULA]]-Table13678[[#This Row],[PAGU ANGGARAN]]</f>
        <v>-2166903750</v>
      </c>
      <c r="W1124" s="50">
        <f>Table13678[[#This Row],[PAGU SEMULA]]-Table13678[[#This Row],[PAGU ANGGARAN]]</f>
        <v>-2166903750</v>
      </c>
      <c r="X1124" t="s">
        <v>986</v>
      </c>
    </row>
    <row r="1125" spans="3:24" hidden="1">
      <c r="C1125" s="7" t="s">
        <v>35</v>
      </c>
      <c r="D1125" s="7" t="s">
        <v>65</v>
      </c>
      <c r="E1125" s="7" t="s">
        <v>66</v>
      </c>
      <c r="F1125" s="7" t="s">
        <v>67</v>
      </c>
      <c r="G1125" s="7" t="s">
        <v>67</v>
      </c>
      <c r="H1125" s="15">
        <v>270000000</v>
      </c>
      <c r="I1125" s="10" t="s">
        <v>842</v>
      </c>
      <c r="J1125" s="7" t="s">
        <v>843</v>
      </c>
      <c r="K1125" s="10" t="s">
        <v>196</v>
      </c>
      <c r="L1125" s="7" t="s">
        <v>197</v>
      </c>
      <c r="M1125" s="7"/>
      <c r="N1125" s="7">
        <f>VLOOKUP(J1125,[1]Sheet1!$C:$D,2,FALSE)</f>
        <v>8741</v>
      </c>
      <c r="O1125" s="7">
        <f>VLOOKUP(J1125,[2]Desa!$A:$D,4,FALSE)</f>
        <v>640</v>
      </c>
      <c r="P1125" s="7">
        <f>VLOOKUP(J1125,[3]Sheet1!$D:$F,3,FALSE)</f>
        <v>72</v>
      </c>
      <c r="Q1125" s="7"/>
      <c r="R1125" s="7"/>
      <c r="S1125" s="12">
        <v>-8.7744934248796298</v>
      </c>
      <c r="T1125" s="12">
        <v>116.04756175086899</v>
      </c>
      <c r="U1125" s="7"/>
      <c r="V1125" s="50">
        <f>Table13678[[#This Row],[PAGU SEMULA]]-Table13678[[#This Row],[PAGU ANGGARAN]]</f>
        <v>-270000000</v>
      </c>
      <c r="W1125" s="50">
        <f>Table13678[[#This Row],[PAGU SEMULA]]-Table13678[[#This Row],[PAGU ANGGARAN]]</f>
        <v>-270000000</v>
      </c>
      <c r="X1125" t="s">
        <v>986</v>
      </c>
    </row>
    <row r="1126" spans="3:24" hidden="1">
      <c r="C1126" s="7" t="s">
        <v>35</v>
      </c>
      <c r="D1126" s="7" t="s">
        <v>52</v>
      </c>
      <c r="E1126" s="7" t="s">
        <v>95</v>
      </c>
      <c r="F1126" s="7" t="s">
        <v>96</v>
      </c>
      <c r="G1126" s="7" t="s">
        <v>41</v>
      </c>
      <c r="H1126" s="17">
        <v>193500000</v>
      </c>
      <c r="I1126" s="10" t="s">
        <v>842</v>
      </c>
      <c r="J1126" s="7" t="s">
        <v>843</v>
      </c>
      <c r="K1126" s="10" t="s">
        <v>196</v>
      </c>
      <c r="L1126" s="7" t="s">
        <v>197</v>
      </c>
      <c r="M1126" s="7"/>
      <c r="N1126" s="7">
        <f>VLOOKUP(J1126,[1]Sheet1!$C:$D,2,FALSE)</f>
        <v>8741</v>
      </c>
      <c r="O1126" s="7">
        <f>VLOOKUP(J1126,[2]Desa!$A:$D,4,FALSE)</f>
        <v>640</v>
      </c>
      <c r="P1126" s="7">
        <f>VLOOKUP(J1126,[3]Sheet1!$D:$F,3,FALSE)</f>
        <v>72</v>
      </c>
      <c r="Q1126" s="7"/>
      <c r="R1126" s="7"/>
      <c r="S1126" s="12">
        <v>-8.7744934248796298</v>
      </c>
      <c r="T1126" s="12">
        <v>116.04756175086899</v>
      </c>
      <c r="U1126" s="7"/>
      <c r="V1126" s="50">
        <f>Table13678[[#This Row],[PAGU SEMULA]]-Table13678[[#This Row],[PAGU ANGGARAN]]</f>
        <v>-193500000</v>
      </c>
      <c r="W1126" s="50">
        <f>Table13678[[#This Row],[PAGU SEMULA]]-Table13678[[#This Row],[PAGU ANGGARAN]]</f>
        <v>-193500000</v>
      </c>
      <c r="X1126" t="s">
        <v>986</v>
      </c>
    </row>
    <row r="1127" spans="3:24" hidden="1">
      <c r="C1127" s="7" t="s">
        <v>35</v>
      </c>
      <c r="D1127" s="7" t="s">
        <v>52</v>
      </c>
      <c r="E1127" s="7" t="s">
        <v>95</v>
      </c>
      <c r="F1127" s="7" t="s">
        <v>96</v>
      </c>
      <c r="G1127" s="7" t="s">
        <v>459</v>
      </c>
      <c r="H1127" s="17">
        <v>193500000</v>
      </c>
      <c r="I1127" s="10" t="s">
        <v>842</v>
      </c>
      <c r="J1127" s="7" t="s">
        <v>843</v>
      </c>
      <c r="K1127" s="10" t="s">
        <v>196</v>
      </c>
      <c r="L1127" s="7" t="s">
        <v>197</v>
      </c>
      <c r="M1127" s="7"/>
      <c r="N1127" s="7">
        <f>VLOOKUP(J1127,[1]Sheet1!$C:$D,2,FALSE)</f>
        <v>8741</v>
      </c>
      <c r="O1127" s="7">
        <f>VLOOKUP(J1127,[2]Desa!$A:$D,4,FALSE)</f>
        <v>640</v>
      </c>
      <c r="P1127" s="7">
        <f>VLOOKUP(J1127,[3]Sheet1!$D:$F,3,FALSE)</f>
        <v>72</v>
      </c>
      <c r="Q1127" s="7"/>
      <c r="R1127" s="7"/>
      <c r="S1127" s="12">
        <v>-8.7744934248796298</v>
      </c>
      <c r="T1127" s="12">
        <v>116.04756175086899</v>
      </c>
      <c r="U1127" s="7"/>
      <c r="V1127" s="50">
        <f>Table13678[[#This Row],[PAGU SEMULA]]-Table13678[[#This Row],[PAGU ANGGARAN]]</f>
        <v>-193500000</v>
      </c>
      <c r="W1127" s="50">
        <f>Table13678[[#This Row],[PAGU SEMULA]]-Table13678[[#This Row],[PAGU ANGGARAN]]</f>
        <v>-193500000</v>
      </c>
      <c r="X1127" t="s">
        <v>986</v>
      </c>
    </row>
    <row r="1128" spans="3:24" hidden="1">
      <c r="C1128" s="7" t="s">
        <v>35</v>
      </c>
      <c r="D1128" s="7" t="s">
        <v>52</v>
      </c>
      <c r="E1128" s="7" t="s">
        <v>95</v>
      </c>
      <c r="F1128" s="7" t="s">
        <v>96</v>
      </c>
      <c r="G1128" s="7" t="s">
        <v>117</v>
      </c>
      <c r="H1128" s="17">
        <v>120937500</v>
      </c>
      <c r="I1128" s="10" t="s">
        <v>842</v>
      </c>
      <c r="J1128" s="7" t="s">
        <v>843</v>
      </c>
      <c r="K1128" s="10" t="s">
        <v>196</v>
      </c>
      <c r="L1128" s="7" t="s">
        <v>197</v>
      </c>
      <c r="M1128" s="7"/>
      <c r="N1128" s="7">
        <f>VLOOKUP(J1128,[1]Sheet1!$C:$D,2,FALSE)</f>
        <v>8741</v>
      </c>
      <c r="O1128" s="7">
        <f>VLOOKUP(J1128,[2]Desa!$A:$D,4,FALSE)</f>
        <v>640</v>
      </c>
      <c r="P1128" s="7">
        <f>VLOOKUP(J1128,[3]Sheet1!$D:$F,3,FALSE)</f>
        <v>72</v>
      </c>
      <c r="Q1128" s="7"/>
      <c r="R1128" s="7"/>
      <c r="S1128" s="12">
        <v>-8.7744934248796298</v>
      </c>
      <c r="T1128" s="12">
        <v>116.04756175086899</v>
      </c>
      <c r="U1128" s="7"/>
      <c r="V1128" s="50">
        <f>Table13678[[#This Row],[PAGU SEMULA]]-Table13678[[#This Row],[PAGU ANGGARAN]]</f>
        <v>-120937500</v>
      </c>
      <c r="W1128" s="50">
        <f>Table13678[[#This Row],[PAGU SEMULA]]-Table13678[[#This Row],[PAGU ANGGARAN]]</f>
        <v>-120937500</v>
      </c>
      <c r="X1128" t="s">
        <v>986</v>
      </c>
    </row>
    <row r="1129" spans="3:24" hidden="1">
      <c r="C1129" s="7" t="s">
        <v>51</v>
      </c>
      <c r="D1129" s="7" t="s">
        <v>52</v>
      </c>
      <c r="E1129" s="7" t="s">
        <v>53</v>
      </c>
      <c r="F1129" s="7" t="s">
        <v>54</v>
      </c>
      <c r="G1129" s="7" t="s">
        <v>73</v>
      </c>
      <c r="H1129" s="8">
        <v>189090000</v>
      </c>
      <c r="I1129" s="10" t="s">
        <v>842</v>
      </c>
      <c r="J1129" s="7" t="s">
        <v>843</v>
      </c>
      <c r="K1129" s="10" t="s">
        <v>196</v>
      </c>
      <c r="L1129" s="7" t="s">
        <v>197</v>
      </c>
      <c r="M1129" s="7"/>
      <c r="N1129" s="7">
        <f>VLOOKUP(J1129,[1]Sheet1!$C:$D,2,FALSE)</f>
        <v>8741</v>
      </c>
      <c r="O1129" s="7">
        <f>VLOOKUP(J1129,[2]Desa!$A:$D,4,FALSE)</f>
        <v>640</v>
      </c>
      <c r="P1129" s="7">
        <f>VLOOKUP(J1129,[3]Sheet1!$D:$F,3,FALSE)</f>
        <v>72</v>
      </c>
      <c r="Q1129" s="7"/>
      <c r="R1129" s="7"/>
      <c r="S1129" s="12">
        <v>-8.7744934248796298</v>
      </c>
      <c r="T1129" s="12">
        <v>116.04756175086899</v>
      </c>
      <c r="U1129" s="7"/>
      <c r="V1129" s="50">
        <f>Table13678[[#This Row],[PAGU SEMULA]]-Table13678[[#This Row],[PAGU ANGGARAN]]</f>
        <v>-189090000</v>
      </c>
      <c r="W1129" s="50">
        <f>Table13678[[#This Row],[PAGU SEMULA]]-Table13678[[#This Row],[PAGU ANGGARAN]]</f>
        <v>-189090000</v>
      </c>
      <c r="X1129" t="s">
        <v>986</v>
      </c>
    </row>
    <row r="1130" spans="3:24" hidden="1">
      <c r="C1130" s="7" t="s">
        <v>51</v>
      </c>
      <c r="D1130" s="7" t="s">
        <v>52</v>
      </c>
      <c r="E1130" s="7" t="s">
        <v>53</v>
      </c>
      <c r="F1130" s="7" t="s">
        <v>54</v>
      </c>
      <c r="G1130" s="7" t="s">
        <v>73</v>
      </c>
      <c r="H1130" s="8">
        <v>189090000</v>
      </c>
      <c r="I1130" s="10" t="s">
        <v>842</v>
      </c>
      <c r="J1130" s="7" t="s">
        <v>843</v>
      </c>
      <c r="K1130" s="10" t="s">
        <v>196</v>
      </c>
      <c r="L1130" s="7" t="s">
        <v>197</v>
      </c>
      <c r="M1130" s="7"/>
      <c r="N1130" s="7">
        <f>VLOOKUP(J1130,[1]Sheet1!$C:$D,2,FALSE)</f>
        <v>8741</v>
      </c>
      <c r="O1130" s="7">
        <f>VLOOKUP(J1130,[2]Desa!$A:$D,4,FALSE)</f>
        <v>640</v>
      </c>
      <c r="P1130" s="7">
        <f>VLOOKUP(J1130,[3]Sheet1!$D:$F,3,FALSE)</f>
        <v>72</v>
      </c>
      <c r="Q1130" s="7"/>
      <c r="R1130" s="7"/>
      <c r="S1130" s="12">
        <v>-8.7744934248796298</v>
      </c>
      <c r="T1130" s="12">
        <v>116.04756175086899</v>
      </c>
      <c r="U1130" s="7"/>
      <c r="V1130" s="50">
        <f>Table13678[[#This Row],[PAGU SEMULA]]-Table13678[[#This Row],[PAGU ANGGARAN]]</f>
        <v>-189090000</v>
      </c>
      <c r="W1130" s="50">
        <f>Table13678[[#This Row],[PAGU SEMULA]]-Table13678[[#This Row],[PAGU ANGGARAN]]</f>
        <v>-189090000</v>
      </c>
      <c r="X1130" t="s">
        <v>986</v>
      </c>
    </row>
    <row r="1131" spans="3:24" hidden="1">
      <c r="C1131" s="7" t="s">
        <v>51</v>
      </c>
      <c r="D1131" s="7" t="s">
        <v>52</v>
      </c>
      <c r="E1131" s="7" t="s">
        <v>53</v>
      </c>
      <c r="F1131" s="7" t="s">
        <v>54</v>
      </c>
      <c r="G1131" s="7" t="s">
        <v>73</v>
      </c>
      <c r="H1131" s="8">
        <v>189090000</v>
      </c>
      <c r="I1131" s="10" t="s">
        <v>842</v>
      </c>
      <c r="J1131" s="7" t="s">
        <v>843</v>
      </c>
      <c r="K1131" s="10" t="s">
        <v>196</v>
      </c>
      <c r="L1131" s="7" t="s">
        <v>197</v>
      </c>
      <c r="M1131" s="7"/>
      <c r="N1131" s="7">
        <f>VLOOKUP(J1131,[1]Sheet1!$C:$D,2,FALSE)</f>
        <v>8741</v>
      </c>
      <c r="O1131" s="7">
        <f>VLOOKUP(J1131,[2]Desa!$A:$D,4,FALSE)</f>
        <v>640</v>
      </c>
      <c r="P1131" s="7">
        <f>VLOOKUP(J1131,[3]Sheet1!$D:$F,3,FALSE)</f>
        <v>72</v>
      </c>
      <c r="Q1131" s="7"/>
      <c r="R1131" s="7"/>
      <c r="S1131" s="12">
        <v>-8.7744934248796298</v>
      </c>
      <c r="T1131" s="12">
        <v>116.04756175086899</v>
      </c>
      <c r="U1131" s="7"/>
      <c r="V1131" s="50">
        <f>Table13678[[#This Row],[PAGU SEMULA]]-Table13678[[#This Row],[PAGU ANGGARAN]]</f>
        <v>-189090000</v>
      </c>
      <c r="W1131" s="50">
        <f>Table13678[[#This Row],[PAGU SEMULA]]-Table13678[[#This Row],[PAGU ANGGARAN]]</f>
        <v>-189090000</v>
      </c>
      <c r="X1131" t="s">
        <v>986</v>
      </c>
    </row>
    <row r="1132" spans="3:24" hidden="1">
      <c r="C1132" s="7" t="s">
        <v>51</v>
      </c>
      <c r="D1132" s="7" t="s">
        <v>52</v>
      </c>
      <c r="E1132" s="7" t="s">
        <v>53</v>
      </c>
      <c r="F1132" s="7" t="s">
        <v>54</v>
      </c>
      <c r="G1132" s="7" t="s">
        <v>73</v>
      </c>
      <c r="H1132" s="8">
        <v>189090000</v>
      </c>
      <c r="I1132" s="10" t="s">
        <v>842</v>
      </c>
      <c r="J1132" s="7" t="s">
        <v>843</v>
      </c>
      <c r="K1132" s="10" t="s">
        <v>196</v>
      </c>
      <c r="L1132" s="7" t="s">
        <v>197</v>
      </c>
      <c r="M1132" s="7"/>
      <c r="N1132" s="7">
        <f>VLOOKUP(J1132,[1]Sheet1!$C:$D,2,FALSE)</f>
        <v>8741</v>
      </c>
      <c r="O1132" s="7">
        <f>VLOOKUP(J1132,[2]Desa!$A:$D,4,FALSE)</f>
        <v>640</v>
      </c>
      <c r="P1132" s="7">
        <f>VLOOKUP(J1132,[3]Sheet1!$D:$F,3,FALSE)</f>
        <v>72</v>
      </c>
      <c r="Q1132" s="7"/>
      <c r="R1132" s="7"/>
      <c r="S1132" s="12">
        <v>-8.7744934248796298</v>
      </c>
      <c r="T1132" s="12">
        <v>116.04756175086899</v>
      </c>
      <c r="U1132" s="7"/>
      <c r="V1132" s="50">
        <f>Table13678[[#This Row],[PAGU SEMULA]]-Table13678[[#This Row],[PAGU ANGGARAN]]</f>
        <v>-189090000</v>
      </c>
      <c r="W1132" s="50">
        <f>Table13678[[#This Row],[PAGU SEMULA]]-Table13678[[#This Row],[PAGU ANGGARAN]]</f>
        <v>-189090000</v>
      </c>
      <c r="X1132" t="s">
        <v>986</v>
      </c>
    </row>
    <row r="1133" spans="3:24" hidden="1">
      <c r="C1133" s="7" t="s">
        <v>51</v>
      </c>
      <c r="D1133" s="7" t="s">
        <v>52</v>
      </c>
      <c r="E1133" s="7" t="s">
        <v>53</v>
      </c>
      <c r="F1133" s="7" t="s">
        <v>54</v>
      </c>
      <c r="G1133" s="7" t="s">
        <v>73</v>
      </c>
      <c r="H1133" s="8">
        <v>189090000</v>
      </c>
      <c r="I1133" s="10" t="s">
        <v>842</v>
      </c>
      <c r="J1133" s="7" t="s">
        <v>843</v>
      </c>
      <c r="K1133" s="10" t="s">
        <v>196</v>
      </c>
      <c r="L1133" s="7" t="s">
        <v>197</v>
      </c>
      <c r="M1133" s="7"/>
      <c r="N1133" s="7">
        <f>VLOOKUP(J1133,[1]Sheet1!$C:$D,2,FALSE)</f>
        <v>8741</v>
      </c>
      <c r="O1133" s="7">
        <f>VLOOKUP(J1133,[2]Desa!$A:$D,4,FALSE)</f>
        <v>640</v>
      </c>
      <c r="P1133" s="7">
        <f>VLOOKUP(J1133,[3]Sheet1!$D:$F,3,FALSE)</f>
        <v>72</v>
      </c>
      <c r="Q1133" s="7"/>
      <c r="R1133" s="7"/>
      <c r="S1133" s="12">
        <v>-8.7744934248796298</v>
      </c>
      <c r="T1133" s="12">
        <v>116.04756175086899</v>
      </c>
      <c r="U1133" s="7"/>
      <c r="V1133" s="50">
        <f>Table13678[[#This Row],[PAGU SEMULA]]-Table13678[[#This Row],[PAGU ANGGARAN]]</f>
        <v>-189090000</v>
      </c>
      <c r="W1133" s="50">
        <f>Table13678[[#This Row],[PAGU SEMULA]]-Table13678[[#This Row],[PAGU ANGGARAN]]</f>
        <v>-189090000</v>
      </c>
      <c r="X1133" t="s">
        <v>986</v>
      </c>
    </row>
    <row r="1134" spans="3:24" hidden="1">
      <c r="C1134" s="7" t="s">
        <v>51</v>
      </c>
      <c r="D1134" s="7" t="s">
        <v>52</v>
      </c>
      <c r="E1134" s="7" t="s">
        <v>53</v>
      </c>
      <c r="F1134" s="7" t="s">
        <v>54</v>
      </c>
      <c r="G1134" s="7" t="s">
        <v>73</v>
      </c>
      <c r="H1134" s="8">
        <v>189090000</v>
      </c>
      <c r="I1134" s="10" t="s">
        <v>842</v>
      </c>
      <c r="J1134" s="7" t="s">
        <v>843</v>
      </c>
      <c r="K1134" s="10" t="s">
        <v>196</v>
      </c>
      <c r="L1134" s="7" t="s">
        <v>197</v>
      </c>
      <c r="M1134" s="7"/>
      <c r="N1134" s="7">
        <f>VLOOKUP(J1134,[1]Sheet1!$C:$D,2,FALSE)</f>
        <v>8741</v>
      </c>
      <c r="O1134" s="7">
        <f>VLOOKUP(J1134,[2]Desa!$A:$D,4,FALSE)</f>
        <v>640</v>
      </c>
      <c r="P1134" s="7">
        <f>VLOOKUP(J1134,[3]Sheet1!$D:$F,3,FALSE)</f>
        <v>72</v>
      </c>
      <c r="Q1134" s="7"/>
      <c r="R1134" s="7"/>
      <c r="S1134" s="12">
        <v>-8.7744934248796298</v>
      </c>
      <c r="T1134" s="12">
        <v>116.04756175086899</v>
      </c>
      <c r="U1134" s="7"/>
      <c r="V1134" s="50">
        <f>Table13678[[#This Row],[PAGU SEMULA]]-Table13678[[#This Row],[PAGU ANGGARAN]]</f>
        <v>-189090000</v>
      </c>
      <c r="W1134" s="50">
        <f>Table13678[[#This Row],[PAGU SEMULA]]-Table13678[[#This Row],[PAGU ANGGARAN]]</f>
        <v>-189090000</v>
      </c>
      <c r="X1134" t="s">
        <v>986</v>
      </c>
    </row>
    <row r="1135" spans="3:24" hidden="1">
      <c r="C1135" s="7" t="s">
        <v>51</v>
      </c>
      <c r="D1135" s="7" t="s">
        <v>52</v>
      </c>
      <c r="E1135" s="7" t="s">
        <v>53</v>
      </c>
      <c r="F1135" s="7" t="s">
        <v>54</v>
      </c>
      <c r="G1135" s="7" t="s">
        <v>73</v>
      </c>
      <c r="H1135" s="8">
        <v>189090000</v>
      </c>
      <c r="I1135" s="10" t="s">
        <v>842</v>
      </c>
      <c r="J1135" s="7" t="s">
        <v>843</v>
      </c>
      <c r="K1135" s="10" t="s">
        <v>196</v>
      </c>
      <c r="L1135" s="7" t="s">
        <v>197</v>
      </c>
      <c r="M1135" s="7"/>
      <c r="N1135" s="7">
        <f>VLOOKUP(J1135,[1]Sheet1!$C:$D,2,FALSE)</f>
        <v>8741</v>
      </c>
      <c r="O1135" s="7">
        <f>VLOOKUP(J1135,[2]Desa!$A:$D,4,FALSE)</f>
        <v>640</v>
      </c>
      <c r="P1135" s="7">
        <f>VLOOKUP(J1135,[3]Sheet1!$D:$F,3,FALSE)</f>
        <v>72</v>
      </c>
      <c r="Q1135" s="7"/>
      <c r="R1135" s="7"/>
      <c r="S1135" s="12">
        <v>-8.7744934248796298</v>
      </c>
      <c r="T1135" s="12">
        <v>116.04756175086899</v>
      </c>
      <c r="U1135" s="7"/>
      <c r="V1135" s="50">
        <f>Table13678[[#This Row],[PAGU SEMULA]]-Table13678[[#This Row],[PAGU ANGGARAN]]</f>
        <v>-189090000</v>
      </c>
      <c r="W1135" s="50">
        <f>Table13678[[#This Row],[PAGU SEMULA]]-Table13678[[#This Row],[PAGU ANGGARAN]]</f>
        <v>-189090000</v>
      </c>
      <c r="X1135" t="s">
        <v>986</v>
      </c>
    </row>
    <row r="1136" spans="3:24" hidden="1">
      <c r="C1136" s="7" t="s">
        <v>51</v>
      </c>
      <c r="D1136" s="7" t="s">
        <v>52</v>
      </c>
      <c r="E1136" s="7" t="s">
        <v>53</v>
      </c>
      <c r="F1136" s="7" t="s">
        <v>54</v>
      </c>
      <c r="G1136" s="7" t="s">
        <v>73</v>
      </c>
      <c r="H1136" s="8">
        <v>189090000</v>
      </c>
      <c r="I1136" s="10" t="s">
        <v>842</v>
      </c>
      <c r="J1136" s="7" t="s">
        <v>843</v>
      </c>
      <c r="K1136" s="10" t="s">
        <v>196</v>
      </c>
      <c r="L1136" s="7" t="s">
        <v>197</v>
      </c>
      <c r="M1136" s="7"/>
      <c r="N1136" s="7">
        <f>VLOOKUP(J1136,[1]Sheet1!$C:$D,2,FALSE)</f>
        <v>8741</v>
      </c>
      <c r="O1136" s="7">
        <f>VLOOKUP(J1136,[2]Desa!$A:$D,4,FALSE)</f>
        <v>640</v>
      </c>
      <c r="P1136" s="7">
        <f>VLOOKUP(J1136,[3]Sheet1!$D:$F,3,FALSE)</f>
        <v>72</v>
      </c>
      <c r="Q1136" s="7"/>
      <c r="R1136" s="7"/>
      <c r="S1136" s="12">
        <v>-8.7744934248796298</v>
      </c>
      <c r="T1136" s="12">
        <v>116.04756175086899</v>
      </c>
      <c r="U1136" s="7"/>
      <c r="V1136" s="50">
        <f>Table13678[[#This Row],[PAGU SEMULA]]-Table13678[[#This Row],[PAGU ANGGARAN]]</f>
        <v>-189090000</v>
      </c>
      <c r="W1136" s="50">
        <f>Table13678[[#This Row],[PAGU SEMULA]]-Table13678[[#This Row],[PAGU ANGGARAN]]</f>
        <v>-189090000</v>
      </c>
      <c r="X1136" t="s">
        <v>986</v>
      </c>
    </row>
    <row r="1137" spans="3:24" hidden="1">
      <c r="C1137" s="7" t="s">
        <v>51</v>
      </c>
      <c r="D1137" s="7" t="s">
        <v>52</v>
      </c>
      <c r="E1137" s="7" t="s">
        <v>53</v>
      </c>
      <c r="F1137" s="7" t="s">
        <v>54</v>
      </c>
      <c r="G1137" s="7" t="s">
        <v>73</v>
      </c>
      <c r="H1137" s="8">
        <v>189090000</v>
      </c>
      <c r="I1137" s="10" t="s">
        <v>842</v>
      </c>
      <c r="J1137" s="7" t="s">
        <v>843</v>
      </c>
      <c r="K1137" s="10" t="s">
        <v>196</v>
      </c>
      <c r="L1137" s="7" t="s">
        <v>197</v>
      </c>
      <c r="M1137" s="7"/>
      <c r="N1137" s="7">
        <f>VLOOKUP(J1137,[1]Sheet1!$C:$D,2,FALSE)</f>
        <v>8741</v>
      </c>
      <c r="O1137" s="7">
        <f>VLOOKUP(J1137,[2]Desa!$A:$D,4,FALSE)</f>
        <v>640</v>
      </c>
      <c r="P1137" s="7">
        <f>VLOOKUP(J1137,[3]Sheet1!$D:$F,3,FALSE)</f>
        <v>72</v>
      </c>
      <c r="Q1137" s="7"/>
      <c r="R1137" s="7"/>
      <c r="S1137" s="12">
        <v>-8.7744934248796298</v>
      </c>
      <c r="T1137" s="12">
        <v>116.04756175086899</v>
      </c>
      <c r="U1137" s="7"/>
      <c r="V1137" s="50">
        <f>Table13678[[#This Row],[PAGU SEMULA]]-Table13678[[#This Row],[PAGU ANGGARAN]]</f>
        <v>-189090000</v>
      </c>
      <c r="W1137" s="50">
        <f>Table13678[[#This Row],[PAGU SEMULA]]-Table13678[[#This Row],[PAGU ANGGARAN]]</f>
        <v>-189090000</v>
      </c>
      <c r="X1137" t="s">
        <v>986</v>
      </c>
    </row>
    <row r="1138" spans="3:24" hidden="1">
      <c r="C1138" s="7" t="s">
        <v>51</v>
      </c>
      <c r="D1138" s="7" t="s">
        <v>52</v>
      </c>
      <c r="E1138" s="7" t="s">
        <v>53</v>
      </c>
      <c r="F1138" s="7" t="s">
        <v>54</v>
      </c>
      <c r="G1138" s="7" t="s">
        <v>73</v>
      </c>
      <c r="H1138" s="8">
        <v>189090000</v>
      </c>
      <c r="I1138" s="10" t="s">
        <v>842</v>
      </c>
      <c r="J1138" s="7" t="s">
        <v>843</v>
      </c>
      <c r="K1138" s="10" t="s">
        <v>196</v>
      </c>
      <c r="L1138" s="7" t="s">
        <v>197</v>
      </c>
      <c r="M1138" s="7"/>
      <c r="N1138" s="7">
        <f>VLOOKUP(J1138,[1]Sheet1!$C:$D,2,FALSE)</f>
        <v>8741</v>
      </c>
      <c r="O1138" s="7">
        <f>VLOOKUP(J1138,[2]Desa!$A:$D,4,FALSE)</f>
        <v>640</v>
      </c>
      <c r="P1138" s="7">
        <f>VLOOKUP(J1138,[3]Sheet1!$D:$F,3,FALSE)</f>
        <v>72</v>
      </c>
      <c r="Q1138" s="7"/>
      <c r="R1138" s="7"/>
      <c r="S1138" s="12">
        <v>-8.7744934248796298</v>
      </c>
      <c r="T1138" s="12">
        <v>116.04756175086899</v>
      </c>
      <c r="U1138" s="7"/>
      <c r="V1138" s="50">
        <f>Table13678[[#This Row],[PAGU SEMULA]]-Table13678[[#This Row],[PAGU ANGGARAN]]</f>
        <v>-189090000</v>
      </c>
      <c r="W1138" s="50">
        <f>Table13678[[#This Row],[PAGU SEMULA]]-Table13678[[#This Row],[PAGU ANGGARAN]]</f>
        <v>-189090000</v>
      </c>
      <c r="X1138" t="s">
        <v>986</v>
      </c>
    </row>
    <row r="1139" spans="3:24" hidden="1">
      <c r="C1139" s="7" t="s">
        <v>51</v>
      </c>
      <c r="D1139" s="7" t="s">
        <v>52</v>
      </c>
      <c r="E1139" s="7" t="s">
        <v>53</v>
      </c>
      <c r="F1139" s="7" t="s">
        <v>54</v>
      </c>
      <c r="G1139" s="7" t="s">
        <v>73</v>
      </c>
      <c r="H1139" s="8">
        <v>189090000</v>
      </c>
      <c r="I1139" s="10" t="s">
        <v>842</v>
      </c>
      <c r="J1139" s="7" t="s">
        <v>843</v>
      </c>
      <c r="K1139" s="10" t="s">
        <v>196</v>
      </c>
      <c r="L1139" s="7" t="s">
        <v>197</v>
      </c>
      <c r="M1139" s="7"/>
      <c r="N1139" s="7">
        <f>VLOOKUP(J1139,[1]Sheet1!$C:$D,2,FALSE)</f>
        <v>8741</v>
      </c>
      <c r="O1139" s="7">
        <f>VLOOKUP(J1139,[2]Desa!$A:$D,4,FALSE)</f>
        <v>640</v>
      </c>
      <c r="P1139" s="7">
        <f>VLOOKUP(J1139,[3]Sheet1!$D:$F,3,FALSE)</f>
        <v>72</v>
      </c>
      <c r="Q1139" s="7"/>
      <c r="R1139" s="7"/>
      <c r="S1139" s="12">
        <v>-8.7744934248796298</v>
      </c>
      <c r="T1139" s="12">
        <v>116.04756175086899</v>
      </c>
      <c r="U1139" s="7"/>
      <c r="V1139" s="50">
        <f>Table13678[[#This Row],[PAGU SEMULA]]-Table13678[[#This Row],[PAGU ANGGARAN]]</f>
        <v>-189090000</v>
      </c>
      <c r="W1139" s="50">
        <f>Table13678[[#This Row],[PAGU SEMULA]]-Table13678[[#This Row],[PAGU ANGGARAN]]</f>
        <v>-189090000</v>
      </c>
      <c r="X1139" t="s">
        <v>986</v>
      </c>
    </row>
    <row r="1140" spans="3:24" hidden="1">
      <c r="C1140" s="7" t="s">
        <v>51</v>
      </c>
      <c r="D1140" s="7" t="s">
        <v>52</v>
      </c>
      <c r="E1140" s="7" t="s">
        <v>53</v>
      </c>
      <c r="F1140" s="7" t="s">
        <v>54</v>
      </c>
      <c r="G1140" s="7" t="s">
        <v>73</v>
      </c>
      <c r="H1140" s="8">
        <v>189090000</v>
      </c>
      <c r="I1140" s="10" t="s">
        <v>842</v>
      </c>
      <c r="J1140" s="7" t="s">
        <v>843</v>
      </c>
      <c r="K1140" s="10" t="s">
        <v>196</v>
      </c>
      <c r="L1140" s="7" t="s">
        <v>197</v>
      </c>
      <c r="M1140" s="7"/>
      <c r="N1140" s="7">
        <f>VLOOKUP(J1140,[1]Sheet1!$C:$D,2,FALSE)</f>
        <v>8741</v>
      </c>
      <c r="O1140" s="7">
        <f>VLOOKUP(J1140,[2]Desa!$A:$D,4,FALSE)</f>
        <v>640</v>
      </c>
      <c r="P1140" s="7">
        <f>VLOOKUP(J1140,[3]Sheet1!$D:$F,3,FALSE)</f>
        <v>72</v>
      </c>
      <c r="Q1140" s="7"/>
      <c r="R1140" s="7"/>
      <c r="S1140" s="12">
        <v>-8.7744934248796298</v>
      </c>
      <c r="T1140" s="12">
        <v>116.04756175086899</v>
      </c>
      <c r="U1140" s="7"/>
      <c r="V1140" s="50">
        <f>Table13678[[#This Row],[PAGU SEMULA]]-Table13678[[#This Row],[PAGU ANGGARAN]]</f>
        <v>-189090000</v>
      </c>
      <c r="W1140" s="50">
        <f>Table13678[[#This Row],[PAGU SEMULA]]-Table13678[[#This Row],[PAGU ANGGARAN]]</f>
        <v>-189090000</v>
      </c>
      <c r="X1140" t="s">
        <v>986</v>
      </c>
    </row>
    <row r="1141" spans="3:24" hidden="1">
      <c r="C1141" s="7" t="s">
        <v>51</v>
      </c>
      <c r="D1141" s="7" t="s">
        <v>52</v>
      </c>
      <c r="E1141" s="7" t="s">
        <v>53</v>
      </c>
      <c r="F1141" s="7" t="s">
        <v>54</v>
      </c>
      <c r="G1141" s="7" t="s">
        <v>73</v>
      </c>
      <c r="H1141" s="8">
        <v>189090000</v>
      </c>
      <c r="I1141" s="10" t="s">
        <v>842</v>
      </c>
      <c r="J1141" s="7" t="s">
        <v>843</v>
      </c>
      <c r="K1141" s="10" t="s">
        <v>196</v>
      </c>
      <c r="L1141" s="7" t="s">
        <v>197</v>
      </c>
      <c r="M1141" s="7"/>
      <c r="N1141" s="7">
        <f>VLOOKUP(J1141,[1]Sheet1!$C:$D,2,FALSE)</f>
        <v>8741</v>
      </c>
      <c r="O1141" s="7">
        <f>VLOOKUP(J1141,[2]Desa!$A:$D,4,FALSE)</f>
        <v>640</v>
      </c>
      <c r="P1141" s="7">
        <f>VLOOKUP(J1141,[3]Sheet1!$D:$F,3,FALSE)</f>
        <v>72</v>
      </c>
      <c r="Q1141" s="7"/>
      <c r="R1141" s="7"/>
      <c r="S1141" s="12">
        <v>-8.7744934248796298</v>
      </c>
      <c r="T1141" s="12">
        <v>116.04756175086899</v>
      </c>
      <c r="U1141" s="7"/>
      <c r="V1141" s="50">
        <f>Table13678[[#This Row],[PAGU SEMULA]]-Table13678[[#This Row],[PAGU ANGGARAN]]</f>
        <v>-189090000</v>
      </c>
      <c r="W1141" s="50">
        <f>Table13678[[#This Row],[PAGU SEMULA]]-Table13678[[#This Row],[PAGU ANGGARAN]]</f>
        <v>-189090000</v>
      </c>
      <c r="X1141" t="s">
        <v>986</v>
      </c>
    </row>
    <row r="1142" spans="3:24" hidden="1">
      <c r="C1142" s="7" t="s">
        <v>29</v>
      </c>
      <c r="D1142" s="7" t="s">
        <v>30</v>
      </c>
      <c r="E1142" s="7" t="s">
        <v>31</v>
      </c>
      <c r="F1142" s="7" t="s">
        <v>32</v>
      </c>
      <c r="G1142" s="7" t="s">
        <v>33</v>
      </c>
      <c r="H1142" s="8">
        <v>370860000</v>
      </c>
      <c r="I1142" s="10" t="s">
        <v>847</v>
      </c>
      <c r="J1142" s="7" t="s">
        <v>848</v>
      </c>
      <c r="K1142" s="10" t="s">
        <v>414</v>
      </c>
      <c r="L1142" s="7" t="s">
        <v>415</v>
      </c>
      <c r="M1142" s="7"/>
      <c r="N1142" s="7">
        <f>VLOOKUP(J1142,[1]Sheet1!$C:$D,2,FALSE)</f>
        <v>4991</v>
      </c>
      <c r="O1142" s="7">
        <f>VLOOKUP(J1142,[2]Desa!$A:$D,4,FALSE)</f>
        <v>411</v>
      </c>
      <c r="P1142" s="7">
        <f>VLOOKUP(J1142,[3]Sheet1!$D:$F,3,FALSE)</f>
        <v>12</v>
      </c>
      <c r="Q1142" s="7"/>
      <c r="R1142" s="7"/>
      <c r="S1142" s="12">
        <v>-8.7556404087141999</v>
      </c>
      <c r="T1142" s="12">
        <v>116.084925035502</v>
      </c>
      <c r="U1142" s="7"/>
      <c r="V1142" s="50">
        <f>Table13678[[#This Row],[PAGU SEMULA]]-Table13678[[#This Row],[PAGU ANGGARAN]]</f>
        <v>-370860000</v>
      </c>
      <c r="W1142" s="50">
        <f>Table13678[[#This Row],[PAGU SEMULA]]-Table13678[[#This Row],[PAGU ANGGARAN]]</f>
        <v>-370860000</v>
      </c>
      <c r="X1142" t="s">
        <v>984</v>
      </c>
    </row>
    <row r="1143" spans="3:24" hidden="1">
      <c r="C1143" s="7" t="s">
        <v>29</v>
      </c>
      <c r="D1143" s="7" t="s">
        <v>30</v>
      </c>
      <c r="E1143" s="7" t="s">
        <v>31</v>
      </c>
      <c r="F1143" s="7" t="s">
        <v>32</v>
      </c>
      <c r="G1143" s="7" t="s">
        <v>34</v>
      </c>
      <c r="H1143" s="8">
        <v>29668800</v>
      </c>
      <c r="I1143" s="10" t="s">
        <v>847</v>
      </c>
      <c r="J1143" s="7" t="s">
        <v>848</v>
      </c>
      <c r="K1143" s="10" t="s">
        <v>414</v>
      </c>
      <c r="L1143" s="7" t="s">
        <v>415</v>
      </c>
      <c r="M1143" s="7"/>
      <c r="N1143" s="7">
        <f>VLOOKUP(J1143,[1]Sheet1!$C:$D,2,FALSE)</f>
        <v>4991</v>
      </c>
      <c r="O1143" s="7">
        <f>VLOOKUP(J1143,[2]Desa!$A:$D,4,FALSE)</f>
        <v>411</v>
      </c>
      <c r="P1143" s="7">
        <f>VLOOKUP(J1143,[3]Sheet1!$D:$F,3,FALSE)</f>
        <v>12</v>
      </c>
      <c r="Q1143" s="7"/>
      <c r="R1143" s="7"/>
      <c r="S1143" s="12">
        <v>-8.7556404087141999</v>
      </c>
      <c r="T1143" s="12">
        <v>116.084925035502</v>
      </c>
      <c r="U1143" s="7"/>
      <c r="V1143" s="50">
        <f>Table13678[[#This Row],[PAGU SEMULA]]-Table13678[[#This Row],[PAGU ANGGARAN]]</f>
        <v>-29668800</v>
      </c>
      <c r="W1143" s="50">
        <f>Table13678[[#This Row],[PAGU SEMULA]]-Table13678[[#This Row],[PAGU ANGGARAN]]</f>
        <v>-29668800</v>
      </c>
      <c r="X1143" t="s">
        <v>984</v>
      </c>
    </row>
    <row r="1144" spans="3:24" hidden="1">
      <c r="C1144" s="7" t="s">
        <v>35</v>
      </c>
      <c r="D1144" s="7" t="s">
        <v>36</v>
      </c>
      <c r="E1144" s="7" t="s">
        <v>37</v>
      </c>
      <c r="F1144" s="7" t="s">
        <v>38</v>
      </c>
      <c r="G1144" s="7" t="s">
        <v>39</v>
      </c>
      <c r="H1144" s="15">
        <v>105000000</v>
      </c>
      <c r="I1144" s="10" t="s">
        <v>847</v>
      </c>
      <c r="J1144" s="7" t="s">
        <v>848</v>
      </c>
      <c r="K1144" s="10" t="s">
        <v>414</v>
      </c>
      <c r="L1144" s="7" t="s">
        <v>415</v>
      </c>
      <c r="M1144" s="7"/>
      <c r="N1144" s="7">
        <f>VLOOKUP(J1144,[1]Sheet1!$C:$D,2,FALSE)</f>
        <v>4991</v>
      </c>
      <c r="O1144" s="7">
        <f>VLOOKUP(J1144,[2]Desa!$A:$D,4,FALSE)</f>
        <v>411</v>
      </c>
      <c r="P1144" s="7">
        <f>VLOOKUP(J1144,[3]Sheet1!$D:$F,3,FALSE)</f>
        <v>12</v>
      </c>
      <c r="Q1144" s="7"/>
      <c r="R1144" s="7"/>
      <c r="S1144" s="12">
        <v>-8.7556404087141999</v>
      </c>
      <c r="T1144" s="12">
        <v>116.084925035502</v>
      </c>
      <c r="U1144" s="7"/>
      <c r="V1144" s="50">
        <f>Table13678[[#This Row],[PAGU SEMULA]]-Table13678[[#This Row],[PAGU ANGGARAN]]</f>
        <v>-105000000</v>
      </c>
      <c r="W1144" s="50">
        <f>Table13678[[#This Row],[PAGU SEMULA]]-Table13678[[#This Row],[PAGU ANGGARAN]]</f>
        <v>-105000000</v>
      </c>
      <c r="X1144" t="s">
        <v>984</v>
      </c>
    </row>
    <row r="1145" spans="3:24" hidden="1">
      <c r="C1145" s="7" t="s">
        <v>35</v>
      </c>
      <c r="D1145" s="7" t="s">
        <v>156</v>
      </c>
      <c r="E1145" s="7" t="s">
        <v>157</v>
      </c>
      <c r="F1145" s="7" t="s">
        <v>158</v>
      </c>
      <c r="G1145" s="7" t="s">
        <v>737</v>
      </c>
      <c r="H1145" s="15">
        <v>0</v>
      </c>
      <c r="I1145" s="10" t="s">
        <v>847</v>
      </c>
      <c r="J1145" s="7" t="s">
        <v>848</v>
      </c>
      <c r="K1145" s="10" t="s">
        <v>414</v>
      </c>
      <c r="L1145" s="7" t="s">
        <v>415</v>
      </c>
      <c r="M1145" s="7"/>
      <c r="N1145" s="7">
        <f>VLOOKUP(J1145,[1]Sheet1!$C:$D,2,FALSE)</f>
        <v>4991</v>
      </c>
      <c r="O1145" s="7">
        <f>VLOOKUP(J1145,[2]Desa!$A:$D,4,FALSE)</f>
        <v>411</v>
      </c>
      <c r="P1145" s="7">
        <f>VLOOKUP(J1145,[3]Sheet1!$D:$F,3,FALSE)</f>
        <v>12</v>
      </c>
      <c r="Q1145" s="7"/>
      <c r="R1145" s="7"/>
      <c r="S1145" s="12">
        <v>-8.7556404087141999</v>
      </c>
      <c r="T1145" s="12">
        <v>116.084925035502</v>
      </c>
      <c r="U1145" s="7"/>
      <c r="V1145" s="50">
        <f>Table13678[[#This Row],[PAGU SEMULA]]-Table13678[[#This Row],[PAGU ANGGARAN]]</f>
        <v>0</v>
      </c>
      <c r="W1145" s="50">
        <f>Table13678[[#This Row],[PAGU SEMULA]]-Table13678[[#This Row],[PAGU ANGGARAN]]</f>
        <v>0</v>
      </c>
      <c r="X1145" t="s">
        <v>986</v>
      </c>
    </row>
    <row r="1146" spans="3:24" hidden="1">
      <c r="C1146" s="7" t="s">
        <v>35</v>
      </c>
      <c r="D1146" s="7" t="s">
        <v>65</v>
      </c>
      <c r="E1146" s="7" t="s">
        <v>66</v>
      </c>
      <c r="F1146" s="7" t="s">
        <v>160</v>
      </c>
      <c r="G1146" s="7" t="s">
        <v>340</v>
      </c>
      <c r="H1146" s="15">
        <v>7750696563</v>
      </c>
      <c r="I1146" s="10" t="s">
        <v>847</v>
      </c>
      <c r="J1146" s="7" t="s">
        <v>848</v>
      </c>
      <c r="K1146" s="10" t="s">
        <v>414</v>
      </c>
      <c r="L1146" s="7" t="s">
        <v>415</v>
      </c>
      <c r="M1146" s="7"/>
      <c r="N1146" s="7">
        <f>VLOOKUP(J1146,[1]Sheet1!$C:$D,2,FALSE)</f>
        <v>4991</v>
      </c>
      <c r="O1146" s="7">
        <f>VLOOKUP(J1146,[2]Desa!$A:$D,4,FALSE)</f>
        <v>411</v>
      </c>
      <c r="P1146" s="7">
        <f>VLOOKUP(J1146,[3]Sheet1!$D:$F,3,FALSE)</f>
        <v>12</v>
      </c>
      <c r="Q1146" s="7"/>
      <c r="R1146" s="7"/>
      <c r="S1146" s="12">
        <v>-8.7556404087141999</v>
      </c>
      <c r="T1146" s="12">
        <v>116.084925035502</v>
      </c>
      <c r="U1146" s="7"/>
      <c r="V1146" s="50">
        <f>Table13678[[#This Row],[PAGU SEMULA]]-Table13678[[#This Row],[PAGU ANGGARAN]]</f>
        <v>-7750696563</v>
      </c>
      <c r="W1146" s="50">
        <f>Table13678[[#This Row],[PAGU SEMULA]]-Table13678[[#This Row],[PAGU ANGGARAN]]</f>
        <v>-7750696563</v>
      </c>
      <c r="X1146" t="s">
        <v>986</v>
      </c>
    </row>
    <row r="1147" spans="3:24" hidden="1">
      <c r="C1147" s="7" t="s">
        <v>46</v>
      </c>
      <c r="D1147" s="7" t="s">
        <v>47</v>
      </c>
      <c r="E1147" s="7" t="s">
        <v>48</v>
      </c>
      <c r="F1147" s="7" t="s">
        <v>282</v>
      </c>
      <c r="G1147" s="7" t="s">
        <v>283</v>
      </c>
      <c r="H1147" s="8">
        <v>49500000</v>
      </c>
      <c r="I1147" s="10" t="s">
        <v>847</v>
      </c>
      <c r="J1147" s="7" t="s">
        <v>848</v>
      </c>
      <c r="K1147" s="10" t="s">
        <v>414</v>
      </c>
      <c r="L1147" s="7" t="s">
        <v>415</v>
      </c>
      <c r="M1147" s="7"/>
      <c r="N1147" s="7">
        <f>VLOOKUP(J1147,[1]Sheet1!$C:$D,2,FALSE)</f>
        <v>4991</v>
      </c>
      <c r="O1147" s="7">
        <f>VLOOKUP(J1147,[2]Desa!$A:$D,4,FALSE)</f>
        <v>411</v>
      </c>
      <c r="P1147" s="7">
        <f>VLOOKUP(J1147,[3]Sheet1!$D:$F,3,FALSE)</f>
        <v>12</v>
      </c>
      <c r="Q1147" s="7"/>
      <c r="R1147" s="7"/>
      <c r="S1147" s="12">
        <v>-8.7556404087141999</v>
      </c>
      <c r="T1147" s="12">
        <v>116.084925035502</v>
      </c>
      <c r="U1147" s="7"/>
      <c r="V1147" s="50">
        <f>Table13678[[#This Row],[PAGU SEMULA]]-Table13678[[#This Row],[PAGU ANGGARAN]]</f>
        <v>-49500000</v>
      </c>
      <c r="W1147" s="50">
        <f>Table13678[[#This Row],[PAGU SEMULA]]-Table13678[[#This Row],[PAGU ANGGARAN]]</f>
        <v>-49500000</v>
      </c>
      <c r="X1147" t="s">
        <v>987</v>
      </c>
    </row>
    <row r="1148" spans="3:24" hidden="1">
      <c r="C1148" s="7" t="s">
        <v>20</v>
      </c>
      <c r="D1148" s="7" t="s">
        <v>104</v>
      </c>
      <c r="E1148" s="7" t="s">
        <v>105</v>
      </c>
      <c r="F1148" s="7" t="s">
        <v>126</v>
      </c>
      <c r="G1148" s="71" t="s">
        <v>849</v>
      </c>
      <c r="H1148" s="15">
        <v>372330000</v>
      </c>
      <c r="I1148" s="10" t="s">
        <v>850</v>
      </c>
      <c r="J1148" s="7" t="s">
        <v>851</v>
      </c>
      <c r="K1148" s="10" t="s">
        <v>58</v>
      </c>
      <c r="L1148" s="7" t="s">
        <v>59</v>
      </c>
      <c r="M1148" s="7"/>
      <c r="N1148" s="7">
        <f>VLOOKUP(J1148,[1]Sheet1!$C:$D,2,FALSE)</f>
        <v>7065</v>
      </c>
      <c r="O1148" s="7">
        <f>VLOOKUP(J1148,[2]Desa!$A:$D,4,FALSE)</f>
        <v>220</v>
      </c>
      <c r="P1148" s="7">
        <f>VLOOKUP(J1148,[3]Sheet1!$D:$F,3,FALSE)</f>
        <v>46</v>
      </c>
      <c r="Q1148" s="7"/>
      <c r="R1148" s="7"/>
      <c r="S1148" s="12">
        <v>-8.5820618650374207</v>
      </c>
      <c r="T1148" s="12">
        <v>116.20779096436</v>
      </c>
      <c r="U1148" s="7"/>
      <c r="V1148" s="50">
        <f>Table13678[[#This Row],[PAGU SEMULA]]-Table13678[[#This Row],[PAGU ANGGARAN]]</f>
        <v>-372330000</v>
      </c>
      <c r="W1148" s="50">
        <f>Table13678[[#This Row],[PAGU SEMULA]]-Table13678[[#This Row],[PAGU ANGGARAN]]</f>
        <v>-372330000</v>
      </c>
      <c r="X1148" t="s">
        <v>984</v>
      </c>
    </row>
    <row r="1149" spans="3:24" hidden="1">
      <c r="C1149" s="7" t="s">
        <v>29</v>
      </c>
      <c r="D1149" s="7" t="s">
        <v>30</v>
      </c>
      <c r="E1149" s="7" t="s">
        <v>31</v>
      </c>
      <c r="F1149" s="7" t="s">
        <v>32</v>
      </c>
      <c r="G1149" s="7" t="s">
        <v>33</v>
      </c>
      <c r="H1149" s="8">
        <v>594300000</v>
      </c>
      <c r="I1149" s="10" t="s">
        <v>850</v>
      </c>
      <c r="J1149" s="7" t="s">
        <v>851</v>
      </c>
      <c r="K1149" s="10" t="s">
        <v>58</v>
      </c>
      <c r="L1149" s="7" t="s">
        <v>59</v>
      </c>
      <c r="M1149" s="7"/>
      <c r="N1149" s="7">
        <f>VLOOKUP(J1149,[1]Sheet1!$C:$D,2,FALSE)</f>
        <v>7065</v>
      </c>
      <c r="O1149" s="7">
        <f>VLOOKUP(J1149,[2]Desa!$A:$D,4,FALSE)</f>
        <v>220</v>
      </c>
      <c r="P1149" s="7">
        <f>VLOOKUP(J1149,[3]Sheet1!$D:$F,3,FALSE)</f>
        <v>46</v>
      </c>
      <c r="Q1149" s="7"/>
      <c r="R1149" s="7"/>
      <c r="S1149" s="12">
        <v>-8.5820618650374207</v>
      </c>
      <c r="T1149" s="12">
        <v>116.20779096436</v>
      </c>
      <c r="U1149" s="7"/>
      <c r="V1149" s="50">
        <f>Table13678[[#This Row],[PAGU SEMULA]]-Table13678[[#This Row],[PAGU ANGGARAN]]</f>
        <v>-594300000</v>
      </c>
      <c r="W1149" s="50">
        <f>Table13678[[#This Row],[PAGU SEMULA]]-Table13678[[#This Row],[PAGU ANGGARAN]]</f>
        <v>-594300000</v>
      </c>
      <c r="X1149" t="s">
        <v>984</v>
      </c>
    </row>
    <row r="1150" spans="3:24" hidden="1">
      <c r="C1150" s="7" t="s">
        <v>29</v>
      </c>
      <c r="D1150" s="7" t="s">
        <v>30</v>
      </c>
      <c r="E1150" s="7" t="s">
        <v>31</v>
      </c>
      <c r="F1150" s="7" t="s">
        <v>32</v>
      </c>
      <c r="G1150" s="7" t="s">
        <v>34</v>
      </c>
      <c r="H1150" s="8">
        <v>47544000</v>
      </c>
      <c r="I1150" s="10" t="s">
        <v>850</v>
      </c>
      <c r="J1150" s="7" t="s">
        <v>851</v>
      </c>
      <c r="K1150" s="10" t="s">
        <v>58</v>
      </c>
      <c r="L1150" s="7" t="s">
        <v>59</v>
      </c>
      <c r="M1150" s="7"/>
      <c r="N1150" s="7">
        <f>VLOOKUP(J1150,[1]Sheet1!$C:$D,2,FALSE)</f>
        <v>7065</v>
      </c>
      <c r="O1150" s="7">
        <f>VLOOKUP(J1150,[2]Desa!$A:$D,4,FALSE)</f>
        <v>220</v>
      </c>
      <c r="P1150" s="7">
        <f>VLOOKUP(J1150,[3]Sheet1!$D:$F,3,FALSE)</f>
        <v>46</v>
      </c>
      <c r="Q1150" s="7"/>
      <c r="R1150" s="7"/>
      <c r="S1150" s="12">
        <v>-8.5820618650374207</v>
      </c>
      <c r="T1150" s="12">
        <v>116.20779096436</v>
      </c>
      <c r="U1150" s="7"/>
      <c r="V1150" s="50">
        <f>Table13678[[#This Row],[PAGU SEMULA]]-Table13678[[#This Row],[PAGU ANGGARAN]]</f>
        <v>-47544000</v>
      </c>
      <c r="W1150" s="50">
        <f>Table13678[[#This Row],[PAGU SEMULA]]-Table13678[[#This Row],[PAGU ANGGARAN]]</f>
        <v>-47544000</v>
      </c>
      <c r="X1150" t="s">
        <v>984</v>
      </c>
    </row>
    <row r="1151" spans="3:24" hidden="1">
      <c r="C1151" s="7" t="s">
        <v>60</v>
      </c>
      <c r="D1151" s="7" t="s">
        <v>61</v>
      </c>
      <c r="E1151" s="7" t="s">
        <v>62</v>
      </c>
      <c r="F1151" s="7" t="s">
        <v>63</v>
      </c>
      <c r="G1151" s="71" t="s">
        <v>251</v>
      </c>
      <c r="H1151" s="15">
        <v>187800000</v>
      </c>
      <c r="I1151" s="10" t="s">
        <v>850</v>
      </c>
      <c r="J1151" s="7" t="s">
        <v>851</v>
      </c>
      <c r="K1151" s="10" t="s">
        <v>58</v>
      </c>
      <c r="L1151" s="7" t="s">
        <v>59</v>
      </c>
      <c r="M1151" s="7"/>
      <c r="N1151" s="7">
        <f>VLOOKUP(J1151,[1]Sheet1!$C:$D,2,FALSE)</f>
        <v>7065</v>
      </c>
      <c r="O1151" s="7">
        <f>VLOOKUP(J1151,[2]Desa!$A:$D,4,FALSE)</f>
        <v>220</v>
      </c>
      <c r="P1151" s="7">
        <f>VLOOKUP(J1151,[3]Sheet1!$D:$F,3,FALSE)</f>
        <v>46</v>
      </c>
      <c r="Q1151" s="7"/>
      <c r="R1151" s="7"/>
      <c r="S1151" s="12">
        <v>-8.5820618650374207</v>
      </c>
      <c r="T1151" s="12">
        <v>116.20779096436</v>
      </c>
      <c r="U1151" s="7"/>
      <c r="V1151" s="50">
        <f>Table13678[[#This Row],[PAGU SEMULA]]-Table13678[[#This Row],[PAGU ANGGARAN]]</f>
        <v>-187800000</v>
      </c>
      <c r="W1151" s="50">
        <f>Table13678[[#This Row],[PAGU SEMULA]]-Table13678[[#This Row],[PAGU ANGGARAN]]</f>
        <v>-187800000</v>
      </c>
      <c r="X1151" t="s">
        <v>987</v>
      </c>
    </row>
    <row r="1152" spans="3:24" hidden="1">
      <c r="C1152" s="7" t="s">
        <v>110</v>
      </c>
      <c r="D1152" s="7" t="s">
        <v>314</v>
      </c>
      <c r="E1152" s="7" t="s">
        <v>315</v>
      </c>
      <c r="F1152" s="7" t="s">
        <v>316</v>
      </c>
      <c r="G1152" s="71" t="s">
        <v>852</v>
      </c>
      <c r="H1152" s="8">
        <v>97500000</v>
      </c>
      <c r="I1152" s="10" t="s">
        <v>850</v>
      </c>
      <c r="J1152" s="7" t="s">
        <v>851</v>
      </c>
      <c r="K1152" s="10" t="s">
        <v>58</v>
      </c>
      <c r="L1152" s="7" t="s">
        <v>59</v>
      </c>
      <c r="M1152" s="7"/>
      <c r="N1152" s="7">
        <f>VLOOKUP(J1152,[1]Sheet1!$C:$D,2,FALSE)</f>
        <v>7065</v>
      </c>
      <c r="O1152" s="7">
        <f>VLOOKUP(J1152,[2]Desa!$A:$D,4,FALSE)</f>
        <v>220</v>
      </c>
      <c r="P1152" s="7">
        <f>VLOOKUP(J1152,[3]Sheet1!$D:$F,3,FALSE)</f>
        <v>46</v>
      </c>
      <c r="Q1152" s="7"/>
      <c r="R1152" s="7"/>
      <c r="S1152" s="12">
        <v>-8.5820618650374207</v>
      </c>
      <c r="T1152" s="12">
        <v>116.20779096436</v>
      </c>
      <c r="U1152" s="7"/>
      <c r="V1152" s="50">
        <f>Table13678[[#This Row],[PAGU SEMULA]]-Table13678[[#This Row],[PAGU ANGGARAN]]</f>
        <v>-97500000</v>
      </c>
      <c r="W1152" s="50">
        <f>Table13678[[#This Row],[PAGU SEMULA]]-Table13678[[#This Row],[PAGU ANGGARAN]]</f>
        <v>-97500000</v>
      </c>
      <c r="X1152" t="s">
        <v>982</v>
      </c>
    </row>
    <row r="1153" spans="3:24" hidden="1">
      <c r="C1153" s="7" t="s">
        <v>35</v>
      </c>
      <c r="D1153" s="7" t="s">
        <v>36</v>
      </c>
      <c r="E1153" s="7" t="s">
        <v>37</v>
      </c>
      <c r="F1153" s="7" t="s">
        <v>38</v>
      </c>
      <c r="G1153" s="7" t="s">
        <v>39</v>
      </c>
      <c r="H1153" s="15">
        <v>75000000</v>
      </c>
      <c r="I1153" s="10" t="s">
        <v>850</v>
      </c>
      <c r="J1153" s="7" t="s">
        <v>851</v>
      </c>
      <c r="K1153" s="10" t="s">
        <v>58</v>
      </c>
      <c r="L1153" s="7" t="s">
        <v>59</v>
      </c>
      <c r="M1153" s="7"/>
      <c r="N1153" s="7">
        <f>VLOOKUP(J1153,[1]Sheet1!$C:$D,2,FALSE)</f>
        <v>7065</v>
      </c>
      <c r="O1153" s="7">
        <f>VLOOKUP(J1153,[2]Desa!$A:$D,4,FALSE)</f>
        <v>220</v>
      </c>
      <c r="P1153" s="7">
        <f>VLOOKUP(J1153,[3]Sheet1!$D:$F,3,FALSE)</f>
        <v>46</v>
      </c>
      <c r="Q1153" s="7"/>
      <c r="R1153" s="7"/>
      <c r="S1153" s="12">
        <v>-8.5820618650374207</v>
      </c>
      <c r="T1153" s="12">
        <v>116.20779096436</v>
      </c>
      <c r="U1153" s="7"/>
      <c r="V1153" s="50">
        <f>Table13678[[#This Row],[PAGU SEMULA]]-Table13678[[#This Row],[PAGU ANGGARAN]]</f>
        <v>-75000000</v>
      </c>
      <c r="W1153" s="50">
        <f>Table13678[[#This Row],[PAGU SEMULA]]-Table13678[[#This Row],[PAGU ANGGARAN]]</f>
        <v>-75000000</v>
      </c>
      <c r="X1153" t="s">
        <v>984</v>
      </c>
    </row>
    <row r="1154" spans="3:24" hidden="1">
      <c r="C1154" s="7" t="s">
        <v>35</v>
      </c>
      <c r="D1154" s="7" t="s">
        <v>36</v>
      </c>
      <c r="E1154" s="7" t="s">
        <v>37</v>
      </c>
      <c r="F1154" s="7" t="s">
        <v>40</v>
      </c>
      <c r="G1154" s="7" t="s">
        <v>41</v>
      </c>
      <c r="H1154" s="15">
        <v>135000000</v>
      </c>
      <c r="I1154" s="10" t="s">
        <v>850</v>
      </c>
      <c r="J1154" s="7" t="s">
        <v>851</v>
      </c>
      <c r="K1154" s="10" t="s">
        <v>58</v>
      </c>
      <c r="L1154" s="7" t="s">
        <v>59</v>
      </c>
      <c r="M1154" s="7"/>
      <c r="N1154" s="7">
        <f>VLOOKUP(J1154,[1]Sheet1!$C:$D,2,FALSE)</f>
        <v>7065</v>
      </c>
      <c r="O1154" s="7">
        <f>VLOOKUP(J1154,[2]Desa!$A:$D,4,FALSE)</f>
        <v>220</v>
      </c>
      <c r="P1154" s="7">
        <f>VLOOKUP(J1154,[3]Sheet1!$D:$F,3,FALSE)</f>
        <v>46</v>
      </c>
      <c r="Q1154" s="7"/>
      <c r="R1154" s="7"/>
      <c r="S1154" s="12">
        <v>-8.5820618650374207</v>
      </c>
      <c r="T1154" s="12">
        <v>116.20779096436</v>
      </c>
      <c r="U1154" s="7"/>
      <c r="V1154" s="50">
        <f>Table13678[[#This Row],[PAGU SEMULA]]-Table13678[[#This Row],[PAGU ANGGARAN]]</f>
        <v>-135000000</v>
      </c>
      <c r="W1154" s="50">
        <f>Table13678[[#This Row],[PAGU SEMULA]]-Table13678[[#This Row],[PAGU ANGGARAN]]</f>
        <v>-135000000</v>
      </c>
      <c r="X1154" t="s">
        <v>986</v>
      </c>
    </row>
    <row r="1155" spans="3:24" hidden="1">
      <c r="C1155" s="7" t="s">
        <v>35</v>
      </c>
      <c r="D1155" s="7" t="s">
        <v>65</v>
      </c>
      <c r="E1155" s="7" t="s">
        <v>66</v>
      </c>
      <c r="F1155" s="7" t="s">
        <v>322</v>
      </c>
      <c r="G1155" s="7" t="s">
        <v>322</v>
      </c>
      <c r="H1155" s="15">
        <v>34151000</v>
      </c>
      <c r="I1155" s="10" t="s">
        <v>850</v>
      </c>
      <c r="J1155" s="7" t="s">
        <v>851</v>
      </c>
      <c r="K1155" s="10" t="s">
        <v>58</v>
      </c>
      <c r="L1155" s="7" t="s">
        <v>59</v>
      </c>
      <c r="M1155" s="7"/>
      <c r="N1155" s="7">
        <f>VLOOKUP(J1155,[1]Sheet1!$C:$D,2,FALSE)</f>
        <v>7065</v>
      </c>
      <c r="O1155" s="7">
        <f>VLOOKUP(J1155,[2]Desa!$A:$D,4,FALSE)</f>
        <v>220</v>
      </c>
      <c r="P1155" s="7">
        <f>VLOOKUP(J1155,[3]Sheet1!$D:$F,3,FALSE)</f>
        <v>46</v>
      </c>
      <c r="Q1155" s="7"/>
      <c r="R1155" s="7"/>
      <c r="S1155" s="12">
        <v>-8.5820618650374207</v>
      </c>
      <c r="T1155" s="12">
        <v>116.20779096436</v>
      </c>
      <c r="U1155" s="7"/>
      <c r="V1155" s="50">
        <f>Table13678[[#This Row],[PAGU SEMULA]]-Table13678[[#This Row],[PAGU ANGGARAN]]</f>
        <v>-34151000</v>
      </c>
      <c r="W1155" s="50">
        <f>Table13678[[#This Row],[PAGU SEMULA]]-Table13678[[#This Row],[PAGU ANGGARAN]]</f>
        <v>-34151000</v>
      </c>
      <c r="X1155" t="s">
        <v>986</v>
      </c>
    </row>
    <row r="1156" spans="3:24" hidden="1">
      <c r="C1156" s="7" t="s">
        <v>51</v>
      </c>
      <c r="D1156" s="7" t="s">
        <v>52</v>
      </c>
      <c r="E1156" s="7" t="s">
        <v>53</v>
      </c>
      <c r="F1156" s="7" t="s">
        <v>54</v>
      </c>
      <c r="G1156" s="7" t="s">
        <v>73</v>
      </c>
      <c r="H1156" s="8">
        <v>189090000</v>
      </c>
      <c r="I1156" s="10" t="s">
        <v>850</v>
      </c>
      <c r="J1156" s="7" t="s">
        <v>851</v>
      </c>
      <c r="K1156" s="10" t="s">
        <v>58</v>
      </c>
      <c r="L1156" s="7" t="s">
        <v>59</v>
      </c>
      <c r="M1156" s="7"/>
      <c r="N1156" s="7">
        <f>VLOOKUP(J1156,[1]Sheet1!$C:$D,2,FALSE)</f>
        <v>7065</v>
      </c>
      <c r="O1156" s="7">
        <f>VLOOKUP(J1156,[2]Desa!$A:$D,4,FALSE)</f>
        <v>220</v>
      </c>
      <c r="P1156" s="7">
        <f>VLOOKUP(J1156,[3]Sheet1!$D:$F,3,FALSE)</f>
        <v>46</v>
      </c>
      <c r="Q1156" s="7"/>
      <c r="R1156" s="7"/>
      <c r="S1156" s="12">
        <v>-8.5820618650374207</v>
      </c>
      <c r="T1156" s="12">
        <v>116.20779096436</v>
      </c>
      <c r="U1156" s="7"/>
      <c r="V1156" s="50">
        <f>Table13678[[#This Row],[PAGU SEMULA]]-Table13678[[#This Row],[PAGU ANGGARAN]]</f>
        <v>-189090000</v>
      </c>
      <c r="W1156" s="50">
        <f>Table13678[[#This Row],[PAGU SEMULA]]-Table13678[[#This Row],[PAGU ANGGARAN]]</f>
        <v>-189090000</v>
      </c>
      <c r="X1156" t="s">
        <v>986</v>
      </c>
    </row>
    <row r="1157" spans="3:24" hidden="1">
      <c r="C1157" s="7" t="s">
        <v>20</v>
      </c>
      <c r="D1157" s="7" t="s">
        <v>104</v>
      </c>
      <c r="E1157" s="7" t="s">
        <v>105</v>
      </c>
      <c r="F1157" s="7" t="s">
        <v>240</v>
      </c>
      <c r="G1157" s="71" t="s">
        <v>853</v>
      </c>
      <c r="H1157" s="15">
        <v>77000000</v>
      </c>
      <c r="I1157" s="10" t="s">
        <v>854</v>
      </c>
      <c r="J1157" s="7" t="s">
        <v>855</v>
      </c>
      <c r="K1157" s="10" t="s">
        <v>58</v>
      </c>
      <c r="L1157" s="7" t="s">
        <v>59</v>
      </c>
      <c r="M1157" s="7"/>
      <c r="N1157" s="7">
        <f>VLOOKUP(J1157,[1]Sheet1!$C:$D,2,FALSE)</f>
        <v>4365</v>
      </c>
      <c r="O1157" s="7">
        <f>VLOOKUP(J1157,[2]Desa!$A:$D,4,FALSE)</f>
        <v>189</v>
      </c>
      <c r="P1157" s="7">
        <f>VLOOKUP(J1157,[3]Sheet1!$D:$F,3,FALSE)</f>
        <v>51</v>
      </c>
      <c r="Q1157" s="7"/>
      <c r="R1157" s="7"/>
      <c r="S1157" s="12">
        <v>-8.6114716551959791</v>
      </c>
      <c r="T1157" s="12">
        <v>116.166048069889</v>
      </c>
      <c r="U1157" s="7"/>
      <c r="V1157" s="50">
        <f>Table13678[[#This Row],[PAGU SEMULA]]-Table13678[[#This Row],[PAGU ANGGARAN]]</f>
        <v>-77000000</v>
      </c>
      <c r="W1157" s="50">
        <f>Table13678[[#This Row],[PAGU SEMULA]]-Table13678[[#This Row],[PAGU ANGGARAN]]</f>
        <v>-77000000</v>
      </c>
      <c r="X1157" t="s">
        <v>984</v>
      </c>
    </row>
    <row r="1158" spans="3:24" hidden="1">
      <c r="C1158" s="7" t="s">
        <v>20</v>
      </c>
      <c r="D1158" s="7" t="s">
        <v>104</v>
      </c>
      <c r="E1158" s="7" t="s">
        <v>105</v>
      </c>
      <c r="F1158" s="7" t="s">
        <v>240</v>
      </c>
      <c r="G1158" s="71" t="s">
        <v>856</v>
      </c>
      <c r="H1158" s="15">
        <v>77000000</v>
      </c>
      <c r="I1158" s="10" t="s">
        <v>854</v>
      </c>
      <c r="J1158" s="7" t="s">
        <v>855</v>
      </c>
      <c r="K1158" s="10" t="s">
        <v>58</v>
      </c>
      <c r="L1158" s="7" t="s">
        <v>59</v>
      </c>
      <c r="M1158" s="7"/>
      <c r="N1158" s="7">
        <f>VLOOKUP(J1158,[1]Sheet1!$C:$D,2,FALSE)</f>
        <v>4365</v>
      </c>
      <c r="O1158" s="7">
        <f>VLOOKUP(J1158,[2]Desa!$A:$D,4,FALSE)</f>
        <v>189</v>
      </c>
      <c r="P1158" s="7">
        <f>VLOOKUP(J1158,[3]Sheet1!$D:$F,3,FALSE)</f>
        <v>51</v>
      </c>
      <c r="Q1158" s="7"/>
      <c r="R1158" s="7"/>
      <c r="S1158" s="12">
        <v>-8.6114716551959791</v>
      </c>
      <c r="T1158" s="12">
        <v>116.166048069889</v>
      </c>
      <c r="U1158" s="7"/>
      <c r="V1158" s="50">
        <f>Table13678[[#This Row],[PAGU SEMULA]]-Table13678[[#This Row],[PAGU ANGGARAN]]</f>
        <v>-77000000</v>
      </c>
      <c r="W1158" s="50">
        <f>Table13678[[#This Row],[PAGU SEMULA]]-Table13678[[#This Row],[PAGU ANGGARAN]]</f>
        <v>-77000000</v>
      </c>
      <c r="X1158" t="s">
        <v>984</v>
      </c>
    </row>
    <row r="1159" spans="3:24" hidden="1">
      <c r="C1159" s="7" t="s">
        <v>29</v>
      </c>
      <c r="D1159" s="7" t="s">
        <v>30</v>
      </c>
      <c r="E1159" s="7" t="s">
        <v>31</v>
      </c>
      <c r="F1159" s="7" t="s">
        <v>32</v>
      </c>
      <c r="G1159" s="7" t="s">
        <v>33</v>
      </c>
      <c r="H1159" s="8">
        <v>135240000</v>
      </c>
      <c r="I1159" s="10" t="s">
        <v>854</v>
      </c>
      <c r="J1159" s="7" t="s">
        <v>855</v>
      </c>
      <c r="K1159" s="10" t="s">
        <v>58</v>
      </c>
      <c r="L1159" s="7" t="s">
        <v>59</v>
      </c>
      <c r="M1159" s="7"/>
      <c r="N1159" s="7">
        <f>VLOOKUP(J1159,[1]Sheet1!$C:$D,2,FALSE)</f>
        <v>4365</v>
      </c>
      <c r="O1159" s="7">
        <f>VLOOKUP(J1159,[2]Desa!$A:$D,4,FALSE)</f>
        <v>189</v>
      </c>
      <c r="P1159" s="7">
        <f>VLOOKUP(J1159,[3]Sheet1!$D:$F,3,FALSE)</f>
        <v>51</v>
      </c>
      <c r="Q1159" s="7"/>
      <c r="R1159" s="7"/>
      <c r="S1159" s="12">
        <v>-8.6114716551959791</v>
      </c>
      <c r="T1159" s="12">
        <v>116.166048069889</v>
      </c>
      <c r="U1159" s="7"/>
      <c r="V1159" s="50">
        <f>Table13678[[#This Row],[PAGU SEMULA]]-Table13678[[#This Row],[PAGU ANGGARAN]]</f>
        <v>-135240000</v>
      </c>
      <c r="W1159" s="50">
        <f>Table13678[[#This Row],[PAGU SEMULA]]-Table13678[[#This Row],[PAGU ANGGARAN]]</f>
        <v>-135240000</v>
      </c>
      <c r="X1159" t="s">
        <v>984</v>
      </c>
    </row>
    <row r="1160" spans="3:24" hidden="1">
      <c r="C1160" s="7" t="s">
        <v>29</v>
      </c>
      <c r="D1160" s="7" t="s">
        <v>30</v>
      </c>
      <c r="E1160" s="7" t="s">
        <v>31</v>
      </c>
      <c r="F1160" s="7" t="s">
        <v>32</v>
      </c>
      <c r="G1160" s="7" t="s">
        <v>34</v>
      </c>
      <c r="H1160" s="8">
        <v>10819200</v>
      </c>
      <c r="I1160" s="10" t="s">
        <v>854</v>
      </c>
      <c r="J1160" s="7" t="s">
        <v>855</v>
      </c>
      <c r="K1160" s="10" t="s">
        <v>58</v>
      </c>
      <c r="L1160" s="7" t="s">
        <v>59</v>
      </c>
      <c r="M1160" s="7"/>
      <c r="N1160" s="7">
        <f>VLOOKUP(J1160,[1]Sheet1!$C:$D,2,FALSE)</f>
        <v>4365</v>
      </c>
      <c r="O1160" s="7">
        <f>VLOOKUP(J1160,[2]Desa!$A:$D,4,FALSE)</f>
        <v>189</v>
      </c>
      <c r="P1160" s="7">
        <f>VLOOKUP(J1160,[3]Sheet1!$D:$F,3,FALSE)</f>
        <v>51</v>
      </c>
      <c r="Q1160" s="7"/>
      <c r="R1160" s="7"/>
      <c r="S1160" s="12">
        <v>-8.6114716551959791</v>
      </c>
      <c r="T1160" s="12">
        <v>116.166048069889</v>
      </c>
      <c r="U1160" s="7"/>
      <c r="V1160" s="50">
        <f>Table13678[[#This Row],[PAGU SEMULA]]-Table13678[[#This Row],[PAGU ANGGARAN]]</f>
        <v>-10819200</v>
      </c>
      <c r="W1160" s="50">
        <f>Table13678[[#This Row],[PAGU SEMULA]]-Table13678[[#This Row],[PAGU ANGGARAN]]</f>
        <v>-10819200</v>
      </c>
      <c r="X1160" t="s">
        <v>984</v>
      </c>
    </row>
    <row r="1161" spans="3:24" hidden="1">
      <c r="C1161" s="7" t="s">
        <v>84</v>
      </c>
      <c r="D1161" s="7" t="s">
        <v>89</v>
      </c>
      <c r="E1161" s="7" t="s">
        <v>90</v>
      </c>
      <c r="F1161" s="7" t="s">
        <v>91</v>
      </c>
      <c r="G1161" s="7" t="s">
        <v>857</v>
      </c>
      <c r="H1161" s="8">
        <v>28649000</v>
      </c>
      <c r="I1161" s="10" t="s">
        <v>854</v>
      </c>
      <c r="J1161" s="7" t="s">
        <v>855</v>
      </c>
      <c r="K1161" s="10" t="s">
        <v>58</v>
      </c>
      <c r="L1161" s="7" t="s">
        <v>59</v>
      </c>
      <c r="M1161" s="7"/>
      <c r="N1161" s="7">
        <f>VLOOKUP(J1161,[1]Sheet1!$C:$D,2,FALSE)</f>
        <v>4365</v>
      </c>
      <c r="O1161" s="7">
        <f>VLOOKUP(J1161,[2]Desa!$A:$D,4,FALSE)</f>
        <v>189</v>
      </c>
      <c r="P1161" s="7">
        <f>VLOOKUP(J1161,[3]Sheet1!$D:$F,3,FALSE)</f>
        <v>51</v>
      </c>
      <c r="Q1161" s="7"/>
      <c r="R1161" s="7"/>
      <c r="S1161" s="12">
        <v>-8.6114716551959791</v>
      </c>
      <c r="T1161" s="12">
        <v>116.166048069889</v>
      </c>
      <c r="U1161" s="7"/>
      <c r="V1161" s="50">
        <f>Table13678[[#This Row],[PAGU SEMULA]]-Table13678[[#This Row],[PAGU ANGGARAN]]</f>
        <v>-28649000</v>
      </c>
      <c r="W1161" s="50">
        <f>Table13678[[#This Row],[PAGU SEMULA]]-Table13678[[#This Row],[PAGU ANGGARAN]]</f>
        <v>-28649000</v>
      </c>
      <c r="X1161" t="s">
        <v>982</v>
      </c>
    </row>
    <row r="1162" spans="3:24" hidden="1">
      <c r="C1162" s="7" t="s">
        <v>84</v>
      </c>
      <c r="D1162" s="7" t="s">
        <v>89</v>
      </c>
      <c r="E1162" s="7" t="s">
        <v>90</v>
      </c>
      <c r="F1162" s="7" t="s">
        <v>91</v>
      </c>
      <c r="G1162" s="7" t="s">
        <v>858</v>
      </c>
      <c r="H1162" s="8">
        <v>28649000</v>
      </c>
      <c r="I1162" s="10" t="s">
        <v>854</v>
      </c>
      <c r="J1162" s="7" t="s">
        <v>855</v>
      </c>
      <c r="K1162" s="10" t="s">
        <v>58</v>
      </c>
      <c r="L1162" s="7" t="s">
        <v>59</v>
      </c>
      <c r="M1162" s="7"/>
      <c r="N1162" s="7">
        <f>VLOOKUP(J1162,[1]Sheet1!$C:$D,2,FALSE)</f>
        <v>4365</v>
      </c>
      <c r="O1162" s="7">
        <f>VLOOKUP(J1162,[2]Desa!$A:$D,4,FALSE)</f>
        <v>189</v>
      </c>
      <c r="P1162" s="7">
        <f>VLOOKUP(J1162,[3]Sheet1!$D:$F,3,FALSE)</f>
        <v>51</v>
      </c>
      <c r="Q1162" s="7"/>
      <c r="R1162" s="7"/>
      <c r="S1162" s="12">
        <v>-8.6114716551959791</v>
      </c>
      <c r="T1162" s="12">
        <v>116.166048069889</v>
      </c>
      <c r="U1162" s="7"/>
      <c r="V1162" s="50">
        <f>Table13678[[#This Row],[PAGU SEMULA]]-Table13678[[#This Row],[PAGU ANGGARAN]]</f>
        <v>-28649000</v>
      </c>
      <c r="W1162" s="50">
        <f>Table13678[[#This Row],[PAGU SEMULA]]-Table13678[[#This Row],[PAGU ANGGARAN]]</f>
        <v>-28649000</v>
      </c>
      <c r="X1162" t="s">
        <v>982</v>
      </c>
    </row>
    <row r="1163" spans="3:24" hidden="1">
      <c r="C1163" s="7" t="s">
        <v>84</v>
      </c>
      <c r="D1163" s="7" t="s">
        <v>89</v>
      </c>
      <c r="E1163" s="7" t="s">
        <v>90</v>
      </c>
      <c r="F1163" s="7" t="s">
        <v>91</v>
      </c>
      <c r="G1163" s="7" t="s">
        <v>859</v>
      </c>
      <c r="H1163" s="8">
        <v>28649000</v>
      </c>
      <c r="I1163" s="10" t="s">
        <v>854</v>
      </c>
      <c r="J1163" s="7" t="s">
        <v>855</v>
      </c>
      <c r="K1163" s="10" t="s">
        <v>58</v>
      </c>
      <c r="L1163" s="7" t="s">
        <v>59</v>
      </c>
      <c r="M1163" s="7"/>
      <c r="N1163" s="7">
        <f>VLOOKUP(J1163,[1]Sheet1!$C:$D,2,FALSE)</f>
        <v>4365</v>
      </c>
      <c r="O1163" s="7">
        <f>VLOOKUP(J1163,[2]Desa!$A:$D,4,FALSE)</f>
        <v>189</v>
      </c>
      <c r="P1163" s="7">
        <f>VLOOKUP(J1163,[3]Sheet1!$D:$F,3,FALSE)</f>
        <v>51</v>
      </c>
      <c r="Q1163" s="7"/>
      <c r="R1163" s="7"/>
      <c r="S1163" s="12">
        <v>-8.6114716551959791</v>
      </c>
      <c r="T1163" s="12">
        <v>116.166048069889</v>
      </c>
      <c r="U1163" s="7"/>
      <c r="V1163" s="50">
        <f>Table13678[[#This Row],[PAGU SEMULA]]-Table13678[[#This Row],[PAGU ANGGARAN]]</f>
        <v>-28649000</v>
      </c>
      <c r="W1163" s="50">
        <f>Table13678[[#This Row],[PAGU SEMULA]]-Table13678[[#This Row],[PAGU ANGGARAN]]</f>
        <v>-28649000</v>
      </c>
      <c r="X1163" t="s">
        <v>982</v>
      </c>
    </row>
    <row r="1164" spans="3:24" hidden="1">
      <c r="C1164" s="7" t="s">
        <v>35</v>
      </c>
      <c r="D1164" s="7" t="s">
        <v>36</v>
      </c>
      <c r="E1164" s="7" t="s">
        <v>37</v>
      </c>
      <c r="F1164" s="7" t="s">
        <v>38</v>
      </c>
      <c r="G1164" s="7" t="s">
        <v>39</v>
      </c>
      <c r="H1164" s="15">
        <v>75000000</v>
      </c>
      <c r="I1164" s="10" t="s">
        <v>854</v>
      </c>
      <c r="J1164" s="7" t="s">
        <v>855</v>
      </c>
      <c r="K1164" s="10" t="s">
        <v>58</v>
      </c>
      <c r="L1164" s="7" t="s">
        <v>59</v>
      </c>
      <c r="M1164" s="7"/>
      <c r="N1164" s="7">
        <f>VLOOKUP(J1164,[1]Sheet1!$C:$D,2,FALSE)</f>
        <v>4365</v>
      </c>
      <c r="O1164" s="7">
        <f>VLOOKUP(J1164,[2]Desa!$A:$D,4,FALSE)</f>
        <v>189</v>
      </c>
      <c r="P1164" s="7">
        <f>VLOOKUP(J1164,[3]Sheet1!$D:$F,3,FALSE)</f>
        <v>51</v>
      </c>
      <c r="Q1164" s="7"/>
      <c r="R1164" s="7"/>
      <c r="S1164" s="12">
        <v>-8.6114716551959791</v>
      </c>
      <c r="T1164" s="12">
        <v>116.166048069889</v>
      </c>
      <c r="U1164" s="7"/>
      <c r="V1164" s="50">
        <f>Table13678[[#This Row],[PAGU SEMULA]]-Table13678[[#This Row],[PAGU ANGGARAN]]</f>
        <v>-75000000</v>
      </c>
      <c r="W1164" s="50">
        <f>Table13678[[#This Row],[PAGU SEMULA]]-Table13678[[#This Row],[PAGU ANGGARAN]]</f>
        <v>-75000000</v>
      </c>
      <c r="X1164" t="s">
        <v>984</v>
      </c>
    </row>
    <row r="1165" spans="3:24" hidden="1">
      <c r="C1165" s="7" t="s">
        <v>35</v>
      </c>
      <c r="D1165" s="7" t="s">
        <v>65</v>
      </c>
      <c r="E1165" s="7" t="s">
        <v>66</v>
      </c>
      <c r="F1165" s="7" t="s">
        <v>322</v>
      </c>
      <c r="G1165" s="7" t="s">
        <v>322</v>
      </c>
      <c r="H1165" s="15">
        <v>34151000</v>
      </c>
      <c r="I1165" s="10" t="s">
        <v>854</v>
      </c>
      <c r="J1165" s="7" t="s">
        <v>855</v>
      </c>
      <c r="K1165" s="10" t="s">
        <v>58</v>
      </c>
      <c r="L1165" s="7" t="s">
        <v>59</v>
      </c>
      <c r="M1165" s="7"/>
      <c r="N1165" s="7">
        <f>VLOOKUP(J1165,[1]Sheet1!$C:$D,2,FALSE)</f>
        <v>4365</v>
      </c>
      <c r="O1165" s="7">
        <f>VLOOKUP(J1165,[2]Desa!$A:$D,4,FALSE)</f>
        <v>189</v>
      </c>
      <c r="P1165" s="7">
        <f>VLOOKUP(J1165,[3]Sheet1!$D:$F,3,FALSE)</f>
        <v>51</v>
      </c>
      <c r="Q1165" s="7"/>
      <c r="R1165" s="7"/>
      <c r="S1165" s="12">
        <v>-8.6114716551959791</v>
      </c>
      <c r="T1165" s="12">
        <v>116.166048069889</v>
      </c>
      <c r="U1165" s="7"/>
      <c r="V1165" s="50">
        <f>Table13678[[#This Row],[PAGU SEMULA]]-Table13678[[#This Row],[PAGU ANGGARAN]]</f>
        <v>-34151000</v>
      </c>
      <c r="W1165" s="50">
        <f>Table13678[[#This Row],[PAGU SEMULA]]-Table13678[[#This Row],[PAGU ANGGARAN]]</f>
        <v>-34151000</v>
      </c>
      <c r="X1165" t="s">
        <v>986</v>
      </c>
    </row>
    <row r="1166" spans="3:24" hidden="1">
      <c r="C1166" s="7" t="s">
        <v>35</v>
      </c>
      <c r="D1166" s="7" t="s">
        <v>52</v>
      </c>
      <c r="E1166" s="7" t="s">
        <v>95</v>
      </c>
      <c r="F1166" s="7" t="s">
        <v>96</v>
      </c>
      <c r="G1166" s="7" t="s">
        <v>41</v>
      </c>
      <c r="H1166" s="17">
        <v>193500000</v>
      </c>
      <c r="I1166" s="10" t="s">
        <v>854</v>
      </c>
      <c r="J1166" s="7" t="s">
        <v>855</v>
      </c>
      <c r="K1166" s="10" t="s">
        <v>58</v>
      </c>
      <c r="L1166" s="7" t="s">
        <v>59</v>
      </c>
      <c r="M1166" s="7"/>
      <c r="N1166" s="7">
        <f>VLOOKUP(J1166,[1]Sheet1!$C:$D,2,FALSE)</f>
        <v>4365</v>
      </c>
      <c r="O1166" s="7">
        <f>VLOOKUP(J1166,[2]Desa!$A:$D,4,FALSE)</f>
        <v>189</v>
      </c>
      <c r="P1166" s="7">
        <f>VLOOKUP(J1166,[3]Sheet1!$D:$F,3,FALSE)</f>
        <v>51</v>
      </c>
      <c r="Q1166" s="7"/>
      <c r="R1166" s="7"/>
      <c r="S1166" s="12">
        <v>-8.6114716551959791</v>
      </c>
      <c r="T1166" s="12">
        <v>116.166048069889</v>
      </c>
      <c r="U1166" s="7"/>
      <c r="V1166" s="50">
        <f>Table13678[[#This Row],[PAGU SEMULA]]-Table13678[[#This Row],[PAGU ANGGARAN]]</f>
        <v>-193500000</v>
      </c>
      <c r="W1166" s="50">
        <f>Table13678[[#This Row],[PAGU SEMULA]]-Table13678[[#This Row],[PAGU ANGGARAN]]</f>
        <v>-193500000</v>
      </c>
      <c r="X1166" t="s">
        <v>986</v>
      </c>
    </row>
    <row r="1167" spans="3:24" hidden="1">
      <c r="C1167" s="7" t="s">
        <v>46</v>
      </c>
      <c r="D1167" s="7" t="s">
        <v>47</v>
      </c>
      <c r="E1167" s="7" t="s">
        <v>48</v>
      </c>
      <c r="F1167" s="7" t="s">
        <v>49</v>
      </c>
      <c r="G1167" s="71" t="s">
        <v>50</v>
      </c>
      <c r="H1167" s="8">
        <v>27000000</v>
      </c>
      <c r="I1167" s="10" t="s">
        <v>854</v>
      </c>
      <c r="J1167" s="7" t="s">
        <v>855</v>
      </c>
      <c r="K1167" s="10" t="s">
        <v>58</v>
      </c>
      <c r="L1167" s="7" t="s">
        <v>59</v>
      </c>
      <c r="M1167" s="7"/>
      <c r="N1167" s="7">
        <f>VLOOKUP(J1167,[1]Sheet1!$C:$D,2,FALSE)</f>
        <v>4365</v>
      </c>
      <c r="O1167" s="7">
        <f>VLOOKUP(J1167,[2]Desa!$A:$D,4,FALSE)</f>
        <v>189</v>
      </c>
      <c r="P1167" s="7">
        <f>VLOOKUP(J1167,[3]Sheet1!$D:$F,3,FALSE)</f>
        <v>51</v>
      </c>
      <c r="Q1167" s="7"/>
      <c r="R1167" s="7"/>
      <c r="S1167" s="12">
        <v>-8.6114716551959791</v>
      </c>
      <c r="T1167" s="12">
        <v>116.166048069889</v>
      </c>
      <c r="U1167" s="7"/>
      <c r="V1167" s="50">
        <f>Table13678[[#This Row],[PAGU SEMULA]]-Table13678[[#This Row],[PAGU ANGGARAN]]</f>
        <v>-27000000</v>
      </c>
      <c r="W1167" s="50">
        <f>Table13678[[#This Row],[PAGU SEMULA]]-Table13678[[#This Row],[PAGU ANGGARAN]]</f>
        <v>-27000000</v>
      </c>
      <c r="X1167" t="s">
        <v>987</v>
      </c>
    </row>
    <row r="1168" spans="3:24" hidden="1">
      <c r="C1168" s="7" t="s">
        <v>394</v>
      </c>
      <c r="D1168" s="7" t="s">
        <v>85</v>
      </c>
      <c r="E1168" s="7" t="s">
        <v>860</v>
      </c>
      <c r="F1168" s="7" t="s">
        <v>861</v>
      </c>
      <c r="G1168" s="7" t="s">
        <v>862</v>
      </c>
      <c r="H1168" s="8">
        <v>550000000</v>
      </c>
      <c r="I1168" s="10" t="s">
        <v>854</v>
      </c>
      <c r="J1168" s="7" t="s">
        <v>855</v>
      </c>
      <c r="K1168" s="10" t="s">
        <v>58</v>
      </c>
      <c r="L1168" s="7" t="s">
        <v>59</v>
      </c>
      <c r="M1168" s="7"/>
      <c r="N1168" s="7">
        <f>VLOOKUP(J1168,[1]Sheet1!$C:$D,2,FALSE)</f>
        <v>4365</v>
      </c>
      <c r="O1168" s="7">
        <f>VLOOKUP(J1168,[2]Desa!$A:$D,4,FALSE)</f>
        <v>189</v>
      </c>
      <c r="P1168" s="7">
        <f>VLOOKUP(J1168,[3]Sheet1!$D:$F,3,FALSE)</f>
        <v>51</v>
      </c>
      <c r="Q1168" s="7"/>
      <c r="R1168" s="7"/>
      <c r="S1168" s="12">
        <v>-8.6114716551959791</v>
      </c>
      <c r="T1168" s="12">
        <v>116.166048069889</v>
      </c>
      <c r="U1168" s="7"/>
      <c r="V1168" s="50">
        <f>Table13678[[#This Row],[PAGU SEMULA]]-Table13678[[#This Row],[PAGU ANGGARAN]]</f>
        <v>-550000000</v>
      </c>
      <c r="W1168" s="50">
        <f>Table13678[[#This Row],[PAGU SEMULA]]-Table13678[[#This Row],[PAGU ANGGARAN]]</f>
        <v>-550000000</v>
      </c>
      <c r="X1168" t="s">
        <v>982</v>
      </c>
    </row>
    <row r="1169" spans="3:24" hidden="1">
      <c r="C1169" s="7" t="s">
        <v>394</v>
      </c>
      <c r="D1169" s="7" t="s">
        <v>85</v>
      </c>
      <c r="E1169" s="7" t="s">
        <v>395</v>
      </c>
      <c r="F1169" s="7" t="s">
        <v>396</v>
      </c>
      <c r="G1169" s="7" t="s">
        <v>863</v>
      </c>
      <c r="H1169" s="8">
        <v>97928000</v>
      </c>
      <c r="I1169" s="10" t="s">
        <v>854</v>
      </c>
      <c r="J1169" s="7" t="s">
        <v>855</v>
      </c>
      <c r="K1169" s="10" t="s">
        <v>58</v>
      </c>
      <c r="L1169" s="7" t="s">
        <v>59</v>
      </c>
      <c r="M1169" s="7"/>
      <c r="N1169" s="7">
        <f>VLOOKUP(J1169,[1]Sheet1!$C:$D,2,FALSE)</f>
        <v>4365</v>
      </c>
      <c r="O1169" s="7">
        <f>VLOOKUP(J1169,[2]Desa!$A:$D,4,FALSE)</f>
        <v>189</v>
      </c>
      <c r="P1169" s="7">
        <f>VLOOKUP(J1169,[3]Sheet1!$D:$F,3,FALSE)</f>
        <v>51</v>
      </c>
      <c r="Q1169" s="7"/>
      <c r="R1169" s="7"/>
      <c r="S1169" s="12">
        <v>-8.6114716551959791</v>
      </c>
      <c r="T1169" s="12">
        <v>116.166048069889</v>
      </c>
      <c r="U1169" s="7"/>
      <c r="V1169" s="50">
        <f>Table13678[[#This Row],[PAGU SEMULA]]-Table13678[[#This Row],[PAGU ANGGARAN]]</f>
        <v>-97928000</v>
      </c>
      <c r="W1169" s="50">
        <f>Table13678[[#This Row],[PAGU SEMULA]]-Table13678[[#This Row],[PAGU ANGGARAN]]</f>
        <v>-97928000</v>
      </c>
      <c r="X1169" t="s">
        <v>982</v>
      </c>
    </row>
    <row r="1170" spans="3:24" hidden="1">
      <c r="C1170" s="7" t="s">
        <v>20</v>
      </c>
      <c r="D1170" s="7" t="s">
        <v>104</v>
      </c>
      <c r="E1170" s="7" t="s">
        <v>105</v>
      </c>
      <c r="F1170" s="7" t="s">
        <v>138</v>
      </c>
      <c r="G1170" s="71" t="s">
        <v>864</v>
      </c>
      <c r="H1170" s="15">
        <v>70930000</v>
      </c>
      <c r="I1170" s="10" t="s">
        <v>865</v>
      </c>
      <c r="J1170" s="7" t="s">
        <v>866</v>
      </c>
      <c r="K1170" s="10" t="s">
        <v>207</v>
      </c>
      <c r="L1170" s="7" t="s">
        <v>206</v>
      </c>
      <c r="M1170" s="7"/>
      <c r="N1170" s="7">
        <f>VLOOKUP(J1170,[1]Sheet1!$C:$D,2,FALSE)</f>
        <v>5080</v>
      </c>
      <c r="O1170" s="7">
        <f>VLOOKUP(J1170,[2]Desa!$A:$D,4,FALSE)</f>
        <v>109</v>
      </c>
      <c r="P1170" s="7">
        <f>VLOOKUP(J1170,[3]Sheet1!$D:$F,3,FALSE)</f>
        <v>25</v>
      </c>
      <c r="Q1170" s="7"/>
      <c r="R1170" s="7"/>
      <c r="S1170" s="12">
        <v>-8.4875599762694005</v>
      </c>
      <c r="T1170" s="12">
        <v>116.04088293864299</v>
      </c>
      <c r="U1170" s="7"/>
      <c r="V1170" s="50">
        <f>Table13678[[#This Row],[PAGU SEMULA]]-Table13678[[#This Row],[PAGU ANGGARAN]]</f>
        <v>-70930000</v>
      </c>
      <c r="W1170" s="50">
        <f>Table13678[[#This Row],[PAGU SEMULA]]-Table13678[[#This Row],[PAGU ANGGARAN]]</f>
        <v>-70930000</v>
      </c>
      <c r="X1170" t="s">
        <v>984</v>
      </c>
    </row>
    <row r="1171" spans="3:24" hidden="1">
      <c r="C1171" s="7" t="s">
        <v>29</v>
      </c>
      <c r="D1171" s="7" t="s">
        <v>30</v>
      </c>
      <c r="E1171" s="7" t="s">
        <v>31</v>
      </c>
      <c r="F1171" s="7" t="s">
        <v>32</v>
      </c>
      <c r="G1171" s="7" t="s">
        <v>33</v>
      </c>
      <c r="H1171" s="8">
        <v>245700000</v>
      </c>
      <c r="I1171" s="10" t="s">
        <v>865</v>
      </c>
      <c r="J1171" s="7" t="s">
        <v>866</v>
      </c>
      <c r="K1171" s="10" t="s">
        <v>207</v>
      </c>
      <c r="L1171" s="7" t="s">
        <v>206</v>
      </c>
      <c r="M1171" s="7"/>
      <c r="N1171" s="7">
        <f>VLOOKUP(J1171,[1]Sheet1!$C:$D,2,FALSE)</f>
        <v>5080</v>
      </c>
      <c r="O1171" s="7">
        <f>VLOOKUP(J1171,[2]Desa!$A:$D,4,FALSE)</f>
        <v>109</v>
      </c>
      <c r="P1171" s="7">
        <f>VLOOKUP(J1171,[3]Sheet1!$D:$F,3,FALSE)</f>
        <v>25</v>
      </c>
      <c r="Q1171" s="7"/>
      <c r="R1171" s="7"/>
      <c r="S1171" s="12">
        <v>-8.4875599762694005</v>
      </c>
      <c r="T1171" s="12">
        <v>116.04088293864299</v>
      </c>
      <c r="U1171" s="7"/>
      <c r="V1171" s="50">
        <f>Table13678[[#This Row],[PAGU SEMULA]]-Table13678[[#This Row],[PAGU ANGGARAN]]</f>
        <v>-245700000</v>
      </c>
      <c r="W1171" s="50">
        <f>Table13678[[#This Row],[PAGU SEMULA]]-Table13678[[#This Row],[PAGU ANGGARAN]]</f>
        <v>-245700000</v>
      </c>
      <c r="X1171" t="s">
        <v>984</v>
      </c>
    </row>
    <row r="1172" spans="3:24" hidden="1">
      <c r="C1172" s="7" t="s">
        <v>29</v>
      </c>
      <c r="D1172" s="7" t="s">
        <v>30</v>
      </c>
      <c r="E1172" s="7" t="s">
        <v>31</v>
      </c>
      <c r="F1172" s="7" t="s">
        <v>32</v>
      </c>
      <c r="G1172" s="7" t="s">
        <v>34</v>
      </c>
      <c r="H1172" s="8">
        <v>19656000</v>
      </c>
      <c r="I1172" s="10" t="s">
        <v>865</v>
      </c>
      <c r="J1172" s="7" t="s">
        <v>866</v>
      </c>
      <c r="K1172" s="10" t="s">
        <v>207</v>
      </c>
      <c r="L1172" s="7" t="s">
        <v>206</v>
      </c>
      <c r="M1172" s="7"/>
      <c r="N1172" s="7">
        <f>VLOOKUP(J1172,[1]Sheet1!$C:$D,2,FALSE)</f>
        <v>5080</v>
      </c>
      <c r="O1172" s="7">
        <f>VLOOKUP(J1172,[2]Desa!$A:$D,4,FALSE)</f>
        <v>109</v>
      </c>
      <c r="P1172" s="7">
        <f>VLOOKUP(J1172,[3]Sheet1!$D:$F,3,FALSE)</f>
        <v>25</v>
      </c>
      <c r="Q1172" s="7"/>
      <c r="R1172" s="7"/>
      <c r="S1172" s="12">
        <v>-8.4875599762694005</v>
      </c>
      <c r="T1172" s="12">
        <v>116.04088293864299</v>
      </c>
      <c r="U1172" s="7"/>
      <c r="V1172" s="50">
        <f>Table13678[[#This Row],[PAGU SEMULA]]-Table13678[[#This Row],[PAGU ANGGARAN]]</f>
        <v>-19656000</v>
      </c>
      <c r="W1172" s="50">
        <f>Table13678[[#This Row],[PAGU SEMULA]]-Table13678[[#This Row],[PAGU ANGGARAN]]</f>
        <v>-19656000</v>
      </c>
      <c r="X1172" t="s">
        <v>984</v>
      </c>
    </row>
    <row r="1173" spans="3:24" hidden="1">
      <c r="C1173" s="7" t="s">
        <v>110</v>
      </c>
      <c r="D1173" s="7" t="s">
        <v>208</v>
      </c>
      <c r="E1173" s="7" t="s">
        <v>209</v>
      </c>
      <c r="F1173" s="7" t="s">
        <v>210</v>
      </c>
      <c r="G1173" s="71" t="s">
        <v>211</v>
      </c>
      <c r="H1173" s="8">
        <v>53500000</v>
      </c>
      <c r="I1173" s="10" t="s">
        <v>865</v>
      </c>
      <c r="J1173" s="7" t="s">
        <v>866</v>
      </c>
      <c r="K1173" s="10" t="s">
        <v>207</v>
      </c>
      <c r="L1173" s="7" t="s">
        <v>206</v>
      </c>
      <c r="M1173" s="7"/>
      <c r="N1173" s="7">
        <f>VLOOKUP(J1173,[1]Sheet1!$C:$D,2,FALSE)</f>
        <v>5080</v>
      </c>
      <c r="O1173" s="7">
        <f>VLOOKUP(J1173,[2]Desa!$A:$D,4,FALSE)</f>
        <v>109</v>
      </c>
      <c r="P1173" s="7">
        <f>VLOOKUP(J1173,[3]Sheet1!$D:$F,3,FALSE)</f>
        <v>25</v>
      </c>
      <c r="Q1173" s="7"/>
      <c r="R1173" s="7"/>
      <c r="S1173" s="12">
        <v>-8.4875599762694005</v>
      </c>
      <c r="T1173" s="12">
        <v>116.04088293864299</v>
      </c>
      <c r="U1173" s="7"/>
      <c r="V1173" s="50">
        <f>Table13678[[#This Row],[PAGU SEMULA]]-Table13678[[#This Row],[PAGU ANGGARAN]]</f>
        <v>-53500000</v>
      </c>
      <c r="W1173" s="50">
        <f>Table13678[[#This Row],[PAGU SEMULA]]-Table13678[[#This Row],[PAGU ANGGARAN]]</f>
        <v>-53500000</v>
      </c>
      <c r="X1173" t="s">
        <v>982</v>
      </c>
    </row>
    <row r="1174" spans="3:24" hidden="1">
      <c r="C1174" s="7" t="s">
        <v>110</v>
      </c>
      <c r="D1174" s="7" t="s">
        <v>208</v>
      </c>
      <c r="E1174" s="7" t="s">
        <v>209</v>
      </c>
      <c r="F1174" s="7" t="s">
        <v>210</v>
      </c>
      <c r="G1174" s="71" t="s">
        <v>867</v>
      </c>
      <c r="H1174" s="8">
        <v>100000000</v>
      </c>
      <c r="I1174" s="10" t="s">
        <v>865</v>
      </c>
      <c r="J1174" s="7" t="s">
        <v>866</v>
      </c>
      <c r="K1174" s="10" t="s">
        <v>207</v>
      </c>
      <c r="L1174" s="7" t="s">
        <v>206</v>
      </c>
      <c r="M1174" s="7"/>
      <c r="N1174" s="7">
        <f>VLOOKUP(J1174,[1]Sheet1!$C:$D,2,FALSE)</f>
        <v>5080</v>
      </c>
      <c r="O1174" s="7">
        <f>VLOOKUP(J1174,[2]Desa!$A:$D,4,FALSE)</f>
        <v>109</v>
      </c>
      <c r="P1174" s="7">
        <f>VLOOKUP(J1174,[3]Sheet1!$D:$F,3,FALSE)</f>
        <v>25</v>
      </c>
      <c r="Q1174" s="7"/>
      <c r="R1174" s="7"/>
      <c r="S1174" s="12">
        <v>-8.4875599762694005</v>
      </c>
      <c r="T1174" s="12">
        <v>116.04088293864299</v>
      </c>
      <c r="U1174" s="7"/>
      <c r="V1174" s="50">
        <f>Table13678[[#This Row],[PAGU SEMULA]]-Table13678[[#This Row],[PAGU ANGGARAN]]</f>
        <v>-100000000</v>
      </c>
      <c r="W1174" s="50">
        <f>Table13678[[#This Row],[PAGU SEMULA]]-Table13678[[#This Row],[PAGU ANGGARAN]]</f>
        <v>-100000000</v>
      </c>
      <c r="X1174" t="s">
        <v>982</v>
      </c>
    </row>
    <row r="1175" spans="3:24" hidden="1">
      <c r="C1175" s="7" t="s">
        <v>35</v>
      </c>
      <c r="D1175" s="7" t="s">
        <v>36</v>
      </c>
      <c r="E1175" s="7" t="s">
        <v>37</v>
      </c>
      <c r="F1175" s="7" t="s">
        <v>38</v>
      </c>
      <c r="G1175" s="7" t="s">
        <v>39</v>
      </c>
      <c r="H1175" s="15">
        <v>75000000</v>
      </c>
      <c r="I1175" s="10" t="s">
        <v>865</v>
      </c>
      <c r="J1175" s="7" t="s">
        <v>866</v>
      </c>
      <c r="K1175" s="10" t="s">
        <v>207</v>
      </c>
      <c r="L1175" s="7" t="s">
        <v>206</v>
      </c>
      <c r="M1175" s="7"/>
      <c r="N1175" s="7">
        <f>VLOOKUP(J1175,[1]Sheet1!$C:$D,2,FALSE)</f>
        <v>5080</v>
      </c>
      <c r="O1175" s="7">
        <f>VLOOKUP(J1175,[2]Desa!$A:$D,4,FALSE)</f>
        <v>109</v>
      </c>
      <c r="P1175" s="7">
        <f>VLOOKUP(J1175,[3]Sheet1!$D:$F,3,FALSE)</f>
        <v>25</v>
      </c>
      <c r="Q1175" s="7"/>
      <c r="R1175" s="7"/>
      <c r="S1175" s="12">
        <v>-8.4875599762694005</v>
      </c>
      <c r="T1175" s="12">
        <v>116.04088293864299</v>
      </c>
      <c r="U1175" s="7"/>
      <c r="V1175" s="50">
        <f>Table13678[[#This Row],[PAGU SEMULA]]-Table13678[[#This Row],[PAGU ANGGARAN]]</f>
        <v>-75000000</v>
      </c>
      <c r="W1175" s="50">
        <f>Table13678[[#This Row],[PAGU SEMULA]]-Table13678[[#This Row],[PAGU ANGGARAN]]</f>
        <v>-75000000</v>
      </c>
      <c r="X1175" t="s">
        <v>984</v>
      </c>
    </row>
    <row r="1176" spans="3:24" hidden="1">
      <c r="C1176" s="7" t="s">
        <v>35</v>
      </c>
      <c r="D1176" s="7" t="s">
        <v>156</v>
      </c>
      <c r="E1176" s="7" t="s">
        <v>252</v>
      </c>
      <c r="F1176" s="7" t="s">
        <v>253</v>
      </c>
      <c r="G1176" s="7" t="s">
        <v>620</v>
      </c>
      <c r="H1176" s="17">
        <v>215000000</v>
      </c>
      <c r="I1176" s="10" t="s">
        <v>865</v>
      </c>
      <c r="J1176" s="7" t="s">
        <v>866</v>
      </c>
      <c r="K1176" s="10" t="s">
        <v>207</v>
      </c>
      <c r="L1176" s="7" t="s">
        <v>206</v>
      </c>
      <c r="M1176" s="7"/>
      <c r="N1176" s="7">
        <f>VLOOKUP(J1176,[1]Sheet1!$C:$D,2,FALSE)</f>
        <v>5080</v>
      </c>
      <c r="O1176" s="7">
        <f>VLOOKUP(J1176,[2]Desa!$A:$D,4,FALSE)</f>
        <v>109</v>
      </c>
      <c r="P1176" s="7">
        <f>VLOOKUP(J1176,[3]Sheet1!$D:$F,3,FALSE)</f>
        <v>25</v>
      </c>
      <c r="Q1176" s="7"/>
      <c r="R1176" s="7"/>
      <c r="S1176" s="12">
        <v>-8.4875599762694005</v>
      </c>
      <c r="T1176" s="12">
        <v>116.04088293864299</v>
      </c>
      <c r="U1176" s="7"/>
      <c r="V1176" s="50">
        <f>Table13678[[#This Row],[PAGU SEMULA]]-Table13678[[#This Row],[PAGU ANGGARAN]]</f>
        <v>-215000000</v>
      </c>
      <c r="W1176" s="50">
        <f>Table13678[[#This Row],[PAGU SEMULA]]-Table13678[[#This Row],[PAGU ANGGARAN]]</f>
        <v>-215000000</v>
      </c>
      <c r="X1176" t="s">
        <v>986</v>
      </c>
    </row>
    <row r="1177" spans="3:24" hidden="1">
      <c r="C1177" s="7" t="s">
        <v>35</v>
      </c>
      <c r="D1177" s="7" t="s">
        <v>212</v>
      </c>
      <c r="E1177" s="7" t="s">
        <v>213</v>
      </c>
      <c r="F1177" s="7" t="s">
        <v>214</v>
      </c>
      <c r="G1177" s="7" t="s">
        <v>336</v>
      </c>
      <c r="H1177" s="17">
        <v>341952188</v>
      </c>
      <c r="I1177" s="10" t="s">
        <v>865</v>
      </c>
      <c r="J1177" s="7" t="s">
        <v>866</v>
      </c>
      <c r="K1177" s="10" t="s">
        <v>207</v>
      </c>
      <c r="L1177" s="7" t="s">
        <v>206</v>
      </c>
      <c r="M1177" s="7"/>
      <c r="N1177" s="7">
        <f>VLOOKUP(J1177,[1]Sheet1!$C:$D,2,FALSE)</f>
        <v>5080</v>
      </c>
      <c r="O1177" s="7">
        <f>VLOOKUP(J1177,[2]Desa!$A:$D,4,FALSE)</f>
        <v>109</v>
      </c>
      <c r="P1177" s="7">
        <f>VLOOKUP(J1177,[3]Sheet1!$D:$F,3,FALSE)</f>
        <v>25</v>
      </c>
      <c r="Q1177" s="7"/>
      <c r="R1177" s="7"/>
      <c r="S1177" s="12">
        <v>-8.4875599762694005</v>
      </c>
      <c r="T1177" s="12">
        <v>116.04088293864299</v>
      </c>
      <c r="U1177" s="7"/>
      <c r="V1177" s="50">
        <f>Table13678[[#This Row],[PAGU SEMULA]]-Table13678[[#This Row],[PAGU ANGGARAN]]</f>
        <v>-341952188</v>
      </c>
      <c r="W1177" s="50">
        <f>Table13678[[#This Row],[PAGU SEMULA]]-Table13678[[#This Row],[PAGU ANGGARAN]]</f>
        <v>-341952188</v>
      </c>
      <c r="X1177" t="s">
        <v>986</v>
      </c>
    </row>
    <row r="1178" spans="3:24" hidden="1">
      <c r="C1178" s="7" t="s">
        <v>35</v>
      </c>
      <c r="D1178" s="7" t="s">
        <v>354</v>
      </c>
      <c r="E1178" s="7" t="s">
        <v>355</v>
      </c>
      <c r="F1178" s="7" t="s">
        <v>356</v>
      </c>
      <c r="G1178" s="7" t="s">
        <v>868</v>
      </c>
      <c r="H1178" s="15">
        <v>2995000000</v>
      </c>
      <c r="I1178" s="10" t="s">
        <v>865</v>
      </c>
      <c r="J1178" s="7" t="s">
        <v>866</v>
      </c>
      <c r="K1178" s="10" t="s">
        <v>207</v>
      </c>
      <c r="L1178" s="7" t="s">
        <v>206</v>
      </c>
      <c r="M1178" s="7"/>
      <c r="N1178" s="7">
        <f>VLOOKUP(J1178,[1]Sheet1!$C:$D,2,FALSE)</f>
        <v>5080</v>
      </c>
      <c r="O1178" s="7">
        <f>VLOOKUP(J1178,[2]Desa!$A:$D,4,FALSE)</f>
        <v>109</v>
      </c>
      <c r="P1178" s="7">
        <f>VLOOKUP(J1178,[3]Sheet1!$D:$F,3,FALSE)</f>
        <v>25</v>
      </c>
      <c r="Q1178" s="7"/>
      <c r="R1178" s="7"/>
      <c r="S1178" s="12">
        <v>-8.4875599762694005</v>
      </c>
      <c r="T1178" s="12">
        <v>116.04088293864299</v>
      </c>
      <c r="U1178" s="7"/>
      <c r="V1178" s="50">
        <f>Table13678[[#This Row],[PAGU SEMULA]]-Table13678[[#This Row],[PAGU ANGGARAN]]</f>
        <v>-2995000000</v>
      </c>
      <c r="W1178" s="50">
        <f>Table13678[[#This Row],[PAGU SEMULA]]-Table13678[[#This Row],[PAGU ANGGARAN]]</f>
        <v>-2995000000</v>
      </c>
      <c r="X1178" t="s">
        <v>986</v>
      </c>
    </row>
    <row r="1179" spans="3:24" hidden="1">
      <c r="C1179" s="7" t="s">
        <v>869</v>
      </c>
      <c r="D1179" s="7" t="s">
        <v>291</v>
      </c>
      <c r="E1179" s="7" t="s">
        <v>870</v>
      </c>
      <c r="F1179" s="7" t="s">
        <v>871</v>
      </c>
      <c r="G1179" s="71" t="s">
        <v>872</v>
      </c>
      <c r="H1179" s="8">
        <v>50000000</v>
      </c>
      <c r="I1179" s="10" t="s">
        <v>865</v>
      </c>
      <c r="J1179" s="7" t="s">
        <v>866</v>
      </c>
      <c r="K1179" s="10" t="s">
        <v>207</v>
      </c>
      <c r="L1179" s="7" t="s">
        <v>206</v>
      </c>
      <c r="M1179" s="7"/>
      <c r="N1179" s="7">
        <f>VLOOKUP(J1179,[1]Sheet1!$C:$D,2,FALSE)</f>
        <v>5080</v>
      </c>
      <c r="O1179" s="7">
        <f>VLOOKUP(J1179,[2]Desa!$A:$D,4,FALSE)</f>
        <v>109</v>
      </c>
      <c r="P1179" s="7">
        <f>VLOOKUP(J1179,[3]Sheet1!$D:$F,3,FALSE)</f>
        <v>25</v>
      </c>
      <c r="Q1179" s="7"/>
      <c r="R1179" s="7"/>
      <c r="S1179" s="12">
        <v>-8.4875599762694005</v>
      </c>
      <c r="T1179" s="12">
        <v>116.04088293864299</v>
      </c>
      <c r="U1179" s="7"/>
      <c r="V1179" s="50">
        <f>Table13678[[#This Row],[PAGU SEMULA]]-Table13678[[#This Row],[PAGU ANGGARAN]]</f>
        <v>-50000000</v>
      </c>
      <c r="W1179" s="50">
        <f>Table13678[[#This Row],[PAGU SEMULA]]-Table13678[[#This Row],[PAGU ANGGARAN]]</f>
        <v>-50000000</v>
      </c>
      <c r="X1179" t="s">
        <v>982</v>
      </c>
    </row>
    <row r="1180" spans="3:24" hidden="1">
      <c r="C1180" s="7" t="s">
        <v>29</v>
      </c>
      <c r="D1180" s="7" t="s">
        <v>30</v>
      </c>
      <c r="E1180" s="7" t="s">
        <v>31</v>
      </c>
      <c r="F1180" s="7" t="s">
        <v>32</v>
      </c>
      <c r="G1180" s="7" t="s">
        <v>33</v>
      </c>
      <c r="H1180" s="8">
        <v>283080000</v>
      </c>
      <c r="I1180" s="10" t="s">
        <v>873</v>
      </c>
      <c r="J1180" s="7" t="s">
        <v>874</v>
      </c>
      <c r="K1180" s="10" t="s">
        <v>207</v>
      </c>
      <c r="L1180" s="7" t="s">
        <v>206</v>
      </c>
      <c r="M1180" s="7"/>
      <c r="N1180" s="7">
        <f>VLOOKUP(J1180,[1]Sheet1!$C:$D,2,FALSE)</f>
        <v>5436</v>
      </c>
      <c r="O1180" s="7">
        <f>VLOOKUP(J1180,[2]Desa!$A:$D,4,FALSE)</f>
        <v>109</v>
      </c>
      <c r="P1180" s="7">
        <f>VLOOKUP(J1180,[3]Sheet1!$D:$F,3,FALSE)</f>
        <v>25</v>
      </c>
      <c r="Q1180" s="7"/>
      <c r="R1180" s="7"/>
      <c r="S1180" s="12">
        <v>-8.53865792385524</v>
      </c>
      <c r="T1180" s="12">
        <v>116.074280207953</v>
      </c>
      <c r="U1180" s="7"/>
      <c r="V1180" s="50">
        <f>Table13678[[#This Row],[PAGU SEMULA]]-Table13678[[#This Row],[PAGU ANGGARAN]]</f>
        <v>-283080000</v>
      </c>
      <c r="W1180" s="50">
        <f>Table13678[[#This Row],[PAGU SEMULA]]-Table13678[[#This Row],[PAGU ANGGARAN]]</f>
        <v>-283080000</v>
      </c>
      <c r="X1180" t="s">
        <v>984</v>
      </c>
    </row>
    <row r="1181" spans="3:24" hidden="1">
      <c r="C1181" s="7" t="s">
        <v>29</v>
      </c>
      <c r="D1181" s="7" t="s">
        <v>30</v>
      </c>
      <c r="E1181" s="7" t="s">
        <v>31</v>
      </c>
      <c r="F1181" s="7" t="s">
        <v>32</v>
      </c>
      <c r="G1181" s="7" t="s">
        <v>34</v>
      </c>
      <c r="H1181" s="8">
        <v>22646400</v>
      </c>
      <c r="I1181" s="10" t="s">
        <v>873</v>
      </c>
      <c r="J1181" s="7" t="s">
        <v>874</v>
      </c>
      <c r="K1181" s="10" t="s">
        <v>207</v>
      </c>
      <c r="L1181" s="7" t="s">
        <v>206</v>
      </c>
      <c r="M1181" s="7"/>
      <c r="N1181" s="7">
        <f>VLOOKUP(J1181,[1]Sheet1!$C:$D,2,FALSE)</f>
        <v>5436</v>
      </c>
      <c r="O1181" s="7">
        <f>VLOOKUP(J1181,[2]Desa!$A:$D,4,FALSE)</f>
        <v>109</v>
      </c>
      <c r="P1181" s="7">
        <f>VLOOKUP(J1181,[3]Sheet1!$D:$F,3,FALSE)</f>
        <v>25</v>
      </c>
      <c r="Q1181" s="7"/>
      <c r="R1181" s="7"/>
      <c r="S1181" s="12">
        <v>-8.53865792385524</v>
      </c>
      <c r="T1181" s="12">
        <v>116.074280207953</v>
      </c>
      <c r="U1181" s="7"/>
      <c r="V1181" s="50">
        <f>Table13678[[#This Row],[PAGU SEMULA]]-Table13678[[#This Row],[PAGU ANGGARAN]]</f>
        <v>-22646400</v>
      </c>
      <c r="W1181" s="50">
        <f>Table13678[[#This Row],[PAGU SEMULA]]-Table13678[[#This Row],[PAGU ANGGARAN]]</f>
        <v>-22646400</v>
      </c>
      <c r="X1181" t="s">
        <v>984</v>
      </c>
    </row>
    <row r="1182" spans="3:24">
      <c r="C1182" s="7" t="s">
        <v>60</v>
      </c>
      <c r="D1182" s="7" t="s">
        <v>61</v>
      </c>
      <c r="E1182" s="7" t="s">
        <v>62</v>
      </c>
      <c r="F1182" s="7" t="s">
        <v>720</v>
      </c>
      <c r="G1182" s="71" t="s">
        <v>875</v>
      </c>
      <c r="H1182" s="15">
        <v>190000000</v>
      </c>
      <c r="I1182" s="10" t="s">
        <v>873</v>
      </c>
      <c r="J1182" s="7" t="s">
        <v>874</v>
      </c>
      <c r="K1182" s="10" t="s">
        <v>207</v>
      </c>
      <c r="L1182" s="7" t="s">
        <v>206</v>
      </c>
      <c r="M1182" s="7"/>
      <c r="N1182" s="7">
        <f>VLOOKUP(J1182,[1]Sheet1!$C:$D,2,FALSE)</f>
        <v>5436</v>
      </c>
      <c r="O1182" s="7">
        <f>VLOOKUP(J1182,[2]Desa!$A:$D,4,FALSE)</f>
        <v>109</v>
      </c>
      <c r="P1182" s="7">
        <f>VLOOKUP(J1182,[3]Sheet1!$D:$F,3,FALSE)</f>
        <v>25</v>
      </c>
      <c r="Q1182" s="7"/>
      <c r="R1182" s="7"/>
      <c r="S1182" s="12">
        <v>-8.53865792385524</v>
      </c>
      <c r="T1182" s="12">
        <v>116.074280207953</v>
      </c>
      <c r="U1182" s="7"/>
      <c r="V1182" s="50">
        <f>Table13678[[#This Row],[PAGU SEMULA]]-Table13678[[#This Row],[PAGU ANGGARAN]]</f>
        <v>-190000000</v>
      </c>
      <c r="W1182" s="50">
        <f>Table13678[[#This Row],[PAGU SEMULA]]-Table13678[[#This Row],[PAGU ANGGARAN]]</f>
        <v>-190000000</v>
      </c>
      <c r="X1182" t="s">
        <v>987</v>
      </c>
    </row>
    <row r="1183" spans="3:24">
      <c r="C1183" s="7" t="s">
        <v>60</v>
      </c>
      <c r="D1183" s="7" t="s">
        <v>61</v>
      </c>
      <c r="E1183" s="7" t="s">
        <v>62</v>
      </c>
      <c r="F1183" s="7" t="s">
        <v>720</v>
      </c>
      <c r="G1183" s="71" t="s">
        <v>722</v>
      </c>
      <c r="H1183" s="15">
        <v>150000000</v>
      </c>
      <c r="I1183" s="10" t="s">
        <v>873</v>
      </c>
      <c r="J1183" s="7" t="s">
        <v>874</v>
      </c>
      <c r="K1183" s="10" t="s">
        <v>207</v>
      </c>
      <c r="L1183" s="7" t="s">
        <v>206</v>
      </c>
      <c r="M1183" s="7"/>
      <c r="N1183" s="7">
        <f>VLOOKUP(J1183,[1]Sheet1!$C:$D,2,FALSE)</f>
        <v>5436</v>
      </c>
      <c r="O1183" s="7">
        <f>VLOOKUP(J1183,[2]Desa!$A:$D,4,FALSE)</f>
        <v>109</v>
      </c>
      <c r="P1183" s="7">
        <f>VLOOKUP(J1183,[3]Sheet1!$D:$F,3,FALSE)</f>
        <v>25</v>
      </c>
      <c r="Q1183" s="7"/>
      <c r="R1183" s="7"/>
      <c r="S1183" s="12">
        <v>-8.53865792385524</v>
      </c>
      <c r="T1183" s="12">
        <v>116.074280207953</v>
      </c>
      <c r="U1183" s="7"/>
      <c r="V1183" s="50">
        <f>Table13678[[#This Row],[PAGU SEMULA]]-Table13678[[#This Row],[PAGU ANGGARAN]]</f>
        <v>-150000000</v>
      </c>
      <c r="W1183" s="50">
        <f>Table13678[[#This Row],[PAGU SEMULA]]-Table13678[[#This Row],[PAGU ANGGARAN]]</f>
        <v>-150000000</v>
      </c>
      <c r="X1183" t="s">
        <v>987</v>
      </c>
    </row>
    <row r="1184" spans="3:24" hidden="1">
      <c r="C1184" s="7" t="s">
        <v>35</v>
      </c>
      <c r="D1184" s="7" t="s">
        <v>36</v>
      </c>
      <c r="E1184" s="7" t="s">
        <v>37</v>
      </c>
      <c r="F1184" s="7" t="s">
        <v>38</v>
      </c>
      <c r="G1184" s="7" t="s">
        <v>39</v>
      </c>
      <c r="H1184" s="15">
        <v>75000000</v>
      </c>
      <c r="I1184" s="10" t="s">
        <v>873</v>
      </c>
      <c r="J1184" s="7" t="s">
        <v>874</v>
      </c>
      <c r="K1184" s="10" t="s">
        <v>207</v>
      </c>
      <c r="L1184" s="7" t="s">
        <v>206</v>
      </c>
      <c r="M1184" s="7"/>
      <c r="N1184" s="7">
        <f>VLOOKUP(J1184,[1]Sheet1!$C:$D,2,FALSE)</f>
        <v>5436</v>
      </c>
      <c r="O1184" s="7">
        <f>VLOOKUP(J1184,[2]Desa!$A:$D,4,FALSE)</f>
        <v>109</v>
      </c>
      <c r="P1184" s="7">
        <f>VLOOKUP(J1184,[3]Sheet1!$D:$F,3,FALSE)</f>
        <v>25</v>
      </c>
      <c r="Q1184" s="7"/>
      <c r="R1184" s="7"/>
      <c r="S1184" s="12">
        <v>-8.53865792385524</v>
      </c>
      <c r="T1184" s="12">
        <v>116.074280207953</v>
      </c>
      <c r="U1184" s="7"/>
      <c r="V1184" s="50">
        <f>Table13678[[#This Row],[PAGU SEMULA]]-Table13678[[#This Row],[PAGU ANGGARAN]]</f>
        <v>-75000000</v>
      </c>
      <c r="W1184" s="50">
        <f>Table13678[[#This Row],[PAGU SEMULA]]-Table13678[[#This Row],[PAGU ANGGARAN]]</f>
        <v>-75000000</v>
      </c>
      <c r="X1184" t="s">
        <v>984</v>
      </c>
    </row>
    <row r="1185" spans="3:24" hidden="1">
      <c r="C1185" s="7" t="s">
        <v>35</v>
      </c>
      <c r="D1185" s="7" t="s">
        <v>65</v>
      </c>
      <c r="E1185" s="7" t="s">
        <v>66</v>
      </c>
      <c r="F1185" s="7" t="s">
        <v>160</v>
      </c>
      <c r="G1185" s="7" t="s">
        <v>876</v>
      </c>
      <c r="H1185" s="15">
        <v>1834032500</v>
      </c>
      <c r="I1185" s="10" t="s">
        <v>873</v>
      </c>
      <c r="J1185" s="7" t="s">
        <v>874</v>
      </c>
      <c r="K1185" s="10" t="s">
        <v>207</v>
      </c>
      <c r="L1185" s="7" t="s">
        <v>206</v>
      </c>
      <c r="M1185" s="7"/>
      <c r="N1185" s="7">
        <f>VLOOKUP(J1185,[1]Sheet1!$C:$D,2,FALSE)</f>
        <v>5436</v>
      </c>
      <c r="O1185" s="7">
        <f>VLOOKUP(J1185,[2]Desa!$A:$D,4,FALSE)</f>
        <v>109</v>
      </c>
      <c r="P1185" s="7">
        <f>VLOOKUP(J1185,[3]Sheet1!$D:$F,3,FALSE)</f>
        <v>25</v>
      </c>
      <c r="Q1185" s="7"/>
      <c r="R1185" s="7"/>
      <c r="S1185" s="12">
        <v>-8.53865792385524</v>
      </c>
      <c r="T1185" s="12">
        <v>116.074280207953</v>
      </c>
      <c r="U1185" s="7"/>
      <c r="V1185" s="50">
        <f>Table13678[[#This Row],[PAGU SEMULA]]-Table13678[[#This Row],[PAGU ANGGARAN]]</f>
        <v>-1834032500</v>
      </c>
      <c r="W1185" s="50">
        <f>Table13678[[#This Row],[PAGU SEMULA]]-Table13678[[#This Row],[PAGU ANGGARAN]]</f>
        <v>-1834032500</v>
      </c>
      <c r="X1185" t="s">
        <v>986</v>
      </c>
    </row>
    <row r="1186" spans="3:24">
      <c r="C1186" s="7" t="s">
        <v>46</v>
      </c>
      <c r="D1186" s="7" t="s">
        <v>122</v>
      </c>
      <c r="E1186" s="7" t="s">
        <v>123</v>
      </c>
      <c r="F1186" s="7" t="s">
        <v>124</v>
      </c>
      <c r="G1186" s="7" t="s">
        <v>369</v>
      </c>
      <c r="H1186" s="8">
        <v>62500000</v>
      </c>
      <c r="I1186" s="10" t="s">
        <v>873</v>
      </c>
      <c r="J1186" s="7" t="s">
        <v>874</v>
      </c>
      <c r="K1186" s="10" t="s">
        <v>207</v>
      </c>
      <c r="L1186" s="7" t="s">
        <v>206</v>
      </c>
      <c r="M1186" s="7"/>
      <c r="N1186" s="7">
        <f>VLOOKUP(J1186,[1]Sheet1!$C:$D,2,FALSE)</f>
        <v>5436</v>
      </c>
      <c r="O1186" s="7">
        <f>VLOOKUP(J1186,[2]Desa!$A:$D,4,FALSE)</f>
        <v>109</v>
      </c>
      <c r="P1186" s="7">
        <f>VLOOKUP(J1186,[3]Sheet1!$D:$F,3,FALSE)</f>
        <v>25</v>
      </c>
      <c r="Q1186" s="7"/>
      <c r="R1186" s="7"/>
      <c r="S1186" s="12">
        <v>-8.53865792385524</v>
      </c>
      <c r="T1186" s="12">
        <v>116.074280207953</v>
      </c>
      <c r="U1186" s="7"/>
      <c r="V1186" s="50">
        <f>Table13678[[#This Row],[PAGU SEMULA]]-Table13678[[#This Row],[PAGU ANGGARAN]]</f>
        <v>-62500000</v>
      </c>
      <c r="W1186" s="50">
        <f>Table13678[[#This Row],[PAGU SEMULA]]-Table13678[[#This Row],[PAGU ANGGARAN]]</f>
        <v>-62500000</v>
      </c>
      <c r="X1186" t="s">
        <v>987</v>
      </c>
    </row>
    <row r="1187" spans="3:24">
      <c r="C1187" s="7" t="s">
        <v>46</v>
      </c>
      <c r="D1187" s="7" t="s">
        <v>122</v>
      </c>
      <c r="E1187" s="7" t="s">
        <v>123</v>
      </c>
      <c r="F1187" s="7" t="s">
        <v>124</v>
      </c>
      <c r="G1187" s="7" t="s">
        <v>370</v>
      </c>
      <c r="H1187" s="8">
        <v>36000000</v>
      </c>
      <c r="I1187" s="10" t="s">
        <v>873</v>
      </c>
      <c r="J1187" s="7" t="s">
        <v>874</v>
      </c>
      <c r="K1187" s="10" t="s">
        <v>207</v>
      </c>
      <c r="L1187" s="7" t="s">
        <v>206</v>
      </c>
      <c r="M1187" s="7"/>
      <c r="N1187" s="7">
        <f>VLOOKUP(J1187,[1]Sheet1!$C:$D,2,FALSE)</f>
        <v>5436</v>
      </c>
      <c r="O1187" s="7">
        <f>VLOOKUP(J1187,[2]Desa!$A:$D,4,FALSE)</f>
        <v>109</v>
      </c>
      <c r="P1187" s="7">
        <f>VLOOKUP(J1187,[3]Sheet1!$D:$F,3,FALSE)</f>
        <v>25</v>
      </c>
      <c r="Q1187" s="7"/>
      <c r="R1187" s="7"/>
      <c r="S1187" s="12">
        <v>-8.53865792385524</v>
      </c>
      <c r="T1187" s="12">
        <v>116.074280207953</v>
      </c>
      <c r="U1187" s="7"/>
      <c r="V1187" s="50">
        <f>Table13678[[#This Row],[PAGU SEMULA]]-Table13678[[#This Row],[PAGU ANGGARAN]]</f>
        <v>-36000000</v>
      </c>
      <c r="W1187" s="50">
        <f>Table13678[[#This Row],[PAGU SEMULA]]-Table13678[[#This Row],[PAGU ANGGARAN]]</f>
        <v>-36000000</v>
      </c>
      <c r="X1187" t="s">
        <v>987</v>
      </c>
    </row>
    <row r="1188" spans="3:24" hidden="1">
      <c r="C1188" s="7" t="s">
        <v>51</v>
      </c>
      <c r="D1188" s="7" t="s">
        <v>52</v>
      </c>
      <c r="E1188" s="7" t="s">
        <v>53</v>
      </c>
      <c r="F1188" s="7" t="s">
        <v>54</v>
      </c>
      <c r="G1188" s="7" t="s">
        <v>73</v>
      </c>
      <c r="H1188" s="8">
        <v>380090000</v>
      </c>
      <c r="I1188" s="10" t="s">
        <v>873</v>
      </c>
      <c r="J1188" s="7" t="s">
        <v>874</v>
      </c>
      <c r="K1188" s="10" t="s">
        <v>207</v>
      </c>
      <c r="L1188" s="7" t="s">
        <v>206</v>
      </c>
      <c r="M1188" s="7"/>
      <c r="N1188" s="7">
        <f>VLOOKUP(J1188,[1]Sheet1!$C:$D,2,FALSE)</f>
        <v>5436</v>
      </c>
      <c r="O1188" s="7">
        <f>VLOOKUP(J1188,[2]Desa!$A:$D,4,FALSE)</f>
        <v>109</v>
      </c>
      <c r="P1188" s="7">
        <f>VLOOKUP(J1188,[3]Sheet1!$D:$F,3,FALSE)</f>
        <v>25</v>
      </c>
      <c r="Q1188" s="7"/>
      <c r="R1188" s="7"/>
      <c r="S1188" s="12">
        <v>-8.53865792385524</v>
      </c>
      <c r="T1188" s="12">
        <v>116.074280207953</v>
      </c>
      <c r="U1188" s="7"/>
      <c r="V1188" s="50">
        <f>Table13678[[#This Row],[PAGU SEMULA]]-Table13678[[#This Row],[PAGU ANGGARAN]]</f>
        <v>-380090000</v>
      </c>
      <c r="W1188" s="50">
        <f>Table13678[[#This Row],[PAGU SEMULA]]-Table13678[[#This Row],[PAGU ANGGARAN]]</f>
        <v>-380090000</v>
      </c>
      <c r="X1188" t="s">
        <v>986</v>
      </c>
    </row>
    <row r="1189" spans="3:24" hidden="1">
      <c r="C1189" s="7" t="s">
        <v>51</v>
      </c>
      <c r="D1189" s="7" t="s">
        <v>52</v>
      </c>
      <c r="E1189" s="7" t="s">
        <v>53</v>
      </c>
      <c r="F1189" s="7" t="s">
        <v>54</v>
      </c>
      <c r="G1189" s="7" t="s">
        <v>73</v>
      </c>
      <c r="H1189" s="8">
        <v>189090000</v>
      </c>
      <c r="I1189" s="10" t="s">
        <v>873</v>
      </c>
      <c r="J1189" s="7" t="s">
        <v>874</v>
      </c>
      <c r="K1189" s="10" t="s">
        <v>207</v>
      </c>
      <c r="L1189" s="7" t="s">
        <v>206</v>
      </c>
      <c r="M1189" s="7"/>
      <c r="N1189" s="7">
        <f>VLOOKUP(J1189,[1]Sheet1!$C:$D,2,FALSE)</f>
        <v>5436</v>
      </c>
      <c r="O1189" s="7">
        <f>VLOOKUP(J1189,[2]Desa!$A:$D,4,FALSE)</f>
        <v>109</v>
      </c>
      <c r="P1189" s="7">
        <f>VLOOKUP(J1189,[3]Sheet1!$D:$F,3,FALSE)</f>
        <v>25</v>
      </c>
      <c r="Q1189" s="7"/>
      <c r="R1189" s="7"/>
      <c r="S1189" s="12">
        <v>-8.53865792385524</v>
      </c>
      <c r="T1189" s="12">
        <v>116.074280207953</v>
      </c>
      <c r="U1189" s="7"/>
      <c r="V1189" s="50">
        <f>Table13678[[#This Row],[PAGU SEMULA]]-Table13678[[#This Row],[PAGU ANGGARAN]]</f>
        <v>-189090000</v>
      </c>
      <c r="W1189" s="50">
        <f>Table13678[[#This Row],[PAGU SEMULA]]-Table13678[[#This Row],[PAGU ANGGARAN]]</f>
        <v>-189090000</v>
      </c>
      <c r="X1189" t="s">
        <v>986</v>
      </c>
    </row>
    <row r="1190" spans="3:24" hidden="1">
      <c r="C1190" s="7" t="s">
        <v>20</v>
      </c>
      <c r="D1190" s="7" t="s">
        <v>21</v>
      </c>
      <c r="E1190" s="7" t="s">
        <v>22</v>
      </c>
      <c r="F1190" s="7" t="s">
        <v>23</v>
      </c>
      <c r="G1190" s="71" t="s">
        <v>390</v>
      </c>
      <c r="H1190" s="15">
        <v>82500000</v>
      </c>
      <c r="I1190" s="10" t="s">
        <v>877</v>
      </c>
      <c r="J1190" s="7" t="s">
        <v>878</v>
      </c>
      <c r="K1190" s="10" t="s">
        <v>58</v>
      </c>
      <c r="L1190" s="7" t="s">
        <v>59</v>
      </c>
      <c r="M1190" s="7"/>
      <c r="N1190" s="7">
        <f>VLOOKUP(J1190,[1]Sheet1!$C:$D,2,FALSE)</f>
        <v>6543</v>
      </c>
      <c r="O1190" s="7">
        <f>VLOOKUP(J1190,[2]Desa!$A:$D,4,FALSE)</f>
        <v>197</v>
      </c>
      <c r="P1190" s="7">
        <f>VLOOKUP(J1190,[3]Sheet1!$D:$F,3,FALSE)</f>
        <v>49</v>
      </c>
      <c r="Q1190" s="7"/>
      <c r="R1190" s="7"/>
      <c r="S1190" s="12">
        <v>-8.5392589685347193</v>
      </c>
      <c r="T1190" s="12">
        <v>116.244405014538</v>
      </c>
      <c r="U1190" s="7"/>
      <c r="V1190" s="50">
        <f>Table13678[[#This Row],[PAGU SEMULA]]-Table13678[[#This Row],[PAGU ANGGARAN]]</f>
        <v>-82500000</v>
      </c>
      <c r="W1190" s="50">
        <f>Table13678[[#This Row],[PAGU SEMULA]]-Table13678[[#This Row],[PAGU ANGGARAN]]</f>
        <v>-82500000</v>
      </c>
      <c r="X1190" t="s">
        <v>984</v>
      </c>
    </row>
    <row r="1191" spans="3:24" hidden="1">
      <c r="C1191" s="7" t="s">
        <v>29</v>
      </c>
      <c r="D1191" s="7" t="s">
        <v>30</v>
      </c>
      <c r="E1191" s="7" t="s">
        <v>31</v>
      </c>
      <c r="F1191" s="7" t="s">
        <v>32</v>
      </c>
      <c r="G1191" s="7" t="s">
        <v>33</v>
      </c>
      <c r="H1191" s="8">
        <v>827820000</v>
      </c>
      <c r="I1191" s="10" t="s">
        <v>877</v>
      </c>
      <c r="J1191" s="7" t="s">
        <v>878</v>
      </c>
      <c r="K1191" s="10" t="s">
        <v>58</v>
      </c>
      <c r="L1191" s="7" t="s">
        <v>59</v>
      </c>
      <c r="M1191" s="7"/>
      <c r="N1191" s="7">
        <f>VLOOKUP(J1191,[1]Sheet1!$C:$D,2,FALSE)</f>
        <v>6543</v>
      </c>
      <c r="O1191" s="7">
        <f>VLOOKUP(J1191,[2]Desa!$A:$D,4,FALSE)</f>
        <v>197</v>
      </c>
      <c r="P1191" s="7">
        <f>VLOOKUP(J1191,[3]Sheet1!$D:$F,3,FALSE)</f>
        <v>49</v>
      </c>
      <c r="Q1191" s="7"/>
      <c r="R1191" s="7"/>
      <c r="S1191" s="12">
        <v>-8.5392589685347193</v>
      </c>
      <c r="T1191" s="12">
        <v>116.244405014538</v>
      </c>
      <c r="U1191" s="7"/>
      <c r="V1191" s="50">
        <f>Table13678[[#This Row],[PAGU SEMULA]]-Table13678[[#This Row],[PAGU ANGGARAN]]</f>
        <v>-827820000</v>
      </c>
      <c r="W1191" s="50">
        <f>Table13678[[#This Row],[PAGU SEMULA]]-Table13678[[#This Row],[PAGU ANGGARAN]]</f>
        <v>-827820000</v>
      </c>
      <c r="X1191" t="s">
        <v>984</v>
      </c>
    </row>
    <row r="1192" spans="3:24" hidden="1">
      <c r="C1192" s="7" t="s">
        <v>29</v>
      </c>
      <c r="D1192" s="7" t="s">
        <v>30</v>
      </c>
      <c r="E1192" s="7" t="s">
        <v>31</v>
      </c>
      <c r="F1192" s="7" t="s">
        <v>32</v>
      </c>
      <c r="G1192" s="7" t="s">
        <v>34</v>
      </c>
      <c r="H1192" s="8">
        <v>66225600</v>
      </c>
      <c r="I1192" s="10" t="s">
        <v>877</v>
      </c>
      <c r="J1192" s="7" t="s">
        <v>878</v>
      </c>
      <c r="K1192" s="10" t="s">
        <v>58</v>
      </c>
      <c r="L1192" s="7" t="s">
        <v>59</v>
      </c>
      <c r="M1192" s="7"/>
      <c r="N1192" s="7">
        <f>VLOOKUP(J1192,[1]Sheet1!$C:$D,2,FALSE)</f>
        <v>6543</v>
      </c>
      <c r="O1192" s="7">
        <f>VLOOKUP(J1192,[2]Desa!$A:$D,4,FALSE)</f>
        <v>197</v>
      </c>
      <c r="P1192" s="7">
        <f>VLOOKUP(J1192,[3]Sheet1!$D:$F,3,FALSE)</f>
        <v>49</v>
      </c>
      <c r="Q1192" s="7"/>
      <c r="R1192" s="7"/>
      <c r="S1192" s="12">
        <v>-8.5392589685347193</v>
      </c>
      <c r="T1192" s="12">
        <v>116.244405014538</v>
      </c>
      <c r="U1192" s="7"/>
      <c r="V1192" s="50">
        <f>Table13678[[#This Row],[PAGU SEMULA]]-Table13678[[#This Row],[PAGU ANGGARAN]]</f>
        <v>-66225600</v>
      </c>
      <c r="W1192" s="50">
        <f>Table13678[[#This Row],[PAGU SEMULA]]-Table13678[[#This Row],[PAGU ANGGARAN]]</f>
        <v>-66225600</v>
      </c>
      <c r="X1192" t="s">
        <v>984</v>
      </c>
    </row>
    <row r="1193" spans="3:24" hidden="1">
      <c r="C1193" s="7" t="s">
        <v>110</v>
      </c>
      <c r="D1193" s="7" t="s">
        <v>291</v>
      </c>
      <c r="E1193" s="7" t="s">
        <v>292</v>
      </c>
      <c r="F1193" s="7" t="s">
        <v>293</v>
      </c>
      <c r="G1193" s="71" t="s">
        <v>879</v>
      </c>
      <c r="H1193" s="8">
        <v>143000000</v>
      </c>
      <c r="I1193" s="10" t="s">
        <v>877</v>
      </c>
      <c r="J1193" s="7" t="s">
        <v>878</v>
      </c>
      <c r="K1193" s="10" t="s">
        <v>58</v>
      </c>
      <c r="L1193" s="7" t="s">
        <v>59</v>
      </c>
      <c r="M1193" s="7"/>
      <c r="N1193" s="7">
        <f>VLOOKUP(J1193,[1]Sheet1!$C:$D,2,FALSE)</f>
        <v>6543</v>
      </c>
      <c r="O1193" s="7">
        <f>VLOOKUP(J1193,[2]Desa!$A:$D,4,FALSE)</f>
        <v>197</v>
      </c>
      <c r="P1193" s="7">
        <f>VLOOKUP(J1193,[3]Sheet1!$D:$F,3,FALSE)</f>
        <v>49</v>
      </c>
      <c r="Q1193" s="7"/>
      <c r="R1193" s="7"/>
      <c r="S1193" s="12">
        <v>-8.5392589685347193</v>
      </c>
      <c r="T1193" s="12">
        <v>116.244405014538</v>
      </c>
      <c r="U1193" s="7"/>
      <c r="V1193" s="50">
        <f>Table13678[[#This Row],[PAGU SEMULA]]-Table13678[[#This Row],[PAGU ANGGARAN]]</f>
        <v>-143000000</v>
      </c>
      <c r="W1193" s="50">
        <f>Table13678[[#This Row],[PAGU SEMULA]]-Table13678[[#This Row],[PAGU ANGGARAN]]</f>
        <v>-143000000</v>
      </c>
      <c r="X1193" t="s">
        <v>982</v>
      </c>
    </row>
    <row r="1194" spans="3:24" hidden="1">
      <c r="C1194" s="7" t="s">
        <v>35</v>
      </c>
      <c r="D1194" s="7" t="s">
        <v>36</v>
      </c>
      <c r="E1194" s="7" t="s">
        <v>37</v>
      </c>
      <c r="F1194" s="7" t="s">
        <v>38</v>
      </c>
      <c r="G1194" s="7" t="s">
        <v>39</v>
      </c>
      <c r="H1194" s="15">
        <v>75000000</v>
      </c>
      <c r="I1194" s="10" t="s">
        <v>877</v>
      </c>
      <c r="J1194" s="7" t="s">
        <v>878</v>
      </c>
      <c r="K1194" s="10" t="s">
        <v>58</v>
      </c>
      <c r="L1194" s="7" t="s">
        <v>59</v>
      </c>
      <c r="M1194" s="7"/>
      <c r="N1194" s="7">
        <f>VLOOKUP(J1194,[1]Sheet1!$C:$D,2,FALSE)</f>
        <v>6543</v>
      </c>
      <c r="O1194" s="7">
        <f>VLOOKUP(J1194,[2]Desa!$A:$D,4,FALSE)</f>
        <v>197</v>
      </c>
      <c r="P1194" s="7">
        <f>VLOOKUP(J1194,[3]Sheet1!$D:$F,3,FALSE)</f>
        <v>49</v>
      </c>
      <c r="Q1194" s="7"/>
      <c r="R1194" s="7"/>
      <c r="S1194" s="12">
        <v>-8.5392589685347193</v>
      </c>
      <c r="T1194" s="12">
        <v>116.244405014538</v>
      </c>
      <c r="U1194" s="7"/>
      <c r="V1194" s="50">
        <f>Table13678[[#This Row],[PAGU SEMULA]]-Table13678[[#This Row],[PAGU ANGGARAN]]</f>
        <v>-75000000</v>
      </c>
      <c r="W1194" s="50">
        <f>Table13678[[#This Row],[PAGU SEMULA]]-Table13678[[#This Row],[PAGU ANGGARAN]]</f>
        <v>-75000000</v>
      </c>
      <c r="X1194" t="s">
        <v>984</v>
      </c>
    </row>
    <row r="1195" spans="3:24" hidden="1">
      <c r="C1195" s="7" t="s">
        <v>46</v>
      </c>
      <c r="D1195" s="7" t="s">
        <v>122</v>
      </c>
      <c r="E1195" s="7" t="s">
        <v>123</v>
      </c>
      <c r="F1195" s="7" t="s">
        <v>124</v>
      </c>
      <c r="G1195" s="7" t="s">
        <v>369</v>
      </c>
      <c r="H1195" s="8">
        <v>37500000</v>
      </c>
      <c r="I1195" s="10" t="s">
        <v>877</v>
      </c>
      <c r="J1195" s="7" t="s">
        <v>878</v>
      </c>
      <c r="K1195" s="10" t="s">
        <v>58</v>
      </c>
      <c r="L1195" s="7" t="s">
        <v>59</v>
      </c>
      <c r="M1195" s="7"/>
      <c r="N1195" s="7">
        <f>VLOOKUP(J1195,[1]Sheet1!$C:$D,2,FALSE)</f>
        <v>6543</v>
      </c>
      <c r="O1195" s="7">
        <f>VLOOKUP(J1195,[2]Desa!$A:$D,4,FALSE)</f>
        <v>197</v>
      </c>
      <c r="P1195" s="7">
        <f>VLOOKUP(J1195,[3]Sheet1!$D:$F,3,FALSE)</f>
        <v>49</v>
      </c>
      <c r="Q1195" s="7"/>
      <c r="R1195" s="7"/>
      <c r="S1195" s="12">
        <v>-8.5392589685347193</v>
      </c>
      <c r="T1195" s="12">
        <v>116.244405014538</v>
      </c>
      <c r="U1195" s="7"/>
      <c r="V1195" s="50">
        <f>Table13678[[#This Row],[PAGU SEMULA]]-Table13678[[#This Row],[PAGU ANGGARAN]]</f>
        <v>-37500000</v>
      </c>
      <c r="W1195" s="50">
        <f>Table13678[[#This Row],[PAGU SEMULA]]-Table13678[[#This Row],[PAGU ANGGARAN]]</f>
        <v>-37500000</v>
      </c>
      <c r="X1195" t="s">
        <v>987</v>
      </c>
    </row>
    <row r="1196" spans="3:24" hidden="1">
      <c r="C1196" s="7" t="s">
        <v>46</v>
      </c>
      <c r="D1196" s="7" t="s">
        <v>122</v>
      </c>
      <c r="E1196" s="7" t="s">
        <v>123</v>
      </c>
      <c r="F1196" s="7" t="s">
        <v>124</v>
      </c>
      <c r="G1196" s="7" t="s">
        <v>370</v>
      </c>
      <c r="H1196" s="8">
        <v>17400000</v>
      </c>
      <c r="I1196" s="10" t="s">
        <v>877</v>
      </c>
      <c r="J1196" s="7" t="s">
        <v>878</v>
      </c>
      <c r="K1196" s="10" t="s">
        <v>58</v>
      </c>
      <c r="L1196" s="7" t="s">
        <v>59</v>
      </c>
      <c r="M1196" s="7"/>
      <c r="N1196" s="7">
        <f>VLOOKUP(J1196,[1]Sheet1!$C:$D,2,FALSE)</f>
        <v>6543</v>
      </c>
      <c r="O1196" s="7">
        <f>VLOOKUP(J1196,[2]Desa!$A:$D,4,FALSE)</f>
        <v>197</v>
      </c>
      <c r="P1196" s="7">
        <f>VLOOKUP(J1196,[3]Sheet1!$D:$F,3,FALSE)</f>
        <v>49</v>
      </c>
      <c r="Q1196" s="7"/>
      <c r="R1196" s="7"/>
      <c r="S1196" s="12">
        <v>-8.5392589685347193</v>
      </c>
      <c r="T1196" s="12">
        <v>116.244405014538</v>
      </c>
      <c r="U1196" s="7"/>
      <c r="V1196" s="50">
        <f>Table13678[[#This Row],[PAGU SEMULA]]-Table13678[[#This Row],[PAGU ANGGARAN]]</f>
        <v>-17400000</v>
      </c>
      <c r="W1196" s="50">
        <f>Table13678[[#This Row],[PAGU SEMULA]]-Table13678[[#This Row],[PAGU ANGGARAN]]</f>
        <v>-17400000</v>
      </c>
      <c r="X1196" t="s">
        <v>987</v>
      </c>
    </row>
    <row r="1197" spans="3:24" hidden="1">
      <c r="C1197" s="7" t="s">
        <v>46</v>
      </c>
      <c r="D1197" s="7" t="s">
        <v>122</v>
      </c>
      <c r="E1197" s="7" t="s">
        <v>123</v>
      </c>
      <c r="F1197" s="7" t="s">
        <v>124</v>
      </c>
      <c r="G1197" s="7" t="s">
        <v>545</v>
      </c>
      <c r="H1197" s="8">
        <v>20000000</v>
      </c>
      <c r="I1197" s="10" t="s">
        <v>877</v>
      </c>
      <c r="J1197" s="7" t="s">
        <v>878</v>
      </c>
      <c r="K1197" s="10" t="s">
        <v>58</v>
      </c>
      <c r="L1197" s="7" t="s">
        <v>59</v>
      </c>
      <c r="M1197" s="7"/>
      <c r="N1197" s="7">
        <f>VLOOKUP(J1197,[1]Sheet1!$C:$D,2,FALSE)</f>
        <v>6543</v>
      </c>
      <c r="O1197" s="7">
        <f>VLOOKUP(J1197,[2]Desa!$A:$D,4,FALSE)</f>
        <v>197</v>
      </c>
      <c r="P1197" s="7">
        <f>VLOOKUP(J1197,[3]Sheet1!$D:$F,3,FALSE)</f>
        <v>49</v>
      </c>
      <c r="Q1197" s="7"/>
      <c r="R1197" s="7"/>
      <c r="S1197" s="12">
        <v>-8.5392589685347193</v>
      </c>
      <c r="T1197" s="12">
        <v>116.244405014538</v>
      </c>
      <c r="U1197" s="7"/>
      <c r="V1197" s="50">
        <f>Table13678[[#This Row],[PAGU SEMULA]]-Table13678[[#This Row],[PAGU ANGGARAN]]</f>
        <v>-20000000</v>
      </c>
      <c r="W1197" s="50">
        <f>Table13678[[#This Row],[PAGU SEMULA]]-Table13678[[#This Row],[PAGU ANGGARAN]]</f>
        <v>-20000000</v>
      </c>
      <c r="X1197" t="s">
        <v>987</v>
      </c>
    </row>
    <row r="1198" spans="3:24" hidden="1">
      <c r="C1198" s="16" t="s">
        <v>46</v>
      </c>
      <c r="D1198" s="7" t="s">
        <v>122</v>
      </c>
      <c r="E1198" s="7" t="s">
        <v>123</v>
      </c>
      <c r="F1198" s="7" t="s">
        <v>124</v>
      </c>
      <c r="G1198" s="7" t="s">
        <v>192</v>
      </c>
      <c r="H1198" s="8">
        <v>50000000</v>
      </c>
      <c r="I1198" s="10" t="s">
        <v>877</v>
      </c>
      <c r="J1198" s="7" t="s">
        <v>878</v>
      </c>
      <c r="K1198" s="10" t="s">
        <v>58</v>
      </c>
      <c r="L1198" s="7" t="s">
        <v>59</v>
      </c>
      <c r="M1198" s="7"/>
      <c r="N1198" s="7">
        <f>VLOOKUP(J1198,[1]Sheet1!$C:$D,2,FALSE)</f>
        <v>6543</v>
      </c>
      <c r="O1198" s="7">
        <f>VLOOKUP(J1198,[2]Desa!$A:$D,4,FALSE)</f>
        <v>197</v>
      </c>
      <c r="P1198" s="7">
        <f>VLOOKUP(J1198,[3]Sheet1!$D:$F,3,FALSE)</f>
        <v>49</v>
      </c>
      <c r="Q1198" s="7"/>
      <c r="R1198" s="7"/>
      <c r="S1198" s="12">
        <v>-8.5392589685347193</v>
      </c>
      <c r="T1198" s="12">
        <v>116.244405014538</v>
      </c>
      <c r="U1198" s="7"/>
      <c r="V1198" s="50">
        <f>Table13678[[#This Row],[PAGU SEMULA]]-Table13678[[#This Row],[PAGU ANGGARAN]]</f>
        <v>-50000000</v>
      </c>
      <c r="W1198" s="50">
        <f>Table13678[[#This Row],[PAGU SEMULA]]-Table13678[[#This Row],[PAGU ANGGARAN]]</f>
        <v>-50000000</v>
      </c>
      <c r="X1198" t="s">
        <v>987</v>
      </c>
    </row>
    <row r="1199" spans="3:24" hidden="1">
      <c r="C1199" s="7" t="s">
        <v>46</v>
      </c>
      <c r="D1199" s="7" t="s">
        <v>122</v>
      </c>
      <c r="E1199" s="7" t="s">
        <v>123</v>
      </c>
      <c r="F1199" s="7" t="s">
        <v>124</v>
      </c>
      <c r="G1199" s="7" t="s">
        <v>369</v>
      </c>
      <c r="H1199" s="8">
        <v>100000000</v>
      </c>
      <c r="I1199" s="10" t="s">
        <v>877</v>
      </c>
      <c r="J1199" s="7" t="s">
        <v>878</v>
      </c>
      <c r="K1199" s="10" t="s">
        <v>58</v>
      </c>
      <c r="L1199" s="7" t="s">
        <v>59</v>
      </c>
      <c r="M1199" s="7"/>
      <c r="N1199" s="7">
        <f>VLOOKUP(J1199,[1]Sheet1!$C:$D,2,FALSE)</f>
        <v>6543</v>
      </c>
      <c r="O1199" s="7">
        <f>VLOOKUP(J1199,[2]Desa!$A:$D,4,FALSE)</f>
        <v>197</v>
      </c>
      <c r="P1199" s="7">
        <f>VLOOKUP(J1199,[3]Sheet1!$D:$F,3,FALSE)</f>
        <v>49</v>
      </c>
      <c r="Q1199" s="7"/>
      <c r="R1199" s="7"/>
      <c r="S1199" s="12">
        <v>-8.5392589685347193</v>
      </c>
      <c r="T1199" s="12">
        <v>116.244405014538</v>
      </c>
      <c r="U1199" s="7"/>
      <c r="V1199" s="50">
        <f>Table13678[[#This Row],[PAGU SEMULA]]-Table13678[[#This Row],[PAGU ANGGARAN]]</f>
        <v>-100000000</v>
      </c>
      <c r="W1199" s="50">
        <f>Table13678[[#This Row],[PAGU SEMULA]]-Table13678[[#This Row],[PAGU ANGGARAN]]</f>
        <v>-100000000</v>
      </c>
      <c r="X1199" t="s">
        <v>987</v>
      </c>
    </row>
    <row r="1200" spans="3:24" hidden="1">
      <c r="C1200" s="7" t="s">
        <v>51</v>
      </c>
      <c r="D1200" s="7" t="s">
        <v>52</v>
      </c>
      <c r="E1200" s="7" t="s">
        <v>53</v>
      </c>
      <c r="F1200" s="7" t="s">
        <v>54</v>
      </c>
      <c r="G1200" s="7" t="s">
        <v>73</v>
      </c>
      <c r="H1200" s="8">
        <v>189090000</v>
      </c>
      <c r="I1200" s="10" t="s">
        <v>877</v>
      </c>
      <c r="J1200" s="7" t="s">
        <v>878</v>
      </c>
      <c r="K1200" s="10" t="s">
        <v>58</v>
      </c>
      <c r="L1200" s="7" t="s">
        <v>59</v>
      </c>
      <c r="M1200" s="7"/>
      <c r="N1200" s="7">
        <f>VLOOKUP(J1200,[1]Sheet1!$C:$D,2,FALSE)</f>
        <v>6543</v>
      </c>
      <c r="O1200" s="7">
        <f>VLOOKUP(J1200,[2]Desa!$A:$D,4,FALSE)</f>
        <v>197</v>
      </c>
      <c r="P1200" s="7">
        <f>VLOOKUP(J1200,[3]Sheet1!$D:$F,3,FALSE)</f>
        <v>49</v>
      </c>
      <c r="Q1200" s="7"/>
      <c r="R1200" s="7"/>
      <c r="S1200" s="12">
        <v>-8.5392589685347193</v>
      </c>
      <c r="T1200" s="12">
        <v>116.244405014538</v>
      </c>
      <c r="U1200" s="7"/>
      <c r="V1200" s="50">
        <f>Table13678[[#This Row],[PAGU SEMULA]]-Table13678[[#This Row],[PAGU ANGGARAN]]</f>
        <v>-189090000</v>
      </c>
      <c r="W1200" s="50">
        <f>Table13678[[#This Row],[PAGU SEMULA]]-Table13678[[#This Row],[PAGU ANGGARAN]]</f>
        <v>-189090000</v>
      </c>
      <c r="X1200" t="s">
        <v>986</v>
      </c>
    </row>
    <row r="1201" spans="3:24" hidden="1">
      <c r="C1201" s="7" t="s">
        <v>20</v>
      </c>
      <c r="D1201" s="7" t="s">
        <v>104</v>
      </c>
      <c r="E1201" s="7" t="s">
        <v>145</v>
      </c>
      <c r="F1201" s="7" t="s">
        <v>146</v>
      </c>
      <c r="G1201" s="71" t="s">
        <v>880</v>
      </c>
      <c r="H1201" s="15">
        <v>31625000</v>
      </c>
      <c r="I1201" s="10" t="s">
        <v>881</v>
      </c>
      <c r="J1201" s="7" t="s">
        <v>882</v>
      </c>
      <c r="K1201" s="10" t="s">
        <v>288</v>
      </c>
      <c r="L1201" s="7" t="s">
        <v>289</v>
      </c>
      <c r="M1201" s="7"/>
      <c r="N1201" s="7">
        <f>VLOOKUP(J1201,[1]Sheet1!$C:$D,2,FALSE)</f>
        <v>14604</v>
      </c>
      <c r="O1201" s="7">
        <f>VLOOKUP(J1201,[2]Desa!$A:$D,4,FALSE)</f>
        <v>480</v>
      </c>
      <c r="P1201" s="7">
        <f>VLOOKUP(J1201,[3]Sheet1!$D:$F,3,FALSE)</f>
        <v>53</v>
      </c>
      <c r="Q1201" s="7"/>
      <c r="R1201" s="7"/>
      <c r="S1201" s="12">
        <v>-8.5537409256858403</v>
      </c>
      <c r="T1201" s="12">
        <v>116.098379994906</v>
      </c>
      <c r="U1201" s="7"/>
      <c r="V1201" s="50">
        <f>Table13678[[#This Row],[PAGU SEMULA]]-Table13678[[#This Row],[PAGU ANGGARAN]]</f>
        <v>-31625000</v>
      </c>
      <c r="W1201" s="50">
        <f>Table13678[[#This Row],[PAGU SEMULA]]-Table13678[[#This Row],[PAGU ANGGARAN]]</f>
        <v>-31625000</v>
      </c>
      <c r="X1201" t="s">
        <v>984</v>
      </c>
    </row>
    <row r="1202" spans="3:24" hidden="1">
      <c r="C1202" s="7" t="s">
        <v>29</v>
      </c>
      <c r="D1202" s="7" t="s">
        <v>30</v>
      </c>
      <c r="E1202" s="7" t="s">
        <v>148</v>
      </c>
      <c r="F1202" s="7" t="s">
        <v>149</v>
      </c>
      <c r="G1202" s="7" t="s">
        <v>150</v>
      </c>
      <c r="H1202" s="8">
        <v>1321585000</v>
      </c>
      <c r="I1202" s="10" t="s">
        <v>881</v>
      </c>
      <c r="J1202" s="7" t="s">
        <v>882</v>
      </c>
      <c r="K1202" s="10" t="s">
        <v>288</v>
      </c>
      <c r="L1202" s="7" t="s">
        <v>289</v>
      </c>
      <c r="M1202" s="7"/>
      <c r="N1202" s="7">
        <f>VLOOKUP(J1202,[1]Sheet1!$C:$D,2,FALSE)</f>
        <v>14604</v>
      </c>
      <c r="O1202" s="7">
        <f>VLOOKUP(J1202,[2]Desa!$A:$D,4,FALSE)</f>
        <v>480</v>
      </c>
      <c r="P1202" s="7">
        <f>VLOOKUP(J1202,[3]Sheet1!$D:$F,3,FALSE)</f>
        <v>53</v>
      </c>
      <c r="Q1202" s="7"/>
      <c r="R1202" s="7"/>
      <c r="S1202" s="12">
        <v>-8.5537409256858403</v>
      </c>
      <c r="T1202" s="12">
        <v>116.098379994906</v>
      </c>
      <c r="U1202" s="7"/>
      <c r="V1202" s="50">
        <f>Table13678[[#This Row],[PAGU SEMULA]]-Table13678[[#This Row],[PAGU ANGGARAN]]</f>
        <v>-1321585000</v>
      </c>
      <c r="W1202" s="50">
        <f>Table13678[[#This Row],[PAGU SEMULA]]-Table13678[[#This Row],[PAGU ANGGARAN]]</f>
        <v>-1321585000</v>
      </c>
      <c r="X1202" t="s">
        <v>984</v>
      </c>
    </row>
    <row r="1203" spans="3:24" hidden="1">
      <c r="C1203" s="7" t="s">
        <v>29</v>
      </c>
      <c r="D1203" s="7" t="s">
        <v>30</v>
      </c>
      <c r="E1203" s="7" t="s">
        <v>31</v>
      </c>
      <c r="F1203" s="7" t="s">
        <v>32</v>
      </c>
      <c r="G1203" s="7" t="s">
        <v>33</v>
      </c>
      <c r="H1203" s="8">
        <v>1624560000</v>
      </c>
      <c r="I1203" s="10" t="s">
        <v>881</v>
      </c>
      <c r="J1203" s="7" t="s">
        <v>882</v>
      </c>
      <c r="K1203" s="10" t="s">
        <v>288</v>
      </c>
      <c r="L1203" s="7" t="s">
        <v>289</v>
      </c>
      <c r="M1203" s="7"/>
      <c r="N1203" s="7">
        <f>VLOOKUP(J1203,[1]Sheet1!$C:$D,2,FALSE)</f>
        <v>14604</v>
      </c>
      <c r="O1203" s="7">
        <f>VLOOKUP(J1203,[2]Desa!$A:$D,4,FALSE)</f>
        <v>480</v>
      </c>
      <c r="P1203" s="7">
        <f>VLOOKUP(J1203,[3]Sheet1!$D:$F,3,FALSE)</f>
        <v>53</v>
      </c>
      <c r="Q1203" s="7"/>
      <c r="R1203" s="7"/>
      <c r="S1203" s="12">
        <v>-8.5537409256858403</v>
      </c>
      <c r="T1203" s="12">
        <v>116.098379994906</v>
      </c>
      <c r="U1203" s="7"/>
      <c r="V1203" s="50">
        <f>Table13678[[#This Row],[PAGU SEMULA]]-Table13678[[#This Row],[PAGU ANGGARAN]]</f>
        <v>-1624560000</v>
      </c>
      <c r="W1203" s="50">
        <f>Table13678[[#This Row],[PAGU SEMULA]]-Table13678[[#This Row],[PAGU ANGGARAN]]</f>
        <v>-1624560000</v>
      </c>
      <c r="X1203" t="s">
        <v>984</v>
      </c>
    </row>
    <row r="1204" spans="3:24" hidden="1">
      <c r="C1204" s="7" t="s">
        <v>29</v>
      </c>
      <c r="D1204" s="7" t="s">
        <v>30</v>
      </c>
      <c r="E1204" s="7" t="s">
        <v>31</v>
      </c>
      <c r="F1204" s="7" t="s">
        <v>32</v>
      </c>
      <c r="G1204" s="7" t="s">
        <v>34</v>
      </c>
      <c r="H1204" s="8">
        <v>129964800</v>
      </c>
      <c r="I1204" s="10" t="s">
        <v>881</v>
      </c>
      <c r="J1204" s="7" t="s">
        <v>882</v>
      </c>
      <c r="K1204" s="10" t="s">
        <v>288</v>
      </c>
      <c r="L1204" s="7" t="s">
        <v>289</v>
      </c>
      <c r="M1204" s="7"/>
      <c r="N1204" s="7">
        <f>VLOOKUP(J1204,[1]Sheet1!$C:$D,2,FALSE)</f>
        <v>14604</v>
      </c>
      <c r="O1204" s="7">
        <f>VLOOKUP(J1204,[2]Desa!$A:$D,4,FALSE)</f>
        <v>480</v>
      </c>
      <c r="P1204" s="7">
        <f>VLOOKUP(J1204,[3]Sheet1!$D:$F,3,FALSE)</f>
        <v>53</v>
      </c>
      <c r="Q1204" s="7"/>
      <c r="R1204" s="7"/>
      <c r="S1204" s="12">
        <v>-8.5537409256858403</v>
      </c>
      <c r="T1204" s="12">
        <v>116.098379994906</v>
      </c>
      <c r="U1204" s="7"/>
      <c r="V1204" s="50">
        <f>Table13678[[#This Row],[PAGU SEMULA]]-Table13678[[#This Row],[PAGU ANGGARAN]]</f>
        <v>-129964800</v>
      </c>
      <c r="W1204" s="50">
        <f>Table13678[[#This Row],[PAGU SEMULA]]-Table13678[[#This Row],[PAGU ANGGARAN]]</f>
        <v>-129964800</v>
      </c>
      <c r="X1204" t="s">
        <v>984</v>
      </c>
    </row>
    <row r="1205" spans="3:24" hidden="1">
      <c r="C1205" s="7" t="s">
        <v>84</v>
      </c>
      <c r="D1205" s="7" t="s">
        <v>85</v>
      </c>
      <c r="E1205" s="7" t="s">
        <v>86</v>
      </c>
      <c r="F1205" s="7" t="s">
        <v>87</v>
      </c>
      <c r="G1205" s="7" t="s">
        <v>229</v>
      </c>
      <c r="H1205" s="8">
        <v>90750000</v>
      </c>
      <c r="I1205" s="10" t="s">
        <v>881</v>
      </c>
      <c r="J1205" s="7" t="s">
        <v>882</v>
      </c>
      <c r="K1205" s="10" t="s">
        <v>288</v>
      </c>
      <c r="L1205" s="7" t="s">
        <v>289</v>
      </c>
      <c r="M1205" s="7"/>
      <c r="N1205" s="7">
        <f>VLOOKUP(J1205,[1]Sheet1!$C:$D,2,FALSE)</f>
        <v>14604</v>
      </c>
      <c r="O1205" s="7">
        <f>VLOOKUP(J1205,[2]Desa!$A:$D,4,FALSE)</f>
        <v>480</v>
      </c>
      <c r="P1205" s="7">
        <f>VLOOKUP(J1205,[3]Sheet1!$D:$F,3,FALSE)</f>
        <v>53</v>
      </c>
      <c r="Q1205" s="7"/>
      <c r="R1205" s="7"/>
      <c r="S1205" s="12">
        <v>-8.5537409256858403</v>
      </c>
      <c r="T1205" s="12">
        <v>116.098379994906</v>
      </c>
      <c r="U1205" s="7"/>
      <c r="V1205" s="50">
        <f>Table13678[[#This Row],[PAGU SEMULA]]-Table13678[[#This Row],[PAGU ANGGARAN]]</f>
        <v>-90750000</v>
      </c>
      <c r="W1205" s="50">
        <f>Table13678[[#This Row],[PAGU SEMULA]]-Table13678[[#This Row],[PAGU ANGGARAN]]</f>
        <v>-90750000</v>
      </c>
      <c r="X1205" t="s">
        <v>982</v>
      </c>
    </row>
    <row r="1206" spans="3:24" hidden="1">
      <c r="C1206" s="7" t="s">
        <v>546</v>
      </c>
      <c r="D1206" s="7" t="s">
        <v>75</v>
      </c>
      <c r="E1206" s="7" t="s">
        <v>547</v>
      </c>
      <c r="F1206" s="7" t="s">
        <v>883</v>
      </c>
      <c r="G1206" s="7" t="s">
        <v>884</v>
      </c>
      <c r="H1206" s="8">
        <v>174997053</v>
      </c>
      <c r="I1206" s="10" t="s">
        <v>881</v>
      </c>
      <c r="J1206" s="7" t="s">
        <v>882</v>
      </c>
      <c r="K1206" s="10" t="s">
        <v>288</v>
      </c>
      <c r="L1206" s="7" t="s">
        <v>289</v>
      </c>
      <c r="M1206" s="7"/>
      <c r="N1206" s="7">
        <f>VLOOKUP(J1206,[1]Sheet1!$C:$D,2,FALSE)</f>
        <v>14604</v>
      </c>
      <c r="O1206" s="7">
        <f>VLOOKUP(J1206,[2]Desa!$A:$D,4,FALSE)</f>
        <v>480</v>
      </c>
      <c r="P1206" s="7">
        <f>VLOOKUP(J1206,[3]Sheet1!$D:$F,3,FALSE)</f>
        <v>53</v>
      </c>
      <c r="Q1206" s="7"/>
      <c r="R1206" s="7"/>
      <c r="S1206" s="12">
        <v>-8.5537409256858403</v>
      </c>
      <c r="T1206" s="12">
        <v>116.098379994906</v>
      </c>
      <c r="U1206" s="7"/>
      <c r="V1206" s="50">
        <f>Table13678[[#This Row],[PAGU SEMULA]]-Table13678[[#This Row],[PAGU ANGGARAN]]</f>
        <v>-174997053</v>
      </c>
      <c r="W1206" s="50">
        <f>Table13678[[#This Row],[PAGU SEMULA]]-Table13678[[#This Row],[PAGU ANGGARAN]]</f>
        <v>-174997053</v>
      </c>
      <c r="X1206" t="s">
        <v>982</v>
      </c>
    </row>
    <row r="1207" spans="3:24" hidden="1">
      <c r="C1207" s="7" t="s">
        <v>546</v>
      </c>
      <c r="D1207" s="7" t="s">
        <v>75</v>
      </c>
      <c r="E1207" s="7" t="s">
        <v>547</v>
      </c>
      <c r="F1207" s="7" t="s">
        <v>548</v>
      </c>
      <c r="G1207" s="7" t="s">
        <v>549</v>
      </c>
      <c r="H1207" s="8">
        <v>69795000</v>
      </c>
      <c r="I1207" s="10" t="s">
        <v>881</v>
      </c>
      <c r="J1207" s="7" t="s">
        <v>882</v>
      </c>
      <c r="K1207" s="10" t="s">
        <v>288</v>
      </c>
      <c r="L1207" s="7" t="s">
        <v>289</v>
      </c>
      <c r="M1207" s="7"/>
      <c r="N1207" s="7">
        <f>VLOOKUP(J1207,[1]Sheet1!$C:$D,2,FALSE)</f>
        <v>14604</v>
      </c>
      <c r="O1207" s="7">
        <f>VLOOKUP(J1207,[2]Desa!$A:$D,4,FALSE)</f>
        <v>480</v>
      </c>
      <c r="P1207" s="7">
        <f>VLOOKUP(J1207,[3]Sheet1!$D:$F,3,FALSE)</f>
        <v>53</v>
      </c>
      <c r="Q1207" s="7"/>
      <c r="R1207" s="7"/>
      <c r="S1207" s="12">
        <v>-8.5537409256858403</v>
      </c>
      <c r="T1207" s="12">
        <v>116.098379994906</v>
      </c>
      <c r="U1207" s="7"/>
      <c r="V1207" s="50">
        <f>Table13678[[#This Row],[PAGU SEMULA]]-Table13678[[#This Row],[PAGU ANGGARAN]]</f>
        <v>-69795000</v>
      </c>
      <c r="W1207" s="50">
        <f>Table13678[[#This Row],[PAGU SEMULA]]-Table13678[[#This Row],[PAGU ANGGARAN]]</f>
        <v>-69795000</v>
      </c>
      <c r="X1207" t="s">
        <v>982</v>
      </c>
    </row>
    <row r="1208" spans="3:24" hidden="1">
      <c r="C1208" s="7" t="s">
        <v>198</v>
      </c>
      <c r="D1208" s="7" t="s">
        <v>343</v>
      </c>
      <c r="E1208" s="7" t="s">
        <v>344</v>
      </c>
      <c r="F1208" s="7" t="s">
        <v>345</v>
      </c>
      <c r="G1208" s="7" t="s">
        <v>346</v>
      </c>
      <c r="H1208" s="8">
        <v>93640000</v>
      </c>
      <c r="I1208" s="10" t="s">
        <v>881</v>
      </c>
      <c r="J1208" s="7" t="s">
        <v>882</v>
      </c>
      <c r="K1208" s="10" t="s">
        <v>288</v>
      </c>
      <c r="L1208" s="7" t="s">
        <v>289</v>
      </c>
      <c r="M1208" s="7"/>
      <c r="N1208" s="7">
        <f>VLOOKUP(J1208,[1]Sheet1!$C:$D,2,FALSE)</f>
        <v>14604</v>
      </c>
      <c r="O1208" s="7">
        <f>VLOOKUP(J1208,[2]Desa!$A:$D,4,FALSE)</f>
        <v>480</v>
      </c>
      <c r="P1208" s="7">
        <f>VLOOKUP(J1208,[3]Sheet1!$D:$F,3,FALSE)</f>
        <v>53</v>
      </c>
      <c r="Q1208" s="7"/>
      <c r="R1208" s="7"/>
      <c r="S1208" s="12">
        <v>-8.5537409256858403</v>
      </c>
      <c r="T1208" s="12">
        <v>116.098379994906</v>
      </c>
      <c r="U1208" s="7"/>
      <c r="V1208" s="50">
        <f>Table13678[[#This Row],[PAGU SEMULA]]-Table13678[[#This Row],[PAGU ANGGARAN]]</f>
        <v>-93640000</v>
      </c>
      <c r="W1208" s="50">
        <f>Table13678[[#This Row],[PAGU SEMULA]]-Table13678[[#This Row],[PAGU ANGGARAN]]</f>
        <v>-93640000</v>
      </c>
      <c r="X1208" t="s">
        <v>982</v>
      </c>
    </row>
    <row r="1209" spans="3:24" hidden="1">
      <c r="C1209" s="7" t="s">
        <v>35</v>
      </c>
      <c r="D1209" s="7" t="s">
        <v>36</v>
      </c>
      <c r="E1209" s="7" t="s">
        <v>37</v>
      </c>
      <c r="F1209" s="7" t="s">
        <v>38</v>
      </c>
      <c r="G1209" s="7" t="s">
        <v>39</v>
      </c>
      <c r="H1209" s="15">
        <v>75000000</v>
      </c>
      <c r="I1209" s="10" t="s">
        <v>881</v>
      </c>
      <c r="J1209" s="7" t="s">
        <v>882</v>
      </c>
      <c r="K1209" s="10" t="s">
        <v>288</v>
      </c>
      <c r="L1209" s="7" t="s">
        <v>289</v>
      </c>
      <c r="M1209" s="7"/>
      <c r="N1209" s="7">
        <f>VLOOKUP(J1209,[1]Sheet1!$C:$D,2,FALSE)</f>
        <v>14604</v>
      </c>
      <c r="O1209" s="7">
        <f>VLOOKUP(J1209,[2]Desa!$A:$D,4,FALSE)</f>
        <v>480</v>
      </c>
      <c r="P1209" s="7">
        <f>VLOOKUP(J1209,[3]Sheet1!$D:$F,3,FALSE)</f>
        <v>53</v>
      </c>
      <c r="Q1209" s="7"/>
      <c r="R1209" s="7"/>
      <c r="S1209" s="12">
        <v>-8.5537409256858403</v>
      </c>
      <c r="T1209" s="12">
        <v>116.098379994906</v>
      </c>
      <c r="U1209" s="7"/>
      <c r="V1209" s="50">
        <f>Table13678[[#This Row],[PAGU SEMULA]]-Table13678[[#This Row],[PAGU ANGGARAN]]</f>
        <v>-75000000</v>
      </c>
      <c r="W1209" s="50">
        <f>Table13678[[#This Row],[PAGU SEMULA]]-Table13678[[#This Row],[PAGU ANGGARAN]]</f>
        <v>-75000000</v>
      </c>
      <c r="X1209" t="s">
        <v>984</v>
      </c>
    </row>
    <row r="1210" spans="3:24" hidden="1">
      <c r="C1210" s="7" t="s">
        <v>35</v>
      </c>
      <c r="D1210" s="7" t="s">
        <v>36</v>
      </c>
      <c r="E1210" s="7" t="s">
        <v>37</v>
      </c>
      <c r="F1210" s="7" t="s">
        <v>40</v>
      </c>
      <c r="G1210" s="7" t="s">
        <v>41</v>
      </c>
      <c r="H1210" s="15">
        <v>450000000</v>
      </c>
      <c r="I1210" s="10" t="s">
        <v>881</v>
      </c>
      <c r="J1210" s="7" t="s">
        <v>882</v>
      </c>
      <c r="K1210" s="10" t="s">
        <v>288</v>
      </c>
      <c r="L1210" s="7" t="s">
        <v>289</v>
      </c>
      <c r="M1210" s="7"/>
      <c r="N1210" s="7">
        <f>VLOOKUP(J1210,[1]Sheet1!$C:$D,2,FALSE)</f>
        <v>14604</v>
      </c>
      <c r="O1210" s="7">
        <f>VLOOKUP(J1210,[2]Desa!$A:$D,4,FALSE)</f>
        <v>480</v>
      </c>
      <c r="P1210" s="7">
        <f>VLOOKUP(J1210,[3]Sheet1!$D:$F,3,FALSE)</f>
        <v>53</v>
      </c>
      <c r="Q1210" s="7"/>
      <c r="R1210" s="7"/>
      <c r="S1210" s="12">
        <v>-8.5537409256858403</v>
      </c>
      <c r="T1210" s="12">
        <v>116.098379994906</v>
      </c>
      <c r="U1210" s="7"/>
      <c r="V1210" s="50">
        <f>Table13678[[#This Row],[PAGU SEMULA]]-Table13678[[#This Row],[PAGU ANGGARAN]]</f>
        <v>-450000000</v>
      </c>
      <c r="W1210" s="50">
        <f>Table13678[[#This Row],[PAGU SEMULA]]-Table13678[[#This Row],[PAGU ANGGARAN]]</f>
        <v>-450000000</v>
      </c>
      <c r="X1210" t="s">
        <v>986</v>
      </c>
    </row>
    <row r="1211" spans="3:24" hidden="1">
      <c r="C1211" s="7" t="s">
        <v>35</v>
      </c>
      <c r="D1211" s="7" t="s">
        <v>65</v>
      </c>
      <c r="E1211" s="7" t="s">
        <v>66</v>
      </c>
      <c r="F1211" s="7" t="s">
        <v>322</v>
      </c>
      <c r="G1211" s="7" t="s">
        <v>322</v>
      </c>
      <c r="H1211" s="15">
        <v>51226500</v>
      </c>
      <c r="I1211" s="10" t="s">
        <v>881</v>
      </c>
      <c r="J1211" s="7" t="s">
        <v>882</v>
      </c>
      <c r="K1211" s="10" t="s">
        <v>288</v>
      </c>
      <c r="L1211" s="7" t="s">
        <v>289</v>
      </c>
      <c r="M1211" s="7"/>
      <c r="N1211" s="7">
        <f>VLOOKUP(J1211,[1]Sheet1!$C:$D,2,FALSE)</f>
        <v>14604</v>
      </c>
      <c r="O1211" s="7">
        <f>VLOOKUP(J1211,[2]Desa!$A:$D,4,FALSE)</f>
        <v>480</v>
      </c>
      <c r="P1211" s="7">
        <f>VLOOKUP(J1211,[3]Sheet1!$D:$F,3,FALSE)</f>
        <v>53</v>
      </c>
      <c r="Q1211" s="7"/>
      <c r="R1211" s="7"/>
      <c r="S1211" s="12">
        <v>-8.5537409256858403</v>
      </c>
      <c r="T1211" s="12">
        <v>116.098379994906</v>
      </c>
      <c r="U1211" s="7"/>
      <c r="V1211" s="50">
        <f>Table13678[[#This Row],[PAGU SEMULA]]-Table13678[[#This Row],[PAGU ANGGARAN]]</f>
        <v>-51226500</v>
      </c>
      <c r="W1211" s="50">
        <f>Table13678[[#This Row],[PAGU SEMULA]]-Table13678[[#This Row],[PAGU ANGGARAN]]</f>
        <v>-51226500</v>
      </c>
      <c r="X1211" t="s">
        <v>986</v>
      </c>
    </row>
    <row r="1212" spans="3:24" hidden="1">
      <c r="C1212" s="7" t="s">
        <v>35</v>
      </c>
      <c r="D1212" s="7" t="s">
        <v>65</v>
      </c>
      <c r="E1212" s="7" t="s">
        <v>66</v>
      </c>
      <c r="F1212" s="7" t="s">
        <v>160</v>
      </c>
      <c r="G1212" s="7" t="s">
        <v>340</v>
      </c>
      <c r="H1212" s="15">
        <v>6491274247</v>
      </c>
      <c r="I1212" s="10" t="s">
        <v>881</v>
      </c>
      <c r="J1212" s="7" t="s">
        <v>882</v>
      </c>
      <c r="K1212" s="10" t="s">
        <v>288</v>
      </c>
      <c r="L1212" s="7" t="s">
        <v>289</v>
      </c>
      <c r="M1212" s="7"/>
      <c r="N1212" s="7">
        <f>VLOOKUP(J1212,[1]Sheet1!$C:$D,2,FALSE)</f>
        <v>14604</v>
      </c>
      <c r="O1212" s="7">
        <f>VLOOKUP(J1212,[2]Desa!$A:$D,4,FALSE)</f>
        <v>480</v>
      </c>
      <c r="P1212" s="7">
        <f>VLOOKUP(J1212,[3]Sheet1!$D:$F,3,FALSE)</f>
        <v>53</v>
      </c>
      <c r="Q1212" s="7"/>
      <c r="R1212" s="7"/>
      <c r="S1212" s="12">
        <v>-8.5537409256858403</v>
      </c>
      <c r="T1212" s="12">
        <v>116.098379994906</v>
      </c>
      <c r="U1212" s="7"/>
      <c r="V1212" s="50">
        <f>Table13678[[#This Row],[PAGU SEMULA]]-Table13678[[#This Row],[PAGU ANGGARAN]]</f>
        <v>-6491274247</v>
      </c>
      <c r="W1212" s="50">
        <f>Table13678[[#This Row],[PAGU SEMULA]]-Table13678[[#This Row],[PAGU ANGGARAN]]</f>
        <v>-6491274247</v>
      </c>
      <c r="X1212" t="s">
        <v>986</v>
      </c>
    </row>
    <row r="1213" spans="3:24" hidden="1">
      <c r="C1213" s="7" t="s">
        <v>68</v>
      </c>
      <c r="D1213" s="7" t="s">
        <v>118</v>
      </c>
      <c r="E1213" s="7" t="s">
        <v>119</v>
      </c>
      <c r="F1213" s="7" t="s">
        <v>120</v>
      </c>
      <c r="G1213" s="7" t="s">
        <v>885</v>
      </c>
      <c r="H1213" s="8">
        <v>49775000</v>
      </c>
      <c r="I1213" s="10" t="s">
        <v>881</v>
      </c>
      <c r="J1213" s="7" t="s">
        <v>882</v>
      </c>
      <c r="K1213" s="10" t="s">
        <v>288</v>
      </c>
      <c r="L1213" s="7" t="s">
        <v>289</v>
      </c>
      <c r="M1213" s="7"/>
      <c r="N1213" s="7">
        <f>VLOOKUP(J1213,[1]Sheet1!$C:$D,2,FALSE)</f>
        <v>14604</v>
      </c>
      <c r="O1213" s="7">
        <f>VLOOKUP(J1213,[2]Desa!$A:$D,4,FALSE)</f>
        <v>480</v>
      </c>
      <c r="P1213" s="7">
        <f>VLOOKUP(J1213,[3]Sheet1!$D:$F,3,FALSE)</f>
        <v>53</v>
      </c>
      <c r="Q1213" s="7"/>
      <c r="R1213" s="7"/>
      <c r="S1213" s="12">
        <v>-8.5537409256858403</v>
      </c>
      <c r="T1213" s="12">
        <v>116.098379994906</v>
      </c>
      <c r="U1213" s="7"/>
      <c r="V1213" s="50">
        <f>Table13678[[#This Row],[PAGU SEMULA]]-Table13678[[#This Row],[PAGU ANGGARAN]]</f>
        <v>-49775000</v>
      </c>
      <c r="W1213" s="50">
        <f>Table13678[[#This Row],[PAGU SEMULA]]-Table13678[[#This Row],[PAGU ANGGARAN]]</f>
        <v>-49775000</v>
      </c>
      <c r="X1213" t="s">
        <v>982</v>
      </c>
    </row>
    <row r="1214" spans="3:24" hidden="1">
      <c r="C1214" s="7" t="s">
        <v>68</v>
      </c>
      <c r="D1214" s="7" t="s">
        <v>69</v>
      </c>
      <c r="E1214" s="7" t="s">
        <v>70</v>
      </c>
      <c r="F1214" s="7" t="s">
        <v>71</v>
      </c>
      <c r="G1214" s="7" t="s">
        <v>886</v>
      </c>
      <c r="H1214" s="8">
        <v>148928000</v>
      </c>
      <c r="I1214" s="10" t="s">
        <v>881</v>
      </c>
      <c r="J1214" s="7" t="s">
        <v>882</v>
      </c>
      <c r="K1214" s="10" t="s">
        <v>288</v>
      </c>
      <c r="L1214" s="7" t="s">
        <v>289</v>
      </c>
      <c r="M1214" s="7"/>
      <c r="N1214" s="7">
        <f>VLOOKUP(J1214,[1]Sheet1!$C:$D,2,FALSE)</f>
        <v>14604</v>
      </c>
      <c r="O1214" s="7">
        <f>VLOOKUP(J1214,[2]Desa!$A:$D,4,FALSE)</f>
        <v>480</v>
      </c>
      <c r="P1214" s="7">
        <f>VLOOKUP(J1214,[3]Sheet1!$D:$F,3,FALSE)</f>
        <v>53</v>
      </c>
      <c r="Q1214" s="7"/>
      <c r="R1214" s="7"/>
      <c r="S1214" s="12">
        <v>-8.5537409256858403</v>
      </c>
      <c r="T1214" s="12">
        <v>116.098379994906</v>
      </c>
      <c r="U1214" s="7"/>
      <c r="V1214" s="50">
        <f>Table13678[[#This Row],[PAGU SEMULA]]-Table13678[[#This Row],[PAGU ANGGARAN]]</f>
        <v>-148928000</v>
      </c>
      <c r="W1214" s="50">
        <f>Table13678[[#This Row],[PAGU SEMULA]]-Table13678[[#This Row],[PAGU ANGGARAN]]</f>
        <v>-148928000</v>
      </c>
      <c r="X1214" t="s">
        <v>982</v>
      </c>
    </row>
    <row r="1215" spans="3:24" hidden="1">
      <c r="C1215" s="7" t="s">
        <v>51</v>
      </c>
      <c r="D1215" s="7" t="s">
        <v>52</v>
      </c>
      <c r="E1215" s="7" t="s">
        <v>53</v>
      </c>
      <c r="F1215" s="7" t="s">
        <v>54</v>
      </c>
      <c r="G1215" s="7" t="s">
        <v>55</v>
      </c>
      <c r="H1215" s="8">
        <v>380090000</v>
      </c>
      <c r="I1215" s="10" t="s">
        <v>881</v>
      </c>
      <c r="J1215" s="7" t="s">
        <v>882</v>
      </c>
      <c r="K1215" s="10" t="s">
        <v>288</v>
      </c>
      <c r="L1215" s="7" t="s">
        <v>289</v>
      </c>
      <c r="M1215" s="7"/>
      <c r="N1215" s="7">
        <f>VLOOKUP(J1215,[1]Sheet1!$C:$D,2,FALSE)</f>
        <v>14604</v>
      </c>
      <c r="O1215" s="7">
        <f>VLOOKUP(J1215,[2]Desa!$A:$D,4,FALSE)</f>
        <v>480</v>
      </c>
      <c r="P1215" s="7">
        <f>VLOOKUP(J1215,[3]Sheet1!$D:$F,3,FALSE)</f>
        <v>53</v>
      </c>
      <c r="Q1215" s="7"/>
      <c r="R1215" s="7"/>
      <c r="S1215" s="12">
        <v>-8.5537409256858403</v>
      </c>
      <c r="T1215" s="12">
        <v>116.098379994906</v>
      </c>
      <c r="U1215" s="7"/>
      <c r="V1215" s="50">
        <f>Table13678[[#This Row],[PAGU SEMULA]]-Table13678[[#This Row],[PAGU ANGGARAN]]</f>
        <v>-380090000</v>
      </c>
      <c r="W1215" s="50">
        <f>Table13678[[#This Row],[PAGU SEMULA]]-Table13678[[#This Row],[PAGU ANGGARAN]]</f>
        <v>-380090000</v>
      </c>
      <c r="X1215" t="s">
        <v>986</v>
      </c>
    </row>
    <row r="1216" spans="3:24" hidden="1">
      <c r="C1216" s="7" t="s">
        <v>51</v>
      </c>
      <c r="D1216" s="7" t="s">
        <v>255</v>
      </c>
      <c r="E1216" s="7" t="s">
        <v>611</v>
      </c>
      <c r="F1216" s="7" t="s">
        <v>612</v>
      </c>
      <c r="G1216" s="7" t="s">
        <v>887</v>
      </c>
      <c r="H1216" s="8">
        <v>325000000</v>
      </c>
      <c r="I1216" s="10" t="s">
        <v>881</v>
      </c>
      <c r="J1216" s="7" t="s">
        <v>882</v>
      </c>
      <c r="K1216" s="10" t="s">
        <v>288</v>
      </c>
      <c r="L1216" s="7" t="s">
        <v>289</v>
      </c>
      <c r="M1216" s="7"/>
      <c r="N1216" s="7">
        <f>VLOOKUP(J1216,[1]Sheet1!$C:$D,2,FALSE)</f>
        <v>14604</v>
      </c>
      <c r="O1216" s="7">
        <f>VLOOKUP(J1216,[2]Desa!$A:$D,4,FALSE)</f>
        <v>480</v>
      </c>
      <c r="P1216" s="7">
        <f>VLOOKUP(J1216,[3]Sheet1!$D:$F,3,FALSE)</f>
        <v>53</v>
      </c>
      <c r="Q1216" s="7"/>
      <c r="R1216" s="7"/>
      <c r="S1216" s="12">
        <v>-8.5537409256858403</v>
      </c>
      <c r="T1216" s="12">
        <v>116.098379994906</v>
      </c>
      <c r="U1216" s="7"/>
      <c r="V1216" s="50">
        <f>Table13678[[#This Row],[PAGU SEMULA]]-Table13678[[#This Row],[PAGU ANGGARAN]]</f>
        <v>-325000000</v>
      </c>
      <c r="W1216" s="50">
        <f>Table13678[[#This Row],[PAGU SEMULA]]-Table13678[[#This Row],[PAGU ANGGARAN]]</f>
        <v>-325000000</v>
      </c>
      <c r="X1216" t="s">
        <v>986</v>
      </c>
    </row>
    <row r="1217" spans="3:24" hidden="1">
      <c r="C1217" s="7" t="s">
        <v>20</v>
      </c>
      <c r="D1217" s="7" t="s">
        <v>104</v>
      </c>
      <c r="E1217" s="7" t="s">
        <v>145</v>
      </c>
      <c r="F1217" s="7" t="s">
        <v>243</v>
      </c>
      <c r="G1217" s="71" t="s">
        <v>888</v>
      </c>
      <c r="H1217" s="15">
        <v>81670000</v>
      </c>
      <c r="I1217" s="10" t="s">
        <v>889</v>
      </c>
      <c r="J1217" s="7" t="s">
        <v>890</v>
      </c>
      <c r="K1217" s="10" t="s">
        <v>167</v>
      </c>
      <c r="L1217" s="7" t="s">
        <v>168</v>
      </c>
      <c r="M1217" s="7"/>
      <c r="N1217" s="7">
        <f>VLOOKUP(J1217,[1]Sheet1!$C:$D,2,FALSE)</f>
        <v>6640</v>
      </c>
      <c r="O1217" s="7">
        <f>VLOOKUP(J1217,[2]Desa!$A:$D,4,FALSE)</f>
        <v>153</v>
      </c>
      <c r="P1217" s="7">
        <f>VLOOKUP(J1217,[3]Sheet1!$D:$F,3,FALSE)</f>
        <v>42</v>
      </c>
      <c r="Q1217" s="7"/>
      <c r="R1217" s="7"/>
      <c r="S1217" s="12">
        <v>-8.5677424997518301</v>
      </c>
      <c r="T1217" s="12">
        <v>116.155967277816</v>
      </c>
      <c r="U1217" s="7"/>
      <c r="V1217" s="50">
        <f>Table13678[[#This Row],[PAGU SEMULA]]-Table13678[[#This Row],[PAGU ANGGARAN]]</f>
        <v>-81670000</v>
      </c>
      <c r="W1217" s="50">
        <f>Table13678[[#This Row],[PAGU SEMULA]]-Table13678[[#This Row],[PAGU ANGGARAN]]</f>
        <v>-81670000</v>
      </c>
      <c r="X1217" t="s">
        <v>984</v>
      </c>
    </row>
    <row r="1218" spans="3:24" hidden="1">
      <c r="C1218" s="7" t="s">
        <v>20</v>
      </c>
      <c r="D1218" s="7" t="s">
        <v>104</v>
      </c>
      <c r="E1218" s="7" t="s">
        <v>145</v>
      </c>
      <c r="F1218" s="7" t="s">
        <v>146</v>
      </c>
      <c r="G1218" s="71" t="s">
        <v>891</v>
      </c>
      <c r="H1218" s="15">
        <v>59000000</v>
      </c>
      <c r="I1218" s="10" t="s">
        <v>889</v>
      </c>
      <c r="J1218" s="7" t="s">
        <v>890</v>
      </c>
      <c r="K1218" s="10" t="s">
        <v>167</v>
      </c>
      <c r="L1218" s="7" t="s">
        <v>168</v>
      </c>
      <c r="M1218" s="7"/>
      <c r="N1218" s="7">
        <f>VLOOKUP(J1218,[1]Sheet1!$C:$D,2,FALSE)</f>
        <v>6640</v>
      </c>
      <c r="O1218" s="7">
        <f>VLOOKUP(J1218,[2]Desa!$A:$D,4,FALSE)</f>
        <v>153</v>
      </c>
      <c r="P1218" s="7">
        <f>VLOOKUP(J1218,[3]Sheet1!$D:$F,3,FALSE)</f>
        <v>42</v>
      </c>
      <c r="Q1218" s="7"/>
      <c r="R1218" s="7"/>
      <c r="S1218" s="12">
        <v>-8.5677424997518301</v>
      </c>
      <c r="T1218" s="12">
        <v>116.155967277816</v>
      </c>
      <c r="U1218" s="7"/>
      <c r="V1218" s="50">
        <f>Table13678[[#This Row],[PAGU SEMULA]]-Table13678[[#This Row],[PAGU ANGGARAN]]</f>
        <v>-59000000</v>
      </c>
      <c r="W1218" s="50">
        <f>Table13678[[#This Row],[PAGU SEMULA]]-Table13678[[#This Row],[PAGU ANGGARAN]]</f>
        <v>-59000000</v>
      </c>
      <c r="X1218" t="s">
        <v>984</v>
      </c>
    </row>
    <row r="1219" spans="3:24" hidden="1">
      <c r="C1219" s="7" t="s">
        <v>29</v>
      </c>
      <c r="D1219" s="7" t="s">
        <v>30</v>
      </c>
      <c r="E1219" s="7" t="s">
        <v>148</v>
      </c>
      <c r="F1219" s="7" t="s">
        <v>149</v>
      </c>
      <c r="G1219" s="7" t="s">
        <v>892</v>
      </c>
      <c r="H1219" s="8">
        <v>1368000000</v>
      </c>
      <c r="I1219" s="10" t="s">
        <v>889</v>
      </c>
      <c r="J1219" s="7" t="s">
        <v>890</v>
      </c>
      <c r="K1219" s="10" t="s">
        <v>167</v>
      </c>
      <c r="L1219" s="7" t="s">
        <v>168</v>
      </c>
      <c r="M1219" s="7"/>
      <c r="N1219" s="7">
        <f>VLOOKUP(J1219,[1]Sheet1!$C:$D,2,FALSE)</f>
        <v>6640</v>
      </c>
      <c r="O1219" s="7">
        <f>VLOOKUP(J1219,[2]Desa!$A:$D,4,FALSE)</f>
        <v>153</v>
      </c>
      <c r="P1219" s="7">
        <f>VLOOKUP(J1219,[3]Sheet1!$D:$F,3,FALSE)</f>
        <v>42</v>
      </c>
      <c r="Q1219" s="7"/>
      <c r="R1219" s="7"/>
      <c r="S1219" s="12">
        <v>-8.5677424997518301</v>
      </c>
      <c r="T1219" s="12">
        <v>116.155967277816</v>
      </c>
      <c r="U1219" s="7"/>
      <c r="V1219" s="50">
        <f>Table13678[[#This Row],[PAGU SEMULA]]-Table13678[[#This Row],[PAGU ANGGARAN]]</f>
        <v>-1368000000</v>
      </c>
      <c r="W1219" s="50">
        <f>Table13678[[#This Row],[PAGU SEMULA]]-Table13678[[#This Row],[PAGU ANGGARAN]]</f>
        <v>-1368000000</v>
      </c>
      <c r="X1219" t="s">
        <v>984</v>
      </c>
    </row>
    <row r="1220" spans="3:24" hidden="1">
      <c r="C1220" s="7" t="s">
        <v>29</v>
      </c>
      <c r="D1220" s="7" t="s">
        <v>30</v>
      </c>
      <c r="E1220" s="7" t="s">
        <v>31</v>
      </c>
      <c r="F1220" s="7" t="s">
        <v>32</v>
      </c>
      <c r="G1220" s="7" t="s">
        <v>33</v>
      </c>
      <c r="H1220" s="8">
        <v>477120000</v>
      </c>
      <c r="I1220" s="10" t="s">
        <v>889</v>
      </c>
      <c r="J1220" s="7" t="s">
        <v>890</v>
      </c>
      <c r="K1220" s="10" t="s">
        <v>167</v>
      </c>
      <c r="L1220" s="7" t="s">
        <v>168</v>
      </c>
      <c r="M1220" s="7"/>
      <c r="N1220" s="7">
        <f>VLOOKUP(J1220,[1]Sheet1!$C:$D,2,FALSE)</f>
        <v>6640</v>
      </c>
      <c r="O1220" s="7">
        <f>VLOOKUP(J1220,[2]Desa!$A:$D,4,FALSE)</f>
        <v>153</v>
      </c>
      <c r="P1220" s="7">
        <f>VLOOKUP(J1220,[3]Sheet1!$D:$F,3,FALSE)</f>
        <v>42</v>
      </c>
      <c r="Q1220" s="7"/>
      <c r="R1220" s="7"/>
      <c r="S1220" s="12">
        <v>-8.5677424997518301</v>
      </c>
      <c r="T1220" s="12">
        <v>116.155967277816</v>
      </c>
      <c r="U1220" s="7"/>
      <c r="V1220" s="50">
        <f>Table13678[[#This Row],[PAGU SEMULA]]-Table13678[[#This Row],[PAGU ANGGARAN]]</f>
        <v>-477120000</v>
      </c>
      <c r="W1220" s="50">
        <f>Table13678[[#This Row],[PAGU SEMULA]]-Table13678[[#This Row],[PAGU ANGGARAN]]</f>
        <v>-477120000</v>
      </c>
      <c r="X1220" t="s">
        <v>984</v>
      </c>
    </row>
    <row r="1221" spans="3:24" hidden="1">
      <c r="C1221" s="7" t="s">
        <v>29</v>
      </c>
      <c r="D1221" s="7" t="s">
        <v>30</v>
      </c>
      <c r="E1221" s="7" t="s">
        <v>31</v>
      </c>
      <c r="F1221" s="7" t="s">
        <v>32</v>
      </c>
      <c r="G1221" s="7" t="s">
        <v>34</v>
      </c>
      <c r="H1221" s="8">
        <v>38169600</v>
      </c>
      <c r="I1221" s="10" t="s">
        <v>889</v>
      </c>
      <c r="J1221" s="7" t="s">
        <v>890</v>
      </c>
      <c r="K1221" s="10" t="s">
        <v>167</v>
      </c>
      <c r="L1221" s="7" t="s">
        <v>168</v>
      </c>
      <c r="M1221" s="7"/>
      <c r="N1221" s="7">
        <f>VLOOKUP(J1221,[1]Sheet1!$C:$D,2,FALSE)</f>
        <v>6640</v>
      </c>
      <c r="O1221" s="7">
        <f>VLOOKUP(J1221,[2]Desa!$A:$D,4,FALSE)</f>
        <v>153</v>
      </c>
      <c r="P1221" s="7">
        <f>VLOOKUP(J1221,[3]Sheet1!$D:$F,3,FALSE)</f>
        <v>42</v>
      </c>
      <c r="Q1221" s="7"/>
      <c r="R1221" s="7"/>
      <c r="S1221" s="12">
        <v>-8.5677424997518301</v>
      </c>
      <c r="T1221" s="12">
        <v>116.155967277816</v>
      </c>
      <c r="U1221" s="7"/>
      <c r="V1221" s="50">
        <f>Table13678[[#This Row],[PAGU SEMULA]]-Table13678[[#This Row],[PAGU ANGGARAN]]</f>
        <v>-38169600</v>
      </c>
      <c r="W1221" s="50">
        <f>Table13678[[#This Row],[PAGU SEMULA]]-Table13678[[#This Row],[PAGU ANGGARAN]]</f>
        <v>-38169600</v>
      </c>
      <c r="X1221" t="s">
        <v>984</v>
      </c>
    </row>
    <row r="1222" spans="3:24" hidden="1">
      <c r="C1222" s="7" t="s">
        <v>35</v>
      </c>
      <c r="D1222" s="7" t="s">
        <v>36</v>
      </c>
      <c r="E1222" s="7" t="s">
        <v>37</v>
      </c>
      <c r="F1222" s="7" t="s">
        <v>38</v>
      </c>
      <c r="G1222" s="7" t="s">
        <v>39</v>
      </c>
      <c r="H1222" s="15">
        <v>75000000</v>
      </c>
      <c r="I1222" s="10" t="s">
        <v>889</v>
      </c>
      <c r="J1222" s="7" t="s">
        <v>890</v>
      </c>
      <c r="K1222" s="10" t="s">
        <v>167</v>
      </c>
      <c r="L1222" s="7" t="s">
        <v>168</v>
      </c>
      <c r="M1222" s="7"/>
      <c r="N1222" s="7">
        <f>VLOOKUP(J1222,[1]Sheet1!$C:$D,2,FALSE)</f>
        <v>6640</v>
      </c>
      <c r="O1222" s="7">
        <f>VLOOKUP(J1222,[2]Desa!$A:$D,4,FALSE)</f>
        <v>153</v>
      </c>
      <c r="P1222" s="7">
        <f>VLOOKUP(J1222,[3]Sheet1!$D:$F,3,FALSE)</f>
        <v>42</v>
      </c>
      <c r="Q1222" s="7"/>
      <c r="R1222" s="7"/>
      <c r="S1222" s="12">
        <v>-8.5677424997518301</v>
      </c>
      <c r="T1222" s="12">
        <v>116.155967277816</v>
      </c>
      <c r="U1222" s="7"/>
      <c r="V1222" s="50">
        <f>Table13678[[#This Row],[PAGU SEMULA]]-Table13678[[#This Row],[PAGU ANGGARAN]]</f>
        <v>-75000000</v>
      </c>
      <c r="W1222" s="50">
        <f>Table13678[[#This Row],[PAGU SEMULA]]-Table13678[[#This Row],[PAGU ANGGARAN]]</f>
        <v>-75000000</v>
      </c>
      <c r="X1222" t="s">
        <v>984</v>
      </c>
    </row>
    <row r="1223" spans="3:24" hidden="1">
      <c r="C1223" s="7" t="s">
        <v>46</v>
      </c>
      <c r="D1223" s="7" t="s">
        <v>122</v>
      </c>
      <c r="E1223" s="7" t="s">
        <v>123</v>
      </c>
      <c r="F1223" s="7" t="s">
        <v>124</v>
      </c>
      <c r="G1223" s="7" t="s">
        <v>893</v>
      </c>
      <c r="H1223" s="8">
        <v>100000000</v>
      </c>
      <c r="I1223" s="10" t="s">
        <v>889</v>
      </c>
      <c r="J1223" s="7" t="s">
        <v>890</v>
      </c>
      <c r="K1223" s="10" t="s">
        <v>167</v>
      </c>
      <c r="L1223" s="7" t="s">
        <v>168</v>
      </c>
      <c r="M1223" s="7"/>
      <c r="N1223" s="7">
        <f>VLOOKUP(J1223,[1]Sheet1!$C:$D,2,FALSE)</f>
        <v>6640</v>
      </c>
      <c r="O1223" s="7">
        <f>VLOOKUP(J1223,[2]Desa!$A:$D,4,FALSE)</f>
        <v>153</v>
      </c>
      <c r="P1223" s="7">
        <f>VLOOKUP(J1223,[3]Sheet1!$D:$F,3,FALSE)</f>
        <v>42</v>
      </c>
      <c r="Q1223" s="7"/>
      <c r="R1223" s="7"/>
      <c r="S1223" s="12">
        <v>-8.5677424997518301</v>
      </c>
      <c r="T1223" s="12">
        <v>116.155967277816</v>
      </c>
      <c r="U1223" s="7"/>
      <c r="V1223" s="50">
        <f>Table13678[[#This Row],[PAGU SEMULA]]-Table13678[[#This Row],[PAGU ANGGARAN]]</f>
        <v>-100000000</v>
      </c>
      <c r="W1223" s="50">
        <f>Table13678[[#This Row],[PAGU SEMULA]]-Table13678[[#This Row],[PAGU ANGGARAN]]</f>
        <v>-100000000</v>
      </c>
      <c r="X1223" t="s">
        <v>987</v>
      </c>
    </row>
    <row r="1224" spans="3:24" hidden="1">
      <c r="C1224" s="7" t="s">
        <v>51</v>
      </c>
      <c r="D1224" s="7" t="s">
        <v>52</v>
      </c>
      <c r="E1224" s="7" t="s">
        <v>53</v>
      </c>
      <c r="F1224" s="7" t="s">
        <v>54</v>
      </c>
      <c r="G1224" s="7" t="s">
        <v>73</v>
      </c>
      <c r="H1224" s="8">
        <v>189090000</v>
      </c>
      <c r="I1224" s="10" t="s">
        <v>889</v>
      </c>
      <c r="J1224" s="7" t="s">
        <v>890</v>
      </c>
      <c r="K1224" s="10" t="s">
        <v>58</v>
      </c>
      <c r="L1224" s="7" t="s">
        <v>168</v>
      </c>
      <c r="M1224" s="7"/>
      <c r="N1224" s="7">
        <f>VLOOKUP(J1224,[1]Sheet1!$C:$D,2,FALSE)</f>
        <v>6640</v>
      </c>
      <c r="O1224" s="7">
        <f>VLOOKUP(J1224,[2]Desa!$A:$D,4,FALSE)</f>
        <v>153</v>
      </c>
      <c r="P1224" s="7">
        <f>VLOOKUP(J1224,[3]Sheet1!$D:$F,3,FALSE)</f>
        <v>42</v>
      </c>
      <c r="Q1224" s="7"/>
      <c r="R1224" s="7"/>
      <c r="S1224" s="12">
        <v>-8.5677424997518301</v>
      </c>
      <c r="T1224" s="12">
        <v>116.155967277816</v>
      </c>
      <c r="U1224" s="7"/>
      <c r="V1224" s="50">
        <f>Table13678[[#This Row],[PAGU SEMULA]]-Table13678[[#This Row],[PAGU ANGGARAN]]</f>
        <v>-189090000</v>
      </c>
      <c r="W1224" s="50">
        <f>Table13678[[#This Row],[PAGU SEMULA]]-Table13678[[#This Row],[PAGU ANGGARAN]]</f>
        <v>-189090000</v>
      </c>
      <c r="X1224" t="s">
        <v>986</v>
      </c>
    </row>
    <row r="1225" spans="3:24" hidden="1">
      <c r="C1225" s="7" t="s">
        <v>51</v>
      </c>
      <c r="D1225" s="7" t="s">
        <v>52</v>
      </c>
      <c r="E1225" s="7" t="s">
        <v>53</v>
      </c>
      <c r="F1225" s="7" t="s">
        <v>54</v>
      </c>
      <c r="G1225" s="7" t="s">
        <v>174</v>
      </c>
      <c r="H1225" s="8">
        <v>189090000</v>
      </c>
      <c r="I1225" s="10" t="s">
        <v>889</v>
      </c>
      <c r="J1225" s="7" t="s">
        <v>890</v>
      </c>
      <c r="K1225" s="10" t="s">
        <v>167</v>
      </c>
      <c r="L1225" s="7" t="s">
        <v>168</v>
      </c>
      <c r="M1225" s="7"/>
      <c r="N1225" s="7">
        <f>VLOOKUP(J1225,[1]Sheet1!$C:$D,2,FALSE)</f>
        <v>6640</v>
      </c>
      <c r="O1225" s="7">
        <f>VLOOKUP(J1225,[2]Desa!$A:$D,4,FALSE)</f>
        <v>153</v>
      </c>
      <c r="P1225" s="7">
        <f>VLOOKUP(J1225,[3]Sheet1!$D:$F,3,FALSE)</f>
        <v>42</v>
      </c>
      <c r="Q1225" s="7"/>
      <c r="R1225" s="7"/>
      <c r="S1225" s="12">
        <v>-8.5677424997518301</v>
      </c>
      <c r="T1225" s="12">
        <v>116.155967277816</v>
      </c>
      <c r="U1225" s="7"/>
      <c r="V1225" s="50">
        <f>Table13678[[#This Row],[PAGU SEMULA]]-Table13678[[#This Row],[PAGU ANGGARAN]]</f>
        <v>-189090000</v>
      </c>
      <c r="W1225" s="50">
        <f>Table13678[[#This Row],[PAGU SEMULA]]-Table13678[[#This Row],[PAGU ANGGARAN]]</f>
        <v>-189090000</v>
      </c>
      <c r="X1225" t="s">
        <v>986</v>
      </c>
    </row>
    <row r="1226" spans="3:24" hidden="1">
      <c r="C1226" s="7" t="s">
        <v>51</v>
      </c>
      <c r="D1226" s="7" t="s">
        <v>52</v>
      </c>
      <c r="E1226" s="7" t="s">
        <v>53</v>
      </c>
      <c r="F1226" s="7" t="s">
        <v>54</v>
      </c>
      <c r="G1226" s="7" t="s">
        <v>174</v>
      </c>
      <c r="H1226" s="8">
        <v>189090000</v>
      </c>
      <c r="I1226" s="10" t="s">
        <v>889</v>
      </c>
      <c r="J1226" s="7" t="s">
        <v>890</v>
      </c>
      <c r="K1226" s="10" t="s">
        <v>167</v>
      </c>
      <c r="L1226" s="7" t="s">
        <v>168</v>
      </c>
      <c r="M1226" s="7"/>
      <c r="N1226" s="7">
        <f>VLOOKUP(J1226,[1]Sheet1!$C:$D,2,FALSE)</f>
        <v>6640</v>
      </c>
      <c r="O1226" s="7">
        <f>VLOOKUP(J1226,[2]Desa!$A:$D,4,FALSE)</f>
        <v>153</v>
      </c>
      <c r="P1226" s="7">
        <f>VLOOKUP(J1226,[3]Sheet1!$D:$F,3,FALSE)</f>
        <v>42</v>
      </c>
      <c r="Q1226" s="7"/>
      <c r="R1226" s="7"/>
      <c r="S1226" s="12">
        <v>-8.5677424997518301</v>
      </c>
      <c r="T1226" s="12">
        <v>116.155967277816</v>
      </c>
      <c r="U1226" s="7"/>
      <c r="V1226" s="50">
        <f>Table13678[[#This Row],[PAGU SEMULA]]-Table13678[[#This Row],[PAGU ANGGARAN]]</f>
        <v>-189090000</v>
      </c>
      <c r="W1226" s="50">
        <f>Table13678[[#This Row],[PAGU SEMULA]]-Table13678[[#This Row],[PAGU ANGGARAN]]</f>
        <v>-189090000</v>
      </c>
      <c r="X1226" t="s">
        <v>986</v>
      </c>
    </row>
    <row r="1227" spans="3:24" hidden="1">
      <c r="C1227" s="7" t="s">
        <v>29</v>
      </c>
      <c r="D1227" s="7" t="s">
        <v>30</v>
      </c>
      <c r="E1227" s="7" t="s">
        <v>31</v>
      </c>
      <c r="F1227" s="7" t="s">
        <v>32</v>
      </c>
      <c r="G1227" s="7" t="s">
        <v>33</v>
      </c>
      <c r="H1227" s="8">
        <v>481320000</v>
      </c>
      <c r="I1227" s="10" t="s">
        <v>894</v>
      </c>
      <c r="J1227" s="7" t="s">
        <v>895</v>
      </c>
      <c r="K1227" s="10" t="s">
        <v>27</v>
      </c>
      <c r="L1227" s="7" t="s">
        <v>28</v>
      </c>
      <c r="M1227" s="7"/>
      <c r="N1227" s="7">
        <f>VLOOKUP(J1227,[1]Sheet1!$C:$D,2,FALSE)</f>
        <v>5380</v>
      </c>
      <c r="O1227" s="7">
        <f>VLOOKUP(J1227,[2]Desa!$A:$D,4,FALSE)</f>
        <v>137</v>
      </c>
      <c r="P1227" s="7">
        <f>VLOOKUP(J1227,[3]Sheet1!$D:$F,3,FALSE)</f>
        <v>14</v>
      </c>
      <c r="Q1227" s="7"/>
      <c r="R1227" s="7"/>
      <c r="S1227" s="12">
        <v>-8.6567405592212801</v>
      </c>
      <c r="T1227" s="12">
        <v>116.09662629305799</v>
      </c>
      <c r="U1227" s="7"/>
      <c r="V1227" s="50">
        <f>Table13678[[#This Row],[PAGU SEMULA]]-Table13678[[#This Row],[PAGU ANGGARAN]]</f>
        <v>-481320000</v>
      </c>
      <c r="W1227" s="50">
        <f>Table13678[[#This Row],[PAGU SEMULA]]-Table13678[[#This Row],[PAGU ANGGARAN]]</f>
        <v>-481320000</v>
      </c>
      <c r="X1227" t="s">
        <v>984</v>
      </c>
    </row>
    <row r="1228" spans="3:24" hidden="1">
      <c r="C1228" s="7" t="s">
        <v>29</v>
      </c>
      <c r="D1228" s="7" t="s">
        <v>30</v>
      </c>
      <c r="E1228" s="7" t="s">
        <v>31</v>
      </c>
      <c r="F1228" s="7" t="s">
        <v>32</v>
      </c>
      <c r="G1228" s="7" t="s">
        <v>34</v>
      </c>
      <c r="H1228" s="8">
        <v>38505600</v>
      </c>
      <c r="I1228" s="10" t="s">
        <v>894</v>
      </c>
      <c r="J1228" s="7" t="s">
        <v>895</v>
      </c>
      <c r="K1228" s="10" t="s">
        <v>27</v>
      </c>
      <c r="L1228" s="7" t="s">
        <v>28</v>
      </c>
      <c r="M1228" s="7"/>
      <c r="N1228" s="7">
        <f>VLOOKUP(J1228,[1]Sheet1!$C:$D,2,FALSE)</f>
        <v>5380</v>
      </c>
      <c r="O1228" s="7">
        <f>VLOOKUP(J1228,[2]Desa!$A:$D,4,FALSE)</f>
        <v>137</v>
      </c>
      <c r="P1228" s="7">
        <f>VLOOKUP(J1228,[3]Sheet1!$D:$F,3,FALSE)</f>
        <v>14</v>
      </c>
      <c r="Q1228" s="7"/>
      <c r="R1228" s="7"/>
      <c r="S1228" s="12">
        <v>-8.6567405592212801</v>
      </c>
      <c r="T1228" s="12">
        <v>116.09662629305799</v>
      </c>
      <c r="U1228" s="7"/>
      <c r="V1228" s="50">
        <f>Table13678[[#This Row],[PAGU SEMULA]]-Table13678[[#This Row],[PAGU ANGGARAN]]</f>
        <v>-38505600</v>
      </c>
      <c r="W1228" s="50">
        <f>Table13678[[#This Row],[PAGU SEMULA]]-Table13678[[#This Row],[PAGU ANGGARAN]]</f>
        <v>-38505600</v>
      </c>
      <c r="X1228" t="s">
        <v>984</v>
      </c>
    </row>
    <row r="1229" spans="3:24" hidden="1">
      <c r="C1229" s="7" t="s">
        <v>546</v>
      </c>
      <c r="D1229" s="7" t="s">
        <v>75</v>
      </c>
      <c r="E1229" s="7" t="s">
        <v>547</v>
      </c>
      <c r="F1229" s="7" t="s">
        <v>548</v>
      </c>
      <c r="G1229" s="7" t="s">
        <v>549</v>
      </c>
      <c r="H1229" s="8">
        <v>95175000</v>
      </c>
      <c r="I1229" s="10" t="s">
        <v>894</v>
      </c>
      <c r="J1229" s="7" t="s">
        <v>895</v>
      </c>
      <c r="K1229" s="10" t="s">
        <v>27</v>
      </c>
      <c r="L1229" s="7" t="s">
        <v>28</v>
      </c>
      <c r="M1229" s="7"/>
      <c r="N1229" s="7">
        <f>VLOOKUP(J1229,[1]Sheet1!$C:$D,2,FALSE)</f>
        <v>5380</v>
      </c>
      <c r="O1229" s="7">
        <f>VLOOKUP(J1229,[2]Desa!$A:$D,4,FALSE)</f>
        <v>137</v>
      </c>
      <c r="P1229" s="7">
        <f>VLOOKUP(J1229,[3]Sheet1!$D:$F,3,FALSE)</f>
        <v>14</v>
      </c>
      <c r="Q1229" s="7"/>
      <c r="R1229" s="7"/>
      <c r="S1229" s="12">
        <v>-8.6567405592212801</v>
      </c>
      <c r="T1229" s="12">
        <v>116.09662629305799</v>
      </c>
      <c r="U1229" s="7"/>
      <c r="V1229" s="50">
        <f>Table13678[[#This Row],[PAGU SEMULA]]-Table13678[[#This Row],[PAGU ANGGARAN]]</f>
        <v>-95175000</v>
      </c>
      <c r="W1229" s="50">
        <f>Table13678[[#This Row],[PAGU SEMULA]]-Table13678[[#This Row],[PAGU ANGGARAN]]</f>
        <v>-95175000</v>
      </c>
      <c r="X1229" t="s">
        <v>982</v>
      </c>
    </row>
    <row r="1230" spans="3:24" hidden="1">
      <c r="C1230" s="7" t="s">
        <v>35</v>
      </c>
      <c r="D1230" s="7" t="s">
        <v>36</v>
      </c>
      <c r="E1230" s="7" t="s">
        <v>37</v>
      </c>
      <c r="F1230" s="7" t="s">
        <v>38</v>
      </c>
      <c r="G1230" s="7" t="s">
        <v>896</v>
      </c>
      <c r="H1230" s="15">
        <v>75000000</v>
      </c>
      <c r="I1230" s="10" t="s">
        <v>894</v>
      </c>
      <c r="J1230" s="7" t="s">
        <v>895</v>
      </c>
      <c r="K1230" s="10" t="s">
        <v>27</v>
      </c>
      <c r="L1230" s="7" t="s">
        <v>28</v>
      </c>
      <c r="M1230" s="7"/>
      <c r="N1230" s="7">
        <f>VLOOKUP(J1230,[1]Sheet1!$C:$D,2,FALSE)</f>
        <v>5380</v>
      </c>
      <c r="O1230" s="7">
        <f>VLOOKUP(J1230,[2]Desa!$A:$D,4,FALSE)</f>
        <v>137</v>
      </c>
      <c r="P1230" s="7">
        <f>VLOOKUP(J1230,[3]Sheet1!$D:$F,3,FALSE)</f>
        <v>14</v>
      </c>
      <c r="Q1230" s="7"/>
      <c r="R1230" s="7"/>
      <c r="S1230" s="12">
        <v>-8.6567405592212801</v>
      </c>
      <c r="T1230" s="12">
        <v>116.09662629305799</v>
      </c>
      <c r="U1230" s="7"/>
      <c r="V1230" s="50">
        <f>Table13678[[#This Row],[PAGU SEMULA]]-Table13678[[#This Row],[PAGU ANGGARAN]]</f>
        <v>-75000000</v>
      </c>
      <c r="W1230" s="50">
        <f>Table13678[[#This Row],[PAGU SEMULA]]-Table13678[[#This Row],[PAGU ANGGARAN]]</f>
        <v>-75000000</v>
      </c>
      <c r="X1230" t="s">
        <v>984</v>
      </c>
    </row>
    <row r="1231" spans="3:24" hidden="1">
      <c r="C1231" s="7" t="s">
        <v>35</v>
      </c>
      <c r="D1231" s="7" t="s">
        <v>52</v>
      </c>
      <c r="E1231" s="7" t="s">
        <v>95</v>
      </c>
      <c r="F1231" s="7" t="s">
        <v>96</v>
      </c>
      <c r="G1231" s="7" t="s">
        <v>41</v>
      </c>
      <c r="H1231" s="17">
        <v>96750000</v>
      </c>
      <c r="I1231" s="10" t="s">
        <v>894</v>
      </c>
      <c r="J1231" s="7" t="s">
        <v>895</v>
      </c>
      <c r="K1231" s="10" t="s">
        <v>27</v>
      </c>
      <c r="L1231" s="7" t="s">
        <v>28</v>
      </c>
      <c r="M1231" s="7"/>
      <c r="N1231" s="7">
        <f>VLOOKUP(J1231,[1]Sheet1!$C:$D,2,FALSE)</f>
        <v>5380</v>
      </c>
      <c r="O1231" s="7">
        <f>VLOOKUP(J1231,[2]Desa!$A:$D,4,FALSE)</f>
        <v>137</v>
      </c>
      <c r="P1231" s="7">
        <f>VLOOKUP(J1231,[3]Sheet1!$D:$F,3,FALSE)</f>
        <v>14</v>
      </c>
      <c r="Q1231" s="7"/>
      <c r="R1231" s="7"/>
      <c r="S1231" s="12">
        <v>-8.6567405592212801</v>
      </c>
      <c r="T1231" s="12">
        <v>116.09662629305799</v>
      </c>
      <c r="U1231" s="7"/>
      <c r="V1231" s="50">
        <f>Table13678[[#This Row],[PAGU SEMULA]]-Table13678[[#This Row],[PAGU ANGGARAN]]</f>
        <v>-96750000</v>
      </c>
      <c r="W1231" s="50">
        <f>Table13678[[#This Row],[PAGU SEMULA]]-Table13678[[#This Row],[PAGU ANGGARAN]]</f>
        <v>-96750000</v>
      </c>
      <c r="X1231" t="s">
        <v>986</v>
      </c>
    </row>
    <row r="1232" spans="3:24" hidden="1">
      <c r="C1232" s="7" t="s">
        <v>35</v>
      </c>
      <c r="D1232" s="7" t="s">
        <v>52</v>
      </c>
      <c r="E1232" s="7" t="s">
        <v>95</v>
      </c>
      <c r="F1232" s="7" t="s">
        <v>96</v>
      </c>
      <c r="G1232" s="7" t="s">
        <v>897</v>
      </c>
      <c r="H1232" s="17">
        <v>96750000</v>
      </c>
      <c r="I1232" s="10" t="s">
        <v>894</v>
      </c>
      <c r="J1232" s="7" t="s">
        <v>895</v>
      </c>
      <c r="K1232" s="10" t="s">
        <v>27</v>
      </c>
      <c r="L1232" s="7" t="s">
        <v>28</v>
      </c>
      <c r="M1232" s="7"/>
      <c r="N1232" s="7">
        <f>VLOOKUP(J1232,[1]Sheet1!$C:$D,2,FALSE)</f>
        <v>5380</v>
      </c>
      <c r="O1232" s="7">
        <f>VLOOKUP(J1232,[2]Desa!$A:$D,4,FALSE)</f>
        <v>137</v>
      </c>
      <c r="P1232" s="7">
        <f>VLOOKUP(J1232,[3]Sheet1!$D:$F,3,FALSE)</f>
        <v>14</v>
      </c>
      <c r="Q1232" s="7"/>
      <c r="R1232" s="7"/>
      <c r="S1232" s="12">
        <v>-8.6567405592212801</v>
      </c>
      <c r="T1232" s="12">
        <v>116.09662629305799</v>
      </c>
      <c r="U1232" s="7"/>
      <c r="V1232" s="50">
        <f>Table13678[[#This Row],[PAGU SEMULA]]-Table13678[[#This Row],[PAGU ANGGARAN]]</f>
        <v>-96750000</v>
      </c>
      <c r="W1232" s="50">
        <f>Table13678[[#This Row],[PAGU SEMULA]]-Table13678[[#This Row],[PAGU ANGGARAN]]</f>
        <v>-96750000</v>
      </c>
      <c r="X1232" t="s">
        <v>986</v>
      </c>
    </row>
    <row r="1233" spans="3:24" hidden="1">
      <c r="C1233" s="7" t="s">
        <v>68</v>
      </c>
      <c r="D1233" s="7" t="s">
        <v>69</v>
      </c>
      <c r="E1233" s="7" t="s">
        <v>70</v>
      </c>
      <c r="F1233" s="7" t="s">
        <v>71</v>
      </c>
      <c r="G1233" s="7" t="s">
        <v>78</v>
      </c>
      <c r="H1233" s="8">
        <v>48117000</v>
      </c>
      <c r="I1233" s="10" t="s">
        <v>894</v>
      </c>
      <c r="J1233" s="7" t="s">
        <v>895</v>
      </c>
      <c r="K1233" s="10" t="s">
        <v>27</v>
      </c>
      <c r="L1233" s="7" t="s">
        <v>28</v>
      </c>
      <c r="M1233" s="7"/>
      <c r="N1233" s="7">
        <f>VLOOKUP(J1233,[1]Sheet1!$C:$D,2,FALSE)</f>
        <v>5380</v>
      </c>
      <c r="O1233" s="7">
        <f>VLOOKUP(J1233,[2]Desa!$A:$D,4,FALSE)</f>
        <v>137</v>
      </c>
      <c r="P1233" s="7">
        <f>VLOOKUP(J1233,[3]Sheet1!$D:$F,3,FALSE)</f>
        <v>14</v>
      </c>
      <c r="Q1233" s="7"/>
      <c r="R1233" s="7"/>
      <c r="S1233" s="12">
        <v>-8.6567405592212801</v>
      </c>
      <c r="T1233" s="12">
        <v>116.09662629305799</v>
      </c>
      <c r="U1233" s="7"/>
      <c r="V1233" s="50">
        <f>Table13678[[#This Row],[PAGU SEMULA]]-Table13678[[#This Row],[PAGU ANGGARAN]]</f>
        <v>-48117000</v>
      </c>
      <c r="W1233" s="50">
        <f>Table13678[[#This Row],[PAGU SEMULA]]-Table13678[[#This Row],[PAGU ANGGARAN]]</f>
        <v>-48117000</v>
      </c>
      <c r="X1233" t="s">
        <v>982</v>
      </c>
    </row>
    <row r="1234" spans="3:24" hidden="1">
      <c r="C1234" s="7" t="s">
        <v>68</v>
      </c>
      <c r="D1234" s="7" t="s">
        <v>535</v>
      </c>
      <c r="E1234" s="7" t="s">
        <v>536</v>
      </c>
      <c r="F1234" s="7" t="s">
        <v>537</v>
      </c>
      <c r="G1234" s="7" t="s">
        <v>606</v>
      </c>
      <c r="H1234" s="8">
        <v>71849250</v>
      </c>
      <c r="I1234" s="10" t="s">
        <v>894</v>
      </c>
      <c r="J1234" s="7" t="s">
        <v>895</v>
      </c>
      <c r="K1234" s="10" t="s">
        <v>27</v>
      </c>
      <c r="L1234" s="7" t="s">
        <v>28</v>
      </c>
      <c r="M1234" s="7"/>
      <c r="N1234" s="7">
        <f>VLOOKUP(J1234,[1]Sheet1!$C:$D,2,FALSE)</f>
        <v>5380</v>
      </c>
      <c r="O1234" s="7">
        <f>VLOOKUP(J1234,[2]Desa!$A:$D,4,FALSE)</f>
        <v>137</v>
      </c>
      <c r="P1234" s="7">
        <f>VLOOKUP(J1234,[3]Sheet1!$D:$F,3,FALSE)</f>
        <v>14</v>
      </c>
      <c r="Q1234" s="7"/>
      <c r="R1234" s="7"/>
      <c r="S1234" s="12">
        <v>-8.6567405592212801</v>
      </c>
      <c r="T1234" s="12">
        <v>116.09662629305799</v>
      </c>
      <c r="U1234" s="7"/>
      <c r="V1234" s="50">
        <f>Table13678[[#This Row],[PAGU SEMULA]]-Table13678[[#This Row],[PAGU ANGGARAN]]</f>
        <v>-71849250</v>
      </c>
      <c r="W1234" s="50">
        <f>Table13678[[#This Row],[PAGU SEMULA]]-Table13678[[#This Row],[PAGU ANGGARAN]]</f>
        <v>-71849250</v>
      </c>
      <c r="X1234" t="s">
        <v>982</v>
      </c>
    </row>
    <row r="1235" spans="3:24" hidden="1">
      <c r="C1235" s="7" t="s">
        <v>29</v>
      </c>
      <c r="D1235" s="7" t="s">
        <v>30</v>
      </c>
      <c r="E1235" s="7" t="s">
        <v>148</v>
      </c>
      <c r="F1235" s="7" t="s">
        <v>149</v>
      </c>
      <c r="G1235" s="7" t="s">
        <v>150</v>
      </c>
      <c r="H1235" s="8">
        <v>1321585000</v>
      </c>
      <c r="I1235" s="10" t="s">
        <v>898</v>
      </c>
      <c r="J1235" s="7" t="s">
        <v>899</v>
      </c>
      <c r="K1235" s="10" t="s">
        <v>58</v>
      </c>
      <c r="L1235" s="7" t="s">
        <v>59</v>
      </c>
      <c r="M1235" s="7"/>
      <c r="N1235" s="7">
        <f>VLOOKUP(J1235,[1]Sheet1!$C:$D,2,FALSE)</f>
        <v>7151</v>
      </c>
      <c r="O1235" s="7">
        <f>VLOOKUP(J1235,[2]Desa!$A:$D,4,FALSE)</f>
        <v>333</v>
      </c>
      <c r="P1235" s="7">
        <f>VLOOKUP(J1235,[3]Sheet1!$D:$F,3,FALSE)</f>
        <v>48</v>
      </c>
      <c r="Q1235" s="7"/>
      <c r="R1235" s="7"/>
      <c r="S1235" s="12">
        <v>-8.5678361270957097</v>
      </c>
      <c r="T1235" s="12">
        <v>116.230506706689</v>
      </c>
      <c r="U1235" s="7"/>
      <c r="V1235" s="50">
        <f>Table13678[[#This Row],[PAGU SEMULA]]-Table13678[[#This Row],[PAGU ANGGARAN]]</f>
        <v>-1321585000</v>
      </c>
      <c r="W1235" s="50">
        <f>Table13678[[#This Row],[PAGU SEMULA]]-Table13678[[#This Row],[PAGU ANGGARAN]]</f>
        <v>-1321585000</v>
      </c>
      <c r="X1235" t="s">
        <v>984</v>
      </c>
    </row>
    <row r="1236" spans="3:24" hidden="1">
      <c r="C1236" s="7" t="s">
        <v>29</v>
      </c>
      <c r="D1236" s="7" t="s">
        <v>30</v>
      </c>
      <c r="E1236" s="7" t="s">
        <v>31</v>
      </c>
      <c r="F1236" s="7" t="s">
        <v>32</v>
      </c>
      <c r="G1236" s="7" t="s">
        <v>33</v>
      </c>
      <c r="H1236" s="8">
        <v>541380000</v>
      </c>
      <c r="I1236" s="10" t="s">
        <v>898</v>
      </c>
      <c r="J1236" s="7" t="s">
        <v>899</v>
      </c>
      <c r="K1236" s="10" t="s">
        <v>58</v>
      </c>
      <c r="L1236" s="7" t="s">
        <v>59</v>
      </c>
      <c r="M1236" s="7"/>
      <c r="N1236" s="7">
        <f>VLOOKUP(J1236,[1]Sheet1!$C:$D,2,FALSE)</f>
        <v>7151</v>
      </c>
      <c r="O1236" s="7">
        <f>VLOOKUP(J1236,[2]Desa!$A:$D,4,FALSE)</f>
        <v>333</v>
      </c>
      <c r="P1236" s="7">
        <f>VLOOKUP(J1236,[3]Sheet1!$D:$F,3,FALSE)</f>
        <v>48</v>
      </c>
      <c r="Q1236" s="7"/>
      <c r="R1236" s="7"/>
      <c r="S1236" s="12">
        <v>-8.5678361270957097</v>
      </c>
      <c r="T1236" s="12">
        <v>116.230506706689</v>
      </c>
      <c r="U1236" s="7"/>
      <c r="V1236" s="50">
        <f>Table13678[[#This Row],[PAGU SEMULA]]-Table13678[[#This Row],[PAGU ANGGARAN]]</f>
        <v>-541380000</v>
      </c>
      <c r="W1236" s="50">
        <f>Table13678[[#This Row],[PAGU SEMULA]]-Table13678[[#This Row],[PAGU ANGGARAN]]</f>
        <v>-541380000</v>
      </c>
      <c r="X1236" t="s">
        <v>984</v>
      </c>
    </row>
    <row r="1237" spans="3:24" hidden="1">
      <c r="C1237" s="7" t="s">
        <v>29</v>
      </c>
      <c r="D1237" s="7" t="s">
        <v>30</v>
      </c>
      <c r="E1237" s="7" t="s">
        <v>31</v>
      </c>
      <c r="F1237" s="7" t="s">
        <v>32</v>
      </c>
      <c r="G1237" s="7" t="s">
        <v>34</v>
      </c>
      <c r="H1237" s="8">
        <v>43310400</v>
      </c>
      <c r="I1237" s="10" t="s">
        <v>898</v>
      </c>
      <c r="J1237" s="7" t="s">
        <v>899</v>
      </c>
      <c r="K1237" s="10" t="s">
        <v>58</v>
      </c>
      <c r="L1237" s="7" t="s">
        <v>59</v>
      </c>
      <c r="M1237" s="7"/>
      <c r="N1237" s="7">
        <f>VLOOKUP(J1237,[1]Sheet1!$C:$D,2,FALSE)</f>
        <v>7151</v>
      </c>
      <c r="O1237" s="7">
        <f>VLOOKUP(J1237,[2]Desa!$A:$D,4,FALSE)</f>
        <v>333</v>
      </c>
      <c r="P1237" s="7">
        <f>VLOOKUP(J1237,[3]Sheet1!$D:$F,3,FALSE)</f>
        <v>48</v>
      </c>
      <c r="Q1237" s="7"/>
      <c r="R1237" s="7"/>
      <c r="S1237" s="12">
        <v>-8.5678361270957097</v>
      </c>
      <c r="T1237" s="12">
        <v>116.230506706689</v>
      </c>
      <c r="U1237" s="7"/>
      <c r="V1237" s="50">
        <f>Table13678[[#This Row],[PAGU SEMULA]]-Table13678[[#This Row],[PAGU ANGGARAN]]</f>
        <v>-43310400</v>
      </c>
      <c r="W1237" s="50">
        <f>Table13678[[#This Row],[PAGU SEMULA]]-Table13678[[#This Row],[PAGU ANGGARAN]]</f>
        <v>-43310400</v>
      </c>
      <c r="X1237" t="s">
        <v>984</v>
      </c>
    </row>
    <row r="1238" spans="3:24" hidden="1">
      <c r="C1238" s="7" t="s">
        <v>35</v>
      </c>
      <c r="D1238" s="7" t="s">
        <v>36</v>
      </c>
      <c r="E1238" s="7" t="s">
        <v>37</v>
      </c>
      <c r="F1238" s="7" t="s">
        <v>38</v>
      </c>
      <c r="G1238" s="7" t="s">
        <v>39</v>
      </c>
      <c r="H1238" s="15">
        <v>75000000</v>
      </c>
      <c r="I1238" s="10" t="s">
        <v>898</v>
      </c>
      <c r="J1238" s="7" t="s">
        <v>899</v>
      </c>
      <c r="K1238" s="10" t="s">
        <v>58</v>
      </c>
      <c r="L1238" s="7" t="s">
        <v>59</v>
      </c>
      <c r="M1238" s="7"/>
      <c r="N1238" s="7">
        <f>VLOOKUP(J1238,[1]Sheet1!$C:$D,2,FALSE)</f>
        <v>7151</v>
      </c>
      <c r="O1238" s="7">
        <f>VLOOKUP(J1238,[2]Desa!$A:$D,4,FALSE)</f>
        <v>333</v>
      </c>
      <c r="P1238" s="7">
        <f>VLOOKUP(J1238,[3]Sheet1!$D:$F,3,FALSE)</f>
        <v>48</v>
      </c>
      <c r="Q1238" s="7"/>
      <c r="R1238" s="7"/>
      <c r="S1238" s="12">
        <v>-8.5678361270957097</v>
      </c>
      <c r="T1238" s="12">
        <v>116.230506706689</v>
      </c>
      <c r="U1238" s="7"/>
      <c r="V1238" s="50">
        <f>Table13678[[#This Row],[PAGU SEMULA]]-Table13678[[#This Row],[PAGU ANGGARAN]]</f>
        <v>-75000000</v>
      </c>
      <c r="W1238" s="50">
        <f>Table13678[[#This Row],[PAGU SEMULA]]-Table13678[[#This Row],[PAGU ANGGARAN]]</f>
        <v>-75000000</v>
      </c>
      <c r="X1238" t="s">
        <v>984</v>
      </c>
    </row>
    <row r="1239" spans="3:24" hidden="1">
      <c r="C1239" s="7" t="s">
        <v>35</v>
      </c>
      <c r="D1239" s="7" t="s">
        <v>134</v>
      </c>
      <c r="E1239" s="7" t="s">
        <v>700</v>
      </c>
      <c r="F1239" s="7" t="s">
        <v>701</v>
      </c>
      <c r="G1239" s="7" t="s">
        <v>702</v>
      </c>
      <c r="H1239" s="17">
        <v>145125000</v>
      </c>
      <c r="I1239" s="10" t="s">
        <v>898</v>
      </c>
      <c r="J1239" s="7" t="s">
        <v>899</v>
      </c>
      <c r="K1239" s="10" t="s">
        <v>58</v>
      </c>
      <c r="L1239" s="7" t="s">
        <v>59</v>
      </c>
      <c r="M1239" s="7"/>
      <c r="N1239" s="7">
        <f>VLOOKUP(J1239,[1]Sheet1!$C:$D,2,FALSE)</f>
        <v>7151</v>
      </c>
      <c r="O1239" s="7">
        <f>VLOOKUP(J1239,[2]Desa!$A:$D,4,FALSE)</f>
        <v>333</v>
      </c>
      <c r="P1239" s="7">
        <f>VLOOKUP(J1239,[3]Sheet1!$D:$F,3,FALSE)</f>
        <v>48</v>
      </c>
      <c r="Q1239" s="7"/>
      <c r="R1239" s="7"/>
      <c r="S1239" s="12">
        <v>-8.5678361270957097</v>
      </c>
      <c r="T1239" s="12">
        <v>116.230506706689</v>
      </c>
      <c r="U1239" s="7"/>
      <c r="V1239" s="50">
        <f>Table13678[[#This Row],[PAGU SEMULA]]-Table13678[[#This Row],[PAGU ANGGARAN]]</f>
        <v>-145125000</v>
      </c>
      <c r="W1239" s="50">
        <f>Table13678[[#This Row],[PAGU SEMULA]]-Table13678[[#This Row],[PAGU ANGGARAN]]</f>
        <v>-145125000</v>
      </c>
      <c r="X1239" t="s">
        <v>986</v>
      </c>
    </row>
    <row r="1240" spans="3:24" hidden="1">
      <c r="C1240" s="7" t="s">
        <v>35</v>
      </c>
      <c r="D1240" s="7" t="s">
        <v>52</v>
      </c>
      <c r="E1240" s="7" t="s">
        <v>95</v>
      </c>
      <c r="F1240" s="7" t="s">
        <v>96</v>
      </c>
      <c r="G1240" s="7" t="s">
        <v>900</v>
      </c>
      <c r="H1240" s="17">
        <v>145125000</v>
      </c>
      <c r="I1240" s="10" t="s">
        <v>898</v>
      </c>
      <c r="J1240" s="7" t="s">
        <v>899</v>
      </c>
      <c r="K1240" s="10" t="s">
        <v>58</v>
      </c>
      <c r="L1240" s="7" t="s">
        <v>59</v>
      </c>
      <c r="M1240" s="7"/>
      <c r="N1240" s="7">
        <f>VLOOKUP(J1240,[1]Sheet1!$C:$D,2,FALSE)</f>
        <v>7151</v>
      </c>
      <c r="O1240" s="7">
        <f>VLOOKUP(J1240,[2]Desa!$A:$D,4,FALSE)</f>
        <v>333</v>
      </c>
      <c r="P1240" s="7">
        <f>VLOOKUP(J1240,[3]Sheet1!$D:$F,3,FALSE)</f>
        <v>48</v>
      </c>
      <c r="Q1240" s="7"/>
      <c r="R1240" s="7"/>
      <c r="S1240" s="12">
        <v>-8.5678361270957097</v>
      </c>
      <c r="T1240" s="12">
        <v>116.230506706689</v>
      </c>
      <c r="U1240" s="7"/>
      <c r="V1240" s="50">
        <f>Table13678[[#This Row],[PAGU SEMULA]]-Table13678[[#This Row],[PAGU ANGGARAN]]</f>
        <v>-145125000</v>
      </c>
      <c r="W1240" s="50">
        <f>Table13678[[#This Row],[PAGU SEMULA]]-Table13678[[#This Row],[PAGU ANGGARAN]]</f>
        <v>-145125000</v>
      </c>
      <c r="X1240" t="s">
        <v>986</v>
      </c>
    </row>
    <row r="1241" spans="3:24" hidden="1">
      <c r="C1241" s="7" t="s">
        <v>35</v>
      </c>
      <c r="D1241" s="7" t="s">
        <v>52</v>
      </c>
      <c r="E1241" s="7" t="s">
        <v>95</v>
      </c>
      <c r="F1241" s="7" t="s">
        <v>96</v>
      </c>
      <c r="G1241" s="7" t="s">
        <v>459</v>
      </c>
      <c r="H1241" s="15">
        <v>338000000</v>
      </c>
      <c r="I1241" s="10" t="s">
        <v>898</v>
      </c>
      <c r="J1241" s="7" t="s">
        <v>899</v>
      </c>
      <c r="K1241" s="10" t="s">
        <v>58</v>
      </c>
      <c r="L1241" s="7" t="s">
        <v>59</v>
      </c>
      <c r="M1241" s="7"/>
      <c r="N1241" s="7">
        <f>VLOOKUP(J1241,[1]Sheet1!$C:$D,2,FALSE)</f>
        <v>7151</v>
      </c>
      <c r="O1241" s="7">
        <f>VLOOKUP(J1241,[2]Desa!$A:$D,4,FALSE)</f>
        <v>333</v>
      </c>
      <c r="P1241" s="7">
        <f>VLOOKUP(J1241,[3]Sheet1!$D:$F,3,FALSE)</f>
        <v>48</v>
      </c>
      <c r="Q1241" s="7"/>
      <c r="R1241" s="7"/>
      <c r="S1241" s="12">
        <v>-8.5678361270957097</v>
      </c>
      <c r="T1241" s="12">
        <v>116.230506706689</v>
      </c>
      <c r="U1241" s="7"/>
      <c r="V1241" s="50">
        <f>Table13678[[#This Row],[PAGU SEMULA]]-Table13678[[#This Row],[PAGU ANGGARAN]]</f>
        <v>-338000000</v>
      </c>
      <c r="W1241" s="50">
        <f>Table13678[[#This Row],[PAGU SEMULA]]-Table13678[[#This Row],[PAGU ANGGARAN]]</f>
        <v>-338000000</v>
      </c>
      <c r="X1241" t="s">
        <v>986</v>
      </c>
    </row>
    <row r="1242" spans="3:24" hidden="1">
      <c r="C1242" s="7" t="s">
        <v>20</v>
      </c>
      <c r="D1242" s="7" t="s">
        <v>104</v>
      </c>
      <c r="E1242" s="7" t="s">
        <v>105</v>
      </c>
      <c r="F1242" s="7" t="s">
        <v>284</v>
      </c>
      <c r="G1242" s="71" t="s">
        <v>901</v>
      </c>
      <c r="H1242" s="15">
        <v>120424000</v>
      </c>
      <c r="I1242" s="10" t="s">
        <v>902</v>
      </c>
      <c r="J1242" s="7" t="s">
        <v>903</v>
      </c>
      <c r="K1242" s="10" t="s">
        <v>27</v>
      </c>
      <c r="L1242" s="7" t="s">
        <v>28</v>
      </c>
      <c r="M1242" s="7"/>
      <c r="N1242" s="7">
        <f>VLOOKUP(J1242,[1]Sheet1!$C:$D,2,FALSE)</f>
        <v>7368</v>
      </c>
      <c r="O1242" s="7">
        <f>VLOOKUP(J1242,[2]Desa!$A:$D,4,FALSE)</f>
        <v>481</v>
      </c>
      <c r="P1242" s="7">
        <f>VLOOKUP(J1242,[3]Sheet1!$D:$F,3,FALSE)</f>
        <v>51</v>
      </c>
      <c r="Q1242" s="7"/>
      <c r="R1242" s="7"/>
      <c r="S1242" s="12">
        <v>-8.6566028864648494</v>
      </c>
      <c r="T1242" s="12">
        <v>116.086415839087</v>
      </c>
      <c r="U1242" s="7"/>
      <c r="V1242" s="50">
        <f>Table13678[[#This Row],[PAGU SEMULA]]-Table13678[[#This Row],[PAGU ANGGARAN]]</f>
        <v>-120424000</v>
      </c>
      <c r="W1242" s="50">
        <f>Table13678[[#This Row],[PAGU SEMULA]]-Table13678[[#This Row],[PAGU ANGGARAN]]</f>
        <v>-120424000</v>
      </c>
      <c r="X1242" t="s">
        <v>984</v>
      </c>
    </row>
    <row r="1243" spans="3:24" hidden="1">
      <c r="C1243" s="7" t="s">
        <v>20</v>
      </c>
      <c r="D1243" s="7" t="s">
        <v>104</v>
      </c>
      <c r="E1243" s="7" t="s">
        <v>105</v>
      </c>
      <c r="F1243" s="7" t="s">
        <v>169</v>
      </c>
      <c r="G1243" s="71" t="s">
        <v>904</v>
      </c>
      <c r="H1243" s="15">
        <v>301542000</v>
      </c>
      <c r="I1243" s="10" t="s">
        <v>902</v>
      </c>
      <c r="J1243" s="7" t="s">
        <v>903</v>
      </c>
      <c r="K1243" s="10" t="s">
        <v>27</v>
      </c>
      <c r="L1243" s="7" t="s">
        <v>28</v>
      </c>
      <c r="M1243" s="7"/>
      <c r="N1243" s="7">
        <f>VLOOKUP(J1243,[1]Sheet1!$C:$D,2,FALSE)</f>
        <v>7368</v>
      </c>
      <c r="O1243" s="7">
        <f>VLOOKUP(J1243,[2]Desa!$A:$D,4,FALSE)</f>
        <v>481</v>
      </c>
      <c r="P1243" s="7">
        <f>VLOOKUP(J1243,[3]Sheet1!$D:$F,3,FALSE)</f>
        <v>51</v>
      </c>
      <c r="Q1243" s="7"/>
      <c r="R1243" s="7"/>
      <c r="S1243" s="12">
        <v>-8.6566028864648494</v>
      </c>
      <c r="T1243" s="12">
        <v>116.086415839087</v>
      </c>
      <c r="U1243" s="7"/>
      <c r="V1243" s="50">
        <f>Table13678[[#This Row],[PAGU SEMULA]]-Table13678[[#This Row],[PAGU ANGGARAN]]</f>
        <v>-301542000</v>
      </c>
      <c r="W1243" s="50">
        <f>Table13678[[#This Row],[PAGU SEMULA]]-Table13678[[#This Row],[PAGU ANGGARAN]]</f>
        <v>-301542000</v>
      </c>
      <c r="X1243" t="s">
        <v>984</v>
      </c>
    </row>
    <row r="1244" spans="3:24" hidden="1">
      <c r="C1244" s="7" t="s">
        <v>29</v>
      </c>
      <c r="D1244" s="7" t="s">
        <v>30</v>
      </c>
      <c r="E1244" s="7" t="s">
        <v>31</v>
      </c>
      <c r="F1244" s="7" t="s">
        <v>32</v>
      </c>
      <c r="G1244" s="7" t="s">
        <v>33</v>
      </c>
      <c r="H1244" s="8">
        <v>321720000</v>
      </c>
      <c r="I1244" s="10" t="s">
        <v>902</v>
      </c>
      <c r="J1244" s="7" t="s">
        <v>903</v>
      </c>
      <c r="K1244" s="10" t="s">
        <v>27</v>
      </c>
      <c r="L1244" s="7" t="s">
        <v>28</v>
      </c>
      <c r="M1244" s="7"/>
      <c r="N1244" s="7">
        <f>VLOOKUP(J1244,[1]Sheet1!$C:$D,2,FALSE)</f>
        <v>7368</v>
      </c>
      <c r="O1244" s="7">
        <f>VLOOKUP(J1244,[2]Desa!$A:$D,4,FALSE)</f>
        <v>481</v>
      </c>
      <c r="P1244" s="7">
        <f>VLOOKUP(J1244,[3]Sheet1!$D:$F,3,FALSE)</f>
        <v>51</v>
      </c>
      <c r="Q1244" s="7"/>
      <c r="R1244" s="7"/>
      <c r="S1244" s="12">
        <v>-8.6566028864648494</v>
      </c>
      <c r="T1244" s="12">
        <v>116.086415839087</v>
      </c>
      <c r="U1244" s="7"/>
      <c r="V1244" s="50">
        <f>Table13678[[#This Row],[PAGU SEMULA]]-Table13678[[#This Row],[PAGU ANGGARAN]]</f>
        <v>-321720000</v>
      </c>
      <c r="W1244" s="50">
        <f>Table13678[[#This Row],[PAGU SEMULA]]-Table13678[[#This Row],[PAGU ANGGARAN]]</f>
        <v>-321720000</v>
      </c>
      <c r="X1244" t="s">
        <v>984</v>
      </c>
    </row>
    <row r="1245" spans="3:24" hidden="1">
      <c r="C1245" s="7" t="s">
        <v>29</v>
      </c>
      <c r="D1245" s="7" t="s">
        <v>30</v>
      </c>
      <c r="E1245" s="7" t="s">
        <v>31</v>
      </c>
      <c r="F1245" s="7" t="s">
        <v>32</v>
      </c>
      <c r="G1245" s="7" t="s">
        <v>34</v>
      </c>
      <c r="H1245" s="8">
        <v>25737600</v>
      </c>
      <c r="I1245" s="10" t="s">
        <v>902</v>
      </c>
      <c r="J1245" s="7" t="s">
        <v>903</v>
      </c>
      <c r="K1245" s="10" t="s">
        <v>27</v>
      </c>
      <c r="L1245" s="7" t="s">
        <v>28</v>
      </c>
      <c r="M1245" s="7"/>
      <c r="N1245" s="7">
        <f>VLOOKUP(J1245,[1]Sheet1!$C:$D,2,FALSE)</f>
        <v>7368</v>
      </c>
      <c r="O1245" s="7">
        <f>VLOOKUP(J1245,[2]Desa!$A:$D,4,FALSE)</f>
        <v>481</v>
      </c>
      <c r="P1245" s="7">
        <f>VLOOKUP(J1245,[3]Sheet1!$D:$F,3,FALSE)</f>
        <v>51</v>
      </c>
      <c r="Q1245" s="7"/>
      <c r="R1245" s="7"/>
      <c r="S1245" s="12">
        <v>-8.6566028864648494</v>
      </c>
      <c r="T1245" s="12">
        <v>116.086415839087</v>
      </c>
      <c r="U1245" s="7"/>
      <c r="V1245" s="50">
        <f>Table13678[[#This Row],[PAGU SEMULA]]-Table13678[[#This Row],[PAGU ANGGARAN]]</f>
        <v>-25737600</v>
      </c>
      <c r="W1245" s="50">
        <f>Table13678[[#This Row],[PAGU SEMULA]]-Table13678[[#This Row],[PAGU ANGGARAN]]</f>
        <v>-25737600</v>
      </c>
      <c r="X1245" t="s">
        <v>984</v>
      </c>
    </row>
    <row r="1246" spans="3:24" hidden="1">
      <c r="C1246" s="7" t="s">
        <v>60</v>
      </c>
      <c r="D1246" s="7" t="s">
        <v>61</v>
      </c>
      <c r="E1246" s="7" t="s">
        <v>62</v>
      </c>
      <c r="F1246" s="7" t="s">
        <v>63</v>
      </c>
      <c r="G1246" s="71" t="s">
        <v>251</v>
      </c>
      <c r="H1246" s="15">
        <v>46950000</v>
      </c>
      <c r="I1246" s="10" t="s">
        <v>902</v>
      </c>
      <c r="J1246" s="7" t="s">
        <v>903</v>
      </c>
      <c r="K1246" s="10" t="s">
        <v>27</v>
      </c>
      <c r="L1246" s="7" t="s">
        <v>28</v>
      </c>
      <c r="M1246" s="7"/>
      <c r="N1246" s="7">
        <f>VLOOKUP(J1246,[1]Sheet1!$C:$D,2,FALSE)</f>
        <v>7368</v>
      </c>
      <c r="O1246" s="7">
        <f>VLOOKUP(J1246,[2]Desa!$A:$D,4,FALSE)</f>
        <v>481</v>
      </c>
      <c r="P1246" s="7">
        <f>VLOOKUP(J1246,[3]Sheet1!$D:$F,3,FALSE)</f>
        <v>51</v>
      </c>
      <c r="Q1246" s="7"/>
      <c r="R1246" s="7"/>
      <c r="S1246" s="12">
        <v>-8.6566028864648494</v>
      </c>
      <c r="T1246" s="12">
        <v>116.086415839087</v>
      </c>
      <c r="U1246" s="7"/>
      <c r="V1246" s="50">
        <f>Table13678[[#This Row],[PAGU SEMULA]]-Table13678[[#This Row],[PAGU ANGGARAN]]</f>
        <v>-46950000</v>
      </c>
      <c r="W1246" s="50">
        <f>Table13678[[#This Row],[PAGU SEMULA]]-Table13678[[#This Row],[PAGU ANGGARAN]]</f>
        <v>-46950000</v>
      </c>
      <c r="X1246" t="s">
        <v>987</v>
      </c>
    </row>
    <row r="1247" spans="3:24" hidden="1">
      <c r="C1247" s="7" t="s">
        <v>35</v>
      </c>
      <c r="D1247" s="7" t="s">
        <v>36</v>
      </c>
      <c r="E1247" s="7" t="s">
        <v>37</v>
      </c>
      <c r="F1247" s="7" t="s">
        <v>38</v>
      </c>
      <c r="G1247" s="7" t="s">
        <v>39</v>
      </c>
      <c r="H1247" s="15">
        <v>75000000</v>
      </c>
      <c r="I1247" s="10" t="s">
        <v>902</v>
      </c>
      <c r="J1247" s="7" t="s">
        <v>903</v>
      </c>
      <c r="K1247" s="10" t="s">
        <v>27</v>
      </c>
      <c r="L1247" s="7" t="s">
        <v>28</v>
      </c>
      <c r="M1247" s="7"/>
      <c r="N1247" s="7">
        <f>VLOOKUP(J1247,[1]Sheet1!$C:$D,2,FALSE)</f>
        <v>7368</v>
      </c>
      <c r="O1247" s="7">
        <f>VLOOKUP(J1247,[2]Desa!$A:$D,4,FALSE)</f>
        <v>481</v>
      </c>
      <c r="P1247" s="7">
        <f>VLOOKUP(J1247,[3]Sheet1!$D:$F,3,FALSE)</f>
        <v>51</v>
      </c>
      <c r="Q1247" s="7"/>
      <c r="R1247" s="7"/>
      <c r="S1247" s="12">
        <v>-8.6566028864648494</v>
      </c>
      <c r="T1247" s="12">
        <v>116.086415839087</v>
      </c>
      <c r="U1247" s="7"/>
      <c r="V1247" s="50">
        <f>Table13678[[#This Row],[PAGU SEMULA]]-Table13678[[#This Row],[PAGU ANGGARAN]]</f>
        <v>-75000000</v>
      </c>
      <c r="W1247" s="50">
        <f>Table13678[[#This Row],[PAGU SEMULA]]-Table13678[[#This Row],[PAGU ANGGARAN]]</f>
        <v>-75000000</v>
      </c>
      <c r="X1247" t="s">
        <v>984</v>
      </c>
    </row>
    <row r="1248" spans="3:24" hidden="1">
      <c r="C1248" s="7" t="s">
        <v>46</v>
      </c>
      <c r="D1248" s="7" t="s">
        <v>47</v>
      </c>
      <c r="E1248" s="7" t="s">
        <v>48</v>
      </c>
      <c r="F1248" s="7" t="s">
        <v>49</v>
      </c>
      <c r="G1248" s="7" t="s">
        <v>371</v>
      </c>
      <c r="H1248" s="8">
        <v>30774000</v>
      </c>
      <c r="I1248" s="10" t="s">
        <v>902</v>
      </c>
      <c r="J1248" s="7" t="s">
        <v>903</v>
      </c>
      <c r="K1248" s="10" t="s">
        <v>27</v>
      </c>
      <c r="L1248" s="7" t="s">
        <v>28</v>
      </c>
      <c r="M1248" s="7"/>
      <c r="N1248" s="7">
        <f>VLOOKUP(J1248,[1]Sheet1!$C:$D,2,FALSE)</f>
        <v>7368</v>
      </c>
      <c r="O1248" s="7">
        <f>VLOOKUP(J1248,[2]Desa!$A:$D,4,FALSE)</f>
        <v>481</v>
      </c>
      <c r="P1248" s="7">
        <f>VLOOKUP(J1248,[3]Sheet1!$D:$F,3,FALSE)</f>
        <v>51</v>
      </c>
      <c r="Q1248" s="7"/>
      <c r="R1248" s="7"/>
      <c r="S1248" s="12">
        <v>-8.6566028864648494</v>
      </c>
      <c r="T1248" s="12">
        <v>116.086415839087</v>
      </c>
      <c r="U1248" s="7"/>
      <c r="V1248" s="50">
        <f>Table13678[[#This Row],[PAGU SEMULA]]-Table13678[[#This Row],[PAGU ANGGARAN]]</f>
        <v>-30774000</v>
      </c>
      <c r="W1248" s="50">
        <f>Table13678[[#This Row],[PAGU SEMULA]]-Table13678[[#This Row],[PAGU ANGGARAN]]</f>
        <v>-30774000</v>
      </c>
      <c r="X1248" t="s">
        <v>987</v>
      </c>
    </row>
    <row r="1249" spans="3:24" hidden="1">
      <c r="C1249" s="7" t="s">
        <v>51</v>
      </c>
      <c r="D1249" s="7" t="s">
        <v>156</v>
      </c>
      <c r="E1249" s="7" t="s">
        <v>656</v>
      </c>
      <c r="F1249" s="7" t="s">
        <v>657</v>
      </c>
      <c r="G1249" s="7" t="s">
        <v>905</v>
      </c>
      <c r="H1249" s="8">
        <v>191000000</v>
      </c>
      <c r="I1249" s="10" t="s">
        <v>902</v>
      </c>
      <c r="J1249" s="7" t="s">
        <v>903</v>
      </c>
      <c r="K1249" s="10" t="s">
        <v>27</v>
      </c>
      <c r="L1249" s="7" t="s">
        <v>28</v>
      </c>
      <c r="M1249" s="7"/>
      <c r="N1249" s="7">
        <f>VLOOKUP(J1249,[1]Sheet1!$C:$D,2,FALSE)</f>
        <v>7368</v>
      </c>
      <c r="O1249" s="7">
        <f>VLOOKUP(J1249,[2]Desa!$A:$D,4,FALSE)</f>
        <v>481</v>
      </c>
      <c r="P1249" s="7">
        <f>VLOOKUP(J1249,[3]Sheet1!$D:$F,3,FALSE)</f>
        <v>51</v>
      </c>
      <c r="Q1249" s="7"/>
      <c r="R1249" s="7"/>
      <c r="S1249" s="12">
        <v>-8.6566028864648494</v>
      </c>
      <c r="T1249" s="12">
        <v>116.086415839087</v>
      </c>
      <c r="U1249" s="7"/>
      <c r="V1249" s="50">
        <f>Table13678[[#This Row],[PAGU SEMULA]]-Table13678[[#This Row],[PAGU ANGGARAN]]</f>
        <v>-191000000</v>
      </c>
      <c r="W1249" s="50">
        <f>Table13678[[#This Row],[PAGU SEMULA]]-Table13678[[#This Row],[PAGU ANGGARAN]]</f>
        <v>-191000000</v>
      </c>
      <c r="X1249" t="s">
        <v>986</v>
      </c>
    </row>
    <row r="1250" spans="3:24" hidden="1">
      <c r="C1250" s="7" t="s">
        <v>29</v>
      </c>
      <c r="D1250" s="7" t="s">
        <v>30</v>
      </c>
      <c r="E1250" s="7" t="s">
        <v>31</v>
      </c>
      <c r="F1250" s="7" t="s">
        <v>32</v>
      </c>
      <c r="G1250" s="7" t="s">
        <v>33</v>
      </c>
      <c r="H1250" s="8">
        <v>358260000</v>
      </c>
      <c r="I1250" s="10" t="s">
        <v>906</v>
      </c>
      <c r="J1250" s="7" t="s">
        <v>907</v>
      </c>
      <c r="K1250" s="10" t="s">
        <v>196</v>
      </c>
      <c r="L1250" s="7" t="s">
        <v>197</v>
      </c>
      <c r="M1250" s="7"/>
      <c r="N1250" s="7">
        <f>VLOOKUP(J1250,[1]Sheet1!$C:$D,2,FALSE)</f>
        <v>4534</v>
      </c>
      <c r="O1250" s="7">
        <f>VLOOKUP(J1250,[2]Desa!$A:$D,4,FALSE)</f>
        <v>316</v>
      </c>
      <c r="P1250" s="7">
        <f>VLOOKUP(J1250,[3]Sheet1!$D:$F,3,FALSE)</f>
        <v>42</v>
      </c>
      <c r="Q1250" s="7"/>
      <c r="R1250" s="7"/>
      <c r="S1250" s="12">
        <v>-8.7997394440383907</v>
      </c>
      <c r="T1250" s="12">
        <v>116.047524506672</v>
      </c>
      <c r="U1250" s="7"/>
      <c r="V1250" s="50">
        <f>Table13678[[#This Row],[PAGU SEMULA]]-Table13678[[#This Row],[PAGU ANGGARAN]]</f>
        <v>-358260000</v>
      </c>
      <c r="W1250" s="50">
        <f>Table13678[[#This Row],[PAGU SEMULA]]-Table13678[[#This Row],[PAGU ANGGARAN]]</f>
        <v>-358260000</v>
      </c>
      <c r="X1250" t="s">
        <v>984</v>
      </c>
    </row>
    <row r="1251" spans="3:24" hidden="1">
      <c r="C1251" s="7" t="s">
        <v>29</v>
      </c>
      <c r="D1251" s="7" t="s">
        <v>30</v>
      </c>
      <c r="E1251" s="7" t="s">
        <v>31</v>
      </c>
      <c r="F1251" s="7" t="s">
        <v>32</v>
      </c>
      <c r="G1251" s="7" t="s">
        <v>34</v>
      </c>
      <c r="H1251" s="8">
        <v>28660800</v>
      </c>
      <c r="I1251" s="10" t="s">
        <v>906</v>
      </c>
      <c r="J1251" s="7" t="s">
        <v>907</v>
      </c>
      <c r="K1251" s="10" t="s">
        <v>196</v>
      </c>
      <c r="L1251" s="7" t="s">
        <v>197</v>
      </c>
      <c r="M1251" s="7"/>
      <c r="N1251" s="7">
        <f>VLOOKUP(J1251,[1]Sheet1!$C:$D,2,FALSE)</f>
        <v>4534</v>
      </c>
      <c r="O1251" s="7">
        <f>VLOOKUP(J1251,[2]Desa!$A:$D,4,FALSE)</f>
        <v>316</v>
      </c>
      <c r="P1251" s="7">
        <f>VLOOKUP(J1251,[3]Sheet1!$D:$F,3,FALSE)</f>
        <v>42</v>
      </c>
      <c r="Q1251" s="7"/>
      <c r="R1251" s="7"/>
      <c r="S1251" s="12">
        <v>-8.7997394440383907</v>
      </c>
      <c r="T1251" s="12">
        <v>116.047524506672</v>
      </c>
      <c r="U1251" s="7"/>
      <c r="V1251" s="50">
        <f>Table13678[[#This Row],[PAGU SEMULA]]-Table13678[[#This Row],[PAGU ANGGARAN]]</f>
        <v>-28660800</v>
      </c>
      <c r="W1251" s="50">
        <f>Table13678[[#This Row],[PAGU SEMULA]]-Table13678[[#This Row],[PAGU ANGGARAN]]</f>
        <v>-28660800</v>
      </c>
      <c r="X1251" t="s">
        <v>984</v>
      </c>
    </row>
    <row r="1252" spans="3:24" hidden="1">
      <c r="C1252" s="7" t="s">
        <v>84</v>
      </c>
      <c r="D1252" s="7" t="s">
        <v>89</v>
      </c>
      <c r="E1252" s="7" t="s">
        <v>90</v>
      </c>
      <c r="F1252" s="7" t="s">
        <v>272</v>
      </c>
      <c r="G1252" s="7" t="s">
        <v>436</v>
      </c>
      <c r="H1252" s="8">
        <v>141254736</v>
      </c>
      <c r="I1252" s="10" t="s">
        <v>906</v>
      </c>
      <c r="J1252" s="7" t="s">
        <v>907</v>
      </c>
      <c r="K1252" s="10" t="s">
        <v>196</v>
      </c>
      <c r="L1252" s="7" t="s">
        <v>197</v>
      </c>
      <c r="M1252" s="7"/>
      <c r="N1252" s="7">
        <f>VLOOKUP(J1252,[1]Sheet1!$C:$D,2,FALSE)</f>
        <v>4534</v>
      </c>
      <c r="O1252" s="7">
        <f>VLOOKUP(J1252,[2]Desa!$A:$D,4,FALSE)</f>
        <v>316</v>
      </c>
      <c r="P1252" s="7">
        <f>VLOOKUP(J1252,[3]Sheet1!$D:$F,3,FALSE)</f>
        <v>42</v>
      </c>
      <c r="Q1252" s="7"/>
      <c r="R1252" s="7"/>
      <c r="S1252" s="12">
        <v>-8.7997394440383907</v>
      </c>
      <c r="T1252" s="12">
        <v>116.047524506672</v>
      </c>
      <c r="U1252" s="7"/>
      <c r="V1252" s="50">
        <f>Table13678[[#This Row],[PAGU SEMULA]]-Table13678[[#This Row],[PAGU ANGGARAN]]</f>
        <v>-141254736</v>
      </c>
      <c r="W1252" s="50">
        <f>Table13678[[#This Row],[PAGU SEMULA]]-Table13678[[#This Row],[PAGU ANGGARAN]]</f>
        <v>-141254736</v>
      </c>
      <c r="X1252" t="s">
        <v>982</v>
      </c>
    </row>
    <row r="1253" spans="3:24" hidden="1">
      <c r="C1253" s="7" t="s">
        <v>35</v>
      </c>
      <c r="D1253" s="7" t="s">
        <v>36</v>
      </c>
      <c r="E1253" s="7" t="s">
        <v>37</v>
      </c>
      <c r="F1253" s="7" t="s">
        <v>38</v>
      </c>
      <c r="G1253" s="7" t="s">
        <v>39</v>
      </c>
      <c r="H1253" s="15">
        <v>105000000</v>
      </c>
      <c r="I1253" s="10" t="s">
        <v>906</v>
      </c>
      <c r="J1253" s="7" t="s">
        <v>907</v>
      </c>
      <c r="K1253" s="10" t="s">
        <v>196</v>
      </c>
      <c r="L1253" s="7" t="s">
        <v>197</v>
      </c>
      <c r="M1253" s="7"/>
      <c r="N1253" s="7">
        <f>VLOOKUP(J1253,[1]Sheet1!$C:$D,2,FALSE)</f>
        <v>4534</v>
      </c>
      <c r="O1253" s="7">
        <f>VLOOKUP(J1253,[2]Desa!$A:$D,4,FALSE)</f>
        <v>316</v>
      </c>
      <c r="P1253" s="7">
        <f>VLOOKUP(J1253,[3]Sheet1!$D:$F,3,FALSE)</f>
        <v>42</v>
      </c>
      <c r="Q1253" s="7"/>
      <c r="R1253" s="7"/>
      <c r="S1253" s="12">
        <v>-8.7997394440383907</v>
      </c>
      <c r="T1253" s="12">
        <v>116.047524506672</v>
      </c>
      <c r="U1253" s="7"/>
      <c r="V1253" s="50">
        <f>Table13678[[#This Row],[PAGU SEMULA]]-Table13678[[#This Row],[PAGU ANGGARAN]]</f>
        <v>-105000000</v>
      </c>
      <c r="W1253" s="50">
        <f>Table13678[[#This Row],[PAGU SEMULA]]-Table13678[[#This Row],[PAGU ANGGARAN]]</f>
        <v>-105000000</v>
      </c>
      <c r="X1253" t="s">
        <v>984</v>
      </c>
    </row>
    <row r="1254" spans="3:24" hidden="1">
      <c r="C1254" s="7" t="s">
        <v>35</v>
      </c>
      <c r="D1254" s="7" t="s">
        <v>52</v>
      </c>
      <c r="E1254" s="7" t="s">
        <v>95</v>
      </c>
      <c r="F1254" s="7" t="s">
        <v>96</v>
      </c>
      <c r="G1254" s="7" t="s">
        <v>459</v>
      </c>
      <c r="H1254" s="17">
        <v>72562500</v>
      </c>
      <c r="I1254" s="10" t="s">
        <v>906</v>
      </c>
      <c r="J1254" s="7" t="s">
        <v>907</v>
      </c>
      <c r="K1254" s="10" t="s">
        <v>196</v>
      </c>
      <c r="L1254" s="7" t="s">
        <v>197</v>
      </c>
      <c r="M1254" s="7"/>
      <c r="N1254" s="7">
        <f>VLOOKUP(J1254,[1]Sheet1!$C:$D,2,FALSE)</f>
        <v>4534</v>
      </c>
      <c r="O1254" s="7">
        <f>VLOOKUP(J1254,[2]Desa!$A:$D,4,FALSE)</f>
        <v>316</v>
      </c>
      <c r="P1254" s="7">
        <f>VLOOKUP(J1254,[3]Sheet1!$D:$F,3,FALSE)</f>
        <v>42</v>
      </c>
      <c r="Q1254" s="7"/>
      <c r="R1254" s="7"/>
      <c r="S1254" s="12">
        <v>-8.7997394440383907</v>
      </c>
      <c r="T1254" s="12">
        <v>116.047524506672</v>
      </c>
      <c r="U1254" s="7"/>
      <c r="V1254" s="50">
        <f>Table13678[[#This Row],[PAGU SEMULA]]-Table13678[[#This Row],[PAGU ANGGARAN]]</f>
        <v>-72562500</v>
      </c>
      <c r="W1254" s="50">
        <f>Table13678[[#This Row],[PAGU SEMULA]]-Table13678[[#This Row],[PAGU ANGGARAN]]</f>
        <v>-72562500</v>
      </c>
      <c r="X1254" t="s">
        <v>986</v>
      </c>
    </row>
    <row r="1255" spans="3:24" hidden="1">
      <c r="C1255" s="7" t="s">
        <v>51</v>
      </c>
      <c r="D1255" s="7" t="s">
        <v>52</v>
      </c>
      <c r="E1255" s="7" t="s">
        <v>53</v>
      </c>
      <c r="F1255" s="7" t="s">
        <v>54</v>
      </c>
      <c r="G1255" s="7" t="s">
        <v>73</v>
      </c>
      <c r="H1255" s="8">
        <v>189090000</v>
      </c>
      <c r="I1255" s="10" t="s">
        <v>906</v>
      </c>
      <c r="J1255" s="7" t="s">
        <v>907</v>
      </c>
      <c r="K1255" s="10" t="s">
        <v>196</v>
      </c>
      <c r="L1255" s="7" t="s">
        <v>197</v>
      </c>
      <c r="M1255" s="7"/>
      <c r="N1255" s="7">
        <f>VLOOKUP(J1255,[1]Sheet1!$C:$D,2,FALSE)</f>
        <v>4534</v>
      </c>
      <c r="O1255" s="7">
        <f>VLOOKUP(J1255,[2]Desa!$A:$D,4,FALSE)</f>
        <v>316</v>
      </c>
      <c r="P1255" s="7">
        <f>VLOOKUP(J1255,[3]Sheet1!$D:$F,3,FALSE)</f>
        <v>42</v>
      </c>
      <c r="Q1255" s="7"/>
      <c r="R1255" s="7"/>
      <c r="S1255" s="12">
        <v>-8.7997394440383907</v>
      </c>
      <c r="T1255" s="12">
        <v>116.047524506672</v>
      </c>
      <c r="U1255" s="7"/>
      <c r="V1255" s="50">
        <f>Table13678[[#This Row],[PAGU SEMULA]]-Table13678[[#This Row],[PAGU ANGGARAN]]</f>
        <v>-189090000</v>
      </c>
      <c r="W1255" s="50">
        <f>Table13678[[#This Row],[PAGU SEMULA]]-Table13678[[#This Row],[PAGU ANGGARAN]]</f>
        <v>-189090000</v>
      </c>
      <c r="X1255" t="s">
        <v>986</v>
      </c>
    </row>
    <row r="1256" spans="3:24" hidden="1">
      <c r="C1256" s="7" t="s">
        <v>51</v>
      </c>
      <c r="D1256" s="7" t="s">
        <v>156</v>
      </c>
      <c r="E1256" s="7" t="s">
        <v>656</v>
      </c>
      <c r="F1256" s="7" t="s">
        <v>657</v>
      </c>
      <c r="G1256" s="7" t="s">
        <v>658</v>
      </c>
      <c r="H1256" s="8">
        <v>191000000</v>
      </c>
      <c r="I1256" s="10" t="s">
        <v>906</v>
      </c>
      <c r="J1256" s="7" t="s">
        <v>907</v>
      </c>
      <c r="K1256" s="10" t="s">
        <v>196</v>
      </c>
      <c r="L1256" s="7" t="s">
        <v>197</v>
      </c>
      <c r="M1256" s="7"/>
      <c r="N1256" s="7">
        <f>VLOOKUP(J1256,[1]Sheet1!$C:$D,2,FALSE)</f>
        <v>4534</v>
      </c>
      <c r="O1256" s="7">
        <f>VLOOKUP(J1256,[2]Desa!$A:$D,4,FALSE)</f>
        <v>316</v>
      </c>
      <c r="P1256" s="7">
        <f>VLOOKUP(J1256,[3]Sheet1!$D:$F,3,FALSE)</f>
        <v>42</v>
      </c>
      <c r="Q1256" s="7"/>
      <c r="R1256" s="7"/>
      <c r="S1256" s="12">
        <v>-8.7997394440383907</v>
      </c>
      <c r="T1256" s="12">
        <v>116.047524506672</v>
      </c>
      <c r="U1256" s="7"/>
      <c r="V1256" s="50">
        <f>Table13678[[#This Row],[PAGU SEMULA]]-Table13678[[#This Row],[PAGU ANGGARAN]]</f>
        <v>-191000000</v>
      </c>
      <c r="W1256" s="50">
        <f>Table13678[[#This Row],[PAGU SEMULA]]-Table13678[[#This Row],[PAGU ANGGARAN]]</f>
        <v>-191000000</v>
      </c>
      <c r="X1256" t="s">
        <v>986</v>
      </c>
    </row>
    <row r="1257" spans="3:24" hidden="1">
      <c r="C1257" s="7" t="s">
        <v>20</v>
      </c>
      <c r="D1257" s="7" t="s">
        <v>104</v>
      </c>
      <c r="E1257" s="7" t="s">
        <v>105</v>
      </c>
      <c r="F1257" s="7" t="s">
        <v>908</v>
      </c>
      <c r="G1257" s="71" t="s">
        <v>909</v>
      </c>
      <c r="H1257" s="15">
        <v>380600000</v>
      </c>
      <c r="I1257" s="10" t="s">
        <v>910</v>
      </c>
      <c r="J1257" s="7" t="s">
        <v>911</v>
      </c>
      <c r="K1257" s="10" t="s">
        <v>288</v>
      </c>
      <c r="L1257" s="7" t="s">
        <v>289</v>
      </c>
      <c r="M1257" s="7"/>
      <c r="N1257" s="7">
        <f>VLOOKUP(J1257,[1]Sheet1!$C:$D,2,FALSE)</f>
        <v>12083</v>
      </c>
      <c r="O1257" s="7">
        <f>VLOOKUP(J1257,[2]Desa!$A:$D,4,FALSE)</f>
        <v>421</v>
      </c>
      <c r="P1257" s="7">
        <f>VLOOKUP(J1257,[3]Sheet1!$D:$F,3,FALSE)</f>
        <v>60</v>
      </c>
      <c r="Q1257" s="7"/>
      <c r="R1257" s="7"/>
      <c r="S1257" s="12">
        <v>-8.5271772571197992</v>
      </c>
      <c r="T1257" s="12">
        <v>116.11447702815801</v>
      </c>
      <c r="U1257" s="7"/>
      <c r="V1257" s="50">
        <f>Table13678[[#This Row],[PAGU SEMULA]]-Table13678[[#This Row],[PAGU ANGGARAN]]</f>
        <v>-380600000</v>
      </c>
      <c r="W1257" s="50">
        <f>Table13678[[#This Row],[PAGU SEMULA]]-Table13678[[#This Row],[PAGU ANGGARAN]]</f>
        <v>-380600000</v>
      </c>
      <c r="X1257" t="s">
        <v>984</v>
      </c>
    </row>
    <row r="1258" spans="3:24" hidden="1">
      <c r="C1258" s="7" t="s">
        <v>29</v>
      </c>
      <c r="D1258" s="7" t="s">
        <v>30</v>
      </c>
      <c r="E1258" s="7" t="s">
        <v>31</v>
      </c>
      <c r="F1258" s="7" t="s">
        <v>32</v>
      </c>
      <c r="G1258" s="7" t="s">
        <v>33</v>
      </c>
      <c r="H1258" s="8">
        <v>790860000</v>
      </c>
      <c r="I1258" s="10" t="s">
        <v>910</v>
      </c>
      <c r="J1258" s="7" t="s">
        <v>911</v>
      </c>
      <c r="K1258" s="10" t="s">
        <v>288</v>
      </c>
      <c r="L1258" s="7" t="s">
        <v>289</v>
      </c>
      <c r="M1258" s="7"/>
      <c r="N1258" s="7">
        <f>VLOOKUP(J1258,[1]Sheet1!$C:$D,2,FALSE)</f>
        <v>12083</v>
      </c>
      <c r="O1258" s="7">
        <f>VLOOKUP(J1258,[2]Desa!$A:$D,4,FALSE)</f>
        <v>421</v>
      </c>
      <c r="P1258" s="7">
        <f>VLOOKUP(J1258,[3]Sheet1!$D:$F,3,FALSE)</f>
        <v>60</v>
      </c>
      <c r="Q1258" s="7"/>
      <c r="R1258" s="7"/>
      <c r="S1258" s="12">
        <v>-8.5271772571197992</v>
      </c>
      <c r="T1258" s="12">
        <v>116.11447702815801</v>
      </c>
      <c r="U1258" s="7"/>
      <c r="V1258" s="50">
        <f>Table13678[[#This Row],[PAGU SEMULA]]-Table13678[[#This Row],[PAGU ANGGARAN]]</f>
        <v>-790860000</v>
      </c>
      <c r="W1258" s="50">
        <f>Table13678[[#This Row],[PAGU SEMULA]]-Table13678[[#This Row],[PAGU ANGGARAN]]</f>
        <v>-790860000</v>
      </c>
      <c r="X1258" t="s">
        <v>984</v>
      </c>
    </row>
    <row r="1259" spans="3:24" hidden="1">
      <c r="C1259" s="7" t="s">
        <v>29</v>
      </c>
      <c r="D1259" s="7" t="s">
        <v>30</v>
      </c>
      <c r="E1259" s="7" t="s">
        <v>31</v>
      </c>
      <c r="F1259" s="7" t="s">
        <v>32</v>
      </c>
      <c r="G1259" s="7" t="s">
        <v>34</v>
      </c>
      <c r="H1259" s="8">
        <v>63268800</v>
      </c>
      <c r="I1259" s="10" t="s">
        <v>910</v>
      </c>
      <c r="J1259" s="7" t="s">
        <v>911</v>
      </c>
      <c r="K1259" s="10" t="s">
        <v>288</v>
      </c>
      <c r="L1259" s="7" t="s">
        <v>289</v>
      </c>
      <c r="M1259" s="7"/>
      <c r="N1259" s="7">
        <f>VLOOKUP(J1259,[1]Sheet1!$C:$D,2,FALSE)</f>
        <v>12083</v>
      </c>
      <c r="O1259" s="7">
        <f>VLOOKUP(J1259,[2]Desa!$A:$D,4,FALSE)</f>
        <v>421</v>
      </c>
      <c r="P1259" s="7">
        <f>VLOOKUP(J1259,[3]Sheet1!$D:$F,3,FALSE)</f>
        <v>60</v>
      </c>
      <c r="Q1259" s="7"/>
      <c r="R1259" s="7"/>
      <c r="S1259" s="12">
        <v>-8.5271772571197992</v>
      </c>
      <c r="T1259" s="12">
        <v>116.11447702815801</v>
      </c>
      <c r="U1259" s="7"/>
      <c r="V1259" s="50">
        <f>Table13678[[#This Row],[PAGU SEMULA]]-Table13678[[#This Row],[PAGU ANGGARAN]]</f>
        <v>-63268800</v>
      </c>
      <c r="W1259" s="50">
        <f>Table13678[[#This Row],[PAGU SEMULA]]-Table13678[[#This Row],[PAGU ANGGARAN]]</f>
        <v>-63268800</v>
      </c>
      <c r="X1259" t="s">
        <v>984</v>
      </c>
    </row>
    <row r="1260" spans="3:24" hidden="1">
      <c r="C1260" s="7" t="s">
        <v>60</v>
      </c>
      <c r="D1260" s="7" t="s">
        <v>61</v>
      </c>
      <c r="E1260" s="7" t="s">
        <v>62</v>
      </c>
      <c r="F1260" s="7" t="s">
        <v>63</v>
      </c>
      <c r="G1260" s="71" t="s">
        <v>251</v>
      </c>
      <c r="H1260" s="15">
        <v>42000000</v>
      </c>
      <c r="I1260" s="10" t="s">
        <v>910</v>
      </c>
      <c r="J1260" s="7" t="s">
        <v>911</v>
      </c>
      <c r="K1260" s="10" t="s">
        <v>288</v>
      </c>
      <c r="L1260" s="7" t="s">
        <v>289</v>
      </c>
      <c r="M1260" s="7"/>
      <c r="N1260" s="7">
        <f>VLOOKUP(J1260,[1]Sheet1!$C:$D,2,FALSE)</f>
        <v>12083</v>
      </c>
      <c r="O1260" s="7">
        <f>VLOOKUP(J1260,[2]Desa!$A:$D,4,FALSE)</f>
        <v>421</v>
      </c>
      <c r="P1260" s="7">
        <f>VLOOKUP(J1260,[3]Sheet1!$D:$F,3,FALSE)</f>
        <v>60</v>
      </c>
      <c r="Q1260" s="7"/>
      <c r="R1260" s="7"/>
      <c r="S1260" s="12">
        <v>-8.5271772571197992</v>
      </c>
      <c r="T1260" s="12">
        <v>116.11447702815801</v>
      </c>
      <c r="U1260" s="7"/>
      <c r="V1260" s="50">
        <f>Table13678[[#This Row],[PAGU SEMULA]]-Table13678[[#This Row],[PAGU ANGGARAN]]</f>
        <v>-42000000</v>
      </c>
      <c r="W1260" s="50">
        <f>Table13678[[#This Row],[PAGU SEMULA]]-Table13678[[#This Row],[PAGU ANGGARAN]]</f>
        <v>-42000000</v>
      </c>
      <c r="X1260" t="s">
        <v>987</v>
      </c>
    </row>
    <row r="1261" spans="3:24" hidden="1">
      <c r="C1261" s="7" t="s">
        <v>35</v>
      </c>
      <c r="D1261" s="7" t="s">
        <v>36</v>
      </c>
      <c r="E1261" s="7" t="s">
        <v>37</v>
      </c>
      <c r="F1261" s="7" t="s">
        <v>38</v>
      </c>
      <c r="G1261" s="7" t="s">
        <v>39</v>
      </c>
      <c r="H1261" s="15">
        <v>75000000</v>
      </c>
      <c r="I1261" s="10" t="s">
        <v>910</v>
      </c>
      <c r="J1261" s="7" t="s">
        <v>911</v>
      </c>
      <c r="K1261" s="10" t="s">
        <v>288</v>
      </c>
      <c r="L1261" s="7" t="s">
        <v>289</v>
      </c>
      <c r="M1261" s="7"/>
      <c r="N1261" s="7">
        <f>VLOOKUP(J1261,[1]Sheet1!$C:$D,2,FALSE)</f>
        <v>12083</v>
      </c>
      <c r="O1261" s="7">
        <f>VLOOKUP(J1261,[2]Desa!$A:$D,4,FALSE)</f>
        <v>421</v>
      </c>
      <c r="P1261" s="7">
        <f>VLOOKUP(J1261,[3]Sheet1!$D:$F,3,FALSE)</f>
        <v>60</v>
      </c>
      <c r="Q1261" s="7"/>
      <c r="R1261" s="7"/>
      <c r="S1261" s="12">
        <v>-8.5271772571197992</v>
      </c>
      <c r="T1261" s="12">
        <v>116.11447702815801</v>
      </c>
      <c r="U1261" s="7"/>
      <c r="V1261" s="50">
        <f>Table13678[[#This Row],[PAGU SEMULA]]-Table13678[[#This Row],[PAGU ANGGARAN]]</f>
        <v>-75000000</v>
      </c>
      <c r="W1261" s="50">
        <f>Table13678[[#This Row],[PAGU SEMULA]]-Table13678[[#This Row],[PAGU ANGGARAN]]</f>
        <v>-75000000</v>
      </c>
      <c r="X1261" t="s">
        <v>984</v>
      </c>
    </row>
    <row r="1262" spans="3:24" hidden="1">
      <c r="C1262" s="7" t="s">
        <v>35</v>
      </c>
      <c r="D1262" s="7" t="s">
        <v>65</v>
      </c>
      <c r="E1262" s="7" t="s">
        <v>66</v>
      </c>
      <c r="F1262" s="7" t="s">
        <v>322</v>
      </c>
      <c r="G1262" s="7" t="s">
        <v>322</v>
      </c>
      <c r="H1262" s="15">
        <v>68302000</v>
      </c>
      <c r="I1262" s="10" t="s">
        <v>910</v>
      </c>
      <c r="J1262" s="7" t="s">
        <v>911</v>
      </c>
      <c r="K1262" s="10" t="s">
        <v>288</v>
      </c>
      <c r="L1262" s="7" t="s">
        <v>289</v>
      </c>
      <c r="M1262" s="7"/>
      <c r="N1262" s="7">
        <f>VLOOKUP(J1262,[1]Sheet1!$C:$D,2,FALSE)</f>
        <v>12083</v>
      </c>
      <c r="O1262" s="7">
        <f>VLOOKUP(J1262,[2]Desa!$A:$D,4,FALSE)</f>
        <v>421</v>
      </c>
      <c r="P1262" s="7">
        <f>VLOOKUP(J1262,[3]Sheet1!$D:$F,3,FALSE)</f>
        <v>60</v>
      </c>
      <c r="Q1262" s="7"/>
      <c r="R1262" s="7"/>
      <c r="S1262" s="12">
        <v>-8.5271772571197992</v>
      </c>
      <c r="T1262" s="12">
        <v>116.11447702815801</v>
      </c>
      <c r="U1262" s="7"/>
      <c r="V1262" s="50">
        <f>Table13678[[#This Row],[PAGU SEMULA]]-Table13678[[#This Row],[PAGU ANGGARAN]]</f>
        <v>-68302000</v>
      </c>
      <c r="W1262" s="50">
        <f>Table13678[[#This Row],[PAGU SEMULA]]-Table13678[[#This Row],[PAGU ANGGARAN]]</f>
        <v>-68302000</v>
      </c>
      <c r="X1262" t="s">
        <v>986</v>
      </c>
    </row>
    <row r="1263" spans="3:24" hidden="1">
      <c r="C1263" s="7" t="s">
        <v>35</v>
      </c>
      <c r="D1263" s="7" t="s">
        <v>52</v>
      </c>
      <c r="E1263" s="7" t="s">
        <v>95</v>
      </c>
      <c r="F1263" s="7" t="s">
        <v>96</v>
      </c>
      <c r="G1263" s="7" t="s">
        <v>41</v>
      </c>
      <c r="H1263" s="17">
        <v>145125000</v>
      </c>
      <c r="I1263" s="10" t="s">
        <v>910</v>
      </c>
      <c r="J1263" s="7" t="s">
        <v>911</v>
      </c>
      <c r="K1263" s="10" t="s">
        <v>288</v>
      </c>
      <c r="L1263" s="7" t="s">
        <v>289</v>
      </c>
      <c r="M1263" s="7"/>
      <c r="N1263" s="7">
        <f>VLOOKUP(J1263,[1]Sheet1!$C:$D,2,FALSE)</f>
        <v>12083</v>
      </c>
      <c r="O1263" s="7">
        <f>VLOOKUP(J1263,[2]Desa!$A:$D,4,FALSE)</f>
        <v>421</v>
      </c>
      <c r="P1263" s="7">
        <f>VLOOKUP(J1263,[3]Sheet1!$D:$F,3,FALSE)</f>
        <v>60</v>
      </c>
      <c r="Q1263" s="7"/>
      <c r="R1263" s="7"/>
      <c r="S1263" s="12">
        <v>-8.5271772571197992</v>
      </c>
      <c r="T1263" s="12">
        <v>116.11447702815801</v>
      </c>
      <c r="U1263" s="7"/>
      <c r="V1263" s="50">
        <f>Table13678[[#This Row],[PAGU SEMULA]]-Table13678[[#This Row],[PAGU ANGGARAN]]</f>
        <v>-145125000</v>
      </c>
      <c r="W1263" s="50">
        <f>Table13678[[#This Row],[PAGU SEMULA]]-Table13678[[#This Row],[PAGU ANGGARAN]]</f>
        <v>-145125000</v>
      </c>
      <c r="X1263" t="s">
        <v>986</v>
      </c>
    </row>
    <row r="1264" spans="3:24" hidden="1">
      <c r="C1264" s="7" t="s">
        <v>35</v>
      </c>
      <c r="D1264" s="7" t="s">
        <v>52</v>
      </c>
      <c r="E1264" s="7" t="s">
        <v>95</v>
      </c>
      <c r="F1264" s="7" t="s">
        <v>96</v>
      </c>
      <c r="G1264" s="7" t="s">
        <v>117</v>
      </c>
      <c r="H1264" s="17">
        <v>145125000</v>
      </c>
      <c r="I1264" s="10" t="s">
        <v>910</v>
      </c>
      <c r="J1264" s="7" t="s">
        <v>911</v>
      </c>
      <c r="K1264" s="10" t="s">
        <v>288</v>
      </c>
      <c r="L1264" s="7" t="s">
        <v>289</v>
      </c>
      <c r="M1264" s="7"/>
      <c r="N1264" s="7">
        <f>VLOOKUP(J1264,[1]Sheet1!$C:$D,2,FALSE)</f>
        <v>12083</v>
      </c>
      <c r="O1264" s="7">
        <f>VLOOKUP(J1264,[2]Desa!$A:$D,4,FALSE)</f>
        <v>421</v>
      </c>
      <c r="P1264" s="7">
        <f>VLOOKUP(J1264,[3]Sheet1!$D:$F,3,FALSE)</f>
        <v>60</v>
      </c>
      <c r="Q1264" s="7"/>
      <c r="R1264" s="7"/>
      <c r="S1264" s="12">
        <v>-8.5271772571197992</v>
      </c>
      <c r="T1264" s="12">
        <v>116.11447702815801</v>
      </c>
      <c r="U1264" s="7"/>
      <c r="V1264" s="50">
        <f>Table13678[[#This Row],[PAGU SEMULA]]-Table13678[[#This Row],[PAGU ANGGARAN]]</f>
        <v>-145125000</v>
      </c>
      <c r="W1264" s="50">
        <f>Table13678[[#This Row],[PAGU SEMULA]]-Table13678[[#This Row],[PAGU ANGGARAN]]</f>
        <v>-145125000</v>
      </c>
      <c r="X1264" t="s">
        <v>986</v>
      </c>
    </row>
    <row r="1265" spans="3:24" hidden="1">
      <c r="C1265" s="7" t="s">
        <v>35</v>
      </c>
      <c r="D1265" s="7" t="s">
        <v>52</v>
      </c>
      <c r="E1265" s="7" t="s">
        <v>95</v>
      </c>
      <c r="F1265" s="7" t="s">
        <v>96</v>
      </c>
      <c r="G1265" s="7" t="s">
        <v>221</v>
      </c>
      <c r="H1265" s="17">
        <v>48375000</v>
      </c>
      <c r="I1265" s="10" t="s">
        <v>910</v>
      </c>
      <c r="J1265" s="7" t="s">
        <v>911</v>
      </c>
      <c r="K1265" s="10" t="s">
        <v>288</v>
      </c>
      <c r="L1265" s="7" t="s">
        <v>289</v>
      </c>
      <c r="M1265" s="7"/>
      <c r="N1265" s="7">
        <f>VLOOKUP(J1265,[1]Sheet1!$C:$D,2,FALSE)</f>
        <v>12083</v>
      </c>
      <c r="O1265" s="7">
        <f>VLOOKUP(J1265,[2]Desa!$A:$D,4,FALSE)</f>
        <v>421</v>
      </c>
      <c r="P1265" s="7">
        <f>VLOOKUP(J1265,[3]Sheet1!$D:$F,3,FALSE)</f>
        <v>60</v>
      </c>
      <c r="Q1265" s="7"/>
      <c r="R1265" s="7"/>
      <c r="S1265" s="12">
        <v>-8.5271772571197992</v>
      </c>
      <c r="T1265" s="12">
        <v>116.11447702815801</v>
      </c>
      <c r="U1265" s="7"/>
      <c r="V1265" s="50">
        <f>Table13678[[#This Row],[PAGU SEMULA]]-Table13678[[#This Row],[PAGU ANGGARAN]]</f>
        <v>-48375000</v>
      </c>
      <c r="W1265" s="50">
        <f>Table13678[[#This Row],[PAGU SEMULA]]-Table13678[[#This Row],[PAGU ANGGARAN]]</f>
        <v>-48375000</v>
      </c>
      <c r="X1265" t="s">
        <v>986</v>
      </c>
    </row>
    <row r="1266" spans="3:24" hidden="1">
      <c r="C1266" s="7" t="s">
        <v>35</v>
      </c>
      <c r="D1266" s="7" t="s">
        <v>52</v>
      </c>
      <c r="E1266" s="7" t="s">
        <v>95</v>
      </c>
      <c r="F1266" s="7" t="s">
        <v>96</v>
      </c>
      <c r="G1266" s="7" t="s">
        <v>459</v>
      </c>
      <c r="H1266" s="17">
        <v>120937500</v>
      </c>
      <c r="I1266" s="10" t="s">
        <v>910</v>
      </c>
      <c r="J1266" s="7" t="s">
        <v>911</v>
      </c>
      <c r="K1266" s="10" t="s">
        <v>288</v>
      </c>
      <c r="L1266" s="7" t="s">
        <v>289</v>
      </c>
      <c r="M1266" s="7"/>
      <c r="N1266" s="7">
        <f>VLOOKUP(J1266,[1]Sheet1!$C:$D,2,FALSE)</f>
        <v>12083</v>
      </c>
      <c r="O1266" s="7">
        <f>VLOOKUP(J1266,[2]Desa!$A:$D,4,FALSE)</f>
        <v>421</v>
      </c>
      <c r="P1266" s="7">
        <f>VLOOKUP(J1266,[3]Sheet1!$D:$F,3,FALSE)</f>
        <v>60</v>
      </c>
      <c r="Q1266" s="7"/>
      <c r="R1266" s="7"/>
      <c r="S1266" s="12">
        <v>-8.5271772571197992</v>
      </c>
      <c r="T1266" s="12">
        <v>116.11447702815801</v>
      </c>
      <c r="U1266" s="7"/>
      <c r="V1266" s="50">
        <f>Table13678[[#This Row],[PAGU SEMULA]]-Table13678[[#This Row],[PAGU ANGGARAN]]</f>
        <v>-120937500</v>
      </c>
      <c r="W1266" s="50">
        <f>Table13678[[#This Row],[PAGU SEMULA]]-Table13678[[#This Row],[PAGU ANGGARAN]]</f>
        <v>-120937500</v>
      </c>
      <c r="X1266" t="s">
        <v>986</v>
      </c>
    </row>
    <row r="1267" spans="3:24" hidden="1">
      <c r="C1267" s="7" t="s">
        <v>46</v>
      </c>
      <c r="D1267" s="7" t="s">
        <v>47</v>
      </c>
      <c r="E1267" s="7" t="s">
        <v>48</v>
      </c>
      <c r="F1267" s="7" t="s">
        <v>282</v>
      </c>
      <c r="G1267" s="7" t="s">
        <v>283</v>
      </c>
      <c r="H1267" s="8">
        <v>99000000</v>
      </c>
      <c r="I1267" s="10" t="s">
        <v>910</v>
      </c>
      <c r="J1267" s="7" t="s">
        <v>911</v>
      </c>
      <c r="K1267" s="10" t="s">
        <v>288</v>
      </c>
      <c r="L1267" s="7" t="s">
        <v>289</v>
      </c>
      <c r="M1267" s="7"/>
      <c r="N1267" s="7">
        <f>VLOOKUP(J1267,[1]Sheet1!$C:$D,2,FALSE)</f>
        <v>12083</v>
      </c>
      <c r="O1267" s="7">
        <f>VLOOKUP(J1267,[2]Desa!$A:$D,4,FALSE)</f>
        <v>421</v>
      </c>
      <c r="P1267" s="7">
        <f>VLOOKUP(J1267,[3]Sheet1!$D:$F,3,FALSE)</f>
        <v>60</v>
      </c>
      <c r="Q1267" s="7"/>
      <c r="R1267" s="7"/>
      <c r="S1267" s="12">
        <v>-8.5271772571197992</v>
      </c>
      <c r="T1267" s="12">
        <v>116.11447702815801</v>
      </c>
      <c r="U1267" s="7"/>
      <c r="V1267" s="50">
        <f>Table13678[[#This Row],[PAGU SEMULA]]-Table13678[[#This Row],[PAGU ANGGARAN]]</f>
        <v>-99000000</v>
      </c>
      <c r="W1267" s="50">
        <f>Table13678[[#This Row],[PAGU SEMULA]]-Table13678[[#This Row],[PAGU ANGGARAN]]</f>
        <v>-99000000</v>
      </c>
      <c r="X1267" t="s">
        <v>987</v>
      </c>
    </row>
    <row r="1268" spans="3:24" hidden="1">
      <c r="C1268" s="7" t="s">
        <v>51</v>
      </c>
      <c r="D1268" s="7" t="s">
        <v>52</v>
      </c>
      <c r="E1268" s="7" t="s">
        <v>53</v>
      </c>
      <c r="F1268" s="7" t="s">
        <v>54</v>
      </c>
      <c r="G1268" s="7" t="s">
        <v>73</v>
      </c>
      <c r="H1268" s="8">
        <v>94545000</v>
      </c>
      <c r="I1268" s="10" t="s">
        <v>910</v>
      </c>
      <c r="J1268" s="7" t="s">
        <v>911</v>
      </c>
      <c r="K1268" s="10" t="s">
        <v>288</v>
      </c>
      <c r="L1268" s="7" t="s">
        <v>289</v>
      </c>
      <c r="M1268" s="7"/>
      <c r="N1268" s="7">
        <f>VLOOKUP(J1268,[1]Sheet1!$C:$D,2,FALSE)</f>
        <v>12083</v>
      </c>
      <c r="O1268" s="7">
        <f>VLOOKUP(J1268,[2]Desa!$A:$D,4,FALSE)</f>
        <v>421</v>
      </c>
      <c r="P1268" s="7">
        <f>VLOOKUP(J1268,[3]Sheet1!$D:$F,3,FALSE)</f>
        <v>60</v>
      </c>
      <c r="Q1268" s="7"/>
      <c r="R1268" s="7"/>
      <c r="S1268" s="12">
        <v>-8.5271772571197992</v>
      </c>
      <c r="T1268" s="12">
        <v>116.11447702815801</v>
      </c>
      <c r="U1268" s="7"/>
      <c r="V1268" s="50">
        <f>Table13678[[#This Row],[PAGU SEMULA]]-Table13678[[#This Row],[PAGU ANGGARAN]]</f>
        <v>-94545000</v>
      </c>
      <c r="W1268" s="50">
        <f>Table13678[[#This Row],[PAGU SEMULA]]-Table13678[[#This Row],[PAGU ANGGARAN]]</f>
        <v>-94545000</v>
      </c>
      <c r="X1268" t="s">
        <v>986</v>
      </c>
    </row>
    <row r="1269" spans="3:24" hidden="1">
      <c r="C1269" s="7" t="s">
        <v>51</v>
      </c>
      <c r="D1269" s="7" t="s">
        <v>52</v>
      </c>
      <c r="E1269" s="7" t="s">
        <v>53</v>
      </c>
      <c r="F1269" s="7" t="s">
        <v>54</v>
      </c>
      <c r="G1269" s="7" t="s">
        <v>73</v>
      </c>
      <c r="H1269" s="8">
        <v>142295000</v>
      </c>
      <c r="I1269" s="10" t="s">
        <v>910</v>
      </c>
      <c r="J1269" s="7" t="s">
        <v>911</v>
      </c>
      <c r="K1269" s="10" t="s">
        <v>288</v>
      </c>
      <c r="L1269" s="7" t="s">
        <v>289</v>
      </c>
      <c r="M1269" s="7"/>
      <c r="N1269" s="7">
        <f>VLOOKUP(J1269,[1]Sheet1!$C:$D,2,FALSE)</f>
        <v>12083</v>
      </c>
      <c r="O1269" s="7">
        <f>VLOOKUP(J1269,[2]Desa!$A:$D,4,FALSE)</f>
        <v>421</v>
      </c>
      <c r="P1269" s="7">
        <f>VLOOKUP(J1269,[3]Sheet1!$D:$F,3,FALSE)</f>
        <v>60</v>
      </c>
      <c r="Q1269" s="7"/>
      <c r="R1269" s="7"/>
      <c r="S1269" s="12">
        <v>-8.5271772571197992</v>
      </c>
      <c r="T1269" s="12">
        <v>116.11447702815801</v>
      </c>
      <c r="U1269" s="7"/>
      <c r="V1269" s="50">
        <f>Table13678[[#This Row],[PAGU SEMULA]]-Table13678[[#This Row],[PAGU ANGGARAN]]</f>
        <v>-142295000</v>
      </c>
      <c r="W1269" s="50">
        <f>Table13678[[#This Row],[PAGU SEMULA]]-Table13678[[#This Row],[PAGU ANGGARAN]]</f>
        <v>-142295000</v>
      </c>
      <c r="X1269" t="s">
        <v>986</v>
      </c>
    </row>
    <row r="1270" spans="3:24" hidden="1">
      <c r="C1270" s="7" t="s">
        <v>20</v>
      </c>
      <c r="D1270" s="7" t="s">
        <v>104</v>
      </c>
      <c r="E1270" s="7" t="s">
        <v>105</v>
      </c>
      <c r="F1270" s="7" t="s">
        <v>284</v>
      </c>
      <c r="G1270" s="71" t="s">
        <v>912</v>
      </c>
      <c r="H1270" s="15">
        <v>198150000</v>
      </c>
      <c r="I1270" s="10" t="s">
        <v>913</v>
      </c>
      <c r="J1270" s="7" t="s">
        <v>914</v>
      </c>
      <c r="K1270" s="10" t="s">
        <v>58</v>
      </c>
      <c r="L1270" s="7" t="s">
        <v>59</v>
      </c>
      <c r="M1270" s="7"/>
      <c r="N1270" s="7">
        <f>VLOOKUP(J1270,[1]Sheet1!$C:$D,2,FALSE)</f>
        <v>5968</v>
      </c>
      <c r="O1270" s="7">
        <f>VLOOKUP(J1270,[2]Desa!$A:$D,4,FALSE)</f>
        <v>162</v>
      </c>
      <c r="P1270" s="7">
        <f>VLOOKUP(J1270,[3]Sheet1!$D:$F,3,FALSE)</f>
        <v>46</v>
      </c>
      <c r="Q1270" s="7"/>
      <c r="R1270" s="7"/>
      <c r="S1270" s="12">
        <v>-8.6040587519974494</v>
      </c>
      <c r="T1270" s="12">
        <v>116.202436784038</v>
      </c>
      <c r="U1270" s="7"/>
      <c r="V1270" s="50">
        <f>Table13678[[#This Row],[PAGU SEMULA]]-Table13678[[#This Row],[PAGU ANGGARAN]]</f>
        <v>-198150000</v>
      </c>
      <c r="W1270" s="50">
        <f>Table13678[[#This Row],[PAGU SEMULA]]-Table13678[[#This Row],[PAGU ANGGARAN]]</f>
        <v>-198150000</v>
      </c>
      <c r="X1270" t="s">
        <v>984</v>
      </c>
    </row>
    <row r="1271" spans="3:24" hidden="1">
      <c r="C1271" s="7" t="s">
        <v>29</v>
      </c>
      <c r="D1271" s="7" t="s">
        <v>30</v>
      </c>
      <c r="E1271" s="7" t="s">
        <v>31</v>
      </c>
      <c r="F1271" s="7" t="s">
        <v>32</v>
      </c>
      <c r="G1271" s="7" t="s">
        <v>33</v>
      </c>
      <c r="H1271" s="8">
        <v>508620000</v>
      </c>
      <c r="I1271" s="10" t="s">
        <v>913</v>
      </c>
      <c r="J1271" s="7" t="s">
        <v>914</v>
      </c>
      <c r="K1271" s="10" t="s">
        <v>58</v>
      </c>
      <c r="L1271" s="7" t="s">
        <v>59</v>
      </c>
      <c r="M1271" s="7"/>
      <c r="N1271" s="7">
        <f>VLOOKUP(J1271,[1]Sheet1!$C:$D,2,FALSE)</f>
        <v>5968</v>
      </c>
      <c r="O1271" s="7">
        <f>VLOOKUP(J1271,[2]Desa!$A:$D,4,FALSE)</f>
        <v>162</v>
      </c>
      <c r="P1271" s="7">
        <f>VLOOKUP(J1271,[3]Sheet1!$D:$F,3,FALSE)</f>
        <v>46</v>
      </c>
      <c r="Q1271" s="7"/>
      <c r="R1271" s="7"/>
      <c r="S1271" s="12">
        <v>-8.6040587519974494</v>
      </c>
      <c r="T1271" s="12">
        <v>116.202436784038</v>
      </c>
      <c r="U1271" s="7"/>
      <c r="V1271" s="50">
        <f>Table13678[[#This Row],[PAGU SEMULA]]-Table13678[[#This Row],[PAGU ANGGARAN]]</f>
        <v>-508620000</v>
      </c>
      <c r="W1271" s="50">
        <f>Table13678[[#This Row],[PAGU SEMULA]]-Table13678[[#This Row],[PAGU ANGGARAN]]</f>
        <v>-508620000</v>
      </c>
      <c r="X1271" t="s">
        <v>984</v>
      </c>
    </row>
    <row r="1272" spans="3:24" hidden="1">
      <c r="C1272" s="7" t="s">
        <v>29</v>
      </c>
      <c r="D1272" s="7" t="s">
        <v>30</v>
      </c>
      <c r="E1272" s="7" t="s">
        <v>31</v>
      </c>
      <c r="F1272" s="7" t="s">
        <v>32</v>
      </c>
      <c r="G1272" s="7" t="s">
        <v>34</v>
      </c>
      <c r="H1272" s="8">
        <v>40689600</v>
      </c>
      <c r="I1272" s="10" t="s">
        <v>913</v>
      </c>
      <c r="J1272" s="7" t="s">
        <v>914</v>
      </c>
      <c r="K1272" s="10" t="s">
        <v>58</v>
      </c>
      <c r="L1272" s="7" t="s">
        <v>59</v>
      </c>
      <c r="M1272" s="7"/>
      <c r="N1272" s="7">
        <f>VLOOKUP(J1272,[1]Sheet1!$C:$D,2,FALSE)</f>
        <v>5968</v>
      </c>
      <c r="O1272" s="7">
        <f>VLOOKUP(J1272,[2]Desa!$A:$D,4,FALSE)</f>
        <v>162</v>
      </c>
      <c r="P1272" s="7">
        <f>VLOOKUP(J1272,[3]Sheet1!$D:$F,3,FALSE)</f>
        <v>46</v>
      </c>
      <c r="Q1272" s="7"/>
      <c r="R1272" s="7"/>
      <c r="S1272" s="12">
        <v>-8.6040587519974494</v>
      </c>
      <c r="T1272" s="12">
        <v>116.202436784038</v>
      </c>
      <c r="U1272" s="7"/>
      <c r="V1272" s="50">
        <f>Table13678[[#This Row],[PAGU SEMULA]]-Table13678[[#This Row],[PAGU ANGGARAN]]</f>
        <v>-40689600</v>
      </c>
      <c r="W1272" s="50">
        <f>Table13678[[#This Row],[PAGU SEMULA]]-Table13678[[#This Row],[PAGU ANGGARAN]]</f>
        <v>-40689600</v>
      </c>
      <c r="X1272" t="s">
        <v>984</v>
      </c>
    </row>
    <row r="1273" spans="3:24" hidden="1">
      <c r="C1273" s="7" t="s">
        <v>35</v>
      </c>
      <c r="D1273" s="7" t="s">
        <v>36</v>
      </c>
      <c r="E1273" s="7" t="s">
        <v>37</v>
      </c>
      <c r="F1273" s="7" t="s">
        <v>38</v>
      </c>
      <c r="G1273" s="7" t="s">
        <v>39</v>
      </c>
      <c r="H1273" s="15">
        <v>75000000</v>
      </c>
      <c r="I1273" s="10" t="s">
        <v>913</v>
      </c>
      <c r="J1273" s="7" t="s">
        <v>914</v>
      </c>
      <c r="K1273" s="10" t="s">
        <v>58</v>
      </c>
      <c r="L1273" s="7" t="s">
        <v>59</v>
      </c>
      <c r="M1273" s="7"/>
      <c r="N1273" s="7">
        <f>VLOOKUP(J1273,[1]Sheet1!$C:$D,2,FALSE)</f>
        <v>5968</v>
      </c>
      <c r="O1273" s="7">
        <f>VLOOKUP(J1273,[2]Desa!$A:$D,4,FALSE)</f>
        <v>162</v>
      </c>
      <c r="P1273" s="7">
        <f>VLOOKUP(J1273,[3]Sheet1!$D:$F,3,FALSE)</f>
        <v>46</v>
      </c>
      <c r="Q1273" s="7"/>
      <c r="R1273" s="7"/>
      <c r="S1273" s="12">
        <v>-8.6040587519974494</v>
      </c>
      <c r="T1273" s="12">
        <v>116.202436784038</v>
      </c>
      <c r="U1273" s="7"/>
      <c r="V1273" s="50">
        <f>Table13678[[#This Row],[PAGU SEMULA]]-Table13678[[#This Row],[PAGU ANGGARAN]]</f>
        <v>-75000000</v>
      </c>
      <c r="W1273" s="50">
        <f>Table13678[[#This Row],[PAGU SEMULA]]-Table13678[[#This Row],[PAGU ANGGARAN]]</f>
        <v>-75000000</v>
      </c>
      <c r="X1273" t="s">
        <v>984</v>
      </c>
    </row>
    <row r="1274" spans="3:24" hidden="1">
      <c r="C1274" s="7" t="s">
        <v>35</v>
      </c>
      <c r="D1274" s="7" t="s">
        <v>65</v>
      </c>
      <c r="E1274" s="7" t="s">
        <v>66</v>
      </c>
      <c r="F1274" s="7" t="s">
        <v>322</v>
      </c>
      <c r="G1274" s="7" t="s">
        <v>322</v>
      </c>
      <c r="H1274" s="15">
        <v>51226500</v>
      </c>
      <c r="I1274" s="10" t="s">
        <v>913</v>
      </c>
      <c r="J1274" s="7" t="s">
        <v>914</v>
      </c>
      <c r="K1274" s="10" t="s">
        <v>58</v>
      </c>
      <c r="L1274" s="7" t="s">
        <v>59</v>
      </c>
      <c r="M1274" s="7"/>
      <c r="N1274" s="7">
        <f>VLOOKUP(J1274,[1]Sheet1!$C:$D,2,FALSE)</f>
        <v>5968</v>
      </c>
      <c r="O1274" s="7">
        <f>VLOOKUP(J1274,[2]Desa!$A:$D,4,FALSE)</f>
        <v>162</v>
      </c>
      <c r="P1274" s="7">
        <f>VLOOKUP(J1274,[3]Sheet1!$D:$F,3,FALSE)</f>
        <v>46</v>
      </c>
      <c r="Q1274" s="7"/>
      <c r="R1274" s="7"/>
      <c r="S1274" s="12">
        <v>-8.6040587519974494</v>
      </c>
      <c r="T1274" s="12">
        <v>116.202436784038</v>
      </c>
      <c r="U1274" s="7"/>
      <c r="V1274" s="50">
        <f>Table13678[[#This Row],[PAGU SEMULA]]-Table13678[[#This Row],[PAGU ANGGARAN]]</f>
        <v>-51226500</v>
      </c>
      <c r="W1274" s="50">
        <f>Table13678[[#This Row],[PAGU SEMULA]]-Table13678[[#This Row],[PAGU ANGGARAN]]</f>
        <v>-51226500</v>
      </c>
      <c r="X1274" t="s">
        <v>986</v>
      </c>
    </row>
    <row r="1275" spans="3:24" hidden="1">
      <c r="C1275" s="7" t="s">
        <v>35</v>
      </c>
      <c r="D1275" s="7" t="s">
        <v>65</v>
      </c>
      <c r="E1275" s="7" t="s">
        <v>66</v>
      </c>
      <c r="F1275" s="7" t="s">
        <v>93</v>
      </c>
      <c r="G1275" s="7" t="s">
        <v>915</v>
      </c>
      <c r="H1275" s="17">
        <v>301000000</v>
      </c>
      <c r="I1275" s="10" t="s">
        <v>913</v>
      </c>
      <c r="J1275" s="7" t="s">
        <v>914</v>
      </c>
      <c r="K1275" s="10" t="s">
        <v>58</v>
      </c>
      <c r="L1275" s="7" t="s">
        <v>59</v>
      </c>
      <c r="M1275" s="7"/>
      <c r="N1275" s="7">
        <f>VLOOKUP(J1275,[1]Sheet1!$C:$D,2,FALSE)</f>
        <v>5968</v>
      </c>
      <c r="O1275" s="7">
        <f>VLOOKUP(J1275,[2]Desa!$A:$D,4,FALSE)</f>
        <v>162</v>
      </c>
      <c r="P1275" s="7">
        <f>VLOOKUP(J1275,[3]Sheet1!$D:$F,3,FALSE)</f>
        <v>46</v>
      </c>
      <c r="Q1275" s="7"/>
      <c r="R1275" s="7"/>
      <c r="S1275" s="12">
        <v>-8.6040587519974494</v>
      </c>
      <c r="T1275" s="12">
        <v>116.202436784038</v>
      </c>
      <c r="U1275" s="7"/>
      <c r="V1275" s="50">
        <f>Table13678[[#This Row],[PAGU SEMULA]]-Table13678[[#This Row],[PAGU ANGGARAN]]</f>
        <v>-301000000</v>
      </c>
      <c r="W1275" s="50">
        <f>Table13678[[#This Row],[PAGU SEMULA]]-Table13678[[#This Row],[PAGU ANGGARAN]]</f>
        <v>-301000000</v>
      </c>
      <c r="X1275" t="s">
        <v>986</v>
      </c>
    </row>
    <row r="1276" spans="3:24" hidden="1">
      <c r="C1276" s="7" t="s">
        <v>35</v>
      </c>
      <c r="D1276" s="7" t="s">
        <v>52</v>
      </c>
      <c r="E1276" s="7" t="s">
        <v>95</v>
      </c>
      <c r="F1276" s="7" t="s">
        <v>96</v>
      </c>
      <c r="G1276" s="7" t="s">
        <v>117</v>
      </c>
      <c r="H1276" s="17">
        <v>193500000</v>
      </c>
      <c r="I1276" s="10" t="s">
        <v>913</v>
      </c>
      <c r="J1276" s="7" t="s">
        <v>914</v>
      </c>
      <c r="K1276" s="10" t="s">
        <v>58</v>
      </c>
      <c r="L1276" s="7" t="s">
        <v>59</v>
      </c>
      <c r="M1276" s="7"/>
      <c r="N1276" s="7">
        <f>VLOOKUP(J1276,[1]Sheet1!$C:$D,2,FALSE)</f>
        <v>5968</v>
      </c>
      <c r="O1276" s="7">
        <f>VLOOKUP(J1276,[2]Desa!$A:$D,4,FALSE)</f>
        <v>162</v>
      </c>
      <c r="P1276" s="7">
        <f>VLOOKUP(J1276,[3]Sheet1!$D:$F,3,FALSE)</f>
        <v>46</v>
      </c>
      <c r="Q1276" s="7"/>
      <c r="R1276" s="7"/>
      <c r="S1276" s="12">
        <v>-8.6040587519974494</v>
      </c>
      <c r="T1276" s="12">
        <v>116.202436784038</v>
      </c>
      <c r="U1276" s="7"/>
      <c r="V1276" s="50">
        <f>Table13678[[#This Row],[PAGU SEMULA]]-Table13678[[#This Row],[PAGU ANGGARAN]]</f>
        <v>-193500000</v>
      </c>
      <c r="W1276" s="50">
        <f>Table13678[[#This Row],[PAGU SEMULA]]-Table13678[[#This Row],[PAGU ANGGARAN]]</f>
        <v>-193500000</v>
      </c>
      <c r="X1276" t="s">
        <v>986</v>
      </c>
    </row>
    <row r="1277" spans="3:24" hidden="1">
      <c r="C1277" s="7" t="s">
        <v>29</v>
      </c>
      <c r="D1277" s="7" t="s">
        <v>30</v>
      </c>
      <c r="E1277" s="7" t="s">
        <v>31</v>
      </c>
      <c r="F1277" s="7" t="s">
        <v>32</v>
      </c>
      <c r="G1277" s="7" t="s">
        <v>33</v>
      </c>
      <c r="H1277" s="8">
        <v>470820000</v>
      </c>
      <c r="I1277" s="10" t="s">
        <v>916</v>
      </c>
      <c r="J1277" s="7" t="s">
        <v>917</v>
      </c>
      <c r="K1277" s="10" t="s">
        <v>82</v>
      </c>
      <c r="L1277" s="7" t="s">
        <v>83</v>
      </c>
      <c r="M1277" s="7"/>
      <c r="N1277" s="7">
        <f>VLOOKUP(J1277,[1]Sheet1!$C:$D,2,FALSE)</f>
        <v>6848</v>
      </c>
      <c r="O1277" s="7">
        <f>VLOOKUP(J1277,[2]Desa!$A:$D,4,FALSE)</f>
        <v>103</v>
      </c>
      <c r="P1277" s="7">
        <f>VLOOKUP(J1277,[3]Sheet1!$D:$F,3,FALSE)</f>
        <v>42</v>
      </c>
      <c r="Q1277" s="7"/>
      <c r="R1277" s="7"/>
      <c r="S1277" s="12">
        <v>-8.6376332342061097</v>
      </c>
      <c r="T1277" s="12">
        <v>116.11787538131</v>
      </c>
      <c r="U1277" s="7"/>
      <c r="V1277" s="50">
        <f>Table13678[[#This Row],[PAGU SEMULA]]-Table13678[[#This Row],[PAGU ANGGARAN]]</f>
        <v>-470820000</v>
      </c>
      <c r="W1277" s="50">
        <f>Table13678[[#This Row],[PAGU SEMULA]]-Table13678[[#This Row],[PAGU ANGGARAN]]</f>
        <v>-470820000</v>
      </c>
      <c r="X1277" t="s">
        <v>984</v>
      </c>
    </row>
    <row r="1278" spans="3:24" hidden="1">
      <c r="C1278" s="7" t="s">
        <v>29</v>
      </c>
      <c r="D1278" s="7" t="s">
        <v>30</v>
      </c>
      <c r="E1278" s="7" t="s">
        <v>31</v>
      </c>
      <c r="F1278" s="7" t="s">
        <v>32</v>
      </c>
      <c r="G1278" s="7" t="s">
        <v>34</v>
      </c>
      <c r="H1278" s="8">
        <v>37665600</v>
      </c>
      <c r="I1278" s="10" t="s">
        <v>916</v>
      </c>
      <c r="J1278" s="7" t="s">
        <v>917</v>
      </c>
      <c r="K1278" s="10" t="s">
        <v>82</v>
      </c>
      <c r="L1278" s="7" t="s">
        <v>83</v>
      </c>
      <c r="M1278" s="7"/>
      <c r="N1278" s="7">
        <f>VLOOKUP(J1278,[1]Sheet1!$C:$D,2,FALSE)</f>
        <v>6848</v>
      </c>
      <c r="O1278" s="7">
        <f>VLOOKUP(J1278,[2]Desa!$A:$D,4,FALSE)</f>
        <v>103</v>
      </c>
      <c r="P1278" s="7">
        <f>VLOOKUP(J1278,[3]Sheet1!$D:$F,3,FALSE)</f>
        <v>42</v>
      </c>
      <c r="Q1278" s="7"/>
      <c r="R1278" s="7"/>
      <c r="S1278" s="12">
        <v>-8.6376332342061097</v>
      </c>
      <c r="T1278" s="12">
        <v>116.11787538131</v>
      </c>
      <c r="U1278" s="7"/>
      <c r="V1278" s="50">
        <f>Table13678[[#This Row],[PAGU SEMULA]]-Table13678[[#This Row],[PAGU ANGGARAN]]</f>
        <v>-37665600</v>
      </c>
      <c r="W1278" s="50">
        <f>Table13678[[#This Row],[PAGU SEMULA]]-Table13678[[#This Row],[PAGU ANGGARAN]]</f>
        <v>-37665600</v>
      </c>
      <c r="X1278" t="s">
        <v>984</v>
      </c>
    </row>
    <row r="1279" spans="3:24" hidden="1">
      <c r="C1279" s="7" t="s">
        <v>110</v>
      </c>
      <c r="D1279" s="7" t="s">
        <v>111</v>
      </c>
      <c r="E1279" s="7" t="s">
        <v>112</v>
      </c>
      <c r="F1279" s="7" t="s">
        <v>113</v>
      </c>
      <c r="G1279" s="71" t="s">
        <v>918</v>
      </c>
      <c r="H1279" s="8">
        <v>13857500</v>
      </c>
      <c r="I1279" s="10" t="s">
        <v>916</v>
      </c>
      <c r="J1279" s="7" t="s">
        <v>917</v>
      </c>
      <c r="K1279" s="10" t="s">
        <v>82</v>
      </c>
      <c r="L1279" s="7" t="s">
        <v>83</v>
      </c>
      <c r="M1279" s="7"/>
      <c r="N1279" s="7">
        <f>VLOOKUP(J1279,[1]Sheet1!$C:$D,2,FALSE)</f>
        <v>6848</v>
      </c>
      <c r="O1279" s="7">
        <f>VLOOKUP(J1279,[2]Desa!$A:$D,4,FALSE)</f>
        <v>103</v>
      </c>
      <c r="P1279" s="7">
        <f>VLOOKUP(J1279,[3]Sheet1!$D:$F,3,FALSE)</f>
        <v>42</v>
      </c>
      <c r="Q1279" s="7"/>
      <c r="R1279" s="7"/>
      <c r="S1279" s="12">
        <v>-8.6376332342061097</v>
      </c>
      <c r="T1279" s="12">
        <v>116.11787538131</v>
      </c>
      <c r="U1279" s="7"/>
      <c r="V1279" s="50">
        <f>Table13678[[#This Row],[PAGU SEMULA]]-Table13678[[#This Row],[PAGU ANGGARAN]]</f>
        <v>-13857500</v>
      </c>
      <c r="W1279" s="50">
        <f>Table13678[[#This Row],[PAGU SEMULA]]-Table13678[[#This Row],[PAGU ANGGARAN]]</f>
        <v>-13857500</v>
      </c>
      <c r="X1279" t="s">
        <v>982</v>
      </c>
    </row>
    <row r="1280" spans="3:24" hidden="1">
      <c r="C1280" s="7" t="s">
        <v>35</v>
      </c>
      <c r="D1280" s="7" t="s">
        <v>36</v>
      </c>
      <c r="E1280" s="7" t="s">
        <v>37</v>
      </c>
      <c r="F1280" s="7" t="s">
        <v>38</v>
      </c>
      <c r="G1280" s="7" t="s">
        <v>39</v>
      </c>
      <c r="H1280" s="15">
        <v>75000000</v>
      </c>
      <c r="I1280" s="10" t="s">
        <v>916</v>
      </c>
      <c r="J1280" s="7" t="s">
        <v>917</v>
      </c>
      <c r="K1280" s="10" t="s">
        <v>82</v>
      </c>
      <c r="L1280" s="7" t="s">
        <v>83</v>
      </c>
      <c r="M1280" s="7"/>
      <c r="N1280" s="7">
        <f>VLOOKUP(J1280,[1]Sheet1!$C:$D,2,FALSE)</f>
        <v>6848</v>
      </c>
      <c r="O1280" s="7">
        <f>VLOOKUP(J1280,[2]Desa!$A:$D,4,FALSE)</f>
        <v>103</v>
      </c>
      <c r="P1280" s="7">
        <f>VLOOKUP(J1280,[3]Sheet1!$D:$F,3,FALSE)</f>
        <v>42</v>
      </c>
      <c r="Q1280" s="7"/>
      <c r="R1280" s="7"/>
      <c r="S1280" s="12">
        <v>-8.6376332342061097</v>
      </c>
      <c r="T1280" s="12">
        <v>116.11787538131</v>
      </c>
      <c r="U1280" s="7"/>
      <c r="V1280" s="50">
        <f>Table13678[[#This Row],[PAGU SEMULA]]-Table13678[[#This Row],[PAGU ANGGARAN]]</f>
        <v>-75000000</v>
      </c>
      <c r="W1280" s="50">
        <f>Table13678[[#This Row],[PAGU SEMULA]]-Table13678[[#This Row],[PAGU ANGGARAN]]</f>
        <v>-75000000</v>
      </c>
      <c r="X1280" t="s">
        <v>984</v>
      </c>
    </row>
    <row r="1281" spans="3:24" hidden="1">
      <c r="C1281" s="7" t="s">
        <v>35</v>
      </c>
      <c r="D1281" s="7" t="s">
        <v>52</v>
      </c>
      <c r="E1281" s="7" t="s">
        <v>95</v>
      </c>
      <c r="F1281" s="7" t="s">
        <v>96</v>
      </c>
      <c r="G1281" s="7" t="s">
        <v>98</v>
      </c>
      <c r="H1281" s="17">
        <v>580500000</v>
      </c>
      <c r="I1281" s="10" t="s">
        <v>916</v>
      </c>
      <c r="J1281" s="7" t="s">
        <v>917</v>
      </c>
      <c r="K1281" s="10" t="s">
        <v>82</v>
      </c>
      <c r="L1281" s="7" t="s">
        <v>83</v>
      </c>
      <c r="M1281" s="7"/>
      <c r="N1281" s="7">
        <f>VLOOKUP(J1281,[1]Sheet1!$C:$D,2,FALSE)</f>
        <v>6848</v>
      </c>
      <c r="O1281" s="7">
        <f>VLOOKUP(J1281,[2]Desa!$A:$D,4,FALSE)</f>
        <v>103</v>
      </c>
      <c r="P1281" s="7">
        <f>VLOOKUP(J1281,[3]Sheet1!$D:$F,3,FALSE)</f>
        <v>42</v>
      </c>
      <c r="Q1281" s="7"/>
      <c r="R1281" s="7"/>
      <c r="S1281" s="12">
        <v>-8.6376332342061097</v>
      </c>
      <c r="T1281" s="12">
        <v>116.11787538131</v>
      </c>
      <c r="U1281" s="7"/>
      <c r="V1281" s="50">
        <f>Table13678[[#This Row],[PAGU SEMULA]]-Table13678[[#This Row],[PAGU ANGGARAN]]</f>
        <v>-580500000</v>
      </c>
      <c r="W1281" s="50">
        <f>Table13678[[#This Row],[PAGU SEMULA]]-Table13678[[#This Row],[PAGU ANGGARAN]]</f>
        <v>-580500000</v>
      </c>
      <c r="X1281" t="s">
        <v>986</v>
      </c>
    </row>
    <row r="1282" spans="3:24" hidden="1">
      <c r="C1282" s="7" t="s">
        <v>35</v>
      </c>
      <c r="D1282" s="7" t="s">
        <v>52</v>
      </c>
      <c r="E1282" s="7" t="s">
        <v>95</v>
      </c>
      <c r="F1282" s="7" t="s">
        <v>96</v>
      </c>
      <c r="G1282" s="7" t="s">
        <v>182</v>
      </c>
      <c r="H1282" s="17">
        <v>145125000</v>
      </c>
      <c r="I1282" s="10" t="s">
        <v>916</v>
      </c>
      <c r="J1282" s="7" t="s">
        <v>917</v>
      </c>
      <c r="K1282" s="10" t="s">
        <v>82</v>
      </c>
      <c r="L1282" s="7" t="s">
        <v>83</v>
      </c>
      <c r="M1282" s="7"/>
      <c r="N1282" s="7">
        <f>VLOOKUP(J1282,[1]Sheet1!$C:$D,2,FALSE)</f>
        <v>6848</v>
      </c>
      <c r="O1282" s="7">
        <f>VLOOKUP(J1282,[2]Desa!$A:$D,4,FALSE)</f>
        <v>103</v>
      </c>
      <c r="P1282" s="7">
        <f>VLOOKUP(J1282,[3]Sheet1!$D:$F,3,FALSE)</f>
        <v>42</v>
      </c>
      <c r="Q1282" s="7"/>
      <c r="R1282" s="7"/>
      <c r="S1282" s="12">
        <v>-8.6376332342061097</v>
      </c>
      <c r="T1282" s="12">
        <v>116.11787538131</v>
      </c>
      <c r="U1282" s="7"/>
      <c r="V1282" s="50">
        <f>Table13678[[#This Row],[PAGU SEMULA]]-Table13678[[#This Row],[PAGU ANGGARAN]]</f>
        <v>-145125000</v>
      </c>
      <c r="W1282" s="50">
        <f>Table13678[[#This Row],[PAGU SEMULA]]-Table13678[[#This Row],[PAGU ANGGARAN]]</f>
        <v>-145125000</v>
      </c>
      <c r="X1282" t="s">
        <v>986</v>
      </c>
    </row>
    <row r="1283" spans="3:24" hidden="1">
      <c r="C1283" s="7" t="s">
        <v>68</v>
      </c>
      <c r="D1283" s="7" t="s">
        <v>69</v>
      </c>
      <c r="E1283" s="7" t="s">
        <v>70</v>
      </c>
      <c r="F1283" s="7" t="s">
        <v>71</v>
      </c>
      <c r="G1283" s="7" t="s">
        <v>919</v>
      </c>
      <c r="H1283" s="8">
        <v>30000000</v>
      </c>
      <c r="I1283" s="10" t="s">
        <v>916</v>
      </c>
      <c r="J1283" s="7" t="s">
        <v>917</v>
      </c>
      <c r="K1283" s="10" t="s">
        <v>82</v>
      </c>
      <c r="L1283" s="7" t="s">
        <v>83</v>
      </c>
      <c r="M1283" s="7"/>
      <c r="N1283" s="7">
        <f>VLOOKUP(J1283,[1]Sheet1!$C:$D,2,FALSE)</f>
        <v>6848</v>
      </c>
      <c r="O1283" s="7">
        <f>VLOOKUP(J1283,[2]Desa!$A:$D,4,FALSE)</f>
        <v>103</v>
      </c>
      <c r="P1283" s="7">
        <f>VLOOKUP(J1283,[3]Sheet1!$D:$F,3,FALSE)</f>
        <v>42</v>
      </c>
      <c r="Q1283" s="7"/>
      <c r="R1283" s="7"/>
      <c r="S1283" s="12">
        <v>-8.6376332342061097</v>
      </c>
      <c r="T1283" s="12">
        <v>116.11787538131</v>
      </c>
      <c r="U1283" s="7"/>
      <c r="V1283" s="50">
        <f>Table13678[[#This Row],[PAGU SEMULA]]-Table13678[[#This Row],[PAGU ANGGARAN]]</f>
        <v>-30000000</v>
      </c>
      <c r="W1283" s="50">
        <f>Table13678[[#This Row],[PAGU SEMULA]]-Table13678[[#This Row],[PAGU ANGGARAN]]</f>
        <v>-30000000</v>
      </c>
      <c r="X1283" t="s">
        <v>982</v>
      </c>
    </row>
    <row r="1284" spans="3:24" hidden="1">
      <c r="C1284" s="7" t="s">
        <v>46</v>
      </c>
      <c r="D1284" s="7" t="s">
        <v>47</v>
      </c>
      <c r="E1284" s="7" t="s">
        <v>48</v>
      </c>
      <c r="F1284" s="7" t="s">
        <v>49</v>
      </c>
      <c r="G1284" s="7" t="s">
        <v>371</v>
      </c>
      <c r="H1284" s="8">
        <v>30774000</v>
      </c>
      <c r="I1284" s="10" t="s">
        <v>916</v>
      </c>
      <c r="J1284" s="7" t="s">
        <v>917</v>
      </c>
      <c r="K1284" s="10" t="s">
        <v>82</v>
      </c>
      <c r="L1284" s="7" t="s">
        <v>83</v>
      </c>
      <c r="M1284" s="7"/>
      <c r="N1284" s="7">
        <f>VLOOKUP(J1284,[1]Sheet1!$C:$D,2,FALSE)</f>
        <v>6848</v>
      </c>
      <c r="O1284" s="7">
        <f>VLOOKUP(J1284,[2]Desa!$A:$D,4,FALSE)</f>
        <v>103</v>
      </c>
      <c r="P1284" s="7">
        <f>VLOOKUP(J1284,[3]Sheet1!$D:$F,3,FALSE)</f>
        <v>42</v>
      </c>
      <c r="Q1284" s="7"/>
      <c r="R1284" s="7"/>
      <c r="S1284" s="12">
        <v>-8.6376332342061097</v>
      </c>
      <c r="T1284" s="12">
        <v>116.11787538131</v>
      </c>
      <c r="U1284" s="7"/>
      <c r="V1284" s="50">
        <f>Table13678[[#This Row],[PAGU SEMULA]]-Table13678[[#This Row],[PAGU ANGGARAN]]</f>
        <v>-30774000</v>
      </c>
      <c r="W1284" s="50">
        <f>Table13678[[#This Row],[PAGU SEMULA]]-Table13678[[#This Row],[PAGU ANGGARAN]]</f>
        <v>-30774000</v>
      </c>
      <c r="X1284" t="s">
        <v>987</v>
      </c>
    </row>
    <row r="1285" spans="3:24" hidden="1">
      <c r="C1285" s="7" t="s">
        <v>51</v>
      </c>
      <c r="D1285" s="7" t="s">
        <v>52</v>
      </c>
      <c r="E1285" s="7" t="s">
        <v>53</v>
      </c>
      <c r="F1285" s="7" t="s">
        <v>54</v>
      </c>
      <c r="G1285" s="7" t="s">
        <v>73</v>
      </c>
      <c r="H1285" s="8">
        <v>189090000</v>
      </c>
      <c r="I1285" s="10" t="s">
        <v>916</v>
      </c>
      <c r="J1285" s="7" t="s">
        <v>917</v>
      </c>
      <c r="K1285" s="10" t="s">
        <v>82</v>
      </c>
      <c r="L1285" s="7" t="s">
        <v>83</v>
      </c>
      <c r="M1285" s="7"/>
      <c r="N1285" s="7">
        <f>VLOOKUP(J1285,[1]Sheet1!$C:$D,2,FALSE)</f>
        <v>6848</v>
      </c>
      <c r="O1285" s="7">
        <f>VLOOKUP(J1285,[2]Desa!$A:$D,4,FALSE)</f>
        <v>103</v>
      </c>
      <c r="P1285" s="7">
        <f>VLOOKUP(J1285,[3]Sheet1!$D:$F,3,FALSE)</f>
        <v>42</v>
      </c>
      <c r="Q1285" s="7"/>
      <c r="R1285" s="7"/>
      <c r="S1285" s="12">
        <v>-8.6376332342061097</v>
      </c>
      <c r="T1285" s="12">
        <v>116.11787538131</v>
      </c>
      <c r="U1285" s="7"/>
      <c r="V1285" s="50">
        <f>Table13678[[#This Row],[PAGU SEMULA]]-Table13678[[#This Row],[PAGU ANGGARAN]]</f>
        <v>-189090000</v>
      </c>
      <c r="W1285" s="50">
        <f>Table13678[[#This Row],[PAGU SEMULA]]-Table13678[[#This Row],[PAGU ANGGARAN]]</f>
        <v>-189090000</v>
      </c>
      <c r="X1285" t="s">
        <v>986</v>
      </c>
    </row>
    <row r="1286" spans="3:24" hidden="1">
      <c r="C1286" s="7" t="s">
        <v>51</v>
      </c>
      <c r="D1286" s="7" t="s">
        <v>156</v>
      </c>
      <c r="E1286" s="7" t="s">
        <v>372</v>
      </c>
      <c r="F1286" s="7" t="s">
        <v>373</v>
      </c>
      <c r="G1286" s="7" t="s">
        <v>920</v>
      </c>
      <c r="H1286" s="8">
        <v>189000000</v>
      </c>
      <c r="I1286" s="10" t="s">
        <v>916</v>
      </c>
      <c r="J1286" s="7" t="s">
        <v>917</v>
      </c>
      <c r="K1286" s="10" t="s">
        <v>82</v>
      </c>
      <c r="L1286" s="7" t="s">
        <v>83</v>
      </c>
      <c r="M1286" s="7"/>
      <c r="N1286" s="7">
        <f>VLOOKUP(J1286,[1]Sheet1!$C:$D,2,FALSE)</f>
        <v>6848</v>
      </c>
      <c r="O1286" s="7">
        <f>VLOOKUP(J1286,[2]Desa!$A:$D,4,FALSE)</f>
        <v>103</v>
      </c>
      <c r="P1286" s="7">
        <f>VLOOKUP(J1286,[3]Sheet1!$D:$F,3,FALSE)</f>
        <v>42</v>
      </c>
      <c r="Q1286" s="7"/>
      <c r="R1286" s="7"/>
      <c r="S1286" s="12">
        <v>-8.6376332342061097</v>
      </c>
      <c r="T1286" s="12">
        <v>116.11787538131</v>
      </c>
      <c r="U1286" s="7"/>
      <c r="V1286" s="50">
        <f>Table13678[[#This Row],[PAGU SEMULA]]-Table13678[[#This Row],[PAGU ANGGARAN]]</f>
        <v>-189000000</v>
      </c>
      <c r="W1286" s="50">
        <f>Table13678[[#This Row],[PAGU SEMULA]]-Table13678[[#This Row],[PAGU ANGGARAN]]</f>
        <v>-189000000</v>
      </c>
      <c r="X1286" t="s">
        <v>986</v>
      </c>
    </row>
    <row r="1287" spans="3:24" hidden="1">
      <c r="C1287" s="7" t="s">
        <v>20</v>
      </c>
      <c r="D1287" s="7" t="s">
        <v>104</v>
      </c>
      <c r="E1287" s="7" t="s">
        <v>105</v>
      </c>
      <c r="F1287" s="7" t="s">
        <v>126</v>
      </c>
      <c r="G1287" s="71" t="s">
        <v>921</v>
      </c>
      <c r="H1287" s="15">
        <v>372330000</v>
      </c>
      <c r="I1287" s="10" t="s">
        <v>922</v>
      </c>
      <c r="J1287" s="7" t="s">
        <v>923</v>
      </c>
      <c r="K1287" s="10" t="s">
        <v>27</v>
      </c>
      <c r="L1287" s="7" t="s">
        <v>28</v>
      </c>
      <c r="M1287" s="7"/>
      <c r="N1287" s="7">
        <f>VLOOKUP(J1287,[1]Sheet1!$C:$D,2,FALSE)</f>
        <v>5435</v>
      </c>
      <c r="O1287" s="7">
        <f>VLOOKUP(J1287,[2]Desa!$A:$D,4,FALSE)</f>
        <v>430</v>
      </c>
      <c r="P1287" s="7">
        <f>VLOOKUP(J1287,[3]Sheet1!$D:$F,3,FALSE)</f>
        <v>42</v>
      </c>
      <c r="Q1287" s="7"/>
      <c r="R1287" s="7"/>
      <c r="S1287" s="12">
        <v>-8.7016832632397101</v>
      </c>
      <c r="T1287" s="12">
        <v>116.145337267923</v>
      </c>
      <c r="U1287" s="7"/>
      <c r="V1287" s="50">
        <f>Table13678[[#This Row],[PAGU SEMULA]]-Table13678[[#This Row],[PAGU ANGGARAN]]</f>
        <v>-372330000</v>
      </c>
      <c r="W1287" s="50">
        <f>Table13678[[#This Row],[PAGU SEMULA]]-Table13678[[#This Row],[PAGU ANGGARAN]]</f>
        <v>-372330000</v>
      </c>
      <c r="X1287" t="s">
        <v>984</v>
      </c>
    </row>
    <row r="1288" spans="3:24" hidden="1">
      <c r="C1288" s="7" t="s">
        <v>20</v>
      </c>
      <c r="D1288" s="7" t="s">
        <v>104</v>
      </c>
      <c r="E1288" s="7" t="s">
        <v>105</v>
      </c>
      <c r="F1288" s="7" t="s">
        <v>302</v>
      </c>
      <c r="G1288" s="71" t="s">
        <v>924</v>
      </c>
      <c r="H1288" s="15">
        <v>40800000</v>
      </c>
      <c r="I1288" s="10" t="s">
        <v>922</v>
      </c>
      <c r="J1288" s="7" t="s">
        <v>923</v>
      </c>
      <c r="K1288" s="10" t="s">
        <v>27</v>
      </c>
      <c r="L1288" s="7" t="s">
        <v>28</v>
      </c>
      <c r="M1288" s="7"/>
      <c r="N1288" s="7">
        <f>VLOOKUP(J1288,[1]Sheet1!$C:$D,2,FALSE)</f>
        <v>5435</v>
      </c>
      <c r="O1288" s="7">
        <f>VLOOKUP(J1288,[2]Desa!$A:$D,4,FALSE)</f>
        <v>430</v>
      </c>
      <c r="P1288" s="7">
        <f>VLOOKUP(J1288,[3]Sheet1!$D:$F,3,FALSE)</f>
        <v>42</v>
      </c>
      <c r="Q1288" s="7"/>
      <c r="R1288" s="7"/>
      <c r="S1288" s="12">
        <v>-8.7016832632397101</v>
      </c>
      <c r="T1288" s="12">
        <v>116.145337267923</v>
      </c>
      <c r="U1288" s="7"/>
      <c r="V1288" s="50">
        <f>Table13678[[#This Row],[PAGU SEMULA]]-Table13678[[#This Row],[PAGU ANGGARAN]]</f>
        <v>-40800000</v>
      </c>
      <c r="W1288" s="50">
        <f>Table13678[[#This Row],[PAGU SEMULA]]-Table13678[[#This Row],[PAGU ANGGARAN]]</f>
        <v>-40800000</v>
      </c>
      <c r="X1288" t="s">
        <v>984</v>
      </c>
    </row>
    <row r="1289" spans="3:24" hidden="1">
      <c r="C1289" s="7" t="s">
        <v>29</v>
      </c>
      <c r="D1289" s="7" t="s">
        <v>30</v>
      </c>
      <c r="E1289" s="7" t="s">
        <v>31</v>
      </c>
      <c r="F1289" s="7" t="s">
        <v>32</v>
      </c>
      <c r="G1289" s="7" t="s">
        <v>33</v>
      </c>
      <c r="H1289" s="8">
        <v>256200000</v>
      </c>
      <c r="I1289" s="10" t="s">
        <v>922</v>
      </c>
      <c r="J1289" s="7" t="s">
        <v>923</v>
      </c>
      <c r="K1289" s="10" t="s">
        <v>27</v>
      </c>
      <c r="L1289" s="7" t="s">
        <v>28</v>
      </c>
      <c r="M1289" s="7"/>
      <c r="N1289" s="7">
        <f>VLOOKUP(J1289,[1]Sheet1!$C:$D,2,FALSE)</f>
        <v>5435</v>
      </c>
      <c r="O1289" s="7">
        <f>VLOOKUP(J1289,[2]Desa!$A:$D,4,FALSE)</f>
        <v>430</v>
      </c>
      <c r="P1289" s="7">
        <f>VLOOKUP(J1289,[3]Sheet1!$D:$F,3,FALSE)</f>
        <v>42</v>
      </c>
      <c r="Q1289" s="7"/>
      <c r="R1289" s="7"/>
      <c r="S1289" s="12">
        <v>-8.7016832632397101</v>
      </c>
      <c r="T1289" s="12">
        <v>116.145337267923</v>
      </c>
      <c r="U1289" s="7"/>
      <c r="V1289" s="50">
        <f>Table13678[[#This Row],[PAGU SEMULA]]-Table13678[[#This Row],[PAGU ANGGARAN]]</f>
        <v>-256200000</v>
      </c>
      <c r="W1289" s="50">
        <f>Table13678[[#This Row],[PAGU SEMULA]]-Table13678[[#This Row],[PAGU ANGGARAN]]</f>
        <v>-256200000</v>
      </c>
      <c r="X1289" t="s">
        <v>984</v>
      </c>
    </row>
    <row r="1290" spans="3:24" hidden="1">
      <c r="C1290" s="7" t="s">
        <v>29</v>
      </c>
      <c r="D1290" s="7" t="s">
        <v>30</v>
      </c>
      <c r="E1290" s="7" t="s">
        <v>31</v>
      </c>
      <c r="F1290" s="7" t="s">
        <v>32</v>
      </c>
      <c r="G1290" s="7" t="s">
        <v>34</v>
      </c>
      <c r="H1290" s="8">
        <v>20496000</v>
      </c>
      <c r="I1290" s="10" t="s">
        <v>922</v>
      </c>
      <c r="J1290" s="7" t="s">
        <v>923</v>
      </c>
      <c r="K1290" s="10" t="s">
        <v>27</v>
      </c>
      <c r="L1290" s="7" t="s">
        <v>28</v>
      </c>
      <c r="M1290" s="7"/>
      <c r="N1290" s="7">
        <f>VLOOKUP(J1290,[1]Sheet1!$C:$D,2,FALSE)</f>
        <v>5435</v>
      </c>
      <c r="O1290" s="7">
        <f>VLOOKUP(J1290,[2]Desa!$A:$D,4,FALSE)</f>
        <v>430</v>
      </c>
      <c r="P1290" s="7">
        <f>VLOOKUP(J1290,[3]Sheet1!$D:$F,3,FALSE)</f>
        <v>42</v>
      </c>
      <c r="Q1290" s="7"/>
      <c r="R1290" s="7"/>
      <c r="S1290" s="12">
        <v>-8.7016832632397101</v>
      </c>
      <c r="T1290" s="12">
        <v>116.145337267923</v>
      </c>
      <c r="U1290" s="7"/>
      <c r="V1290" s="50">
        <f>Table13678[[#This Row],[PAGU SEMULA]]-Table13678[[#This Row],[PAGU ANGGARAN]]</f>
        <v>-20496000</v>
      </c>
      <c r="W1290" s="50">
        <f>Table13678[[#This Row],[PAGU SEMULA]]-Table13678[[#This Row],[PAGU ANGGARAN]]</f>
        <v>-20496000</v>
      </c>
      <c r="X1290" t="s">
        <v>984</v>
      </c>
    </row>
    <row r="1291" spans="3:24" hidden="1">
      <c r="C1291" s="7" t="s">
        <v>130</v>
      </c>
      <c r="D1291" s="7" t="s">
        <v>131</v>
      </c>
      <c r="E1291" s="7" t="s">
        <v>132</v>
      </c>
      <c r="F1291" s="7" t="s">
        <v>132</v>
      </c>
      <c r="G1291" s="7" t="s">
        <v>133</v>
      </c>
      <c r="H1291" s="8">
        <v>225400000</v>
      </c>
      <c r="I1291" s="10" t="s">
        <v>922</v>
      </c>
      <c r="J1291" s="7" t="s">
        <v>923</v>
      </c>
      <c r="K1291" s="10" t="s">
        <v>27</v>
      </c>
      <c r="L1291" s="7" t="s">
        <v>28</v>
      </c>
      <c r="M1291" s="7"/>
      <c r="N1291" s="7">
        <f>VLOOKUP(J1291,[1]Sheet1!$C:$D,2,FALSE)</f>
        <v>5435</v>
      </c>
      <c r="O1291" s="7">
        <f>VLOOKUP(J1291,[2]Desa!$A:$D,4,FALSE)</f>
        <v>430</v>
      </c>
      <c r="P1291" s="7">
        <f>VLOOKUP(J1291,[3]Sheet1!$D:$F,3,FALSE)</f>
        <v>42</v>
      </c>
      <c r="Q1291" s="7"/>
      <c r="R1291" s="7"/>
      <c r="S1291" s="12">
        <v>-8.7016832632397101</v>
      </c>
      <c r="T1291" s="12">
        <v>116.145337267923</v>
      </c>
      <c r="U1291" s="7"/>
      <c r="V1291" s="50">
        <f>Table13678[[#This Row],[PAGU SEMULA]]-Table13678[[#This Row],[PAGU ANGGARAN]]</f>
        <v>-225400000</v>
      </c>
      <c r="W1291" s="50">
        <f>Table13678[[#This Row],[PAGU SEMULA]]-Table13678[[#This Row],[PAGU ANGGARAN]]</f>
        <v>-225400000</v>
      </c>
      <c r="X1291" t="s">
        <v>986</v>
      </c>
    </row>
    <row r="1292" spans="3:24" hidden="1">
      <c r="C1292" s="7" t="s">
        <v>224</v>
      </c>
      <c r="D1292" s="7" t="s">
        <v>225</v>
      </c>
      <c r="E1292" s="7" t="s">
        <v>226</v>
      </c>
      <c r="F1292" s="7" t="s">
        <v>227</v>
      </c>
      <c r="G1292" s="7" t="s">
        <v>593</v>
      </c>
      <c r="H1292" s="8">
        <v>49160000</v>
      </c>
      <c r="I1292" s="10" t="s">
        <v>922</v>
      </c>
      <c r="J1292" s="7" t="s">
        <v>923</v>
      </c>
      <c r="K1292" s="10" t="s">
        <v>27</v>
      </c>
      <c r="L1292" s="7" t="s">
        <v>28</v>
      </c>
      <c r="M1292" s="7"/>
      <c r="N1292" s="7">
        <f>VLOOKUP(J1292,[1]Sheet1!$C:$D,2,FALSE)</f>
        <v>5435</v>
      </c>
      <c r="O1292" s="7">
        <f>VLOOKUP(J1292,[2]Desa!$A:$D,4,FALSE)</f>
        <v>430</v>
      </c>
      <c r="P1292" s="7">
        <f>VLOOKUP(J1292,[3]Sheet1!$D:$F,3,FALSE)</f>
        <v>42</v>
      </c>
      <c r="Q1292" s="7"/>
      <c r="R1292" s="7"/>
      <c r="S1292" s="12">
        <v>-8.7016832632397101</v>
      </c>
      <c r="T1292" s="12">
        <v>116.145337267923</v>
      </c>
      <c r="U1292" s="7"/>
      <c r="V1292" s="50">
        <f>Table13678[[#This Row],[PAGU SEMULA]]-Table13678[[#This Row],[PAGU ANGGARAN]]</f>
        <v>-49160000</v>
      </c>
      <c r="W1292" s="50">
        <f>Table13678[[#This Row],[PAGU SEMULA]]-Table13678[[#This Row],[PAGU ANGGARAN]]</f>
        <v>-49160000</v>
      </c>
      <c r="X1292" t="s">
        <v>984</v>
      </c>
    </row>
    <row r="1293" spans="3:24" hidden="1">
      <c r="C1293" s="7" t="s">
        <v>151</v>
      </c>
      <c r="D1293" s="7" t="s">
        <v>152</v>
      </c>
      <c r="E1293" s="7" t="s">
        <v>153</v>
      </c>
      <c r="F1293" s="7" t="s">
        <v>154</v>
      </c>
      <c r="G1293" s="7" t="s">
        <v>155</v>
      </c>
      <c r="H1293" s="8">
        <v>100000000</v>
      </c>
      <c r="I1293" s="10" t="s">
        <v>922</v>
      </c>
      <c r="J1293" s="7" t="s">
        <v>923</v>
      </c>
      <c r="K1293" s="10" t="s">
        <v>27</v>
      </c>
      <c r="L1293" s="7" t="s">
        <v>28</v>
      </c>
      <c r="M1293" s="7"/>
      <c r="N1293" s="7">
        <f>VLOOKUP(J1293,[1]Sheet1!$C:$D,2,FALSE)</f>
        <v>5435</v>
      </c>
      <c r="O1293" s="7">
        <f>VLOOKUP(J1293,[2]Desa!$A:$D,4,FALSE)</f>
        <v>430</v>
      </c>
      <c r="P1293" s="7">
        <f>VLOOKUP(J1293,[3]Sheet1!$D:$F,3,FALSE)</f>
        <v>42</v>
      </c>
      <c r="Q1293" s="7"/>
      <c r="R1293" s="7"/>
      <c r="S1293" s="12">
        <v>-8.7016832632397101</v>
      </c>
      <c r="T1293" s="12">
        <v>116.145337267923</v>
      </c>
      <c r="U1293" s="7"/>
      <c r="V1293" s="50">
        <f>Table13678[[#This Row],[PAGU SEMULA]]-Table13678[[#This Row],[PAGU ANGGARAN]]</f>
        <v>-100000000</v>
      </c>
      <c r="W1293" s="50">
        <f>Table13678[[#This Row],[PAGU SEMULA]]-Table13678[[#This Row],[PAGU ANGGARAN]]</f>
        <v>-100000000</v>
      </c>
      <c r="X1293" t="s">
        <v>987</v>
      </c>
    </row>
    <row r="1294" spans="3:24" hidden="1">
      <c r="C1294" s="7" t="s">
        <v>110</v>
      </c>
      <c r="D1294" s="7" t="s">
        <v>208</v>
      </c>
      <c r="E1294" s="7" t="s">
        <v>209</v>
      </c>
      <c r="F1294" s="7" t="s">
        <v>210</v>
      </c>
      <c r="G1294" s="71" t="s">
        <v>211</v>
      </c>
      <c r="H1294" s="8">
        <v>53500000</v>
      </c>
      <c r="I1294" s="10" t="s">
        <v>922</v>
      </c>
      <c r="J1294" s="7" t="s">
        <v>923</v>
      </c>
      <c r="K1294" s="10" t="s">
        <v>27</v>
      </c>
      <c r="L1294" s="7" t="s">
        <v>28</v>
      </c>
      <c r="M1294" s="7"/>
      <c r="N1294" s="7">
        <f>VLOOKUP(J1294,[1]Sheet1!$C:$D,2,FALSE)</f>
        <v>5435</v>
      </c>
      <c r="O1294" s="7">
        <f>VLOOKUP(J1294,[2]Desa!$A:$D,4,FALSE)</f>
        <v>430</v>
      </c>
      <c r="P1294" s="7">
        <f>VLOOKUP(J1294,[3]Sheet1!$D:$F,3,FALSE)</f>
        <v>42</v>
      </c>
      <c r="Q1294" s="7"/>
      <c r="R1294" s="7"/>
      <c r="S1294" s="12">
        <v>-8.7016832632397101</v>
      </c>
      <c r="T1294" s="12">
        <v>116.145337267923</v>
      </c>
      <c r="U1294" s="7"/>
      <c r="V1294" s="50">
        <f>Table13678[[#This Row],[PAGU SEMULA]]-Table13678[[#This Row],[PAGU ANGGARAN]]</f>
        <v>-53500000</v>
      </c>
      <c r="W1294" s="50">
        <f>Table13678[[#This Row],[PAGU SEMULA]]-Table13678[[#This Row],[PAGU ANGGARAN]]</f>
        <v>-53500000</v>
      </c>
      <c r="X1294" t="s">
        <v>982</v>
      </c>
    </row>
    <row r="1295" spans="3:24" hidden="1">
      <c r="C1295" s="7" t="s">
        <v>35</v>
      </c>
      <c r="D1295" s="7" t="s">
        <v>36</v>
      </c>
      <c r="E1295" s="7" t="s">
        <v>37</v>
      </c>
      <c r="F1295" s="7" t="s">
        <v>38</v>
      </c>
      <c r="G1295" s="7" t="s">
        <v>39</v>
      </c>
      <c r="H1295" s="15">
        <v>75000000</v>
      </c>
      <c r="I1295" s="10" t="s">
        <v>922</v>
      </c>
      <c r="J1295" s="7" t="s">
        <v>923</v>
      </c>
      <c r="K1295" s="10" t="s">
        <v>27</v>
      </c>
      <c r="L1295" s="7" t="s">
        <v>28</v>
      </c>
      <c r="M1295" s="7"/>
      <c r="N1295" s="7">
        <f>VLOOKUP(J1295,[1]Sheet1!$C:$D,2,FALSE)</f>
        <v>5435</v>
      </c>
      <c r="O1295" s="7">
        <f>VLOOKUP(J1295,[2]Desa!$A:$D,4,FALSE)</f>
        <v>430</v>
      </c>
      <c r="P1295" s="7">
        <f>VLOOKUP(J1295,[3]Sheet1!$D:$F,3,FALSE)</f>
        <v>42</v>
      </c>
      <c r="Q1295" s="7"/>
      <c r="R1295" s="7"/>
      <c r="S1295" s="12">
        <v>-8.7016832632397101</v>
      </c>
      <c r="T1295" s="12">
        <v>116.145337267923</v>
      </c>
      <c r="U1295" s="7"/>
      <c r="V1295" s="50">
        <f>Table13678[[#This Row],[PAGU SEMULA]]-Table13678[[#This Row],[PAGU ANGGARAN]]</f>
        <v>-75000000</v>
      </c>
      <c r="W1295" s="50">
        <f>Table13678[[#This Row],[PAGU SEMULA]]-Table13678[[#This Row],[PAGU ANGGARAN]]</f>
        <v>-75000000</v>
      </c>
      <c r="X1295" t="s">
        <v>984</v>
      </c>
    </row>
    <row r="1296" spans="3:24" hidden="1">
      <c r="C1296" s="7" t="s">
        <v>35</v>
      </c>
      <c r="D1296" s="7" t="s">
        <v>52</v>
      </c>
      <c r="E1296" s="7" t="s">
        <v>95</v>
      </c>
      <c r="F1296" s="7" t="s">
        <v>96</v>
      </c>
      <c r="G1296" s="7" t="s">
        <v>41</v>
      </c>
      <c r="H1296" s="17">
        <v>290250000</v>
      </c>
      <c r="I1296" s="10" t="s">
        <v>922</v>
      </c>
      <c r="J1296" s="7" t="s">
        <v>923</v>
      </c>
      <c r="K1296" s="10" t="s">
        <v>27</v>
      </c>
      <c r="L1296" s="7" t="s">
        <v>28</v>
      </c>
      <c r="M1296" s="7"/>
      <c r="N1296" s="7">
        <f>VLOOKUP(J1296,[1]Sheet1!$C:$D,2,FALSE)</f>
        <v>5435</v>
      </c>
      <c r="O1296" s="7">
        <f>VLOOKUP(J1296,[2]Desa!$A:$D,4,FALSE)</f>
        <v>430</v>
      </c>
      <c r="P1296" s="7">
        <f>VLOOKUP(J1296,[3]Sheet1!$D:$F,3,FALSE)</f>
        <v>42</v>
      </c>
      <c r="Q1296" s="7"/>
      <c r="R1296" s="7"/>
      <c r="S1296" s="12">
        <v>-8.7016832632397101</v>
      </c>
      <c r="T1296" s="12">
        <v>116.145337267923</v>
      </c>
      <c r="U1296" s="7"/>
      <c r="V1296" s="50">
        <f>Table13678[[#This Row],[PAGU SEMULA]]-Table13678[[#This Row],[PAGU ANGGARAN]]</f>
        <v>-290250000</v>
      </c>
      <c r="W1296" s="50">
        <f>Table13678[[#This Row],[PAGU SEMULA]]-Table13678[[#This Row],[PAGU ANGGARAN]]</f>
        <v>-290250000</v>
      </c>
      <c r="X1296" t="s">
        <v>986</v>
      </c>
    </row>
    <row r="1297" spans="3:24" hidden="1">
      <c r="C1297" s="7" t="s">
        <v>869</v>
      </c>
      <c r="D1297" s="7" t="s">
        <v>291</v>
      </c>
      <c r="E1297" s="7" t="s">
        <v>925</v>
      </c>
      <c r="F1297" s="7" t="s">
        <v>926</v>
      </c>
      <c r="G1297" s="71" t="s">
        <v>801</v>
      </c>
      <c r="H1297" s="8">
        <v>50000000</v>
      </c>
      <c r="I1297" s="10" t="s">
        <v>922</v>
      </c>
      <c r="J1297" s="7" t="s">
        <v>923</v>
      </c>
      <c r="K1297" s="10" t="s">
        <v>27</v>
      </c>
      <c r="L1297" s="7" t="s">
        <v>28</v>
      </c>
      <c r="M1297" s="7"/>
      <c r="N1297" s="7">
        <f>VLOOKUP(J1297,[1]Sheet1!$C:$D,2,FALSE)</f>
        <v>5435</v>
      </c>
      <c r="O1297" s="7">
        <f>VLOOKUP(J1297,[2]Desa!$A:$D,4,FALSE)</f>
        <v>430</v>
      </c>
      <c r="P1297" s="7">
        <f>VLOOKUP(J1297,[3]Sheet1!$D:$F,3,FALSE)</f>
        <v>42</v>
      </c>
      <c r="Q1297" s="7"/>
      <c r="R1297" s="7"/>
      <c r="S1297" s="12">
        <v>-8.7016832632397101</v>
      </c>
      <c r="T1297" s="12">
        <v>116.145337267923</v>
      </c>
      <c r="U1297" s="7"/>
      <c r="V1297" s="50">
        <f>Table13678[[#This Row],[PAGU SEMULA]]-Table13678[[#This Row],[PAGU ANGGARAN]]</f>
        <v>-50000000</v>
      </c>
      <c r="W1297" s="50">
        <f>Table13678[[#This Row],[PAGU SEMULA]]-Table13678[[#This Row],[PAGU ANGGARAN]]</f>
        <v>-50000000</v>
      </c>
      <c r="X1297" t="s">
        <v>982</v>
      </c>
    </row>
    <row r="1298" spans="3:24" hidden="1">
      <c r="C1298" s="7" t="s">
        <v>927</v>
      </c>
      <c r="D1298" s="7" t="s">
        <v>928</v>
      </c>
      <c r="E1298" s="7" t="s">
        <v>929</v>
      </c>
      <c r="F1298" s="7" t="s">
        <v>930</v>
      </c>
      <c r="G1298" s="71" t="s">
        <v>931</v>
      </c>
      <c r="H1298" s="8">
        <v>150000000</v>
      </c>
      <c r="I1298" s="10" t="s">
        <v>922</v>
      </c>
      <c r="J1298" s="7" t="s">
        <v>923</v>
      </c>
      <c r="K1298" s="10" t="s">
        <v>27</v>
      </c>
      <c r="L1298" s="7" t="s">
        <v>28</v>
      </c>
      <c r="M1298" s="7"/>
      <c r="N1298" s="7">
        <f>VLOOKUP(J1298,[1]Sheet1!$C:$D,2,FALSE)</f>
        <v>5435</v>
      </c>
      <c r="O1298" s="7">
        <f>VLOOKUP(J1298,[2]Desa!$A:$D,4,FALSE)</f>
        <v>430</v>
      </c>
      <c r="P1298" s="7">
        <f>VLOOKUP(J1298,[3]Sheet1!$D:$F,3,FALSE)</f>
        <v>42</v>
      </c>
      <c r="Q1298" s="7"/>
      <c r="R1298" s="7"/>
      <c r="S1298" s="12">
        <v>-8.7016832632397101</v>
      </c>
      <c r="T1298" s="12">
        <v>116.145337267923</v>
      </c>
      <c r="U1298" s="7"/>
      <c r="V1298" s="50">
        <f>Table13678[[#This Row],[PAGU SEMULA]]-Table13678[[#This Row],[PAGU ANGGARAN]]</f>
        <v>-150000000</v>
      </c>
      <c r="W1298" s="50">
        <f>Table13678[[#This Row],[PAGU SEMULA]]-Table13678[[#This Row],[PAGU ANGGARAN]]</f>
        <v>-150000000</v>
      </c>
      <c r="X1298" t="s">
        <v>987</v>
      </c>
    </row>
    <row r="1299" spans="3:24" hidden="1">
      <c r="C1299" s="7" t="s">
        <v>51</v>
      </c>
      <c r="D1299" s="7" t="s">
        <v>52</v>
      </c>
      <c r="E1299" s="7" t="s">
        <v>53</v>
      </c>
      <c r="F1299" s="7" t="s">
        <v>54</v>
      </c>
      <c r="G1299" s="7" t="s">
        <v>55</v>
      </c>
      <c r="H1299" s="8">
        <v>189090000</v>
      </c>
      <c r="I1299" s="10" t="s">
        <v>922</v>
      </c>
      <c r="J1299" s="7" t="s">
        <v>923</v>
      </c>
      <c r="K1299" s="10" t="s">
        <v>27</v>
      </c>
      <c r="L1299" s="7" t="s">
        <v>28</v>
      </c>
      <c r="M1299" s="7"/>
      <c r="N1299" s="7">
        <f>VLOOKUP(J1299,[1]Sheet1!$C:$D,2,FALSE)</f>
        <v>5435</v>
      </c>
      <c r="O1299" s="7">
        <f>VLOOKUP(J1299,[2]Desa!$A:$D,4,FALSE)</f>
        <v>430</v>
      </c>
      <c r="P1299" s="7">
        <f>VLOOKUP(J1299,[3]Sheet1!$D:$F,3,FALSE)</f>
        <v>42</v>
      </c>
      <c r="Q1299" s="7"/>
      <c r="R1299" s="7"/>
      <c r="S1299" s="12">
        <v>-8.7016832632397101</v>
      </c>
      <c r="T1299" s="12">
        <v>116.145337267923</v>
      </c>
      <c r="U1299" s="7"/>
      <c r="V1299" s="50">
        <f>Table13678[[#This Row],[PAGU SEMULA]]-Table13678[[#This Row],[PAGU ANGGARAN]]</f>
        <v>-189090000</v>
      </c>
      <c r="W1299" s="50">
        <f>Table13678[[#This Row],[PAGU SEMULA]]-Table13678[[#This Row],[PAGU ANGGARAN]]</f>
        <v>-189090000</v>
      </c>
      <c r="X1299" t="s">
        <v>986</v>
      </c>
    </row>
    <row r="1300" spans="3:24" hidden="1">
      <c r="C1300" s="7" t="s">
        <v>51</v>
      </c>
      <c r="D1300" s="7" t="s">
        <v>52</v>
      </c>
      <c r="E1300" s="7" t="s">
        <v>53</v>
      </c>
      <c r="F1300" s="7" t="s">
        <v>54</v>
      </c>
      <c r="G1300" s="7" t="s">
        <v>55</v>
      </c>
      <c r="H1300" s="8">
        <v>142295000</v>
      </c>
      <c r="I1300" s="10" t="s">
        <v>922</v>
      </c>
      <c r="J1300" s="7" t="s">
        <v>923</v>
      </c>
      <c r="K1300" s="10" t="s">
        <v>27</v>
      </c>
      <c r="L1300" s="7" t="s">
        <v>28</v>
      </c>
      <c r="M1300" s="7"/>
      <c r="N1300" s="7">
        <f>VLOOKUP(J1300,[1]Sheet1!$C:$D,2,FALSE)</f>
        <v>5435</v>
      </c>
      <c r="O1300" s="7">
        <f>VLOOKUP(J1300,[2]Desa!$A:$D,4,FALSE)</f>
        <v>430</v>
      </c>
      <c r="P1300" s="7">
        <f>VLOOKUP(J1300,[3]Sheet1!$D:$F,3,FALSE)</f>
        <v>42</v>
      </c>
      <c r="Q1300" s="7"/>
      <c r="R1300" s="7"/>
      <c r="S1300" s="12">
        <v>-8.7016832632397101</v>
      </c>
      <c r="T1300" s="12">
        <v>116.145337267923</v>
      </c>
      <c r="U1300" s="7"/>
      <c r="V1300" s="50">
        <f>Table13678[[#This Row],[PAGU SEMULA]]-Table13678[[#This Row],[PAGU ANGGARAN]]</f>
        <v>-142295000</v>
      </c>
      <c r="W1300" s="50">
        <f>Table13678[[#This Row],[PAGU SEMULA]]-Table13678[[#This Row],[PAGU ANGGARAN]]</f>
        <v>-142295000</v>
      </c>
      <c r="X1300" t="s">
        <v>986</v>
      </c>
    </row>
    <row r="1301" spans="3:24" hidden="1">
      <c r="C1301" s="7" t="s">
        <v>51</v>
      </c>
      <c r="D1301" s="7" t="s">
        <v>52</v>
      </c>
      <c r="E1301" s="7" t="s">
        <v>53</v>
      </c>
      <c r="F1301" s="7" t="s">
        <v>54</v>
      </c>
      <c r="G1301" s="7" t="s">
        <v>55</v>
      </c>
      <c r="H1301" s="8">
        <v>142295000</v>
      </c>
      <c r="I1301" s="10" t="s">
        <v>922</v>
      </c>
      <c r="J1301" s="7" t="s">
        <v>923</v>
      </c>
      <c r="K1301" s="10" t="s">
        <v>27</v>
      </c>
      <c r="L1301" s="7" t="s">
        <v>28</v>
      </c>
      <c r="M1301" s="7"/>
      <c r="N1301" s="7">
        <f>VLOOKUP(J1301,[1]Sheet1!$C:$D,2,FALSE)</f>
        <v>5435</v>
      </c>
      <c r="O1301" s="7">
        <f>VLOOKUP(J1301,[2]Desa!$A:$D,4,FALSE)</f>
        <v>430</v>
      </c>
      <c r="P1301" s="7">
        <f>VLOOKUP(J1301,[3]Sheet1!$D:$F,3,FALSE)</f>
        <v>42</v>
      </c>
      <c r="Q1301" s="7"/>
      <c r="R1301" s="7"/>
      <c r="S1301" s="12">
        <v>-8.7016832632397101</v>
      </c>
      <c r="T1301" s="12">
        <v>116.145337267923</v>
      </c>
      <c r="U1301" s="7"/>
      <c r="V1301" s="50">
        <f>Table13678[[#This Row],[PAGU SEMULA]]-Table13678[[#This Row],[PAGU ANGGARAN]]</f>
        <v>-142295000</v>
      </c>
      <c r="W1301" s="50">
        <f>Table13678[[#This Row],[PAGU SEMULA]]-Table13678[[#This Row],[PAGU ANGGARAN]]</f>
        <v>-142295000</v>
      </c>
      <c r="X1301" t="s">
        <v>986</v>
      </c>
    </row>
    <row r="1302" spans="3:24" hidden="1">
      <c r="C1302" s="7" t="s">
        <v>51</v>
      </c>
      <c r="D1302" s="7" t="s">
        <v>52</v>
      </c>
      <c r="E1302" s="7" t="s">
        <v>53</v>
      </c>
      <c r="F1302" s="7" t="s">
        <v>54</v>
      </c>
      <c r="G1302" s="7" t="s">
        <v>55</v>
      </c>
      <c r="H1302" s="8">
        <v>94545000</v>
      </c>
      <c r="I1302" s="10" t="s">
        <v>922</v>
      </c>
      <c r="J1302" s="7" t="s">
        <v>923</v>
      </c>
      <c r="K1302" s="10" t="s">
        <v>27</v>
      </c>
      <c r="L1302" s="7" t="s">
        <v>28</v>
      </c>
      <c r="M1302" s="7"/>
      <c r="N1302" s="7">
        <f>VLOOKUP(J1302,[1]Sheet1!$C:$D,2,FALSE)</f>
        <v>5435</v>
      </c>
      <c r="O1302" s="7">
        <f>VLOOKUP(J1302,[2]Desa!$A:$D,4,FALSE)</f>
        <v>430</v>
      </c>
      <c r="P1302" s="7">
        <f>VLOOKUP(J1302,[3]Sheet1!$D:$F,3,FALSE)</f>
        <v>42</v>
      </c>
      <c r="Q1302" s="7"/>
      <c r="R1302" s="7"/>
      <c r="S1302" s="12">
        <v>-8.7016832632397101</v>
      </c>
      <c r="T1302" s="12">
        <v>116.145337267923</v>
      </c>
      <c r="U1302" s="7"/>
      <c r="V1302" s="50">
        <f>Table13678[[#This Row],[PAGU SEMULA]]-Table13678[[#This Row],[PAGU ANGGARAN]]</f>
        <v>-94545000</v>
      </c>
      <c r="W1302" s="50">
        <f>Table13678[[#This Row],[PAGU SEMULA]]-Table13678[[#This Row],[PAGU ANGGARAN]]</f>
        <v>-94545000</v>
      </c>
      <c r="X1302" t="s">
        <v>986</v>
      </c>
    </row>
    <row r="1303" spans="3:24" hidden="1">
      <c r="C1303" s="7" t="s">
        <v>51</v>
      </c>
      <c r="D1303" s="7" t="s">
        <v>255</v>
      </c>
      <c r="E1303" s="7" t="s">
        <v>611</v>
      </c>
      <c r="F1303" s="7" t="s">
        <v>612</v>
      </c>
      <c r="G1303" s="7" t="s">
        <v>932</v>
      </c>
      <c r="H1303" s="8">
        <v>233000000</v>
      </c>
      <c r="I1303" s="10" t="s">
        <v>922</v>
      </c>
      <c r="J1303" s="7" t="s">
        <v>923</v>
      </c>
      <c r="K1303" s="10" t="s">
        <v>27</v>
      </c>
      <c r="L1303" s="7" t="s">
        <v>28</v>
      </c>
      <c r="M1303" s="7"/>
      <c r="N1303" s="7">
        <f>VLOOKUP(J1303,[1]Sheet1!$C:$D,2,FALSE)</f>
        <v>5435</v>
      </c>
      <c r="O1303" s="7">
        <f>VLOOKUP(J1303,[2]Desa!$A:$D,4,FALSE)</f>
        <v>430</v>
      </c>
      <c r="P1303" s="7">
        <f>VLOOKUP(J1303,[3]Sheet1!$D:$F,3,FALSE)</f>
        <v>42</v>
      </c>
      <c r="Q1303" s="7"/>
      <c r="R1303" s="7"/>
      <c r="S1303" s="12">
        <v>-8.7016832632397101</v>
      </c>
      <c r="T1303" s="12">
        <v>116.145337267923</v>
      </c>
      <c r="U1303" s="7"/>
      <c r="V1303" s="50">
        <f>Table13678[[#This Row],[PAGU SEMULA]]-Table13678[[#This Row],[PAGU ANGGARAN]]</f>
        <v>-233000000</v>
      </c>
      <c r="W1303" s="50">
        <f>Table13678[[#This Row],[PAGU SEMULA]]-Table13678[[#This Row],[PAGU ANGGARAN]]</f>
        <v>-233000000</v>
      </c>
      <c r="X1303" t="s">
        <v>986</v>
      </c>
    </row>
    <row r="1304" spans="3:24" hidden="1">
      <c r="C1304" s="7" t="s">
        <v>51</v>
      </c>
      <c r="D1304" s="7" t="s">
        <v>156</v>
      </c>
      <c r="E1304" s="7" t="s">
        <v>372</v>
      </c>
      <c r="F1304" s="7" t="s">
        <v>933</v>
      </c>
      <c r="G1304" s="7" t="s">
        <v>934</v>
      </c>
      <c r="H1304" s="8">
        <v>313000000</v>
      </c>
      <c r="I1304" s="10" t="s">
        <v>922</v>
      </c>
      <c r="J1304" s="7" t="s">
        <v>923</v>
      </c>
      <c r="K1304" s="10" t="s">
        <v>27</v>
      </c>
      <c r="L1304" s="7" t="s">
        <v>28</v>
      </c>
      <c r="M1304" s="7"/>
      <c r="N1304" s="7">
        <f>VLOOKUP(J1304,[1]Sheet1!$C:$D,2,FALSE)</f>
        <v>5435</v>
      </c>
      <c r="O1304" s="7">
        <f>VLOOKUP(J1304,[2]Desa!$A:$D,4,FALSE)</f>
        <v>430</v>
      </c>
      <c r="P1304" s="7">
        <f>VLOOKUP(J1304,[3]Sheet1!$D:$F,3,FALSE)</f>
        <v>42</v>
      </c>
      <c r="Q1304" s="7"/>
      <c r="R1304" s="7"/>
      <c r="S1304" s="12">
        <v>-8.7016832632397101</v>
      </c>
      <c r="T1304" s="12">
        <v>116.145337267923</v>
      </c>
      <c r="U1304" s="7"/>
      <c r="V1304" s="50">
        <f>Table13678[[#This Row],[PAGU SEMULA]]-Table13678[[#This Row],[PAGU ANGGARAN]]</f>
        <v>-313000000</v>
      </c>
      <c r="W1304" s="50">
        <f>Table13678[[#This Row],[PAGU SEMULA]]-Table13678[[#This Row],[PAGU ANGGARAN]]</f>
        <v>-313000000</v>
      </c>
      <c r="X1304" t="s">
        <v>986</v>
      </c>
    </row>
    <row r="1305" spans="3:24" hidden="1">
      <c r="C1305" s="7" t="s">
        <v>394</v>
      </c>
      <c r="D1305" s="7" t="s">
        <v>89</v>
      </c>
      <c r="E1305" s="7" t="s">
        <v>454</v>
      </c>
      <c r="F1305" s="7" t="s">
        <v>460</v>
      </c>
      <c r="G1305" s="7" t="s">
        <v>461</v>
      </c>
      <c r="H1305" s="8">
        <v>265500000</v>
      </c>
      <c r="I1305" s="10" t="s">
        <v>922</v>
      </c>
      <c r="J1305" s="7" t="s">
        <v>923</v>
      </c>
      <c r="K1305" s="10" t="s">
        <v>27</v>
      </c>
      <c r="L1305" s="7" t="s">
        <v>28</v>
      </c>
      <c r="M1305" s="7"/>
      <c r="N1305" s="7">
        <f>VLOOKUP(J1305,[1]Sheet1!$C:$D,2,FALSE)</f>
        <v>5435</v>
      </c>
      <c r="O1305" s="7">
        <f>VLOOKUP(J1305,[2]Desa!$A:$D,4,FALSE)</f>
        <v>430</v>
      </c>
      <c r="P1305" s="7">
        <f>VLOOKUP(J1305,[3]Sheet1!$D:$F,3,FALSE)</f>
        <v>42</v>
      </c>
      <c r="Q1305" s="7"/>
      <c r="R1305" s="7"/>
      <c r="S1305" s="12">
        <v>-8.7016832632397101</v>
      </c>
      <c r="T1305" s="12">
        <v>116.145337267923</v>
      </c>
      <c r="U1305" s="7"/>
      <c r="V1305" s="50">
        <f>Table13678[[#This Row],[PAGU SEMULA]]-Table13678[[#This Row],[PAGU ANGGARAN]]</f>
        <v>-265500000</v>
      </c>
      <c r="W1305" s="50">
        <f>Table13678[[#This Row],[PAGU SEMULA]]-Table13678[[#This Row],[PAGU ANGGARAN]]</f>
        <v>-265500000</v>
      </c>
      <c r="X1305" t="s">
        <v>982</v>
      </c>
    </row>
    <row r="1306" spans="3:24" hidden="1">
      <c r="C1306" s="7" t="s">
        <v>387</v>
      </c>
      <c r="D1306" s="7" t="s">
        <v>100</v>
      </c>
      <c r="E1306" s="7" t="s">
        <v>388</v>
      </c>
      <c r="F1306" s="7" t="s">
        <v>102</v>
      </c>
      <c r="G1306" s="7" t="s">
        <v>935</v>
      </c>
      <c r="H1306" s="8">
        <v>150000000</v>
      </c>
      <c r="I1306" s="10" t="s">
        <v>922</v>
      </c>
      <c r="J1306" s="7" t="s">
        <v>923</v>
      </c>
      <c r="K1306" s="10" t="s">
        <v>27</v>
      </c>
      <c r="L1306" s="7" t="s">
        <v>28</v>
      </c>
      <c r="M1306" s="7"/>
      <c r="N1306" s="7">
        <f>VLOOKUP(J1306,[1]Sheet1!$C:$D,2,FALSE)</f>
        <v>5435</v>
      </c>
      <c r="O1306" s="7">
        <f>VLOOKUP(J1306,[2]Desa!$A:$D,4,FALSE)</f>
        <v>430</v>
      </c>
      <c r="P1306" s="7">
        <f>VLOOKUP(J1306,[3]Sheet1!$D:$F,3,FALSE)</f>
        <v>42</v>
      </c>
      <c r="Q1306" s="7"/>
      <c r="R1306" s="7"/>
      <c r="S1306" s="12">
        <v>-8.7016832632397101</v>
      </c>
      <c r="T1306" s="12">
        <v>116.145337267923</v>
      </c>
      <c r="U1306" s="7"/>
      <c r="V1306" s="50">
        <f>Table13678[[#This Row],[PAGU SEMULA]]-Table13678[[#This Row],[PAGU ANGGARAN]]</f>
        <v>-150000000</v>
      </c>
      <c r="W1306" s="50">
        <f>Table13678[[#This Row],[PAGU SEMULA]]-Table13678[[#This Row],[PAGU ANGGARAN]]</f>
        <v>-150000000</v>
      </c>
      <c r="X1306" t="s">
        <v>987</v>
      </c>
    </row>
    <row r="1307" spans="3:24" hidden="1">
      <c r="C1307" s="7" t="s">
        <v>387</v>
      </c>
      <c r="D1307" s="7" t="s">
        <v>100</v>
      </c>
      <c r="E1307" s="7" t="s">
        <v>388</v>
      </c>
      <c r="F1307" s="7" t="s">
        <v>102</v>
      </c>
      <c r="G1307" s="7" t="s">
        <v>935</v>
      </c>
      <c r="H1307" s="8">
        <v>150000000</v>
      </c>
      <c r="I1307" s="10" t="s">
        <v>922</v>
      </c>
      <c r="J1307" s="7" t="s">
        <v>923</v>
      </c>
      <c r="K1307" s="10" t="s">
        <v>27</v>
      </c>
      <c r="L1307" s="7" t="s">
        <v>28</v>
      </c>
      <c r="M1307" s="7"/>
      <c r="N1307" s="7">
        <f>VLOOKUP(J1307,[1]Sheet1!$C:$D,2,FALSE)</f>
        <v>5435</v>
      </c>
      <c r="O1307" s="7">
        <f>VLOOKUP(J1307,[2]Desa!$A:$D,4,FALSE)</f>
        <v>430</v>
      </c>
      <c r="P1307" s="7">
        <f>VLOOKUP(J1307,[3]Sheet1!$D:$F,3,FALSE)</f>
        <v>42</v>
      </c>
      <c r="Q1307" s="7"/>
      <c r="R1307" s="7"/>
      <c r="S1307" s="12">
        <v>-8.7016832632397101</v>
      </c>
      <c r="T1307" s="12">
        <v>116.145337267923</v>
      </c>
      <c r="U1307" s="7"/>
      <c r="V1307" s="50">
        <f>Table13678[[#This Row],[PAGU SEMULA]]-Table13678[[#This Row],[PAGU ANGGARAN]]</f>
        <v>-150000000</v>
      </c>
      <c r="W1307" s="50">
        <f>Table13678[[#This Row],[PAGU SEMULA]]-Table13678[[#This Row],[PAGU ANGGARAN]]</f>
        <v>-150000000</v>
      </c>
      <c r="X1307" t="s">
        <v>987</v>
      </c>
    </row>
    <row r="1308" spans="3:24" hidden="1">
      <c r="C1308" s="7" t="s">
        <v>29</v>
      </c>
      <c r="D1308" s="7" t="s">
        <v>30</v>
      </c>
      <c r="E1308" s="7" t="s">
        <v>31</v>
      </c>
      <c r="F1308" s="7" t="s">
        <v>32</v>
      </c>
      <c r="G1308" s="7" t="s">
        <v>33</v>
      </c>
      <c r="H1308" s="8">
        <v>898800000</v>
      </c>
      <c r="I1308" s="10" t="s">
        <v>936</v>
      </c>
      <c r="J1308" s="7" t="s">
        <v>937</v>
      </c>
      <c r="K1308" s="10" t="s">
        <v>82</v>
      </c>
      <c r="L1308" s="7" t="s">
        <v>83</v>
      </c>
      <c r="M1308" s="7"/>
      <c r="N1308" s="7">
        <f>VLOOKUP(J1308,[1]Sheet1!$C:$D,2,FALSE)</f>
        <v>9435</v>
      </c>
      <c r="O1308" s="7">
        <f>VLOOKUP(J1308,[2]Desa!$A:$D,4,FALSE)</f>
        <v>300</v>
      </c>
      <c r="P1308" s="7">
        <f>VLOOKUP(J1308,[3]Sheet1!$D:$F,3,FALSE)</f>
        <v>78</v>
      </c>
      <c r="Q1308" s="7"/>
      <c r="R1308" s="7"/>
      <c r="S1308" s="12">
        <v>-8.6279676166856394</v>
      </c>
      <c r="T1308" s="12">
        <v>116.10930846815999</v>
      </c>
      <c r="U1308" s="7"/>
      <c r="V1308" s="50">
        <f>Table13678[[#This Row],[PAGU SEMULA]]-Table13678[[#This Row],[PAGU ANGGARAN]]</f>
        <v>-898800000</v>
      </c>
      <c r="W1308" s="50">
        <f>Table13678[[#This Row],[PAGU SEMULA]]-Table13678[[#This Row],[PAGU ANGGARAN]]</f>
        <v>-898800000</v>
      </c>
      <c r="X1308" t="s">
        <v>984</v>
      </c>
    </row>
    <row r="1309" spans="3:24" hidden="1">
      <c r="C1309" s="7" t="s">
        <v>29</v>
      </c>
      <c r="D1309" s="7" t="s">
        <v>30</v>
      </c>
      <c r="E1309" s="7" t="s">
        <v>31</v>
      </c>
      <c r="F1309" s="7" t="s">
        <v>32</v>
      </c>
      <c r="G1309" s="7" t="s">
        <v>34</v>
      </c>
      <c r="H1309" s="8">
        <v>71904000</v>
      </c>
      <c r="I1309" s="10" t="s">
        <v>936</v>
      </c>
      <c r="J1309" s="7" t="s">
        <v>937</v>
      </c>
      <c r="K1309" s="10" t="s">
        <v>82</v>
      </c>
      <c r="L1309" s="7" t="s">
        <v>83</v>
      </c>
      <c r="M1309" s="7"/>
      <c r="N1309" s="7">
        <f>VLOOKUP(J1309,[1]Sheet1!$C:$D,2,FALSE)</f>
        <v>9435</v>
      </c>
      <c r="O1309" s="7">
        <f>VLOOKUP(J1309,[2]Desa!$A:$D,4,FALSE)</f>
        <v>300</v>
      </c>
      <c r="P1309" s="7">
        <f>VLOOKUP(J1309,[3]Sheet1!$D:$F,3,FALSE)</f>
        <v>78</v>
      </c>
      <c r="Q1309" s="7"/>
      <c r="R1309" s="7"/>
      <c r="S1309" s="12">
        <v>-8.6279676166856394</v>
      </c>
      <c r="T1309" s="12">
        <v>116.10930846815999</v>
      </c>
      <c r="U1309" s="7"/>
      <c r="V1309" s="50">
        <f>Table13678[[#This Row],[PAGU SEMULA]]-Table13678[[#This Row],[PAGU ANGGARAN]]</f>
        <v>-71904000</v>
      </c>
      <c r="W1309" s="50">
        <f>Table13678[[#This Row],[PAGU SEMULA]]-Table13678[[#This Row],[PAGU ANGGARAN]]</f>
        <v>-71904000</v>
      </c>
      <c r="X1309" t="s">
        <v>984</v>
      </c>
    </row>
    <row r="1310" spans="3:24" hidden="1">
      <c r="C1310" s="7" t="s">
        <v>35</v>
      </c>
      <c r="D1310" s="7" t="s">
        <v>36</v>
      </c>
      <c r="E1310" s="7" t="s">
        <v>37</v>
      </c>
      <c r="F1310" s="7" t="s">
        <v>38</v>
      </c>
      <c r="G1310" s="7" t="s">
        <v>39</v>
      </c>
      <c r="H1310" s="15">
        <v>175000000</v>
      </c>
      <c r="I1310" s="10" t="s">
        <v>936</v>
      </c>
      <c r="J1310" s="7" t="s">
        <v>937</v>
      </c>
      <c r="K1310" s="10" t="s">
        <v>82</v>
      </c>
      <c r="L1310" s="7" t="s">
        <v>83</v>
      </c>
      <c r="M1310" s="7"/>
      <c r="N1310" s="7">
        <f>VLOOKUP(J1310,[1]Sheet1!$C:$D,2,FALSE)</f>
        <v>9435</v>
      </c>
      <c r="O1310" s="7">
        <f>VLOOKUP(J1310,[2]Desa!$A:$D,4,FALSE)</f>
        <v>300</v>
      </c>
      <c r="P1310" s="7">
        <f>VLOOKUP(J1310,[3]Sheet1!$D:$F,3,FALSE)</f>
        <v>78</v>
      </c>
      <c r="Q1310" s="7"/>
      <c r="R1310" s="7"/>
      <c r="S1310" s="12">
        <v>-8.6279676166856394</v>
      </c>
      <c r="T1310" s="12">
        <v>116.10930846815999</v>
      </c>
      <c r="U1310" s="7"/>
      <c r="V1310" s="50">
        <f>Table13678[[#This Row],[PAGU SEMULA]]-Table13678[[#This Row],[PAGU ANGGARAN]]</f>
        <v>-175000000</v>
      </c>
      <c r="W1310" s="50">
        <f>Table13678[[#This Row],[PAGU SEMULA]]-Table13678[[#This Row],[PAGU ANGGARAN]]</f>
        <v>-175000000</v>
      </c>
      <c r="X1310" t="s">
        <v>984</v>
      </c>
    </row>
    <row r="1311" spans="3:24" hidden="1">
      <c r="C1311" s="7" t="s">
        <v>51</v>
      </c>
      <c r="D1311" s="7" t="s">
        <v>52</v>
      </c>
      <c r="E1311" s="7" t="s">
        <v>53</v>
      </c>
      <c r="F1311" s="7" t="s">
        <v>54</v>
      </c>
      <c r="G1311" s="7" t="s">
        <v>73</v>
      </c>
      <c r="H1311" s="8">
        <v>189090000</v>
      </c>
      <c r="I1311" s="10" t="s">
        <v>936</v>
      </c>
      <c r="J1311" s="7" t="s">
        <v>937</v>
      </c>
      <c r="K1311" s="10" t="s">
        <v>82</v>
      </c>
      <c r="L1311" s="7" t="s">
        <v>83</v>
      </c>
      <c r="M1311" s="7"/>
      <c r="N1311" s="7">
        <f>VLOOKUP(J1311,[1]Sheet1!$C:$D,2,FALSE)</f>
        <v>9435</v>
      </c>
      <c r="O1311" s="7">
        <f>VLOOKUP(J1311,[2]Desa!$A:$D,4,FALSE)</f>
        <v>300</v>
      </c>
      <c r="P1311" s="7">
        <f>VLOOKUP(J1311,[3]Sheet1!$D:$F,3,FALSE)</f>
        <v>78</v>
      </c>
      <c r="Q1311" s="7"/>
      <c r="R1311" s="7"/>
      <c r="S1311" s="12">
        <v>-8.6279676166856394</v>
      </c>
      <c r="T1311" s="12">
        <v>116.10930846815999</v>
      </c>
      <c r="U1311" s="7"/>
      <c r="V1311" s="50">
        <f>Table13678[[#This Row],[PAGU SEMULA]]-Table13678[[#This Row],[PAGU ANGGARAN]]</f>
        <v>-189090000</v>
      </c>
      <c r="W1311" s="50">
        <f>Table13678[[#This Row],[PAGU SEMULA]]-Table13678[[#This Row],[PAGU ANGGARAN]]</f>
        <v>-189090000</v>
      </c>
      <c r="X1311" t="s">
        <v>986</v>
      </c>
    </row>
    <row r="1312" spans="3:24" hidden="1">
      <c r="C1312" s="29" t="s">
        <v>151</v>
      </c>
      <c r="D1312" s="29" t="s">
        <v>152</v>
      </c>
      <c r="E1312" s="29" t="s">
        <v>153</v>
      </c>
      <c r="F1312" s="29" t="s">
        <v>154</v>
      </c>
      <c r="G1312" s="29" t="s">
        <v>938</v>
      </c>
      <c r="H1312" s="8">
        <v>200000000</v>
      </c>
      <c r="I1312" s="31" t="s">
        <v>471</v>
      </c>
      <c r="J1312" s="29" t="s">
        <v>472</v>
      </c>
      <c r="K1312" s="31" t="s">
        <v>27</v>
      </c>
      <c r="L1312" s="29" t="s">
        <v>28</v>
      </c>
      <c r="M1312" s="29"/>
      <c r="N1312" s="29">
        <f>VLOOKUP(J1312,[1]Sheet1!$C:$D,2,FALSE)</f>
        <v>7039</v>
      </c>
      <c r="O1312" s="29">
        <f>VLOOKUP(J1312,[2]Desa!$A:$D,4,FALSE)</f>
        <v>87</v>
      </c>
      <c r="P1312" s="29">
        <f>VLOOKUP(J1312,[3]Sheet1!$D:$F,3,FALSE)</f>
        <v>22</v>
      </c>
      <c r="Q1312" s="29"/>
      <c r="R1312" s="35"/>
      <c r="S1312" s="36">
        <v>-8.67894620730093</v>
      </c>
      <c r="T1312" s="32">
        <v>116.124028451716</v>
      </c>
      <c r="U1312" s="7"/>
      <c r="V1312" s="50">
        <f>Table13678[[#This Row],[PAGU SEMULA]]-Table13678[[#This Row],[PAGU ANGGARAN]]</f>
        <v>-200000000</v>
      </c>
      <c r="W1312" s="50">
        <f>Table13678[[#This Row],[PAGU SEMULA]]-Table13678[[#This Row],[PAGU ANGGARAN]]</f>
        <v>-200000000</v>
      </c>
      <c r="X1312" t="s">
        <v>987</v>
      </c>
    </row>
    <row r="1313" spans="3:24" s="28" customFormat="1" ht="15" hidden="1" customHeight="1">
      <c r="C1313" s="29" t="s">
        <v>151</v>
      </c>
      <c r="D1313" s="29" t="s">
        <v>152</v>
      </c>
      <c r="E1313" s="29" t="s">
        <v>153</v>
      </c>
      <c r="F1313" s="29" t="s">
        <v>939</v>
      </c>
      <c r="G1313" s="29" t="s">
        <v>940</v>
      </c>
      <c r="H1313" s="22">
        <v>200000000</v>
      </c>
      <c r="I1313" s="31" t="s">
        <v>596</v>
      </c>
      <c r="J1313" s="29" t="s">
        <v>597</v>
      </c>
      <c r="K1313" s="31" t="s">
        <v>142</v>
      </c>
      <c r="L1313" s="29" t="s">
        <v>143</v>
      </c>
      <c r="M1313" s="29"/>
      <c r="N1313" s="29">
        <f>VLOOKUP(J1313,[1]Sheet1!$C:$D,2,FALSE)</f>
        <v>7526</v>
      </c>
      <c r="O1313" s="29">
        <f>VLOOKUP(J1313,[2]Desa!$A:$D,4,FALSE)</f>
        <v>156</v>
      </c>
      <c r="P1313" s="29">
        <f>VLOOKUP(J1313,[3]Sheet1!$D:$F,3,FALSE)</f>
        <v>51</v>
      </c>
      <c r="Q1313" s="29"/>
      <c r="R1313" s="35"/>
      <c r="S1313" s="36">
        <v>-8.6401261498808104</v>
      </c>
      <c r="T1313" s="32">
        <v>116.14841918141499</v>
      </c>
      <c r="U1313" s="25"/>
      <c r="V1313" s="53">
        <f>Table13678[[#This Row],[PAGU SEMULA]]-Table13678[[#This Row],[PAGU ANGGARAN]]</f>
        <v>-200000000</v>
      </c>
      <c r="W1313" s="53">
        <f>Table13678[[#This Row],[PAGU SEMULA]]-Table13678[[#This Row],[PAGU ANGGARAN]]</f>
        <v>-200000000</v>
      </c>
      <c r="X1313" t="s">
        <v>987</v>
      </c>
    </row>
    <row r="1314" spans="3:24" hidden="1">
      <c r="C1314" s="29" t="s">
        <v>151</v>
      </c>
      <c r="D1314" s="29" t="s">
        <v>152</v>
      </c>
      <c r="E1314" s="29" t="s">
        <v>153</v>
      </c>
      <c r="F1314" s="29" t="s">
        <v>154</v>
      </c>
      <c r="G1314" s="29" t="s">
        <v>941</v>
      </c>
      <c r="H1314" s="8">
        <v>200000000</v>
      </c>
      <c r="I1314" s="31" t="s">
        <v>596</v>
      </c>
      <c r="J1314" s="29" t="s">
        <v>597</v>
      </c>
      <c r="K1314" s="31" t="s">
        <v>142</v>
      </c>
      <c r="L1314" s="29" t="s">
        <v>143</v>
      </c>
      <c r="M1314" s="29"/>
      <c r="N1314" s="29">
        <f>VLOOKUP(J1314,[1]Sheet1!$C:$D,2,FALSE)</f>
        <v>7526</v>
      </c>
      <c r="O1314" s="29">
        <f>VLOOKUP(J1314,[2]Desa!$A:$D,4,FALSE)</f>
        <v>156</v>
      </c>
      <c r="P1314" s="29">
        <f>VLOOKUP(J1314,[3]Sheet1!$D:$F,3,FALSE)</f>
        <v>51</v>
      </c>
      <c r="Q1314" s="29"/>
      <c r="R1314" s="35"/>
      <c r="S1314" s="36">
        <v>-8.6401261498808104</v>
      </c>
      <c r="T1314" s="32">
        <v>116.14841918141499</v>
      </c>
      <c r="U1314" s="7"/>
      <c r="V1314" s="50">
        <f>Table13678[[#This Row],[PAGU SEMULA]]-Table13678[[#This Row],[PAGU ANGGARAN]]</f>
        <v>-200000000</v>
      </c>
      <c r="W1314" s="50">
        <f>Table13678[[#This Row],[PAGU SEMULA]]-Table13678[[#This Row],[PAGU ANGGARAN]]</f>
        <v>-200000000</v>
      </c>
      <c r="X1314" t="s">
        <v>987</v>
      </c>
    </row>
    <row r="1315" spans="3:24" s="25" customFormat="1" ht="15" hidden="1" customHeight="1">
      <c r="C1315" s="29" t="s">
        <v>130</v>
      </c>
      <c r="D1315" s="29" t="s">
        <v>131</v>
      </c>
      <c r="E1315" s="29" t="s">
        <v>132</v>
      </c>
      <c r="F1315" s="29" t="s">
        <v>132</v>
      </c>
      <c r="G1315" s="29" t="s">
        <v>133</v>
      </c>
      <c r="H1315" s="22">
        <v>146200000</v>
      </c>
      <c r="I1315" s="30">
        <v>0.13750000000000001</v>
      </c>
      <c r="J1315" s="29" t="s">
        <v>501</v>
      </c>
      <c r="K1315" s="31"/>
      <c r="L1315" s="29" t="s">
        <v>59</v>
      </c>
      <c r="M1315" s="29"/>
      <c r="N1315" s="29">
        <f>VLOOKUP(J1315,[1]Sheet1!$C:$D,2,FALSE)</f>
        <v>7017</v>
      </c>
      <c r="O1315" s="29">
        <f>VLOOKUP(J1315,[2]Desa!$A:$D,4,FALSE)</f>
        <v>129</v>
      </c>
      <c r="P1315" s="29">
        <f>VLOOKUP(J1315,[3]Sheet1!$D:$F,3,FALSE)</f>
        <v>35</v>
      </c>
      <c r="Q1315" s="29"/>
      <c r="R1315" s="35"/>
      <c r="S1315" s="36"/>
      <c r="T1315" s="32"/>
      <c r="V1315" s="54">
        <f>Table13678[[#This Row],[PAGU SEMULA]]-Table13678[[#This Row],[PAGU ANGGARAN]]</f>
        <v>-146200000</v>
      </c>
      <c r="W1315" s="54">
        <f>Table13678[[#This Row],[PAGU SEMULA]]-Table13678[[#This Row],[PAGU ANGGARAN]]</f>
        <v>-146200000</v>
      </c>
      <c r="X1315" t="s">
        <v>986</v>
      </c>
    </row>
    <row r="1316" spans="3:24" s="28" customFormat="1" ht="15" hidden="1" customHeight="1">
      <c r="C1316" s="29" t="s">
        <v>110</v>
      </c>
      <c r="D1316" s="29" t="s">
        <v>111</v>
      </c>
      <c r="E1316" s="29" t="s">
        <v>112</v>
      </c>
      <c r="F1316" s="29" t="s">
        <v>113</v>
      </c>
      <c r="G1316" s="73" t="s">
        <v>918</v>
      </c>
      <c r="H1316" s="22">
        <v>13857500</v>
      </c>
      <c r="I1316" s="31" t="s">
        <v>820</v>
      </c>
      <c r="J1316" s="29" t="s">
        <v>821</v>
      </c>
      <c r="K1316" s="31"/>
      <c r="L1316" s="29" t="s">
        <v>28</v>
      </c>
      <c r="M1316" s="29"/>
      <c r="N1316" s="29">
        <f>VLOOKUP(J1316,[1]Sheet1!$C:$D,2,FALSE)</f>
        <v>6160</v>
      </c>
      <c r="O1316" s="29">
        <f>VLOOKUP(J1316,[2]Desa!$A:$D,4,FALSE)</f>
        <v>109</v>
      </c>
      <c r="P1316" s="29">
        <f>VLOOKUP(J1316,[3]Sheet1!$D:$F,3,FALSE)</f>
        <v>39</v>
      </c>
      <c r="Q1316" s="29"/>
      <c r="R1316" s="35"/>
      <c r="S1316" s="36"/>
      <c r="T1316" s="32"/>
      <c r="U1316" s="25"/>
      <c r="V1316" s="54">
        <f>Table13678[[#This Row],[PAGU SEMULA]]-Table13678[[#This Row],[PAGU ANGGARAN]]</f>
        <v>-13857500</v>
      </c>
      <c r="W1316" s="54">
        <f>Table13678[[#This Row],[PAGU SEMULA]]-Table13678[[#This Row],[PAGU ANGGARAN]]</f>
        <v>-13857500</v>
      </c>
      <c r="X1316" t="s">
        <v>982</v>
      </c>
    </row>
    <row r="1317" spans="3:24" s="28" customFormat="1" ht="15" hidden="1" customHeight="1">
      <c r="C1317" s="29" t="s">
        <v>110</v>
      </c>
      <c r="D1317" s="29" t="s">
        <v>178</v>
      </c>
      <c r="E1317" s="29" t="s">
        <v>179</v>
      </c>
      <c r="F1317" s="29" t="s">
        <v>180</v>
      </c>
      <c r="G1317" s="73" t="s">
        <v>640</v>
      </c>
      <c r="H1317" s="22">
        <v>62500000</v>
      </c>
      <c r="I1317" s="31" t="s">
        <v>820</v>
      </c>
      <c r="J1317" s="29" t="s">
        <v>821</v>
      </c>
      <c r="K1317" s="31"/>
      <c r="L1317" s="29" t="s">
        <v>28</v>
      </c>
      <c r="M1317" s="29"/>
      <c r="N1317" s="29">
        <f>VLOOKUP(J1317,[1]Sheet1!$C:$D,2,FALSE)</f>
        <v>6160</v>
      </c>
      <c r="O1317" s="29">
        <f>VLOOKUP(J1317,[2]Desa!$A:$D,4,FALSE)</f>
        <v>109</v>
      </c>
      <c r="P1317" s="29">
        <f>VLOOKUP(J1317,[3]Sheet1!$D:$F,3,FALSE)</f>
        <v>39</v>
      </c>
      <c r="Q1317" s="29"/>
      <c r="R1317" s="35"/>
      <c r="S1317" s="36"/>
      <c r="T1317" s="32"/>
      <c r="U1317" s="25"/>
      <c r="V1317" s="53">
        <f>Table13678[[#This Row],[PAGU SEMULA]]-Table13678[[#This Row],[PAGU ANGGARAN]]</f>
        <v>-62500000</v>
      </c>
      <c r="W1317" s="53">
        <f>Table13678[[#This Row],[PAGU SEMULA]]-Table13678[[#This Row],[PAGU ANGGARAN]]</f>
        <v>-62500000</v>
      </c>
      <c r="X1317" t="s">
        <v>982</v>
      </c>
    </row>
    <row r="1318" spans="3:24" s="28" customFormat="1" ht="15" hidden="1" customHeight="1">
      <c r="C1318" s="29" t="s">
        <v>110</v>
      </c>
      <c r="D1318" s="29" t="s">
        <v>178</v>
      </c>
      <c r="E1318" s="29" t="s">
        <v>179</v>
      </c>
      <c r="F1318" s="29" t="s">
        <v>180</v>
      </c>
      <c r="G1318" s="73" t="s">
        <v>699</v>
      </c>
      <c r="H1318" s="22">
        <v>37500000</v>
      </c>
      <c r="I1318" s="31" t="s">
        <v>820</v>
      </c>
      <c r="J1318" s="29" t="s">
        <v>821</v>
      </c>
      <c r="K1318" s="31"/>
      <c r="L1318" s="29" t="s">
        <v>28</v>
      </c>
      <c r="M1318" s="29"/>
      <c r="N1318" s="29">
        <f>VLOOKUP(J1318,[1]Sheet1!$C:$D,2,FALSE)</f>
        <v>6160</v>
      </c>
      <c r="O1318" s="29">
        <f>VLOOKUP(J1318,[2]Desa!$A:$D,4,FALSE)</f>
        <v>109</v>
      </c>
      <c r="P1318" s="29">
        <f>VLOOKUP(J1318,[3]Sheet1!$D:$F,3,FALSE)</f>
        <v>39</v>
      </c>
      <c r="Q1318" s="29"/>
      <c r="R1318" s="35"/>
      <c r="S1318" s="36"/>
      <c r="T1318" s="32"/>
      <c r="U1318" s="25"/>
      <c r="V1318" s="53">
        <f>Table13678[[#This Row],[PAGU SEMULA]]-Table13678[[#This Row],[PAGU ANGGARAN]]</f>
        <v>-37500000</v>
      </c>
      <c r="W1318" s="53">
        <f>Table13678[[#This Row],[PAGU SEMULA]]-Table13678[[#This Row],[PAGU ANGGARAN]]</f>
        <v>-37500000</v>
      </c>
      <c r="X1318" t="s">
        <v>982</v>
      </c>
    </row>
    <row r="1319" spans="3:24" s="28" customFormat="1" ht="15" hidden="1" customHeight="1">
      <c r="C1319" s="29" t="s">
        <v>110</v>
      </c>
      <c r="D1319" s="29" t="s">
        <v>178</v>
      </c>
      <c r="E1319" s="29" t="s">
        <v>179</v>
      </c>
      <c r="F1319" s="29" t="s">
        <v>180</v>
      </c>
      <c r="G1319" s="73" t="s">
        <v>699</v>
      </c>
      <c r="H1319" s="22">
        <v>29100000</v>
      </c>
      <c r="I1319" s="31" t="s">
        <v>222</v>
      </c>
      <c r="J1319" s="29" t="s">
        <v>223</v>
      </c>
      <c r="K1319" s="31"/>
      <c r="L1319" s="29" t="s">
        <v>28</v>
      </c>
      <c r="M1319" s="29"/>
      <c r="N1319" s="29">
        <f>VLOOKUP(J1319,[1]Sheet1!$C:$D,2,FALSE)</f>
        <v>8249</v>
      </c>
      <c r="O1319" s="29">
        <f>VLOOKUP(J1319,[2]Desa!$A:$D,4,FALSE)</f>
        <v>243</v>
      </c>
      <c r="P1319" s="29">
        <f>VLOOKUP(J1319,[3]Sheet1!$D:$F,3,FALSE)</f>
        <v>57</v>
      </c>
      <c r="Q1319" s="29"/>
      <c r="R1319" s="35"/>
      <c r="S1319" s="36"/>
      <c r="T1319" s="32"/>
      <c r="U1319" s="25"/>
      <c r="V1319" s="53">
        <f>Table13678[[#This Row],[PAGU SEMULA]]-Table13678[[#This Row],[PAGU ANGGARAN]]</f>
        <v>-29100000</v>
      </c>
      <c r="W1319" s="53">
        <f>Table13678[[#This Row],[PAGU SEMULA]]-Table13678[[#This Row],[PAGU ANGGARAN]]</f>
        <v>-29100000</v>
      </c>
      <c r="X1319" t="s">
        <v>982</v>
      </c>
    </row>
    <row r="1320" spans="3:24" s="28" customFormat="1" ht="15" hidden="1" customHeight="1">
      <c r="C1320" s="29" t="s">
        <v>110</v>
      </c>
      <c r="D1320" s="29" t="s">
        <v>178</v>
      </c>
      <c r="E1320" s="29" t="s">
        <v>179</v>
      </c>
      <c r="F1320" s="29" t="s">
        <v>180</v>
      </c>
      <c r="G1320" s="73" t="s">
        <v>640</v>
      </c>
      <c r="H1320" s="22">
        <v>12500000</v>
      </c>
      <c r="I1320" s="31" t="s">
        <v>222</v>
      </c>
      <c r="J1320" s="29" t="s">
        <v>223</v>
      </c>
      <c r="K1320" s="31"/>
      <c r="L1320" s="29" t="s">
        <v>28</v>
      </c>
      <c r="M1320" s="29"/>
      <c r="N1320" s="29">
        <f>VLOOKUP(J1320,[1]Sheet1!$C:$D,2,FALSE)</f>
        <v>8249</v>
      </c>
      <c r="O1320" s="29">
        <f>VLOOKUP(J1320,[2]Desa!$A:$D,4,FALSE)</f>
        <v>243</v>
      </c>
      <c r="P1320" s="29">
        <f>VLOOKUP(J1320,[3]Sheet1!$D:$F,3,FALSE)</f>
        <v>57</v>
      </c>
      <c r="Q1320" s="29"/>
      <c r="R1320" s="35"/>
      <c r="S1320" s="36"/>
      <c r="T1320" s="32"/>
      <c r="U1320" s="25"/>
      <c r="V1320" s="53">
        <f>Table13678[[#This Row],[PAGU SEMULA]]-Table13678[[#This Row],[PAGU ANGGARAN]]</f>
        <v>-12500000</v>
      </c>
      <c r="W1320" s="53">
        <f>Table13678[[#This Row],[PAGU SEMULA]]-Table13678[[#This Row],[PAGU ANGGARAN]]</f>
        <v>-12500000</v>
      </c>
      <c r="X1320" t="s">
        <v>982</v>
      </c>
    </row>
    <row r="1321" spans="3:24" s="28" customFormat="1" ht="15" hidden="1" customHeight="1">
      <c r="C1321" s="29" t="s">
        <v>110</v>
      </c>
      <c r="D1321" s="29" t="s">
        <v>178</v>
      </c>
      <c r="E1321" s="29" t="s">
        <v>179</v>
      </c>
      <c r="F1321" s="29" t="s">
        <v>180</v>
      </c>
      <c r="G1321" s="73" t="s">
        <v>699</v>
      </c>
      <c r="H1321" s="22">
        <v>16500000</v>
      </c>
      <c r="I1321" s="31" t="s">
        <v>222</v>
      </c>
      <c r="J1321" s="29" t="s">
        <v>223</v>
      </c>
      <c r="K1321" s="31"/>
      <c r="L1321" s="29" t="s">
        <v>28</v>
      </c>
      <c r="M1321" s="29"/>
      <c r="N1321" s="29">
        <f>VLOOKUP(J1321,[1]Sheet1!$C:$D,2,FALSE)</f>
        <v>8249</v>
      </c>
      <c r="O1321" s="29">
        <f>VLOOKUP(J1321,[2]Desa!$A:$D,4,FALSE)</f>
        <v>243</v>
      </c>
      <c r="P1321" s="29">
        <f>VLOOKUP(J1321,[3]Sheet1!$D:$F,3,FALSE)</f>
        <v>57</v>
      </c>
      <c r="Q1321" s="29"/>
      <c r="R1321" s="35"/>
      <c r="S1321" s="36"/>
      <c r="T1321" s="32"/>
      <c r="U1321" s="25"/>
      <c r="V1321" s="53">
        <f>Table13678[[#This Row],[PAGU SEMULA]]-Table13678[[#This Row],[PAGU ANGGARAN]]</f>
        <v>-16500000</v>
      </c>
      <c r="W1321" s="53">
        <f>Table13678[[#This Row],[PAGU SEMULA]]-Table13678[[#This Row],[PAGU ANGGARAN]]</f>
        <v>-16500000</v>
      </c>
      <c r="X1321" t="s">
        <v>982</v>
      </c>
    </row>
    <row r="1322" spans="3:24" s="28" customFormat="1" ht="15" hidden="1" customHeight="1">
      <c r="C1322" s="29" t="s">
        <v>110</v>
      </c>
      <c r="D1322" s="29" t="s">
        <v>178</v>
      </c>
      <c r="E1322" s="29" t="s">
        <v>179</v>
      </c>
      <c r="F1322" s="29" t="s">
        <v>180</v>
      </c>
      <c r="G1322" s="73" t="s">
        <v>942</v>
      </c>
      <c r="H1322" s="22">
        <v>20000000</v>
      </c>
      <c r="I1322" s="31" t="s">
        <v>222</v>
      </c>
      <c r="J1322" s="29" t="s">
        <v>223</v>
      </c>
      <c r="K1322" s="31"/>
      <c r="L1322" s="29" t="s">
        <v>28</v>
      </c>
      <c r="M1322" s="29"/>
      <c r="N1322" s="29">
        <f>VLOOKUP(J1322,[1]Sheet1!$C:$D,2,FALSE)</f>
        <v>8249</v>
      </c>
      <c r="O1322" s="29">
        <f>VLOOKUP(J1322,[2]Desa!$A:$D,4,FALSE)</f>
        <v>243</v>
      </c>
      <c r="P1322" s="29">
        <f>VLOOKUP(J1322,[3]Sheet1!$D:$F,3,FALSE)</f>
        <v>57</v>
      </c>
      <c r="Q1322" s="29"/>
      <c r="R1322" s="35"/>
      <c r="S1322" s="36"/>
      <c r="T1322" s="32"/>
      <c r="U1322" s="25"/>
      <c r="V1322" s="53">
        <f>Table13678[[#This Row],[PAGU SEMULA]]-Table13678[[#This Row],[PAGU ANGGARAN]]</f>
        <v>-20000000</v>
      </c>
      <c r="W1322" s="53">
        <f>Table13678[[#This Row],[PAGU SEMULA]]-Table13678[[#This Row],[PAGU ANGGARAN]]</f>
        <v>-20000000</v>
      </c>
      <c r="X1322" t="s">
        <v>982</v>
      </c>
    </row>
    <row r="1323" spans="3:24" s="28" customFormat="1" ht="15" hidden="1" customHeight="1">
      <c r="C1323" s="29" t="s">
        <v>110</v>
      </c>
      <c r="D1323" s="29" t="s">
        <v>178</v>
      </c>
      <c r="E1323" s="29" t="s">
        <v>179</v>
      </c>
      <c r="F1323" s="29" t="s">
        <v>180</v>
      </c>
      <c r="G1323" s="73" t="s">
        <v>943</v>
      </c>
      <c r="H1323" s="22">
        <v>8244600</v>
      </c>
      <c r="I1323" s="31" t="s">
        <v>542</v>
      </c>
      <c r="J1323" s="29" t="s">
        <v>543</v>
      </c>
      <c r="K1323" s="31"/>
      <c r="L1323" s="29" t="s">
        <v>415</v>
      </c>
      <c r="M1323" s="29"/>
      <c r="N1323" s="29">
        <f>VLOOKUP(J1323,[1]Sheet1!$C:$D,2,FALSE)</f>
        <v>7134</v>
      </c>
      <c r="O1323" s="29">
        <f>VLOOKUP(J1323,[2]Desa!$A:$D,4,FALSE)</f>
        <v>283</v>
      </c>
      <c r="P1323" s="29">
        <f>VLOOKUP(J1323,[3]Sheet1!$D:$F,3,FALSE)</f>
        <v>69</v>
      </c>
      <c r="Q1323" s="29"/>
      <c r="R1323" s="35"/>
      <c r="S1323" s="36"/>
      <c r="T1323" s="32"/>
      <c r="U1323" s="25"/>
      <c r="V1323" s="53">
        <f>Table13678[[#This Row],[PAGU SEMULA]]-Table13678[[#This Row],[PAGU ANGGARAN]]</f>
        <v>-8244600</v>
      </c>
      <c r="W1323" s="53">
        <f>Table13678[[#This Row],[PAGU SEMULA]]-Table13678[[#This Row],[PAGU ANGGARAN]]</f>
        <v>-8244600</v>
      </c>
      <c r="X1323" t="s">
        <v>982</v>
      </c>
    </row>
    <row r="1324" spans="3:24" s="28" customFormat="1" ht="15" hidden="1" customHeight="1">
      <c r="C1324" s="29" t="s">
        <v>110</v>
      </c>
      <c r="D1324" s="29" t="s">
        <v>178</v>
      </c>
      <c r="E1324" s="29" t="s">
        <v>179</v>
      </c>
      <c r="F1324" s="29" t="s">
        <v>180</v>
      </c>
      <c r="G1324" s="73" t="s">
        <v>944</v>
      </c>
      <c r="H1324" s="22">
        <v>49136500</v>
      </c>
      <c r="I1324" s="31" t="s">
        <v>718</v>
      </c>
      <c r="J1324" s="29" t="s">
        <v>168</v>
      </c>
      <c r="K1324" s="31"/>
      <c r="L1324" s="29" t="s">
        <v>168</v>
      </c>
      <c r="M1324" s="29"/>
      <c r="N1324" s="29">
        <f>VLOOKUP(J1324,[1]Sheet1!$C:$D,2,FALSE)</f>
        <v>5274</v>
      </c>
      <c r="O1324" s="29">
        <f>VLOOKUP(J1324,[2]Desa!$A:$D,4,FALSE)</f>
        <v>113</v>
      </c>
      <c r="P1324" s="29">
        <f>VLOOKUP(J1324,[3]Sheet1!$D:$F,3,FALSE)</f>
        <v>10</v>
      </c>
      <c r="Q1324" s="29"/>
      <c r="R1324" s="35"/>
      <c r="S1324" s="36"/>
      <c r="T1324" s="32"/>
      <c r="U1324" s="25"/>
      <c r="V1324" s="53">
        <f>Table13678[[#This Row],[PAGU SEMULA]]-Table13678[[#This Row],[PAGU ANGGARAN]]</f>
        <v>-49136500</v>
      </c>
      <c r="W1324" s="53">
        <f>Table13678[[#This Row],[PAGU SEMULA]]-Table13678[[#This Row],[PAGU ANGGARAN]]</f>
        <v>-49136500</v>
      </c>
      <c r="X1324" t="s">
        <v>982</v>
      </c>
    </row>
    <row r="1325" spans="3:24" s="28" customFormat="1" ht="15" hidden="1" customHeight="1">
      <c r="C1325" s="29" t="s">
        <v>110</v>
      </c>
      <c r="D1325" s="29" t="s">
        <v>178</v>
      </c>
      <c r="E1325" s="29" t="s">
        <v>179</v>
      </c>
      <c r="F1325" s="29" t="s">
        <v>180</v>
      </c>
      <c r="G1325" s="73" t="s">
        <v>945</v>
      </c>
      <c r="H1325" s="22">
        <v>49900000</v>
      </c>
      <c r="I1325" s="31" t="s">
        <v>269</v>
      </c>
      <c r="J1325" s="29" t="s">
        <v>270</v>
      </c>
      <c r="K1325" s="31"/>
      <c r="L1325" s="29" t="s">
        <v>168</v>
      </c>
      <c r="M1325" s="29"/>
      <c r="N1325" s="29">
        <f>VLOOKUP(J1325,[1]Sheet1!$C:$D,2,FALSE)</f>
        <v>4048</v>
      </c>
      <c r="O1325" s="29">
        <f>VLOOKUP(J1325,[2]Desa!$A:$D,4,FALSE)</f>
        <v>148</v>
      </c>
      <c r="P1325" s="29">
        <f>VLOOKUP(J1325,[3]Sheet1!$D:$F,3,FALSE)</f>
        <v>16</v>
      </c>
      <c r="Q1325" s="29"/>
      <c r="R1325" s="35"/>
      <c r="S1325" s="36"/>
      <c r="T1325" s="32"/>
      <c r="U1325" s="25"/>
      <c r="V1325" s="53">
        <f>Table13678[[#This Row],[PAGU SEMULA]]-Table13678[[#This Row],[PAGU ANGGARAN]]</f>
        <v>-49900000</v>
      </c>
      <c r="W1325" s="53">
        <f>Table13678[[#This Row],[PAGU SEMULA]]-Table13678[[#This Row],[PAGU ANGGARAN]]</f>
        <v>-49900000</v>
      </c>
      <c r="X1325" t="s">
        <v>982</v>
      </c>
    </row>
    <row r="1326" spans="3:24" s="28" customFormat="1" ht="15" hidden="1" customHeight="1">
      <c r="C1326" s="29" t="s">
        <v>110</v>
      </c>
      <c r="D1326" s="29" t="s">
        <v>178</v>
      </c>
      <c r="E1326" s="29" t="s">
        <v>179</v>
      </c>
      <c r="F1326" s="29" t="s">
        <v>180</v>
      </c>
      <c r="G1326" s="73" t="s">
        <v>946</v>
      </c>
      <c r="H1326" s="22">
        <v>25000000</v>
      </c>
      <c r="I1326" s="31" t="s">
        <v>230</v>
      </c>
      <c r="J1326" s="29" t="s">
        <v>242</v>
      </c>
      <c r="K1326" s="31"/>
      <c r="L1326" s="29" t="s">
        <v>83</v>
      </c>
      <c r="M1326" s="29"/>
      <c r="N1326" s="29">
        <f>VLOOKUP(J1326,[1]Sheet1!$C:$D,2,FALSE)</f>
        <v>9579</v>
      </c>
      <c r="O1326" s="29">
        <f>VLOOKUP(J1326,[2]Desa!$A:$D,4,FALSE)</f>
        <v>203</v>
      </c>
      <c r="P1326" s="29">
        <f>VLOOKUP(J1326,[3]Sheet1!$D:$F,3,FALSE)</f>
        <v>43</v>
      </c>
      <c r="Q1326" s="29"/>
      <c r="R1326" s="35"/>
      <c r="S1326" s="36"/>
      <c r="T1326" s="32"/>
      <c r="U1326" s="25"/>
      <c r="V1326" s="53">
        <f>Table13678[[#This Row],[PAGU SEMULA]]-Table13678[[#This Row],[PAGU ANGGARAN]]</f>
        <v>-25000000</v>
      </c>
      <c r="W1326" s="53">
        <f>Table13678[[#This Row],[PAGU SEMULA]]-Table13678[[#This Row],[PAGU ANGGARAN]]</f>
        <v>-25000000</v>
      </c>
      <c r="X1326" t="s">
        <v>982</v>
      </c>
    </row>
    <row r="1327" spans="3:24" s="28" customFormat="1" ht="15" hidden="1" customHeight="1">
      <c r="C1327" s="29" t="s">
        <v>110</v>
      </c>
      <c r="D1327" s="29" t="s">
        <v>178</v>
      </c>
      <c r="E1327" s="29" t="s">
        <v>179</v>
      </c>
      <c r="F1327" s="29" t="s">
        <v>180</v>
      </c>
      <c r="G1327" s="73" t="s">
        <v>947</v>
      </c>
      <c r="H1327" s="22">
        <v>39511500</v>
      </c>
      <c r="I1327" s="31" t="s">
        <v>798</v>
      </c>
      <c r="J1327" s="29" t="s">
        <v>799</v>
      </c>
      <c r="K1327" s="31"/>
      <c r="L1327" s="29" t="s">
        <v>59</v>
      </c>
      <c r="M1327" s="29"/>
      <c r="N1327" s="29">
        <f>VLOOKUP(J1327,[1]Sheet1!$C:$D,2,FALSE)</f>
        <v>7796</v>
      </c>
      <c r="O1327" s="29">
        <f>VLOOKUP(J1327,[2]Desa!$A:$D,4,FALSE)</f>
        <v>215</v>
      </c>
      <c r="P1327" s="29">
        <f>VLOOKUP(J1327,[3]Sheet1!$D:$F,3,FALSE)</f>
        <v>35</v>
      </c>
      <c r="Q1327" s="29"/>
      <c r="R1327" s="35"/>
      <c r="S1327" s="36"/>
      <c r="T1327" s="32"/>
      <c r="U1327" s="25"/>
      <c r="V1327" s="53">
        <f>Table13678[[#This Row],[PAGU SEMULA]]-Table13678[[#This Row],[PAGU ANGGARAN]]</f>
        <v>-39511500</v>
      </c>
      <c r="W1327" s="53">
        <f>Table13678[[#This Row],[PAGU SEMULA]]-Table13678[[#This Row],[PAGU ANGGARAN]]</f>
        <v>-39511500</v>
      </c>
      <c r="X1327" t="s">
        <v>982</v>
      </c>
    </row>
    <row r="1328" spans="3:24" s="28" customFormat="1" ht="15" hidden="1" customHeight="1">
      <c r="C1328" s="29" t="s">
        <v>110</v>
      </c>
      <c r="D1328" s="29" t="s">
        <v>178</v>
      </c>
      <c r="E1328" s="29" t="s">
        <v>179</v>
      </c>
      <c r="F1328" s="29" t="s">
        <v>180</v>
      </c>
      <c r="G1328" s="73" t="s">
        <v>945</v>
      </c>
      <c r="H1328" s="22">
        <v>99900000</v>
      </c>
      <c r="I1328" s="31" t="s">
        <v>596</v>
      </c>
      <c r="J1328" s="29" t="s">
        <v>597</v>
      </c>
      <c r="K1328" s="31"/>
      <c r="L1328" s="29" t="s">
        <v>143</v>
      </c>
      <c r="M1328" s="29"/>
      <c r="N1328" s="29">
        <f>VLOOKUP(J1328,[1]Sheet1!$C:$D,2,FALSE)</f>
        <v>7526</v>
      </c>
      <c r="O1328" s="29">
        <f>VLOOKUP(J1328,[2]Desa!$A:$D,4,FALSE)</f>
        <v>156</v>
      </c>
      <c r="P1328" s="29">
        <f>VLOOKUP(J1328,[3]Sheet1!$D:$F,3,FALSE)</f>
        <v>51</v>
      </c>
      <c r="Q1328" s="29"/>
      <c r="R1328" s="35"/>
      <c r="S1328" s="36"/>
      <c r="T1328" s="32"/>
      <c r="U1328" s="25"/>
      <c r="V1328" s="53">
        <f>Table13678[[#This Row],[PAGU SEMULA]]-Table13678[[#This Row],[PAGU ANGGARAN]]</f>
        <v>-99900000</v>
      </c>
      <c r="W1328" s="53">
        <f>Table13678[[#This Row],[PAGU SEMULA]]-Table13678[[#This Row],[PAGU ANGGARAN]]</f>
        <v>-99900000</v>
      </c>
      <c r="X1328" t="s">
        <v>982</v>
      </c>
    </row>
    <row r="1329" spans="1:24" s="28" customFormat="1" ht="15" hidden="1" customHeight="1">
      <c r="C1329" s="29" t="s">
        <v>110</v>
      </c>
      <c r="D1329" s="29" t="s">
        <v>178</v>
      </c>
      <c r="E1329" s="29" t="s">
        <v>179</v>
      </c>
      <c r="F1329" s="29" t="s">
        <v>180</v>
      </c>
      <c r="G1329" s="73" t="s">
        <v>942</v>
      </c>
      <c r="H1329" s="22">
        <v>70000000</v>
      </c>
      <c r="I1329" s="31" t="s">
        <v>140</v>
      </c>
      <c r="J1329" s="29" t="s">
        <v>141</v>
      </c>
      <c r="K1329" s="31"/>
      <c r="L1329" s="29" t="s">
        <v>143</v>
      </c>
      <c r="M1329" s="29"/>
      <c r="N1329" s="29">
        <f>VLOOKUP(J1329,[1]Sheet1!$C:$D,2,FALSE)</f>
        <v>9330</v>
      </c>
      <c r="O1329" s="29">
        <f>VLOOKUP(J1329,[2]Desa!$A:$D,4,FALSE)</f>
        <v>178</v>
      </c>
      <c r="P1329" s="29">
        <f>VLOOKUP(J1329,[3]Sheet1!$D:$F,3,FALSE)</f>
        <v>64</v>
      </c>
      <c r="Q1329" s="29"/>
      <c r="R1329" s="35"/>
      <c r="S1329" s="36"/>
      <c r="T1329" s="32"/>
      <c r="U1329" s="25"/>
      <c r="V1329" s="53">
        <f>Table13678[[#This Row],[PAGU SEMULA]]-Table13678[[#This Row],[PAGU ANGGARAN]]</f>
        <v>-70000000</v>
      </c>
      <c r="W1329" s="53">
        <f>Table13678[[#This Row],[PAGU SEMULA]]-Table13678[[#This Row],[PAGU ANGGARAN]]</f>
        <v>-70000000</v>
      </c>
      <c r="X1329" t="s">
        <v>982</v>
      </c>
    </row>
    <row r="1330" spans="1:24" s="28" customFormat="1" ht="15" hidden="1" customHeight="1">
      <c r="C1330" s="29" t="s">
        <v>110</v>
      </c>
      <c r="D1330" s="29" t="s">
        <v>178</v>
      </c>
      <c r="E1330" s="29" t="s">
        <v>179</v>
      </c>
      <c r="F1330" s="29" t="s">
        <v>180</v>
      </c>
      <c r="G1330" s="73" t="s">
        <v>942</v>
      </c>
      <c r="H1330" s="22">
        <v>50000000</v>
      </c>
      <c r="I1330" s="31" t="s">
        <v>399</v>
      </c>
      <c r="J1330" s="29" t="s">
        <v>400</v>
      </c>
      <c r="K1330" s="31"/>
      <c r="L1330" s="29" t="s">
        <v>289</v>
      </c>
      <c r="M1330" s="29"/>
      <c r="N1330" s="29">
        <f>VLOOKUP(J1330,[1]Sheet1!$C:$D,2,FALSE)</f>
        <v>3394</v>
      </c>
      <c r="O1330" s="29">
        <f>VLOOKUP(J1330,[2]Desa!$A:$D,4,FALSE)</f>
        <v>165</v>
      </c>
      <c r="P1330" s="29">
        <f>VLOOKUP(J1330,[3]Sheet1!$D:$F,3,FALSE)</f>
        <v>9</v>
      </c>
      <c r="Q1330" s="29"/>
      <c r="R1330" s="35"/>
      <c r="S1330" s="36"/>
      <c r="T1330" s="32"/>
      <c r="U1330" s="25"/>
      <c r="V1330" s="53">
        <f>Table13678[[#This Row],[PAGU SEMULA]]-Table13678[[#This Row],[PAGU ANGGARAN]]</f>
        <v>-50000000</v>
      </c>
      <c r="W1330" s="53">
        <f>Table13678[[#This Row],[PAGU SEMULA]]-Table13678[[#This Row],[PAGU ANGGARAN]]</f>
        <v>-50000000</v>
      </c>
      <c r="X1330" t="s">
        <v>982</v>
      </c>
    </row>
    <row r="1331" spans="1:24" s="28" customFormat="1" ht="15" hidden="1" customHeight="1">
      <c r="C1331" s="29" t="s">
        <v>110</v>
      </c>
      <c r="D1331" s="29" t="s">
        <v>178</v>
      </c>
      <c r="E1331" s="29" t="s">
        <v>179</v>
      </c>
      <c r="F1331" s="29" t="s">
        <v>180</v>
      </c>
      <c r="G1331" s="73" t="s">
        <v>640</v>
      </c>
      <c r="H1331" s="22">
        <v>100000000</v>
      </c>
      <c r="I1331" s="31" t="s">
        <v>847</v>
      </c>
      <c r="J1331" s="29" t="s">
        <v>848</v>
      </c>
      <c r="K1331" s="31"/>
      <c r="L1331" s="29" t="s">
        <v>415</v>
      </c>
      <c r="M1331" s="29"/>
      <c r="N1331" s="29">
        <f>VLOOKUP(J1331,[1]Sheet1!$C:$D,2,FALSE)</f>
        <v>4991</v>
      </c>
      <c r="O1331" s="29">
        <f>VLOOKUP(J1331,[2]Desa!$A:$D,4,FALSE)</f>
        <v>411</v>
      </c>
      <c r="P1331" s="29">
        <f>VLOOKUP(J1331,[3]Sheet1!$D:$F,3,FALSE)</f>
        <v>12</v>
      </c>
      <c r="Q1331" s="29"/>
      <c r="R1331" s="35"/>
      <c r="S1331" s="36"/>
      <c r="T1331" s="32"/>
      <c r="U1331" s="25"/>
      <c r="V1331" s="53">
        <f>Table13678[[#This Row],[PAGU SEMULA]]-Table13678[[#This Row],[PAGU ANGGARAN]]</f>
        <v>-100000000</v>
      </c>
      <c r="W1331" s="53">
        <f>Table13678[[#This Row],[PAGU SEMULA]]-Table13678[[#This Row],[PAGU ANGGARAN]]</f>
        <v>-100000000</v>
      </c>
      <c r="X1331" t="s">
        <v>982</v>
      </c>
    </row>
    <row r="1332" spans="1:24" s="28" customFormat="1" ht="15" hidden="1" customHeight="1">
      <c r="C1332" s="29" t="s">
        <v>110</v>
      </c>
      <c r="D1332" s="29" t="s">
        <v>208</v>
      </c>
      <c r="E1332" s="29" t="s">
        <v>209</v>
      </c>
      <c r="F1332" s="29" t="s">
        <v>210</v>
      </c>
      <c r="G1332" s="73" t="s">
        <v>211</v>
      </c>
      <c r="H1332" s="22">
        <v>53500000</v>
      </c>
      <c r="I1332" s="31" t="s">
        <v>718</v>
      </c>
      <c r="J1332" s="29" t="s">
        <v>168</v>
      </c>
      <c r="K1332" s="31"/>
      <c r="L1332" s="29" t="s">
        <v>168</v>
      </c>
      <c r="M1332" s="29"/>
      <c r="N1332" s="29">
        <f>VLOOKUP(J1332,[1]Sheet1!$C:$D,2,FALSE)</f>
        <v>5274</v>
      </c>
      <c r="O1332" s="29">
        <f>VLOOKUP(J1332,[2]Desa!$A:$D,4,FALSE)</f>
        <v>113</v>
      </c>
      <c r="P1332" s="29">
        <f>VLOOKUP(J1332,[3]Sheet1!$D:$F,3,FALSE)</f>
        <v>10</v>
      </c>
      <c r="Q1332" s="29"/>
      <c r="R1332" s="35"/>
      <c r="S1332" s="36"/>
      <c r="T1332" s="32"/>
      <c r="U1332" s="25"/>
      <c r="V1332" s="53">
        <f>Table13678[[#This Row],[PAGU SEMULA]]-Table13678[[#This Row],[PAGU ANGGARAN]]</f>
        <v>-53500000</v>
      </c>
      <c r="W1332" s="53">
        <f>Table13678[[#This Row],[PAGU SEMULA]]-Table13678[[#This Row],[PAGU ANGGARAN]]</f>
        <v>-53500000</v>
      </c>
      <c r="X1332" t="s">
        <v>982</v>
      </c>
    </row>
    <row r="1333" spans="1:24" s="28" customFormat="1" ht="15" hidden="1" customHeight="1">
      <c r="C1333" s="29" t="s">
        <v>110</v>
      </c>
      <c r="D1333" s="29" t="s">
        <v>305</v>
      </c>
      <c r="E1333" s="29" t="s">
        <v>306</v>
      </c>
      <c r="F1333" s="29" t="s">
        <v>307</v>
      </c>
      <c r="G1333" s="73" t="s">
        <v>308</v>
      </c>
      <c r="H1333" s="22">
        <v>2400000</v>
      </c>
      <c r="I1333" s="31" t="s">
        <v>842</v>
      </c>
      <c r="J1333" s="29" t="s">
        <v>843</v>
      </c>
      <c r="K1333" s="31"/>
      <c r="L1333" s="29" t="s">
        <v>197</v>
      </c>
      <c r="M1333" s="29"/>
      <c r="N1333" s="29">
        <f>VLOOKUP(J1333,[1]Sheet1!$C:$D,2,FALSE)</f>
        <v>8741</v>
      </c>
      <c r="O1333" s="29">
        <f>VLOOKUP(J1333,[2]Desa!$A:$D,4,FALSE)</f>
        <v>640</v>
      </c>
      <c r="P1333" s="29">
        <f>VLOOKUP(J1333,[3]Sheet1!$D:$F,3,FALSE)</f>
        <v>72</v>
      </c>
      <c r="Q1333" s="29"/>
      <c r="R1333" s="35"/>
      <c r="S1333" s="36"/>
      <c r="T1333" s="32"/>
      <c r="U1333" s="25"/>
      <c r="V1333" s="53">
        <f>Table13678[[#This Row],[PAGU SEMULA]]-Table13678[[#This Row],[PAGU ANGGARAN]]</f>
        <v>-2400000</v>
      </c>
      <c r="W1333" s="53">
        <f>Table13678[[#This Row],[PAGU SEMULA]]-Table13678[[#This Row],[PAGU ANGGARAN]]</f>
        <v>-2400000</v>
      </c>
      <c r="X1333" t="s">
        <v>982</v>
      </c>
    </row>
    <row r="1334" spans="1:24" s="28" customFormat="1" ht="15" hidden="1" customHeight="1">
      <c r="C1334" s="29" t="s">
        <v>110</v>
      </c>
      <c r="D1334" s="29" t="s">
        <v>305</v>
      </c>
      <c r="E1334" s="29" t="s">
        <v>306</v>
      </c>
      <c r="F1334" s="29" t="s">
        <v>307</v>
      </c>
      <c r="G1334" s="73" t="s">
        <v>308</v>
      </c>
      <c r="H1334" s="22">
        <v>2400000</v>
      </c>
      <c r="I1334" s="31" t="s">
        <v>703</v>
      </c>
      <c r="J1334" s="29" t="s">
        <v>704</v>
      </c>
      <c r="K1334" s="31"/>
      <c r="L1334" s="29" t="s">
        <v>415</v>
      </c>
      <c r="M1334" s="29"/>
      <c r="N1334" s="29">
        <f>VLOOKUP(J1334,[1]Sheet1!$C:$D,2,FALSE)</f>
        <v>12680</v>
      </c>
      <c r="O1334" s="29">
        <f>VLOOKUP(J1334,[2]Desa!$A:$D,4,FALSE)</f>
        <v>323</v>
      </c>
      <c r="P1334" s="29">
        <f>VLOOKUP(J1334,[3]Sheet1!$D:$F,3,FALSE)</f>
        <v>96</v>
      </c>
      <c r="Q1334" s="29"/>
      <c r="R1334" s="35"/>
      <c r="S1334" s="36"/>
      <c r="T1334" s="32"/>
      <c r="U1334" s="25"/>
      <c r="V1334" s="53">
        <f>Table13678[[#This Row],[PAGU SEMULA]]-Table13678[[#This Row],[PAGU ANGGARAN]]</f>
        <v>-2400000</v>
      </c>
      <c r="W1334" s="53">
        <f>Table13678[[#This Row],[PAGU SEMULA]]-Table13678[[#This Row],[PAGU ANGGARAN]]</f>
        <v>-2400000</v>
      </c>
      <c r="X1334" t="s">
        <v>982</v>
      </c>
    </row>
    <row r="1335" spans="1:24" s="28" customFormat="1" ht="15" hidden="1" customHeight="1">
      <c r="C1335" s="29" t="s">
        <v>110</v>
      </c>
      <c r="D1335" s="29" t="s">
        <v>305</v>
      </c>
      <c r="E1335" s="29" t="s">
        <v>306</v>
      </c>
      <c r="F1335" s="29" t="s">
        <v>307</v>
      </c>
      <c r="G1335" s="73" t="s">
        <v>308</v>
      </c>
      <c r="H1335" s="22">
        <v>2400000</v>
      </c>
      <c r="I1335" s="31" t="s">
        <v>643</v>
      </c>
      <c r="J1335" s="29" t="s">
        <v>644</v>
      </c>
      <c r="K1335" s="31"/>
      <c r="L1335" s="29" t="s">
        <v>236</v>
      </c>
      <c r="M1335" s="29"/>
      <c r="N1335" s="29">
        <f>VLOOKUP(J1335,[1]Sheet1!$C:$D,2,FALSE)</f>
        <v>5774</v>
      </c>
      <c r="O1335" s="29">
        <f>VLOOKUP(J1335,[2]Desa!$A:$D,4,FALSE)</f>
        <v>215</v>
      </c>
      <c r="P1335" s="29">
        <f>VLOOKUP(J1335,[3]Sheet1!$D:$F,3,FALSE)</f>
        <v>42</v>
      </c>
      <c r="Q1335" s="29"/>
      <c r="R1335" s="35"/>
      <c r="S1335" s="36"/>
      <c r="T1335" s="32"/>
      <c r="U1335" s="25"/>
      <c r="V1335" s="53">
        <f>Table13678[[#This Row],[PAGU SEMULA]]-Table13678[[#This Row],[PAGU ANGGARAN]]</f>
        <v>-2400000</v>
      </c>
      <c r="W1335" s="53">
        <f>Table13678[[#This Row],[PAGU SEMULA]]-Table13678[[#This Row],[PAGU ANGGARAN]]</f>
        <v>-2400000</v>
      </c>
      <c r="X1335" t="s">
        <v>982</v>
      </c>
    </row>
    <row r="1336" spans="1:24" s="28" customFormat="1" ht="15" hidden="1" customHeight="1">
      <c r="C1336" s="29" t="s">
        <v>110</v>
      </c>
      <c r="D1336" s="29" t="s">
        <v>305</v>
      </c>
      <c r="E1336" s="29" t="s">
        <v>306</v>
      </c>
      <c r="F1336" s="29" t="s">
        <v>307</v>
      </c>
      <c r="G1336" s="73" t="s">
        <v>308</v>
      </c>
      <c r="H1336" s="22">
        <v>2400000</v>
      </c>
      <c r="I1336" s="31" t="s">
        <v>798</v>
      </c>
      <c r="J1336" s="29" t="s">
        <v>799</v>
      </c>
      <c r="K1336" s="31"/>
      <c r="L1336" s="29" t="s">
        <v>59</v>
      </c>
      <c r="M1336" s="29"/>
      <c r="N1336" s="29">
        <f>VLOOKUP(J1336,[1]Sheet1!$C:$D,2,FALSE)</f>
        <v>7796</v>
      </c>
      <c r="O1336" s="29">
        <f>VLOOKUP(J1336,[2]Desa!$A:$D,4,FALSE)</f>
        <v>215</v>
      </c>
      <c r="P1336" s="29">
        <f>VLOOKUP(J1336,[3]Sheet1!$D:$F,3,FALSE)</f>
        <v>35</v>
      </c>
      <c r="Q1336" s="29"/>
      <c r="R1336" s="35"/>
      <c r="S1336" s="36"/>
      <c r="T1336" s="32"/>
      <c r="U1336" s="25"/>
      <c r="V1336" s="53">
        <f>Table13678[[#This Row],[PAGU SEMULA]]-Table13678[[#This Row],[PAGU ANGGARAN]]</f>
        <v>-2400000</v>
      </c>
      <c r="W1336" s="53">
        <f>Table13678[[#This Row],[PAGU SEMULA]]-Table13678[[#This Row],[PAGU ANGGARAN]]</f>
        <v>-2400000</v>
      </c>
      <c r="X1336" t="s">
        <v>982</v>
      </c>
    </row>
    <row r="1337" spans="1:24" s="28" customFormat="1" ht="15" hidden="1" customHeight="1">
      <c r="C1337" s="29" t="s">
        <v>110</v>
      </c>
      <c r="D1337" s="29" t="s">
        <v>305</v>
      </c>
      <c r="E1337" s="29" t="s">
        <v>306</v>
      </c>
      <c r="F1337" s="29" t="s">
        <v>307</v>
      </c>
      <c r="G1337" s="73" t="s">
        <v>308</v>
      </c>
      <c r="H1337" s="22">
        <v>2400000</v>
      </c>
      <c r="I1337" s="31" t="s">
        <v>783</v>
      </c>
      <c r="J1337" s="29" t="s">
        <v>784</v>
      </c>
      <c r="K1337" s="31"/>
      <c r="L1337" s="29" t="s">
        <v>59</v>
      </c>
      <c r="M1337" s="29"/>
      <c r="N1337" s="29">
        <f>VLOOKUP(J1337,[1]Sheet1!$C:$D,2,FALSE)</f>
        <v>3393</v>
      </c>
      <c r="O1337" s="29">
        <f>VLOOKUP(J1337,[2]Desa!$A:$D,4,FALSE)</f>
        <v>193</v>
      </c>
      <c r="P1337" s="29">
        <f>VLOOKUP(J1337,[3]Sheet1!$D:$F,3,FALSE)</f>
        <v>27</v>
      </c>
      <c r="Q1337" s="29"/>
      <c r="R1337" s="35"/>
      <c r="S1337" s="36"/>
      <c r="T1337" s="32"/>
      <c r="U1337" s="25"/>
      <c r="V1337" s="53">
        <f>Table13678[[#This Row],[PAGU SEMULA]]-Table13678[[#This Row],[PAGU ANGGARAN]]</f>
        <v>-2400000</v>
      </c>
      <c r="W1337" s="53">
        <f>Table13678[[#This Row],[PAGU SEMULA]]-Table13678[[#This Row],[PAGU ANGGARAN]]</f>
        <v>-2400000</v>
      </c>
      <c r="X1337" t="s">
        <v>982</v>
      </c>
    </row>
    <row r="1338" spans="1:24" s="28" customFormat="1" ht="15" hidden="1" customHeight="1">
      <c r="C1338" s="29" t="s">
        <v>110</v>
      </c>
      <c r="D1338" s="29" t="s">
        <v>305</v>
      </c>
      <c r="E1338" s="29" t="s">
        <v>306</v>
      </c>
      <c r="F1338" s="29" t="s">
        <v>307</v>
      </c>
      <c r="G1338" s="73" t="s">
        <v>308</v>
      </c>
      <c r="H1338" s="22">
        <v>2400000</v>
      </c>
      <c r="I1338" s="31" t="s">
        <v>877</v>
      </c>
      <c r="J1338" s="29" t="s">
        <v>878</v>
      </c>
      <c r="K1338" s="31"/>
      <c r="L1338" s="29" t="s">
        <v>59</v>
      </c>
      <c r="M1338" s="29"/>
      <c r="N1338" s="29">
        <f>VLOOKUP(J1338,[1]Sheet1!$C:$D,2,FALSE)</f>
        <v>6543</v>
      </c>
      <c r="O1338" s="29">
        <f>VLOOKUP(J1338,[2]Desa!$A:$D,4,FALSE)</f>
        <v>197</v>
      </c>
      <c r="P1338" s="29">
        <f>VLOOKUP(J1338,[3]Sheet1!$D:$F,3,FALSE)</f>
        <v>49</v>
      </c>
      <c r="Q1338" s="29"/>
      <c r="R1338" s="35"/>
      <c r="S1338" s="36"/>
      <c r="T1338" s="32"/>
      <c r="U1338" s="25"/>
      <c r="V1338" s="53">
        <f>Table13678[[#This Row],[PAGU SEMULA]]-Table13678[[#This Row],[PAGU ANGGARAN]]</f>
        <v>-2400000</v>
      </c>
      <c r="W1338" s="53">
        <f>Table13678[[#This Row],[PAGU SEMULA]]-Table13678[[#This Row],[PAGU ANGGARAN]]</f>
        <v>-2400000</v>
      </c>
      <c r="X1338" t="s">
        <v>982</v>
      </c>
    </row>
    <row r="1339" spans="1:24" s="28" customFormat="1" ht="15" hidden="1" customHeight="1">
      <c r="C1339" s="29" t="s">
        <v>110</v>
      </c>
      <c r="D1339" s="29" t="s">
        <v>305</v>
      </c>
      <c r="E1339" s="29" t="s">
        <v>306</v>
      </c>
      <c r="F1339" s="29" t="s">
        <v>307</v>
      </c>
      <c r="G1339" s="73" t="s">
        <v>308</v>
      </c>
      <c r="H1339" s="22">
        <v>2400000</v>
      </c>
      <c r="I1339" s="31" t="s">
        <v>582</v>
      </c>
      <c r="J1339" s="29" t="s">
        <v>583</v>
      </c>
      <c r="K1339" s="31"/>
      <c r="L1339" s="29" t="s">
        <v>28</v>
      </c>
      <c r="M1339" s="29"/>
      <c r="N1339" s="29">
        <f>VLOOKUP(J1339,[1]Sheet1!$C:$D,2,FALSE)</f>
        <v>7271</v>
      </c>
      <c r="O1339" s="29">
        <f>VLOOKUP(J1339,[2]Desa!$A:$D,4,FALSE)</f>
        <v>305</v>
      </c>
      <c r="P1339" s="29">
        <f>VLOOKUP(J1339,[3]Sheet1!$D:$F,3,FALSE)</f>
        <v>43</v>
      </c>
      <c r="Q1339" s="29"/>
      <c r="R1339" s="35"/>
      <c r="S1339" s="36"/>
      <c r="T1339" s="32"/>
      <c r="U1339" s="25"/>
      <c r="V1339" s="53">
        <f>Table13678[[#This Row],[PAGU SEMULA]]-Table13678[[#This Row],[PAGU ANGGARAN]]</f>
        <v>-2400000</v>
      </c>
      <c r="W1339" s="53">
        <f>Table13678[[#This Row],[PAGU SEMULA]]-Table13678[[#This Row],[PAGU ANGGARAN]]</f>
        <v>-2400000</v>
      </c>
      <c r="X1339" t="s">
        <v>982</v>
      </c>
    </row>
    <row r="1340" spans="1:24" s="28" customFormat="1" ht="15" hidden="1" customHeight="1">
      <c r="C1340" s="29" t="s">
        <v>110</v>
      </c>
      <c r="D1340" s="29" t="s">
        <v>305</v>
      </c>
      <c r="E1340" s="29" t="s">
        <v>306</v>
      </c>
      <c r="F1340" s="29" t="s">
        <v>307</v>
      </c>
      <c r="G1340" s="73" t="s">
        <v>308</v>
      </c>
      <c r="H1340" s="22">
        <v>2400000</v>
      </c>
      <c r="I1340" s="31" t="s">
        <v>747</v>
      </c>
      <c r="J1340" s="29" t="s">
        <v>748</v>
      </c>
      <c r="K1340" s="31"/>
      <c r="L1340" s="29" t="s">
        <v>206</v>
      </c>
      <c r="M1340" s="29"/>
      <c r="N1340" s="29">
        <f>VLOOKUP(J1340,[1]Sheet1!$C:$D,2,FALSE)</f>
        <v>7302</v>
      </c>
      <c r="O1340" s="29">
        <f>VLOOKUP(J1340,[2]Desa!$A:$D,4,FALSE)</f>
        <v>146</v>
      </c>
      <c r="P1340" s="29">
        <f>VLOOKUP(J1340,[3]Sheet1!$D:$F,3,FALSE)</f>
        <v>39</v>
      </c>
      <c r="Q1340" s="29"/>
      <c r="R1340" s="35"/>
      <c r="S1340" s="36"/>
      <c r="T1340" s="32"/>
      <c r="U1340" s="25"/>
      <c r="V1340" s="53">
        <f>Table13678[[#This Row],[PAGU SEMULA]]-Table13678[[#This Row],[PAGU ANGGARAN]]</f>
        <v>-2400000</v>
      </c>
      <c r="W1340" s="53">
        <f>Table13678[[#This Row],[PAGU SEMULA]]-Table13678[[#This Row],[PAGU ANGGARAN]]</f>
        <v>-2400000</v>
      </c>
      <c r="X1340" t="s">
        <v>982</v>
      </c>
    </row>
    <row r="1341" spans="1:24" s="34" customFormat="1" ht="15" hidden="1" customHeight="1">
      <c r="A1341" s="33"/>
      <c r="B1341" s="33"/>
      <c r="C1341" s="37" t="s">
        <v>46</v>
      </c>
      <c r="D1341" s="37" t="s">
        <v>47</v>
      </c>
      <c r="E1341" s="37" t="s">
        <v>48</v>
      </c>
      <c r="F1341" s="37" t="s">
        <v>203</v>
      </c>
      <c r="G1341" s="74" t="s">
        <v>204</v>
      </c>
      <c r="H1341" s="27">
        <v>94220000</v>
      </c>
      <c r="I1341" s="39" t="s">
        <v>194</v>
      </c>
      <c r="J1341" s="37" t="s">
        <v>195</v>
      </c>
      <c r="K1341" s="39"/>
      <c r="L1341" s="37" t="s">
        <v>197</v>
      </c>
      <c r="M1341" s="46"/>
      <c r="N1341" s="44">
        <f>VLOOKUP(J1341,[1]Sheet1!$C:$D,2,FALSE)</f>
        <v>8280</v>
      </c>
      <c r="O1341" s="44">
        <f>VLOOKUP(J1341,[2]Desa!$A:$D,4,FALSE)</f>
        <v>756</v>
      </c>
      <c r="P1341" s="44">
        <f>VLOOKUP(J1341,[3]Sheet1!$D:$F,3,FALSE)</f>
        <v>78</v>
      </c>
      <c r="Q1341" s="44"/>
      <c r="R1341" s="47"/>
      <c r="S1341" s="48"/>
      <c r="T1341" s="49"/>
      <c r="V1341" s="55">
        <f>Table13678[[#This Row],[PAGU SEMULA]]-Table13678[[#This Row],[PAGU ANGGARAN]]</f>
        <v>-94220000</v>
      </c>
      <c r="W1341" s="55">
        <f>Table13678[[#This Row],[PAGU SEMULA]]-Table13678[[#This Row],[PAGU ANGGARAN]]</f>
        <v>-94220000</v>
      </c>
      <c r="X1341" t="s">
        <v>987</v>
      </c>
    </row>
    <row r="1342" spans="1:24" s="34" customFormat="1" ht="15" hidden="1" customHeight="1">
      <c r="A1342" s="33"/>
      <c r="B1342" s="33"/>
      <c r="C1342" s="37" t="s">
        <v>46</v>
      </c>
      <c r="D1342" s="37" t="s">
        <v>47</v>
      </c>
      <c r="E1342" s="37" t="s">
        <v>48</v>
      </c>
      <c r="F1342" s="37" t="s">
        <v>203</v>
      </c>
      <c r="G1342" s="74" t="s">
        <v>204</v>
      </c>
      <c r="H1342" s="27">
        <v>23160000</v>
      </c>
      <c r="I1342" s="39" t="s">
        <v>810</v>
      </c>
      <c r="J1342" s="37" t="s">
        <v>811</v>
      </c>
      <c r="K1342" s="39"/>
      <c r="L1342" s="37" t="s">
        <v>289</v>
      </c>
      <c r="M1342" s="46"/>
      <c r="N1342" s="44">
        <f>VLOOKUP(J1342,[1]Sheet1!$C:$D,2,FALSE)</f>
        <v>2077</v>
      </c>
      <c r="O1342" s="44">
        <f>VLOOKUP(J1342,[2]Desa!$A:$D,4,FALSE)</f>
        <v>53</v>
      </c>
      <c r="P1342" s="44">
        <f>VLOOKUP(J1342,[3]Sheet1!$D:$F,3,FALSE)</f>
        <v>6</v>
      </c>
      <c r="Q1342" s="44"/>
      <c r="R1342" s="47"/>
      <c r="S1342" s="48"/>
      <c r="T1342" s="49"/>
      <c r="V1342" s="55">
        <f>Table13678[[#This Row],[PAGU SEMULA]]-Table13678[[#This Row],[PAGU ANGGARAN]]</f>
        <v>-23160000</v>
      </c>
      <c r="W1342" s="55">
        <f>Table13678[[#This Row],[PAGU SEMULA]]-Table13678[[#This Row],[PAGU ANGGARAN]]</f>
        <v>-23160000</v>
      </c>
      <c r="X1342" t="s">
        <v>987</v>
      </c>
    </row>
    <row r="1343" spans="1:24" s="28" customFormat="1" ht="15" hidden="1" customHeight="1">
      <c r="C1343" s="29" t="s">
        <v>84</v>
      </c>
      <c r="D1343" s="29" t="s">
        <v>89</v>
      </c>
      <c r="E1343" s="29" t="s">
        <v>90</v>
      </c>
      <c r="F1343" s="29" t="s">
        <v>272</v>
      </c>
      <c r="G1343" s="29" t="s">
        <v>436</v>
      </c>
      <c r="H1343" s="26">
        <v>178250024</v>
      </c>
      <c r="I1343" s="40" t="s">
        <v>399</v>
      </c>
      <c r="J1343" s="29" t="s">
        <v>400</v>
      </c>
      <c r="K1343" s="41" t="s">
        <v>288</v>
      </c>
      <c r="L1343" s="44" t="s">
        <v>289</v>
      </c>
      <c r="M1343" s="44"/>
      <c r="N1343" s="29">
        <f>VLOOKUP(J1343,[1]Sheet1!$C:$D,2,FALSE)</f>
        <v>3394</v>
      </c>
      <c r="O1343" s="29">
        <f>VLOOKUP(J1343,[2]Desa!$A:$D,4,FALSE)</f>
        <v>165</v>
      </c>
      <c r="P1343" s="29">
        <f>VLOOKUP(J1343,[3]Sheet1!$D:$F,3,FALSE)</f>
        <v>9</v>
      </c>
      <c r="Q1343" s="29"/>
      <c r="R1343" s="35"/>
      <c r="S1343" s="36"/>
      <c r="T1343" s="32"/>
      <c r="U1343" s="25"/>
      <c r="V1343" s="56">
        <f>Table13678[[#This Row],[PAGU SEMULA]]-Table13678[[#This Row],[PAGU ANGGARAN]]</f>
        <v>-178250024</v>
      </c>
      <c r="W1343" s="54">
        <f>Table13678[[#This Row],[PAGU SEMULA]]-Table13678[[#This Row],[PAGU ANGGARAN]]</f>
        <v>-178250024</v>
      </c>
      <c r="X1343" t="s">
        <v>982</v>
      </c>
    </row>
    <row r="1344" spans="1:24" s="28" customFormat="1" ht="15" hidden="1" customHeight="1">
      <c r="C1344" s="29" t="s">
        <v>84</v>
      </c>
      <c r="D1344" s="29" t="s">
        <v>89</v>
      </c>
      <c r="E1344" s="29" t="s">
        <v>90</v>
      </c>
      <c r="F1344" s="29" t="s">
        <v>272</v>
      </c>
      <c r="G1344" s="29" t="s">
        <v>436</v>
      </c>
      <c r="H1344" s="23">
        <v>178250024</v>
      </c>
      <c r="I1344" s="40" t="s">
        <v>842</v>
      </c>
      <c r="J1344" s="29" t="s">
        <v>843</v>
      </c>
      <c r="K1344" s="42" t="s">
        <v>196</v>
      </c>
      <c r="L1344" s="45" t="s">
        <v>197</v>
      </c>
      <c r="M1344" s="29"/>
      <c r="N1344" s="29">
        <f>VLOOKUP(J1344,[1]Sheet1!$C:$D,2,FALSE)</f>
        <v>8741</v>
      </c>
      <c r="O1344" s="29">
        <f>VLOOKUP(J1344,[2]Desa!$A:$D,4,FALSE)</f>
        <v>640</v>
      </c>
      <c r="P1344" s="29">
        <f>VLOOKUP(J1344,[3]Sheet1!$D:$F,3,FALSE)</f>
        <v>72</v>
      </c>
      <c r="Q1344" s="29"/>
      <c r="R1344" s="35"/>
      <c r="S1344" s="36"/>
      <c r="T1344" s="32"/>
      <c r="V1344" s="56">
        <f>Table13678[[#This Row],[PAGU SEMULA]]-Table13678[[#This Row],[PAGU ANGGARAN]]</f>
        <v>-178250024</v>
      </c>
      <c r="W1344" s="53">
        <f>Table13678[[#This Row],[PAGU SEMULA]]-Table13678[[#This Row],[PAGU ANGGARAN]]</f>
        <v>-178250024</v>
      </c>
      <c r="X1344" t="s">
        <v>982</v>
      </c>
    </row>
    <row r="1345" spans="3:24" s="28" customFormat="1" ht="15" hidden="1" customHeight="1">
      <c r="C1345" s="29" t="s">
        <v>84</v>
      </c>
      <c r="D1345" s="29" t="s">
        <v>89</v>
      </c>
      <c r="E1345" s="29" t="s">
        <v>90</v>
      </c>
      <c r="F1345" s="29" t="s">
        <v>272</v>
      </c>
      <c r="G1345" s="29" t="s">
        <v>436</v>
      </c>
      <c r="H1345" s="24">
        <v>92488220</v>
      </c>
      <c r="I1345" s="40" t="s">
        <v>329</v>
      </c>
      <c r="J1345" s="29" t="s">
        <v>587</v>
      </c>
      <c r="K1345" s="42" t="s">
        <v>196</v>
      </c>
      <c r="L1345" s="45" t="s">
        <v>197</v>
      </c>
      <c r="M1345" s="29"/>
      <c r="N1345" s="29">
        <f>VLOOKUP(J1345,[1]Sheet1!$C:$D,2,FALSE)</f>
        <v>6613</v>
      </c>
      <c r="O1345" s="29">
        <f>VLOOKUP(J1345,[2]Desa!$A:$D,4,FALSE)</f>
        <v>428</v>
      </c>
      <c r="P1345" s="29">
        <f>VLOOKUP(J1345,[3]Sheet1!$D:$F,3,FALSE)</f>
        <v>43</v>
      </c>
      <c r="Q1345" s="29"/>
      <c r="R1345" s="35"/>
      <c r="S1345" s="36"/>
      <c r="T1345" s="32"/>
      <c r="V1345" s="56">
        <f>Table13678[[#This Row],[PAGU SEMULA]]-Table13678[[#This Row],[PAGU ANGGARAN]]</f>
        <v>-92488220</v>
      </c>
      <c r="W1345" s="53">
        <f>Table13678[[#This Row],[PAGU SEMULA]]-Table13678[[#This Row],[PAGU ANGGARAN]]</f>
        <v>-92488220</v>
      </c>
      <c r="X1345" t="s">
        <v>982</v>
      </c>
    </row>
    <row r="1346" spans="3:24" s="28" customFormat="1" ht="15" hidden="1" customHeight="1">
      <c r="C1346" s="29" t="s">
        <v>84</v>
      </c>
      <c r="D1346" s="29" t="s">
        <v>89</v>
      </c>
      <c r="E1346" s="29" t="s">
        <v>90</v>
      </c>
      <c r="F1346" s="29" t="s">
        <v>272</v>
      </c>
      <c r="G1346" s="29" t="s">
        <v>436</v>
      </c>
      <c r="H1346" s="23">
        <v>178250024</v>
      </c>
      <c r="I1346" s="40" t="s">
        <v>25</v>
      </c>
      <c r="J1346" s="29" t="s">
        <v>26</v>
      </c>
      <c r="K1346" s="42" t="s">
        <v>27</v>
      </c>
      <c r="L1346" s="29" t="s">
        <v>28</v>
      </c>
      <c r="M1346" s="29"/>
      <c r="N1346" s="29">
        <f>VLOOKUP(J1346,[1]Sheet1!$C:$D,2,FALSE)</f>
        <v>9709</v>
      </c>
      <c r="O1346" s="29">
        <f>VLOOKUP(J1346,[2]Desa!$A:$D,4,FALSE)</f>
        <v>464</v>
      </c>
      <c r="P1346" s="29">
        <f>VLOOKUP(J1346,[3]Sheet1!$D:$F,3,FALSE)</f>
        <v>68</v>
      </c>
      <c r="Q1346" s="29"/>
      <c r="R1346" s="35"/>
      <c r="S1346" s="36"/>
      <c r="T1346" s="32"/>
      <c r="V1346" s="56">
        <f>Table13678[[#This Row],[PAGU SEMULA]]-Table13678[[#This Row],[PAGU ANGGARAN]]</f>
        <v>-178250024</v>
      </c>
      <c r="W1346" s="53">
        <f>Table13678[[#This Row],[PAGU SEMULA]]-Table13678[[#This Row],[PAGU ANGGARAN]]</f>
        <v>-178250024</v>
      </c>
      <c r="X1346" t="s">
        <v>982</v>
      </c>
    </row>
    <row r="1347" spans="3:24" s="28" customFormat="1" ht="15" hidden="1" customHeight="1">
      <c r="C1347" s="29" t="s">
        <v>84</v>
      </c>
      <c r="D1347" s="29" t="s">
        <v>89</v>
      </c>
      <c r="E1347" s="29" t="s">
        <v>90</v>
      </c>
      <c r="F1347" s="29" t="s">
        <v>272</v>
      </c>
      <c r="G1347" s="29" t="s">
        <v>436</v>
      </c>
      <c r="H1347" s="23">
        <v>178250024</v>
      </c>
      <c r="I1347" s="40" t="s">
        <v>643</v>
      </c>
      <c r="J1347" s="29" t="s">
        <v>644</v>
      </c>
      <c r="K1347" s="42" t="s">
        <v>954</v>
      </c>
      <c r="L1347" s="38" t="s">
        <v>236</v>
      </c>
      <c r="M1347" s="29"/>
      <c r="N1347" s="29">
        <f>VLOOKUP(J1347,[1]Sheet1!$C:$D,2,FALSE)</f>
        <v>5774</v>
      </c>
      <c r="O1347" s="29">
        <f>VLOOKUP(J1347,[2]Desa!$A:$D,4,FALSE)</f>
        <v>215</v>
      </c>
      <c r="P1347" s="29">
        <f>VLOOKUP(J1347,[3]Sheet1!$D:$F,3,FALSE)</f>
        <v>42</v>
      </c>
      <c r="Q1347" s="29"/>
      <c r="R1347" s="35"/>
      <c r="S1347" s="36"/>
      <c r="T1347" s="32"/>
      <c r="V1347" s="56">
        <f>Table13678[[#This Row],[PAGU SEMULA]]-Table13678[[#This Row],[PAGU ANGGARAN]]</f>
        <v>-178250024</v>
      </c>
      <c r="W1347" s="53">
        <f>Table13678[[#This Row],[PAGU SEMULA]]-Table13678[[#This Row],[PAGU ANGGARAN]]</f>
        <v>-178250024</v>
      </c>
      <c r="X1347" t="s">
        <v>982</v>
      </c>
    </row>
    <row r="1348" spans="3:24" s="28" customFormat="1" ht="15" hidden="1" customHeight="1">
      <c r="C1348" s="38" t="s">
        <v>84</v>
      </c>
      <c r="D1348" s="38" t="s">
        <v>89</v>
      </c>
      <c r="E1348" s="38" t="s">
        <v>90</v>
      </c>
      <c r="F1348" s="38" t="s">
        <v>513</v>
      </c>
      <c r="G1348" s="38" t="s">
        <v>812</v>
      </c>
      <c r="H1348" s="23">
        <v>77360000</v>
      </c>
      <c r="I1348" s="40" t="s">
        <v>834</v>
      </c>
      <c r="J1348" s="29" t="s">
        <v>835</v>
      </c>
      <c r="K1348" s="43" t="s">
        <v>58</v>
      </c>
      <c r="L1348" s="38" t="s">
        <v>59</v>
      </c>
      <c r="M1348" s="29"/>
      <c r="N1348" s="29">
        <f>VLOOKUP(J1348,[1]Sheet1!$C:$D,2,FALSE)</f>
        <v>5535</v>
      </c>
      <c r="O1348" s="29">
        <f>VLOOKUP(J1348,[2]Desa!$A:$D,4,FALSE)</f>
        <v>254</v>
      </c>
      <c r="P1348" s="29">
        <f>VLOOKUP(J1348,[3]Sheet1!$D:$F,3,FALSE)</f>
        <v>50</v>
      </c>
      <c r="Q1348" s="29"/>
      <c r="R1348" s="35"/>
      <c r="S1348" s="36"/>
      <c r="T1348" s="32"/>
      <c r="V1348" s="56">
        <f>Table13678[[#This Row],[PAGU SEMULA]]-Table13678[[#This Row],[PAGU ANGGARAN]]</f>
        <v>-77360000</v>
      </c>
      <c r="W1348" s="53">
        <f>Table13678[[#This Row],[PAGU SEMULA]]-Table13678[[#This Row],[PAGU ANGGARAN]]</f>
        <v>-77360000</v>
      </c>
      <c r="X1348" t="s">
        <v>982</v>
      </c>
    </row>
    <row r="1349" spans="3:24" s="28" customFormat="1" ht="15" hidden="1" customHeight="1">
      <c r="C1349" s="38" t="s">
        <v>84</v>
      </c>
      <c r="D1349" s="38" t="s">
        <v>89</v>
      </c>
      <c r="E1349" s="38" t="s">
        <v>90</v>
      </c>
      <c r="F1349" s="38" t="s">
        <v>513</v>
      </c>
      <c r="G1349" s="38" t="s">
        <v>812</v>
      </c>
      <c r="H1349" s="23">
        <v>77360000</v>
      </c>
      <c r="I1349" s="40" t="s">
        <v>462</v>
      </c>
      <c r="J1349" s="29" t="s">
        <v>463</v>
      </c>
      <c r="K1349" s="42" t="s">
        <v>27</v>
      </c>
      <c r="L1349" s="45" t="s">
        <v>28</v>
      </c>
      <c r="M1349" s="29"/>
      <c r="N1349" s="29">
        <f>VLOOKUP(J1349,[1]Sheet1!$C:$D,2,FALSE)</f>
        <v>8911</v>
      </c>
      <c r="O1349" s="29">
        <f>VLOOKUP(J1349,[2]Desa!$A:$D,4,FALSE)</f>
        <v>177</v>
      </c>
      <c r="P1349" s="29">
        <f>VLOOKUP(J1349,[3]Sheet1!$D:$F,3,FALSE)</f>
        <v>42</v>
      </c>
      <c r="Q1349" s="29"/>
      <c r="R1349" s="35"/>
      <c r="S1349" s="36"/>
      <c r="T1349" s="32"/>
      <c r="V1349" s="56">
        <f>Table13678[[#This Row],[PAGU SEMULA]]-Table13678[[#This Row],[PAGU ANGGARAN]]</f>
        <v>-77360000</v>
      </c>
      <c r="W1349" s="53">
        <f>Table13678[[#This Row],[PAGU SEMULA]]-Table13678[[#This Row],[PAGU ANGGARAN]]</f>
        <v>-77360000</v>
      </c>
      <c r="X1349" t="s">
        <v>982</v>
      </c>
    </row>
    <row r="1350" spans="3:24" s="28" customFormat="1" ht="15" hidden="1" customHeight="1">
      <c r="C1350" s="38" t="s">
        <v>84</v>
      </c>
      <c r="D1350" s="38" t="s">
        <v>89</v>
      </c>
      <c r="E1350" s="38" t="s">
        <v>90</v>
      </c>
      <c r="F1350" s="38" t="s">
        <v>513</v>
      </c>
      <c r="G1350" s="38" t="s">
        <v>812</v>
      </c>
      <c r="H1350" s="23">
        <v>77360000</v>
      </c>
      <c r="I1350" s="40" t="s">
        <v>471</v>
      </c>
      <c r="J1350" s="29" t="s">
        <v>472</v>
      </c>
      <c r="K1350" s="42" t="s">
        <v>27</v>
      </c>
      <c r="L1350" s="45" t="s">
        <v>28</v>
      </c>
      <c r="M1350" s="29"/>
      <c r="N1350" s="29">
        <f>VLOOKUP(J1350,[1]Sheet1!$C:$D,2,FALSE)</f>
        <v>7039</v>
      </c>
      <c r="O1350" s="29">
        <f>VLOOKUP(J1350,[2]Desa!$A:$D,4,FALSE)</f>
        <v>87</v>
      </c>
      <c r="P1350" s="29">
        <f>VLOOKUP(J1350,[3]Sheet1!$D:$F,3,FALSE)</f>
        <v>22</v>
      </c>
      <c r="Q1350" s="29"/>
      <c r="R1350" s="35"/>
      <c r="S1350" s="36"/>
      <c r="T1350" s="32"/>
      <c r="V1350" s="56">
        <f>Table13678[[#This Row],[PAGU SEMULA]]-Table13678[[#This Row],[PAGU ANGGARAN]]</f>
        <v>-77360000</v>
      </c>
      <c r="W1350" s="53">
        <f>Table13678[[#This Row],[PAGU SEMULA]]-Table13678[[#This Row],[PAGU ANGGARAN]]</f>
        <v>-77360000</v>
      </c>
      <c r="X1350" t="s">
        <v>982</v>
      </c>
    </row>
    <row r="1351" spans="3:24" s="28" customFormat="1" ht="15" hidden="1" customHeight="1">
      <c r="C1351" s="38" t="s">
        <v>84</v>
      </c>
      <c r="D1351" s="38" t="s">
        <v>85</v>
      </c>
      <c r="E1351" s="38" t="s">
        <v>189</v>
      </c>
      <c r="F1351" s="38" t="s">
        <v>190</v>
      </c>
      <c r="G1351" s="38" t="s">
        <v>191</v>
      </c>
      <c r="H1351" s="23">
        <v>41500000</v>
      </c>
      <c r="I1351" s="40" t="s">
        <v>596</v>
      </c>
      <c r="J1351" s="29" t="s">
        <v>597</v>
      </c>
      <c r="K1351" s="42" t="s">
        <v>142</v>
      </c>
      <c r="L1351" s="29" t="s">
        <v>143</v>
      </c>
      <c r="M1351" s="29"/>
      <c r="N1351" s="29">
        <f>VLOOKUP(J1351,[1]Sheet1!$C:$D,2,FALSE)</f>
        <v>7526</v>
      </c>
      <c r="O1351" s="29">
        <f>VLOOKUP(J1351,[2]Desa!$A:$D,4,FALSE)</f>
        <v>156</v>
      </c>
      <c r="P1351" s="29">
        <f>VLOOKUP(J1351,[3]Sheet1!$D:$F,3,FALSE)</f>
        <v>51</v>
      </c>
      <c r="Q1351" s="29"/>
      <c r="R1351" s="35"/>
      <c r="S1351" s="36"/>
      <c r="T1351" s="32"/>
      <c r="V1351" s="56">
        <f>Table13678[[#This Row],[PAGU SEMULA]]-Table13678[[#This Row],[PAGU ANGGARAN]]</f>
        <v>-41500000</v>
      </c>
      <c r="W1351" s="53">
        <f>Table13678[[#This Row],[PAGU SEMULA]]-Table13678[[#This Row],[PAGU ANGGARAN]]</f>
        <v>-41500000</v>
      </c>
      <c r="X1351" t="s">
        <v>982</v>
      </c>
    </row>
    <row r="1352" spans="3:24" s="28" customFormat="1" ht="15" hidden="1" customHeight="1">
      <c r="C1352" s="38" t="s">
        <v>84</v>
      </c>
      <c r="D1352" s="38" t="s">
        <v>85</v>
      </c>
      <c r="E1352" s="38" t="s">
        <v>189</v>
      </c>
      <c r="F1352" s="38" t="s">
        <v>190</v>
      </c>
      <c r="G1352" s="38" t="s">
        <v>191</v>
      </c>
      <c r="H1352" s="23">
        <v>41500000</v>
      </c>
      <c r="I1352" s="40" t="s">
        <v>741</v>
      </c>
      <c r="J1352" s="29" t="s">
        <v>742</v>
      </c>
      <c r="K1352" s="43" t="s">
        <v>58</v>
      </c>
      <c r="L1352" s="38" t="s">
        <v>59</v>
      </c>
      <c r="M1352" s="29"/>
      <c r="N1352" s="29">
        <f>VLOOKUP(J1352,[1]Sheet1!$C:$D,2,FALSE)</f>
        <v>4907</v>
      </c>
      <c r="O1352" s="29">
        <f>VLOOKUP(J1352,[2]Desa!$A:$D,4,FALSE)</f>
        <v>365</v>
      </c>
      <c r="P1352" s="29">
        <f>VLOOKUP(J1352,[3]Sheet1!$D:$F,3,FALSE)</f>
        <v>20</v>
      </c>
      <c r="Q1352" s="29"/>
      <c r="R1352" s="35"/>
      <c r="S1352" s="36"/>
      <c r="T1352" s="32"/>
      <c r="V1352" s="56">
        <f>Table13678[[#This Row],[PAGU SEMULA]]-Table13678[[#This Row],[PAGU ANGGARAN]]</f>
        <v>-41500000</v>
      </c>
      <c r="W1352" s="53">
        <f>Table13678[[#This Row],[PAGU SEMULA]]-Table13678[[#This Row],[PAGU ANGGARAN]]</f>
        <v>-41500000</v>
      </c>
      <c r="X1352" t="s">
        <v>982</v>
      </c>
    </row>
    <row r="1353" spans="3:24" s="28" customFormat="1" ht="15" hidden="1" customHeight="1">
      <c r="C1353" s="29" t="s">
        <v>29</v>
      </c>
      <c r="D1353" s="29" t="s">
        <v>30</v>
      </c>
      <c r="E1353" s="29" t="s">
        <v>31</v>
      </c>
      <c r="F1353" s="29" t="s">
        <v>32</v>
      </c>
      <c r="G1353" s="29" t="s">
        <v>33</v>
      </c>
      <c r="H1353" s="22">
        <f>1526*12*35000</f>
        <v>640920000</v>
      </c>
      <c r="I1353" s="31"/>
      <c r="J1353" s="29" t="s">
        <v>342</v>
      </c>
      <c r="K1353" s="43" t="s">
        <v>27</v>
      </c>
      <c r="L1353" s="38" t="s">
        <v>28</v>
      </c>
      <c r="M1353" s="29"/>
      <c r="N1353" s="29">
        <f>VLOOKUP(J1353,[1]Sheet1!$C:$D,2,FALSE)</f>
        <v>8762</v>
      </c>
      <c r="O1353" s="29">
        <f>VLOOKUP(J1353,[2]Desa!$A:$D,4,FALSE)</f>
        <v>188</v>
      </c>
      <c r="P1353" s="29">
        <f>VLOOKUP(J1353,[3]Sheet1!$D:$F,3,FALSE)</f>
        <v>74</v>
      </c>
      <c r="Q1353" s="29"/>
      <c r="R1353" s="35"/>
      <c r="S1353" s="36"/>
      <c r="T1353" s="32"/>
      <c r="U1353" s="25"/>
      <c r="V1353" s="54">
        <f>Table13678[[#This Row],[PAGU SEMULA]]-Table13678[[#This Row],[PAGU ANGGARAN]]</f>
        <v>-640920000</v>
      </c>
      <c r="W1353" s="54">
        <f>Table13678[[#This Row],[PAGU SEMULA]]-Table13678[[#This Row],[PAGU ANGGARAN]]</f>
        <v>-640920000</v>
      </c>
      <c r="X1353" t="s">
        <v>984</v>
      </c>
    </row>
    <row r="1354" spans="3:24" s="28" customFormat="1" ht="15" hidden="1" customHeight="1">
      <c r="C1354" s="29" t="s">
        <v>29</v>
      </c>
      <c r="D1354" s="29" t="s">
        <v>30</v>
      </c>
      <c r="E1354" s="29" t="s">
        <v>31</v>
      </c>
      <c r="F1354" s="29" t="s">
        <v>32</v>
      </c>
      <c r="G1354" s="29" t="s">
        <v>34</v>
      </c>
      <c r="H1354" s="22">
        <f>1526*12*2800</f>
        <v>51273600</v>
      </c>
      <c r="I1354" s="31"/>
      <c r="J1354" s="29" t="s">
        <v>342</v>
      </c>
      <c r="K1354" s="43" t="s">
        <v>142</v>
      </c>
      <c r="L1354" s="38" t="s">
        <v>28</v>
      </c>
      <c r="M1354" s="29"/>
      <c r="N1354" s="29">
        <f>VLOOKUP(J1354,[1]Sheet1!$C:$D,2,FALSE)</f>
        <v>8762</v>
      </c>
      <c r="O1354" s="29">
        <f>VLOOKUP(J1354,[2]Desa!$A:$D,4,FALSE)</f>
        <v>188</v>
      </c>
      <c r="P1354" s="29">
        <f>VLOOKUP(J1354,[3]Sheet1!$D:$F,3,FALSE)</f>
        <v>74</v>
      </c>
      <c r="Q1354" s="29"/>
      <c r="R1354" s="35"/>
      <c r="S1354" s="36"/>
      <c r="T1354" s="32"/>
      <c r="U1354" s="25"/>
      <c r="V1354" s="54">
        <f>Table13678[[#This Row],[PAGU SEMULA]]-Table13678[[#This Row],[PAGU ANGGARAN]]</f>
        <v>-51273600</v>
      </c>
      <c r="W1354" s="54">
        <f>Table13678[[#This Row],[PAGU SEMULA]]-Table13678[[#This Row],[PAGU ANGGARAN]]</f>
        <v>-51273600</v>
      </c>
      <c r="X1354" t="s">
        <v>984</v>
      </c>
    </row>
    <row r="1355" spans="3:24" s="28" customFormat="1" ht="15" hidden="1" customHeight="1">
      <c r="C1355" s="29" t="s">
        <v>29</v>
      </c>
      <c r="D1355" s="29" t="s">
        <v>30</v>
      </c>
      <c r="E1355" s="29" t="s">
        <v>31</v>
      </c>
      <c r="F1355" s="29" t="s">
        <v>32</v>
      </c>
      <c r="G1355" s="29" t="s">
        <v>33</v>
      </c>
      <c r="H1355" s="22">
        <f>1099*12*35000</f>
        <v>461580000</v>
      </c>
      <c r="I1355" s="31"/>
      <c r="J1355" s="29" t="s">
        <v>463</v>
      </c>
      <c r="K1355" s="43" t="s">
        <v>27</v>
      </c>
      <c r="L1355" s="38" t="s">
        <v>28</v>
      </c>
      <c r="M1355" s="29"/>
      <c r="N1355" s="29">
        <f>VLOOKUP(J1355,[1]Sheet1!$C:$D,2,FALSE)</f>
        <v>8911</v>
      </c>
      <c r="O1355" s="29">
        <f>VLOOKUP(J1355,[2]Desa!$A:$D,4,FALSE)</f>
        <v>177</v>
      </c>
      <c r="P1355" s="29">
        <f>VLOOKUP(J1355,[3]Sheet1!$D:$F,3,FALSE)</f>
        <v>42</v>
      </c>
      <c r="Q1355" s="29"/>
      <c r="R1355" s="35"/>
      <c r="S1355" s="36"/>
      <c r="T1355" s="32"/>
      <c r="U1355" s="25"/>
      <c r="V1355" s="54">
        <f>Table13678[[#This Row],[PAGU SEMULA]]-Table13678[[#This Row],[PAGU ANGGARAN]]</f>
        <v>-461580000</v>
      </c>
      <c r="W1355" s="54">
        <f>Table13678[[#This Row],[PAGU SEMULA]]-Table13678[[#This Row],[PAGU ANGGARAN]]</f>
        <v>-461580000</v>
      </c>
      <c r="X1355" t="s">
        <v>984</v>
      </c>
    </row>
    <row r="1356" spans="3:24" s="28" customFormat="1" ht="15" hidden="1" customHeight="1">
      <c r="C1356" s="29" t="s">
        <v>29</v>
      </c>
      <c r="D1356" s="29" t="s">
        <v>30</v>
      </c>
      <c r="E1356" s="29" t="s">
        <v>31</v>
      </c>
      <c r="F1356" s="29" t="s">
        <v>32</v>
      </c>
      <c r="G1356" s="29" t="s">
        <v>34</v>
      </c>
      <c r="H1356" s="22">
        <f>1099*12*2800</f>
        <v>36926400</v>
      </c>
      <c r="I1356" s="31"/>
      <c r="J1356" s="29" t="s">
        <v>463</v>
      </c>
      <c r="K1356" s="43" t="s">
        <v>142</v>
      </c>
      <c r="L1356" s="38" t="s">
        <v>28</v>
      </c>
      <c r="M1356" s="29"/>
      <c r="N1356" s="29">
        <f>VLOOKUP(J1356,[1]Sheet1!$C:$D,2,FALSE)</f>
        <v>8911</v>
      </c>
      <c r="O1356" s="29">
        <f>VLOOKUP(J1356,[2]Desa!$A:$D,4,FALSE)</f>
        <v>177</v>
      </c>
      <c r="P1356" s="29">
        <f>VLOOKUP(J1356,[3]Sheet1!$D:$F,3,FALSE)</f>
        <v>42</v>
      </c>
      <c r="Q1356" s="29"/>
      <c r="R1356" s="35"/>
      <c r="S1356" s="36"/>
      <c r="T1356" s="32"/>
      <c r="U1356" s="25"/>
      <c r="V1356" s="54">
        <f>Table13678[[#This Row],[PAGU SEMULA]]-Table13678[[#This Row],[PAGU ANGGARAN]]</f>
        <v>-36926400</v>
      </c>
      <c r="W1356" s="54">
        <f>Table13678[[#This Row],[PAGU SEMULA]]-Table13678[[#This Row],[PAGU ANGGARAN]]</f>
        <v>-36926400</v>
      </c>
      <c r="X1356" t="s">
        <v>984</v>
      </c>
    </row>
    <row r="1357" spans="3:24" s="28" customFormat="1" ht="15" hidden="1" customHeight="1">
      <c r="C1357" s="29" t="s">
        <v>29</v>
      </c>
      <c r="D1357" s="29" t="s">
        <v>30</v>
      </c>
      <c r="E1357" s="29" t="s">
        <v>31</v>
      </c>
      <c r="F1357" s="29" t="s">
        <v>32</v>
      </c>
      <c r="G1357" s="29" t="s">
        <v>33</v>
      </c>
      <c r="H1357" s="22">
        <f>974*12*35000</f>
        <v>409080000</v>
      </c>
      <c r="I1357" s="31"/>
      <c r="J1357" s="29" t="s">
        <v>472</v>
      </c>
      <c r="K1357" s="43" t="s">
        <v>27</v>
      </c>
      <c r="L1357" s="38" t="s">
        <v>28</v>
      </c>
      <c r="M1357" s="29"/>
      <c r="N1357" s="29">
        <f>VLOOKUP(J1357,[1]Sheet1!$C:$D,2,FALSE)</f>
        <v>7039</v>
      </c>
      <c r="O1357" s="29">
        <f>VLOOKUP(J1357,[2]Desa!$A:$D,4,FALSE)</f>
        <v>87</v>
      </c>
      <c r="P1357" s="29">
        <f>VLOOKUP(J1357,[3]Sheet1!$D:$F,3,FALSE)</f>
        <v>22</v>
      </c>
      <c r="Q1357" s="29"/>
      <c r="R1357" s="35"/>
      <c r="S1357" s="36"/>
      <c r="T1357" s="32"/>
      <c r="U1357" s="25"/>
      <c r="V1357" s="54">
        <f>Table13678[[#This Row],[PAGU SEMULA]]-Table13678[[#This Row],[PAGU ANGGARAN]]</f>
        <v>-409080000</v>
      </c>
      <c r="W1357" s="54">
        <f>Table13678[[#This Row],[PAGU SEMULA]]-Table13678[[#This Row],[PAGU ANGGARAN]]</f>
        <v>-409080000</v>
      </c>
      <c r="X1357" t="s">
        <v>984</v>
      </c>
    </row>
    <row r="1358" spans="3:24" s="28" customFormat="1" ht="15" hidden="1" customHeight="1">
      <c r="C1358" s="29" t="s">
        <v>29</v>
      </c>
      <c r="D1358" s="29" t="s">
        <v>30</v>
      </c>
      <c r="E1358" s="29" t="s">
        <v>31</v>
      </c>
      <c r="F1358" s="29" t="s">
        <v>32</v>
      </c>
      <c r="G1358" s="29" t="s">
        <v>34</v>
      </c>
      <c r="H1358" s="22">
        <f>974*12*2800</f>
        <v>32726400</v>
      </c>
      <c r="I1358" s="31"/>
      <c r="J1358" s="29" t="s">
        <v>472</v>
      </c>
      <c r="K1358" s="43" t="s">
        <v>142</v>
      </c>
      <c r="L1358" s="38" t="s">
        <v>28</v>
      </c>
      <c r="M1358" s="29"/>
      <c r="N1358" s="29">
        <f>VLOOKUP(J1358,[1]Sheet1!$C:$D,2,FALSE)</f>
        <v>7039</v>
      </c>
      <c r="O1358" s="29">
        <f>VLOOKUP(J1358,[2]Desa!$A:$D,4,FALSE)</f>
        <v>87</v>
      </c>
      <c r="P1358" s="29">
        <f>VLOOKUP(J1358,[3]Sheet1!$D:$F,3,FALSE)</f>
        <v>22</v>
      </c>
      <c r="Q1358" s="29"/>
      <c r="R1358" s="35"/>
      <c r="S1358" s="36"/>
      <c r="T1358" s="32"/>
      <c r="U1358" s="25"/>
      <c r="V1358" s="54">
        <f>Table13678[[#This Row],[PAGU SEMULA]]-Table13678[[#This Row],[PAGU ANGGARAN]]</f>
        <v>-32726400</v>
      </c>
      <c r="W1358" s="54">
        <f>Table13678[[#This Row],[PAGU SEMULA]]-Table13678[[#This Row],[PAGU ANGGARAN]]</f>
        <v>-32726400</v>
      </c>
      <c r="X1358" t="s">
        <v>984</v>
      </c>
    </row>
    <row r="1359" spans="3:24">
      <c r="C1359" s="29"/>
      <c r="D1359" s="29"/>
      <c r="E1359" s="29"/>
      <c r="F1359" s="29"/>
      <c r="G1359" s="29"/>
      <c r="H1359" s="24">
        <f>SUBTOTAL(9,H2:H1358)</f>
        <v>907639500</v>
      </c>
      <c r="I1359" s="31"/>
      <c r="J1359" s="29"/>
      <c r="K1359" s="31"/>
      <c r="L1359" s="29"/>
      <c r="M1359" s="29"/>
      <c r="N1359" s="29"/>
      <c r="O1359" s="70">
        <f>SUBTOTAL(9,O2:O1358)</f>
        <v>2074</v>
      </c>
      <c r="P1359" s="70">
        <f>SUBTOTAL(9,P2:P1358)</f>
        <v>569</v>
      </c>
      <c r="Q1359" s="29"/>
      <c r="R1359" s="35"/>
      <c r="S1359" s="36"/>
      <c r="T1359" s="32"/>
    </row>
    <row r="1360" spans="3:24">
      <c r="C1360" s="29"/>
      <c r="D1360" s="29"/>
      <c r="E1360" s="29"/>
      <c r="F1360" s="29"/>
      <c r="G1360" s="29"/>
      <c r="I1360" s="31"/>
      <c r="J1360" s="29"/>
      <c r="K1360" s="31"/>
      <c r="L1360" s="29"/>
      <c r="M1360" s="29"/>
      <c r="N1360" s="29"/>
      <c r="O1360" s="29"/>
      <c r="P1360" s="29"/>
      <c r="Q1360" s="29"/>
      <c r="R1360" s="35"/>
      <c r="S1360" s="36"/>
      <c r="T1360" s="32"/>
    </row>
    <row r="1361" spans="3:20">
      <c r="C1361" s="29"/>
      <c r="D1361" s="29"/>
      <c r="E1361" s="29"/>
      <c r="F1361" s="29"/>
      <c r="G1361" s="29"/>
      <c r="I1361" s="31"/>
      <c r="J1361" s="66"/>
      <c r="K1361" s="31"/>
      <c r="L1361" s="29"/>
      <c r="M1361" s="29"/>
      <c r="N1361" s="29"/>
      <c r="O1361" s="29"/>
      <c r="P1361" s="29"/>
      <c r="Q1361" s="29"/>
      <c r="R1361" s="35"/>
      <c r="S1361" s="36"/>
      <c r="T1361" s="32"/>
    </row>
    <row r="1362" spans="3:20">
      <c r="C1362" s="29"/>
      <c r="D1362" s="29"/>
      <c r="E1362" s="29"/>
      <c r="F1362" s="29"/>
      <c r="G1362" s="78"/>
      <c r="I1362" s="31"/>
      <c r="J1362" s="29"/>
      <c r="K1362" s="31"/>
      <c r="L1362" s="29"/>
      <c r="M1362" s="29"/>
      <c r="N1362" s="29"/>
      <c r="O1362" s="29"/>
      <c r="P1362" s="29"/>
      <c r="Q1362" s="29"/>
      <c r="R1362" s="35"/>
      <c r="S1362" s="36"/>
      <c r="T1362" s="32"/>
    </row>
    <row r="1363" spans="3:20">
      <c r="C1363" s="29"/>
      <c r="D1363" s="29"/>
      <c r="E1363" s="29"/>
      <c r="F1363" s="29"/>
      <c r="G1363" s="29"/>
      <c r="I1363" s="31"/>
      <c r="J1363" s="29"/>
      <c r="K1363" s="31"/>
      <c r="L1363" s="29"/>
      <c r="M1363" s="29"/>
      <c r="N1363" s="29"/>
      <c r="O1363" s="29"/>
      <c r="P1363" s="29"/>
      <c r="Q1363" s="29"/>
      <c r="R1363" s="35"/>
      <c r="S1363" s="36"/>
      <c r="T1363" s="32"/>
    </row>
    <row r="1364" spans="3:20">
      <c r="C1364" s="29"/>
      <c r="D1364" s="29"/>
      <c r="E1364" s="29"/>
      <c r="F1364" s="29"/>
      <c r="G1364" s="29"/>
      <c r="I1364" s="31"/>
      <c r="J1364" s="69"/>
      <c r="K1364" s="31"/>
      <c r="L1364" s="29"/>
      <c r="M1364" s="29"/>
      <c r="N1364" s="29"/>
      <c r="O1364" s="29"/>
      <c r="P1364" s="29"/>
      <c r="Q1364" s="29"/>
      <c r="R1364" s="35"/>
      <c r="S1364" s="36"/>
      <c r="T1364" s="32"/>
    </row>
    <row r="1365" spans="3:20">
      <c r="C1365" s="29"/>
      <c r="D1365" s="29"/>
      <c r="E1365" s="29"/>
      <c r="F1365" s="29"/>
      <c r="G1365" s="29"/>
      <c r="I1365" s="31"/>
      <c r="J1365" s="29"/>
      <c r="K1365" s="31"/>
      <c r="L1365" s="29"/>
      <c r="M1365" s="29"/>
      <c r="N1365" s="29"/>
      <c r="O1365" s="29"/>
      <c r="P1365" s="29"/>
      <c r="Q1365" s="29"/>
      <c r="R1365" s="35"/>
      <c r="S1365" s="36"/>
      <c r="T1365" s="32"/>
    </row>
    <row r="1366" spans="3:20">
      <c r="C1366" s="29"/>
      <c r="D1366" s="29"/>
      <c r="E1366" s="29"/>
      <c r="F1366" s="29"/>
      <c r="G1366" s="29"/>
      <c r="I1366" s="31"/>
      <c r="J1366" s="29"/>
      <c r="K1366" s="31"/>
      <c r="L1366" s="29"/>
      <c r="M1366" s="29"/>
      <c r="N1366" s="29"/>
      <c r="O1366" s="29"/>
      <c r="P1366" s="29"/>
      <c r="Q1366" s="29"/>
      <c r="R1366" s="35"/>
      <c r="S1366" s="36"/>
      <c r="T1366" s="32"/>
    </row>
    <row r="1367" spans="3:20">
      <c r="C1367" s="29"/>
      <c r="D1367" s="29"/>
      <c r="E1367" s="29"/>
      <c r="F1367" s="29"/>
      <c r="G1367" s="29"/>
      <c r="I1367" s="31"/>
      <c r="J1367" s="29"/>
      <c r="K1367" s="31"/>
      <c r="L1367" s="29"/>
      <c r="M1367" s="29"/>
      <c r="N1367" s="29"/>
      <c r="O1367" s="29"/>
      <c r="P1367" s="29"/>
      <c r="Q1367" s="29"/>
      <c r="R1367" s="35"/>
      <c r="S1367" s="36"/>
      <c r="T1367" s="32"/>
    </row>
    <row r="1368" spans="3:20">
      <c r="C1368" s="29"/>
      <c r="D1368" s="29"/>
      <c r="E1368" s="29"/>
      <c r="F1368" s="29"/>
      <c r="G1368" s="29"/>
      <c r="I1368" s="31"/>
      <c r="J1368" s="29"/>
      <c r="K1368" s="31"/>
      <c r="L1368" s="29"/>
      <c r="M1368" s="29"/>
      <c r="N1368" s="29"/>
      <c r="O1368" s="29"/>
      <c r="P1368" s="29"/>
      <c r="Q1368" s="29"/>
      <c r="R1368" s="35"/>
      <c r="S1368" s="36"/>
      <c r="T1368" s="32"/>
    </row>
    <row r="1369" spans="3:20">
      <c r="C1369" s="29"/>
      <c r="D1369" s="29"/>
      <c r="E1369" s="29"/>
      <c r="F1369" s="29"/>
      <c r="G1369" s="29"/>
      <c r="I1369" s="31"/>
      <c r="J1369" s="29"/>
      <c r="K1369" s="31"/>
      <c r="L1369" s="29"/>
      <c r="M1369" s="29"/>
      <c r="N1369" s="29"/>
      <c r="O1369" s="29"/>
      <c r="P1369" s="29"/>
      <c r="Q1369" s="29"/>
      <c r="R1369" s="35"/>
      <c r="S1369" s="36"/>
      <c r="T1369" s="32"/>
    </row>
    <row r="1370" spans="3:20">
      <c r="C1370" s="29"/>
      <c r="D1370" s="29"/>
      <c r="E1370" s="29"/>
      <c r="F1370" s="29"/>
      <c r="G1370" s="29"/>
      <c r="I1370" s="31"/>
      <c r="J1370" s="29"/>
      <c r="K1370" s="31"/>
      <c r="L1370" s="29"/>
      <c r="M1370" s="29"/>
      <c r="N1370" s="29"/>
      <c r="O1370" s="29"/>
      <c r="P1370" s="29"/>
      <c r="Q1370" s="29"/>
      <c r="R1370" s="35"/>
      <c r="S1370" s="36"/>
      <c r="T1370" s="32"/>
    </row>
    <row r="1371" spans="3:20">
      <c r="C1371" s="29"/>
      <c r="D1371" s="29"/>
      <c r="E1371" s="29"/>
      <c r="F1371" s="29"/>
      <c r="G1371" s="29"/>
      <c r="I1371" s="31"/>
      <c r="J1371" s="29"/>
      <c r="K1371" s="31"/>
      <c r="L1371" s="29"/>
      <c r="M1371" s="29"/>
      <c r="N1371" s="29"/>
      <c r="O1371" s="29"/>
      <c r="P1371" s="29"/>
      <c r="Q1371" s="29"/>
      <c r="R1371" s="35"/>
      <c r="S1371" s="36"/>
      <c r="T1371" s="32"/>
    </row>
    <row r="1372" spans="3:20">
      <c r="C1372" s="29"/>
      <c r="D1372" s="29"/>
      <c r="E1372" s="29"/>
      <c r="F1372" s="29"/>
      <c r="G1372" s="29"/>
      <c r="I1372" s="31"/>
      <c r="J1372" s="29"/>
      <c r="K1372" s="31"/>
      <c r="L1372" s="29"/>
      <c r="M1372" s="29"/>
      <c r="N1372" s="29"/>
      <c r="O1372" s="29"/>
      <c r="P1372" s="29"/>
      <c r="Q1372" s="29"/>
      <c r="R1372" s="35"/>
      <c r="S1372" s="36"/>
      <c r="T1372" s="32"/>
    </row>
    <row r="1373" spans="3:20">
      <c r="C1373" s="29"/>
      <c r="D1373" s="29"/>
      <c r="E1373" s="29"/>
      <c r="F1373" s="29"/>
      <c r="G1373" s="29"/>
      <c r="I1373" s="31"/>
      <c r="J1373" s="29"/>
      <c r="K1373" s="31"/>
      <c r="L1373" s="29"/>
      <c r="M1373" s="29"/>
      <c r="N1373" s="29"/>
      <c r="O1373" s="29"/>
      <c r="P1373" s="29"/>
      <c r="Q1373" s="29"/>
      <c r="R1373" s="35"/>
      <c r="S1373" s="36"/>
      <c r="T1373" s="32"/>
    </row>
    <row r="1374" spans="3:20">
      <c r="C1374" s="29"/>
      <c r="D1374" s="29"/>
      <c r="E1374" s="29"/>
      <c r="F1374" s="29"/>
      <c r="G1374" s="29"/>
      <c r="I1374" s="31"/>
      <c r="J1374" s="29"/>
      <c r="K1374" s="31"/>
      <c r="L1374" s="29"/>
      <c r="M1374" s="29"/>
      <c r="N1374" s="29"/>
      <c r="O1374" s="29"/>
      <c r="P1374" s="29"/>
      <c r="Q1374" s="29"/>
      <c r="R1374" s="35"/>
      <c r="S1374" s="36"/>
      <c r="T1374" s="32"/>
    </row>
    <row r="1375" spans="3:20">
      <c r="C1375" s="29"/>
      <c r="D1375" s="29"/>
      <c r="E1375" s="29"/>
      <c r="F1375" s="29"/>
      <c r="G1375" s="29"/>
      <c r="I1375" s="31"/>
      <c r="J1375" s="29"/>
      <c r="K1375" s="31"/>
      <c r="L1375" s="29"/>
      <c r="M1375" s="29"/>
      <c r="N1375" s="29"/>
      <c r="O1375" s="29"/>
      <c r="P1375" s="29"/>
      <c r="Q1375" s="29"/>
      <c r="R1375" s="35"/>
      <c r="S1375" s="36"/>
      <c r="T1375" s="32"/>
    </row>
    <row r="1376" spans="3:20">
      <c r="C1376" s="29"/>
      <c r="D1376" s="29"/>
      <c r="E1376" s="29"/>
      <c r="F1376" s="29"/>
      <c r="G1376" s="29"/>
      <c r="I1376" s="31"/>
      <c r="J1376" s="29"/>
      <c r="K1376" s="31"/>
      <c r="L1376" s="29"/>
      <c r="M1376" s="29"/>
      <c r="N1376" s="29"/>
      <c r="O1376" s="29"/>
      <c r="P1376" s="29"/>
      <c r="Q1376" s="29"/>
      <c r="R1376" s="35"/>
      <c r="S1376" s="36"/>
      <c r="T1376" s="32"/>
    </row>
    <row r="1377" spans="3:20">
      <c r="C1377" s="29"/>
      <c r="D1377" s="29"/>
      <c r="E1377" s="29"/>
      <c r="F1377" s="29"/>
      <c r="G1377" s="29"/>
      <c r="I1377" s="31"/>
      <c r="J1377" s="29"/>
      <c r="K1377" s="31"/>
      <c r="L1377" s="29"/>
      <c r="M1377" s="29"/>
      <c r="N1377" s="29"/>
      <c r="O1377" s="29"/>
      <c r="P1377" s="29"/>
      <c r="Q1377" s="29"/>
      <c r="R1377" s="35"/>
      <c r="S1377" s="36"/>
      <c r="T1377" s="32"/>
    </row>
  </sheetData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E5D3-914F-4D34-BAE0-4A4A032BBBD6}">
  <sheetPr filterMode="1"/>
  <dimension ref="A1:N132"/>
  <sheetViews>
    <sheetView zoomScaleNormal="100" workbookViewId="0">
      <selection activeCell="E134" sqref="E134"/>
    </sheetView>
  </sheetViews>
  <sheetFormatPr defaultColWidth="8.90625" defaultRowHeight="14.5"/>
  <cols>
    <col min="1" max="1" width="8.90625" style="82"/>
    <col min="2" max="2" width="32.08984375" style="82" customWidth="1"/>
    <col min="3" max="3" width="18.81640625" style="82" customWidth="1"/>
    <col min="4" max="4" width="28.36328125" style="83" customWidth="1"/>
    <col min="5" max="5" width="20.08984375" style="84" customWidth="1"/>
    <col min="6" max="6" width="20.81640625" style="82" customWidth="1"/>
    <col min="7" max="7" width="20.1796875" style="82" customWidth="1"/>
    <col min="8" max="8" width="15" style="82" customWidth="1"/>
    <col min="9" max="10" width="15.36328125" style="82" customWidth="1"/>
    <col min="11" max="11" width="15" style="82" customWidth="1"/>
    <col min="12" max="12" width="14.54296875" style="82" customWidth="1"/>
    <col min="13" max="13" width="28.453125" style="82" customWidth="1"/>
    <col min="14" max="14" width="14.81640625" style="82" customWidth="1"/>
    <col min="15" max="16384" width="8.90625" style="82"/>
  </cols>
  <sheetData>
    <row r="1" spans="1:14" s="81" customFormat="1" ht="17.5">
      <c r="A1" s="128" t="s">
        <v>963</v>
      </c>
      <c r="B1" s="128"/>
      <c r="C1" s="128"/>
      <c r="D1" s="128"/>
      <c r="E1" s="128"/>
      <c r="F1" s="128"/>
      <c r="G1" s="128"/>
    </row>
    <row r="2" spans="1:14" ht="15" thickBot="1"/>
    <row r="3" spans="1:14" s="89" customFormat="1" ht="44" thickBot="1">
      <c r="A3" s="85" t="s">
        <v>964</v>
      </c>
      <c r="B3" s="85" t="s">
        <v>965</v>
      </c>
      <c r="C3" s="85" t="s">
        <v>11</v>
      </c>
      <c r="D3" s="85" t="s">
        <v>966</v>
      </c>
      <c r="E3" s="85" t="s">
        <v>967</v>
      </c>
      <c r="F3" s="85" t="s">
        <v>968</v>
      </c>
      <c r="G3" s="85" t="s">
        <v>15</v>
      </c>
      <c r="H3" s="86" t="s">
        <v>969</v>
      </c>
      <c r="I3" s="87" t="s">
        <v>970</v>
      </c>
      <c r="J3" s="88" t="s">
        <v>971</v>
      </c>
      <c r="K3" s="87" t="s">
        <v>972</v>
      </c>
      <c r="L3" s="88" t="s">
        <v>973</v>
      </c>
      <c r="M3" s="109" t="s">
        <v>976</v>
      </c>
      <c r="N3" s="109" t="s">
        <v>977</v>
      </c>
    </row>
    <row r="4" spans="1:14" ht="16" hidden="1" thickBot="1">
      <c r="A4" s="90">
        <v>1</v>
      </c>
      <c r="B4" s="91" t="s">
        <v>129</v>
      </c>
      <c r="C4" s="91" t="s">
        <v>28</v>
      </c>
      <c r="D4" s="92">
        <f>SUMIF(Table13678[DESA /KELURAHAN],B4,Table13678[PAGU ANGGARAN])</f>
        <v>2134814400</v>
      </c>
      <c r="E4" s="93">
        <v>12</v>
      </c>
      <c r="F4" s="93">
        <v>291</v>
      </c>
      <c r="G4" s="93">
        <v>27</v>
      </c>
      <c r="H4" s="82">
        <f>SUM(E4:G4)</f>
        <v>330</v>
      </c>
      <c r="M4" s="110" t="e">
        <f ca="1">_xlfn.XLOOKUP(B4,'[4]KONFIRMASI OPD_final 9 Aprl'!$B$4:$B$125,'[4]KONFIRMASI OPD_final 9 Aprl'!$D$4:$D$125,1,FALSE)</f>
        <v>#NAME?</v>
      </c>
      <c r="N4" s="111" t="e">
        <f ca="1">D4-M4</f>
        <v>#NAME?</v>
      </c>
    </row>
    <row r="5" spans="1:14" ht="16" hidden="1" thickBot="1">
      <c r="A5" s="90">
        <v>2</v>
      </c>
      <c r="B5" s="91" t="s">
        <v>223</v>
      </c>
      <c r="C5" s="91" t="s">
        <v>28</v>
      </c>
      <c r="D5" s="92">
        <f>SUMIF(Table13678[DESA /KELURAHAN],B5,Table13678[PAGU ANGGARAN])</f>
        <v>1536872600</v>
      </c>
      <c r="E5" s="93">
        <v>15</v>
      </c>
      <c r="F5" s="93">
        <v>243</v>
      </c>
      <c r="G5" s="93">
        <v>57</v>
      </c>
      <c r="H5" s="82">
        <f t="shared" ref="H5:H68" si="0">SUM(E5:G5)</f>
        <v>315</v>
      </c>
      <c r="M5" s="110" t="e">
        <f ca="1">_xlfn.XLOOKUP(B5,'[4]KONFIRMASI OPD_final 9 Aprl'!$B$4:$B$125,'[4]KONFIRMASI OPD_final 9 Aprl'!$D$4:$D$125,1,FALSE)</f>
        <v>#NAME?</v>
      </c>
      <c r="N5" s="111" t="e">
        <f t="shared" ref="N5:N68" ca="1" si="1">D5-M5</f>
        <v>#NAME?</v>
      </c>
    </row>
    <row r="6" spans="1:14" ht="16" hidden="1" thickBot="1">
      <c r="A6" s="90">
        <v>3</v>
      </c>
      <c r="B6" s="91" t="s">
        <v>383</v>
      </c>
      <c r="C6" s="91" t="s">
        <v>28</v>
      </c>
      <c r="D6" s="92">
        <f>SUMIF(Table13678[DESA /KELURAHAN],B6,Table13678[PAGU ANGGARAN])</f>
        <v>2596063000</v>
      </c>
      <c r="E6" s="93">
        <v>13</v>
      </c>
      <c r="F6" s="93">
        <v>209</v>
      </c>
      <c r="G6" s="93">
        <v>29</v>
      </c>
      <c r="H6" s="82">
        <f t="shared" si="0"/>
        <v>251</v>
      </c>
      <c r="M6" s="110" t="e">
        <f ca="1">_xlfn.XLOOKUP(B6,'[4]KONFIRMASI OPD_final 9 Aprl'!$B$4:$B$125,'[4]KONFIRMASI OPD_final 9 Aprl'!$D$4:$D$125,1,FALSE)</f>
        <v>#NAME?</v>
      </c>
      <c r="N6" s="111" t="e">
        <f t="shared" ca="1" si="1"/>
        <v>#NAME?</v>
      </c>
    </row>
    <row r="7" spans="1:14" ht="16" hidden="1" thickBot="1">
      <c r="A7" s="94">
        <v>4</v>
      </c>
      <c r="B7" s="95" t="s">
        <v>420</v>
      </c>
      <c r="C7" s="95" t="s">
        <v>28</v>
      </c>
      <c r="D7" s="92">
        <f>SUMIF(Table13678[DESA /KELURAHAN],B7,Table13678[PAGU ANGGARAN])</f>
        <v>5089218800</v>
      </c>
      <c r="E7" s="96">
        <v>10</v>
      </c>
      <c r="F7" s="96">
        <v>140</v>
      </c>
      <c r="G7" s="96">
        <v>29</v>
      </c>
      <c r="H7" s="97">
        <f t="shared" si="0"/>
        <v>179</v>
      </c>
      <c r="M7" s="110" t="e">
        <f ca="1">_xlfn.XLOOKUP(B7,'[4]KONFIRMASI OPD_final 9 Aprl'!$B$4:$B$125,'[4]KONFIRMASI OPD_final 9 Aprl'!$D$4:$D$125,1,FALSE)</f>
        <v>#NAME?</v>
      </c>
      <c r="N7" s="111" t="e">
        <f t="shared" ca="1" si="1"/>
        <v>#NAME?</v>
      </c>
    </row>
    <row r="8" spans="1:14" ht="16" hidden="1" thickBot="1">
      <c r="A8" s="90">
        <v>5</v>
      </c>
      <c r="B8" s="91" t="s">
        <v>491</v>
      </c>
      <c r="C8" s="91" t="s">
        <v>28</v>
      </c>
      <c r="D8" s="92">
        <f>SUMIF(Table13678[DESA /KELURAHAN],B8,Table13678[PAGU ANGGARAN])</f>
        <v>1133493200</v>
      </c>
      <c r="E8" s="93">
        <v>8</v>
      </c>
      <c r="F8" s="93">
        <v>138</v>
      </c>
      <c r="G8" s="93">
        <v>27</v>
      </c>
      <c r="H8" s="82">
        <f t="shared" si="0"/>
        <v>173</v>
      </c>
      <c r="M8" s="110" t="e">
        <f ca="1">_xlfn.XLOOKUP(B8,'[4]KONFIRMASI OPD_final 9 Aprl'!$B$4:$B$125,'[4]KONFIRMASI OPD_final 9 Aprl'!$D$4:$D$125,1,FALSE)</f>
        <v>#NAME?</v>
      </c>
      <c r="N8" s="111" t="e">
        <f t="shared" ca="1" si="1"/>
        <v>#NAME?</v>
      </c>
    </row>
    <row r="9" spans="1:14" ht="16" hidden="1" thickBot="1">
      <c r="A9" s="90">
        <v>6</v>
      </c>
      <c r="B9" s="91" t="s">
        <v>583</v>
      </c>
      <c r="C9" s="91" t="s">
        <v>28</v>
      </c>
      <c r="D9" s="92">
        <f>SUMIF(Table13678[DESA /KELURAHAN],B9,Table13678[PAGU ANGGARAN])</f>
        <v>1026236700</v>
      </c>
      <c r="E9" s="93">
        <v>8</v>
      </c>
      <c r="F9" s="93">
        <v>305</v>
      </c>
      <c r="G9" s="93">
        <v>43</v>
      </c>
      <c r="H9" s="82">
        <f t="shared" si="0"/>
        <v>356</v>
      </c>
      <c r="M9" s="110" t="e">
        <f ca="1">_xlfn.XLOOKUP(B9,'[4]KONFIRMASI OPD_final 9 Aprl'!$B$4:$B$125,'[4]KONFIRMASI OPD_final 9 Aprl'!$D$4:$D$125,1,FALSE)</f>
        <v>#NAME?</v>
      </c>
      <c r="N9" s="111" t="e">
        <f t="shared" ca="1" si="1"/>
        <v>#NAME?</v>
      </c>
    </row>
    <row r="10" spans="1:14" ht="16" hidden="1" thickBot="1">
      <c r="A10" s="90">
        <v>7</v>
      </c>
      <c r="B10" s="91" t="s">
        <v>758</v>
      </c>
      <c r="C10" s="91" t="s">
        <v>28</v>
      </c>
      <c r="D10" s="92">
        <f>SUMIF(Table13678[DESA /KELURAHAN],B10,Table13678[PAGU ANGGARAN])</f>
        <v>1006810850</v>
      </c>
      <c r="E10" s="93">
        <v>9</v>
      </c>
      <c r="F10" s="93">
        <v>181</v>
      </c>
      <c r="G10" s="93">
        <v>42</v>
      </c>
      <c r="H10" s="82">
        <f t="shared" si="0"/>
        <v>232</v>
      </c>
      <c r="M10" s="110" t="e">
        <f ca="1">_xlfn.XLOOKUP(B10,'[4]KONFIRMASI OPD_final 9 Aprl'!$B$4:$B$125,'[4]KONFIRMASI OPD_final 9 Aprl'!$D$4:$D$125,1,FALSE)</f>
        <v>#NAME?</v>
      </c>
      <c r="N10" s="111" t="e">
        <f t="shared" ca="1" si="1"/>
        <v>#NAME?</v>
      </c>
    </row>
    <row r="11" spans="1:14" ht="16" hidden="1" thickBot="1">
      <c r="A11" s="90">
        <v>8</v>
      </c>
      <c r="B11" s="91" t="s">
        <v>895</v>
      </c>
      <c r="C11" s="91" t="s">
        <v>28</v>
      </c>
      <c r="D11" s="92">
        <f>SUMIF(Table13678[DESA /KELURAHAN],B11,Table13678[PAGU ANGGARAN])</f>
        <v>1003466850</v>
      </c>
      <c r="E11" s="93">
        <v>8</v>
      </c>
      <c r="F11" s="93">
        <v>137</v>
      </c>
      <c r="G11" s="93">
        <v>14</v>
      </c>
      <c r="H11" s="82">
        <f t="shared" si="0"/>
        <v>159</v>
      </c>
      <c r="M11" s="110" t="e">
        <f ca="1">_xlfn.XLOOKUP(B11,'[4]KONFIRMASI OPD_final 9 Aprl'!$B$4:$B$125,'[4]KONFIRMASI OPD_final 9 Aprl'!$D$4:$D$125,1,FALSE)</f>
        <v>#NAME?</v>
      </c>
      <c r="N11" s="111" t="e">
        <f t="shared" ca="1" si="1"/>
        <v>#NAME?</v>
      </c>
    </row>
    <row r="12" spans="1:14" ht="16" hidden="1" thickBot="1">
      <c r="A12" s="90">
        <v>9</v>
      </c>
      <c r="B12" s="91" t="s">
        <v>903</v>
      </c>
      <c r="C12" s="91" t="s">
        <v>28</v>
      </c>
      <c r="D12" s="92">
        <f>SUMIF(Table13678[DESA /KELURAHAN],B12,Table13678[PAGU ANGGARAN])</f>
        <v>1113147600</v>
      </c>
      <c r="E12" s="93">
        <v>8</v>
      </c>
      <c r="F12" s="93">
        <v>481</v>
      </c>
      <c r="G12" s="93">
        <v>51</v>
      </c>
      <c r="H12" s="82">
        <f t="shared" si="0"/>
        <v>540</v>
      </c>
      <c r="M12" s="110" t="e">
        <f ca="1">_xlfn.XLOOKUP(B12,'[4]KONFIRMASI OPD_final 9 Aprl'!$B$4:$B$125,'[4]KONFIRMASI OPD_final 9 Aprl'!$D$4:$D$125,1,FALSE)</f>
        <v>#NAME?</v>
      </c>
      <c r="N12" s="111" t="e">
        <f t="shared" ca="1" si="1"/>
        <v>#NAME?</v>
      </c>
    </row>
    <row r="13" spans="1:14" ht="16" hidden="1" thickBot="1">
      <c r="A13" s="90">
        <v>10</v>
      </c>
      <c r="B13" s="91" t="s">
        <v>923</v>
      </c>
      <c r="C13" s="91" t="s">
        <v>28</v>
      </c>
      <c r="D13" s="92">
        <f>SUMIF(Table13678[DESA /KELURAHAN],B13,Table13678[PAGU ANGGARAN])</f>
        <v>3362861000</v>
      </c>
      <c r="E13" s="93">
        <v>21</v>
      </c>
      <c r="F13" s="93">
        <v>430</v>
      </c>
      <c r="G13" s="93">
        <v>42</v>
      </c>
      <c r="H13" s="82">
        <f t="shared" si="0"/>
        <v>493</v>
      </c>
      <c r="M13" s="110" t="e">
        <f ca="1">_xlfn.XLOOKUP(B13,'[4]KONFIRMASI OPD_final 9 Aprl'!$B$4:$B$125,'[4]KONFIRMASI OPD_final 9 Aprl'!$D$4:$D$125,1,FALSE)</f>
        <v>#NAME?</v>
      </c>
      <c r="N13" s="111" t="e">
        <f t="shared" ca="1" si="1"/>
        <v>#NAME?</v>
      </c>
    </row>
    <row r="14" spans="1:14" ht="16" hidden="1" thickBot="1">
      <c r="A14" s="90">
        <v>11</v>
      </c>
      <c r="B14" s="91" t="s">
        <v>342</v>
      </c>
      <c r="C14" s="91" t="s">
        <v>28</v>
      </c>
      <c r="D14" s="92">
        <f>SUMIF(Table13678[DESA /KELURAHAN],B14,Table13678[PAGU ANGGARAN])</f>
        <v>130856931966</v>
      </c>
      <c r="E14" s="93">
        <v>37</v>
      </c>
      <c r="F14" s="93">
        <v>188</v>
      </c>
      <c r="G14" s="93">
        <v>74</v>
      </c>
      <c r="H14" s="82">
        <f t="shared" si="0"/>
        <v>299</v>
      </c>
      <c r="M14" s="110" t="e">
        <f ca="1">_xlfn.XLOOKUP(B14,'[4]KONFIRMASI OPD_final 9 Aprl'!$B$4:$B$125,'[4]KONFIRMASI OPD_final 9 Aprl'!$D$4:$D$125,1,FALSE)</f>
        <v>#NAME?</v>
      </c>
      <c r="N14" s="111" t="e">
        <f t="shared" ca="1" si="1"/>
        <v>#NAME?</v>
      </c>
    </row>
    <row r="15" spans="1:14" ht="16" hidden="1" thickBot="1">
      <c r="A15" s="90">
        <v>12</v>
      </c>
      <c r="B15" s="91" t="s">
        <v>463</v>
      </c>
      <c r="C15" s="91" t="s">
        <v>28</v>
      </c>
      <c r="D15" s="92">
        <f>SUMIF(Table13678[DESA /KELURAHAN],B15,Table13678[PAGU ANGGARAN])</f>
        <v>6567076900</v>
      </c>
      <c r="E15" s="93">
        <v>19</v>
      </c>
      <c r="F15" s="93">
        <v>177</v>
      </c>
      <c r="G15" s="93">
        <v>42</v>
      </c>
      <c r="H15" s="82">
        <f t="shared" si="0"/>
        <v>238</v>
      </c>
      <c r="M15" s="110" t="e">
        <f ca="1">_xlfn.XLOOKUP(B15,'[4]KONFIRMASI OPD_final 9 Aprl'!$B$4:$B$125,'[4]KONFIRMASI OPD_final 9 Aprl'!$D$4:$D$125,1,FALSE)</f>
        <v>#NAME?</v>
      </c>
      <c r="N15" s="111" t="e">
        <f t="shared" ca="1" si="1"/>
        <v>#NAME?</v>
      </c>
    </row>
    <row r="16" spans="1:14" ht="16" hidden="1" thickBot="1">
      <c r="A16" s="90">
        <v>13</v>
      </c>
      <c r="B16" s="91" t="s">
        <v>472</v>
      </c>
      <c r="C16" s="91" t="s">
        <v>28</v>
      </c>
      <c r="D16" s="92">
        <f>SUMIF(Table13678[DESA /KELURAHAN],B16,Table13678[PAGU ANGGARAN])</f>
        <v>1712820400</v>
      </c>
      <c r="E16" s="93">
        <v>12</v>
      </c>
      <c r="F16" s="93">
        <v>87</v>
      </c>
      <c r="G16" s="93">
        <v>22</v>
      </c>
      <c r="H16" s="82">
        <f t="shared" si="0"/>
        <v>121</v>
      </c>
      <c r="M16" s="110" t="e">
        <f ca="1">_xlfn.XLOOKUP(B16,'[4]KONFIRMASI OPD_final 9 Aprl'!$B$4:$B$125,'[4]KONFIRMASI OPD_final 9 Aprl'!$D$4:$D$125,1,FALSE)</f>
        <v>#NAME?</v>
      </c>
      <c r="N16" s="111" t="e">
        <f t="shared" ca="1" si="1"/>
        <v>#NAME?</v>
      </c>
    </row>
    <row r="17" spans="1:14" ht="16" hidden="1" thickBot="1">
      <c r="A17" s="90">
        <v>14</v>
      </c>
      <c r="B17" s="91" t="s">
        <v>26</v>
      </c>
      <c r="C17" s="91" t="s">
        <v>28</v>
      </c>
      <c r="D17" s="92">
        <f>SUMIF(Table13678[DESA /KELURAHAN],B17,Table13678[PAGU ANGGARAN])</f>
        <v>1873163824</v>
      </c>
      <c r="E17" s="93">
        <v>11</v>
      </c>
      <c r="F17" s="93">
        <v>464</v>
      </c>
      <c r="G17" s="93">
        <v>68</v>
      </c>
      <c r="H17" s="82">
        <f t="shared" si="0"/>
        <v>543</v>
      </c>
      <c r="M17" s="110" t="e">
        <f ca="1">_xlfn.XLOOKUP(B17,'[4]KONFIRMASI OPD_final 9 Aprl'!$B$4:$B$125,'[4]KONFIRMASI OPD_final 9 Aprl'!$D$4:$D$125,1,FALSE)</f>
        <v>#NAME?</v>
      </c>
      <c r="N17" s="111" t="e">
        <f t="shared" ca="1" si="1"/>
        <v>#NAME?</v>
      </c>
    </row>
    <row r="18" spans="1:14" ht="16" hidden="1" thickBot="1">
      <c r="A18" s="94">
        <v>15</v>
      </c>
      <c r="B18" s="95" t="s">
        <v>141</v>
      </c>
      <c r="C18" s="95" t="s">
        <v>143</v>
      </c>
      <c r="D18" s="92">
        <f>SUMIF(Table13678[DESA /KELURAHAN],B18,Table13678[PAGU ANGGARAN])</f>
        <v>5757249000</v>
      </c>
      <c r="E18" s="96">
        <v>17</v>
      </c>
      <c r="F18" s="96">
        <v>178</v>
      </c>
      <c r="G18" s="96">
        <v>64</v>
      </c>
      <c r="H18" s="97">
        <f t="shared" si="0"/>
        <v>259</v>
      </c>
      <c r="M18" s="110" t="e">
        <f ca="1">_xlfn.XLOOKUP(B18,'[4]KONFIRMASI OPD_final 9 Aprl'!$B$4:$B$125,'[4]KONFIRMASI OPD_final 9 Aprl'!$D$4:$D$125,1,FALSE)</f>
        <v>#NAME?</v>
      </c>
      <c r="N18" s="111" t="e">
        <f t="shared" ca="1" si="1"/>
        <v>#NAME?</v>
      </c>
    </row>
    <row r="19" spans="1:14" ht="16" hidden="1" thickBot="1">
      <c r="A19" s="90">
        <v>16</v>
      </c>
      <c r="B19" s="91" t="s">
        <v>339</v>
      </c>
      <c r="C19" s="91" t="s">
        <v>143</v>
      </c>
      <c r="D19" s="92">
        <f>SUMIF(Table13678[DESA /KELURAHAN],B19,Table13678[PAGU ANGGARAN])</f>
        <v>1982231800</v>
      </c>
      <c r="E19" s="93">
        <v>5</v>
      </c>
      <c r="F19" s="93">
        <v>157</v>
      </c>
      <c r="G19" s="93">
        <v>35</v>
      </c>
      <c r="H19" s="82">
        <f t="shared" si="0"/>
        <v>197</v>
      </c>
      <c r="M19" s="110" t="e">
        <f ca="1">_xlfn.XLOOKUP(B19,'[4]KONFIRMASI OPD_final 9 Aprl'!$B$4:$B$125,'[4]KONFIRMASI OPD_final 9 Aprl'!$D$4:$D$125,1,FALSE)</f>
        <v>#NAME?</v>
      </c>
      <c r="N19" s="111" t="e">
        <f t="shared" ca="1" si="1"/>
        <v>#NAME?</v>
      </c>
    </row>
    <row r="20" spans="1:14" ht="16" hidden="1" thickBot="1">
      <c r="A20" s="90">
        <v>17</v>
      </c>
      <c r="B20" s="91" t="s">
        <v>451</v>
      </c>
      <c r="C20" s="91" t="s">
        <v>143</v>
      </c>
      <c r="D20" s="92">
        <f>SUMIF(Table13678[DESA /KELURAHAN],B20,Table13678[PAGU ANGGARAN])</f>
        <v>2049933000</v>
      </c>
      <c r="E20" s="93">
        <v>13</v>
      </c>
      <c r="F20" s="93">
        <v>253</v>
      </c>
      <c r="G20" s="93">
        <v>45</v>
      </c>
      <c r="H20" s="82">
        <f t="shared" si="0"/>
        <v>311</v>
      </c>
      <c r="M20" s="110" t="e">
        <f ca="1">_xlfn.XLOOKUP(B20,'[4]KONFIRMASI OPD_final 9 Aprl'!$B$4:$B$125,'[4]KONFIRMASI OPD_final 9 Aprl'!$D$4:$D$125,1,FALSE)</f>
        <v>#NAME?</v>
      </c>
      <c r="N20" s="111" t="e">
        <f t="shared" ca="1" si="1"/>
        <v>#NAME?</v>
      </c>
    </row>
    <row r="21" spans="1:14" ht="16" hidden="1" thickBot="1">
      <c r="A21" s="90">
        <v>18</v>
      </c>
      <c r="B21" s="91" t="s">
        <v>531</v>
      </c>
      <c r="C21" s="91" t="s">
        <v>143</v>
      </c>
      <c r="D21" s="92">
        <f>SUMIF(Table13678[DESA /KELURAHAN],B21,Table13678[PAGU ANGGARAN])</f>
        <v>1001222899</v>
      </c>
      <c r="E21" s="93">
        <v>8</v>
      </c>
      <c r="F21" s="93">
        <v>217</v>
      </c>
      <c r="G21" s="93">
        <v>33</v>
      </c>
      <c r="H21" s="82">
        <f t="shared" si="0"/>
        <v>258</v>
      </c>
      <c r="M21" s="110" t="e">
        <f ca="1">_xlfn.XLOOKUP(B21,'[4]KONFIRMASI OPD_final 9 Aprl'!$B$4:$B$125,'[4]KONFIRMASI OPD_final 9 Aprl'!$D$4:$D$125,1,FALSE)</f>
        <v>#NAME?</v>
      </c>
      <c r="N21" s="111" t="e">
        <f t="shared" ca="1" si="1"/>
        <v>#NAME?</v>
      </c>
    </row>
    <row r="22" spans="1:14" ht="16" hidden="1" thickBot="1">
      <c r="A22" s="90">
        <v>19</v>
      </c>
      <c r="B22" s="91" t="s">
        <v>143</v>
      </c>
      <c r="C22" s="91" t="s">
        <v>143</v>
      </c>
      <c r="D22" s="92">
        <f>SUMIF(Table13678[DESA /KELURAHAN],B22,Table13678[PAGU ANGGARAN])</f>
        <v>3859467000</v>
      </c>
      <c r="E22" s="93">
        <v>19</v>
      </c>
      <c r="F22" s="93">
        <v>209</v>
      </c>
      <c r="G22" s="93">
        <v>53</v>
      </c>
      <c r="H22" s="82">
        <f t="shared" si="0"/>
        <v>281</v>
      </c>
      <c r="M22" s="110" t="e">
        <f ca="1">_xlfn.XLOOKUP(B22,'[4]KONFIRMASI OPD_final 9 Aprl'!$B$4:$B$125,'[4]KONFIRMASI OPD_final 9 Aprl'!$D$4:$D$125,1,FALSE)</f>
        <v>#NAME?</v>
      </c>
      <c r="N22" s="111" t="e">
        <f t="shared" ca="1" si="1"/>
        <v>#NAME?</v>
      </c>
    </row>
    <row r="23" spans="1:14" ht="16" hidden="1" thickBot="1">
      <c r="A23" s="90">
        <v>20</v>
      </c>
      <c r="B23" s="91" t="s">
        <v>597</v>
      </c>
      <c r="C23" s="91" t="s">
        <v>143</v>
      </c>
      <c r="D23" s="92">
        <f>SUMIF(Table13678[DESA /KELURAHAN],B23,Table13678[PAGU ANGGARAN])</f>
        <v>3240090000</v>
      </c>
      <c r="E23" s="93">
        <v>18</v>
      </c>
      <c r="F23" s="93">
        <v>156</v>
      </c>
      <c r="G23" s="93">
        <v>51</v>
      </c>
      <c r="H23" s="82">
        <f t="shared" si="0"/>
        <v>225</v>
      </c>
      <c r="M23" s="110" t="e">
        <f ca="1">_xlfn.XLOOKUP(B23,'[4]KONFIRMASI OPD_final 9 Aprl'!$B$4:$B$125,'[4]KONFIRMASI OPD_final 9 Aprl'!$D$4:$D$125,1,FALSE)</f>
        <v>#NAME?</v>
      </c>
      <c r="N23" s="111" t="e">
        <f t="shared" ca="1" si="1"/>
        <v>#NAME?</v>
      </c>
    </row>
    <row r="24" spans="1:14" ht="16" hidden="1" thickBot="1">
      <c r="A24" s="90">
        <v>21</v>
      </c>
      <c r="B24" s="91" t="s">
        <v>688</v>
      </c>
      <c r="C24" s="91" t="s">
        <v>143</v>
      </c>
      <c r="D24" s="92">
        <f>SUMIF(Table13678[DESA /KELURAHAN],B24,Table13678[PAGU ANGGARAN])</f>
        <v>1692469800</v>
      </c>
      <c r="E24" s="93">
        <v>11</v>
      </c>
      <c r="F24" s="93">
        <v>117</v>
      </c>
      <c r="G24" s="93">
        <v>39</v>
      </c>
      <c r="H24" s="82">
        <f t="shared" si="0"/>
        <v>167</v>
      </c>
      <c r="M24" s="110" t="e">
        <f ca="1">_xlfn.XLOOKUP(B24,'[4]KONFIRMASI OPD_final 9 Aprl'!$B$4:$B$125,'[4]KONFIRMASI OPD_final 9 Aprl'!$D$4:$D$125,1,FALSE)</f>
        <v>#NAME?</v>
      </c>
      <c r="N24" s="111" t="e">
        <f t="shared" ca="1" si="1"/>
        <v>#NAME?</v>
      </c>
    </row>
    <row r="25" spans="1:14" ht="16" hidden="1" thickBot="1">
      <c r="A25" s="90">
        <v>22</v>
      </c>
      <c r="B25" s="91" t="s">
        <v>765</v>
      </c>
      <c r="C25" s="91" t="s">
        <v>143</v>
      </c>
      <c r="D25" s="92">
        <f>SUMIF(Table13678[DESA /KELURAHAN],B25,Table13678[PAGU ANGGARAN])</f>
        <v>1000672400</v>
      </c>
      <c r="E25" s="93">
        <v>11</v>
      </c>
      <c r="F25" s="93">
        <v>215</v>
      </c>
      <c r="G25" s="93">
        <v>43</v>
      </c>
      <c r="H25" s="82">
        <f t="shared" si="0"/>
        <v>269</v>
      </c>
      <c r="M25" s="110" t="e">
        <f ca="1">_xlfn.XLOOKUP(B25,'[4]KONFIRMASI OPD_final 9 Aprl'!$B$4:$B$125,'[4]KONFIRMASI OPD_final 9 Aprl'!$D$4:$D$125,1,FALSE)</f>
        <v>#NAME?</v>
      </c>
      <c r="N25" s="111" t="e">
        <f t="shared" ca="1" si="1"/>
        <v>#NAME?</v>
      </c>
    </row>
    <row r="26" spans="1:14" ht="16" hidden="1" thickBot="1">
      <c r="A26" s="90">
        <v>23</v>
      </c>
      <c r="B26" s="91" t="s">
        <v>778</v>
      </c>
      <c r="C26" s="91" t="s">
        <v>143</v>
      </c>
      <c r="D26" s="92">
        <f>SUMIF(Table13678[DESA /KELURAHAN],B26,Table13678[PAGU ANGGARAN])</f>
        <v>1029056600</v>
      </c>
      <c r="E26" s="93">
        <v>11</v>
      </c>
      <c r="F26" s="93">
        <v>226</v>
      </c>
      <c r="G26" s="93">
        <v>31</v>
      </c>
      <c r="H26" s="82">
        <f t="shared" si="0"/>
        <v>268</v>
      </c>
      <c r="M26" s="110" t="e">
        <f ca="1">_xlfn.XLOOKUP(B26,'[4]KONFIRMASI OPD_final 9 Aprl'!$B$4:$B$125,'[4]KONFIRMASI OPD_final 9 Aprl'!$D$4:$D$125,1,FALSE)</f>
        <v>#NAME?</v>
      </c>
      <c r="N26" s="111" t="e">
        <f t="shared" ca="1" si="1"/>
        <v>#NAME?</v>
      </c>
    </row>
    <row r="27" spans="1:14" ht="16" hidden="1" thickBot="1">
      <c r="A27" s="90">
        <v>24</v>
      </c>
      <c r="B27" s="91" t="s">
        <v>821</v>
      </c>
      <c r="C27" s="91" t="s">
        <v>143</v>
      </c>
      <c r="D27" s="92">
        <f>SUMIF(Table13678[DESA /KELURAHAN],B27,Table13678[PAGU ANGGARAN])</f>
        <v>1412420200</v>
      </c>
      <c r="E27" s="93">
        <v>13</v>
      </c>
      <c r="F27" s="93">
        <v>109</v>
      </c>
      <c r="G27" s="93">
        <v>39</v>
      </c>
      <c r="H27" s="82">
        <f t="shared" si="0"/>
        <v>161</v>
      </c>
      <c r="M27" s="110" t="e">
        <f ca="1">_xlfn.XLOOKUP(B27,'[4]KONFIRMASI OPD_final 9 Aprl'!$B$4:$B$125,'[4]KONFIRMASI OPD_final 9 Aprl'!$D$4:$D$125,1,FALSE)</f>
        <v>#NAME?</v>
      </c>
      <c r="N27" s="111" t="e">
        <f t="shared" ca="1" si="1"/>
        <v>#NAME?</v>
      </c>
    </row>
    <row r="28" spans="1:14" ht="16" hidden="1" thickBot="1">
      <c r="A28" s="90">
        <v>25</v>
      </c>
      <c r="B28" s="91" t="s">
        <v>714</v>
      </c>
      <c r="C28" s="91" t="s">
        <v>59</v>
      </c>
      <c r="D28" s="92">
        <f>SUMIF(Table13678[DESA /KELURAHAN],B28,Table13678[PAGU ANGGARAN])</f>
        <v>1076508000</v>
      </c>
      <c r="E28" s="93">
        <v>11</v>
      </c>
      <c r="F28" s="93">
        <v>74</v>
      </c>
      <c r="G28" s="93">
        <v>40</v>
      </c>
      <c r="H28" s="82">
        <f t="shared" si="0"/>
        <v>125</v>
      </c>
      <c r="M28" s="110" t="e">
        <f ca="1">_xlfn.XLOOKUP(B28,'[4]KONFIRMASI OPD_final 9 Aprl'!$B$4:$B$125,'[4]KONFIRMASI OPD_final 9 Aprl'!$D$4:$D$125,1,FALSE)</f>
        <v>#NAME?</v>
      </c>
      <c r="N28" s="111" t="e">
        <f t="shared" ca="1" si="1"/>
        <v>#NAME?</v>
      </c>
    </row>
    <row r="29" spans="1:14" ht="16" hidden="1" thickBot="1">
      <c r="A29" s="90">
        <v>26</v>
      </c>
      <c r="B29" s="91" t="s">
        <v>774</v>
      </c>
      <c r="C29" s="91" t="s">
        <v>59</v>
      </c>
      <c r="D29" s="92">
        <f>SUMIF(Table13678[DESA /KELURAHAN],B29,Table13678[PAGU ANGGARAN])</f>
        <v>1092041200</v>
      </c>
      <c r="E29" s="93">
        <v>8</v>
      </c>
      <c r="F29" s="93">
        <v>64</v>
      </c>
      <c r="G29" s="93">
        <v>26</v>
      </c>
      <c r="H29" s="82">
        <f t="shared" si="0"/>
        <v>98</v>
      </c>
      <c r="M29" s="110" t="e">
        <f ca="1">_xlfn.XLOOKUP(B29,'[4]KONFIRMASI OPD_final 9 Aprl'!$B$4:$B$125,'[4]KONFIRMASI OPD_final 9 Aprl'!$D$4:$D$125,1,FALSE)</f>
        <v>#NAME?</v>
      </c>
      <c r="N29" s="111" t="e">
        <f t="shared" ca="1" si="1"/>
        <v>#NAME?</v>
      </c>
    </row>
    <row r="30" spans="1:14" ht="16" hidden="1" thickBot="1">
      <c r="A30" s="90">
        <v>27</v>
      </c>
      <c r="B30" s="91" t="s">
        <v>799</v>
      </c>
      <c r="C30" s="91" t="s">
        <v>59</v>
      </c>
      <c r="D30" s="92">
        <f>SUMIF(Table13678[DESA /KELURAHAN],B30,Table13678[PAGU ANGGARAN])</f>
        <v>2281577300</v>
      </c>
      <c r="E30" s="93">
        <v>14</v>
      </c>
      <c r="F30" s="93">
        <v>215</v>
      </c>
      <c r="G30" s="93">
        <v>35</v>
      </c>
      <c r="H30" s="82">
        <f t="shared" si="0"/>
        <v>264</v>
      </c>
      <c r="M30" s="110" t="e">
        <f ca="1">_xlfn.XLOOKUP(B30,'[4]KONFIRMASI OPD_final 9 Aprl'!$B$4:$B$125,'[4]KONFIRMASI OPD_final 9 Aprl'!$D$4:$D$125,1,FALSE)</f>
        <v>#NAME?</v>
      </c>
      <c r="N30" s="111" t="e">
        <f t="shared" ca="1" si="1"/>
        <v>#NAME?</v>
      </c>
    </row>
    <row r="31" spans="1:14" ht="16" hidden="1" thickBot="1">
      <c r="A31" s="90">
        <v>28</v>
      </c>
      <c r="B31" s="91" t="s">
        <v>618</v>
      </c>
      <c r="C31" s="91" t="s">
        <v>59</v>
      </c>
      <c r="D31" s="92">
        <f>SUMIF(Table13678[DESA /KELURAHAN],B31,Table13678[PAGU ANGGARAN])</f>
        <v>1626299200</v>
      </c>
      <c r="E31" s="93">
        <v>11</v>
      </c>
      <c r="F31" s="93">
        <v>268</v>
      </c>
      <c r="G31" s="93">
        <v>31</v>
      </c>
      <c r="H31" s="82">
        <f t="shared" si="0"/>
        <v>310</v>
      </c>
      <c r="M31" s="110" t="e">
        <f ca="1">_xlfn.XLOOKUP(B31,'[4]KONFIRMASI OPD_final 9 Aprl'!$B$4:$B$125,'[4]KONFIRMASI OPD_final 9 Aprl'!$D$4:$D$125,1,FALSE)</f>
        <v>#NAME?</v>
      </c>
      <c r="N31" s="111" t="e">
        <f t="shared" ca="1" si="1"/>
        <v>#NAME?</v>
      </c>
    </row>
    <row r="32" spans="1:14" ht="16" hidden="1" thickBot="1">
      <c r="A32" s="90">
        <v>29</v>
      </c>
      <c r="B32" s="91" t="s">
        <v>177</v>
      </c>
      <c r="C32" s="91" t="s">
        <v>59</v>
      </c>
      <c r="D32" s="92">
        <f>SUMIF(Table13678[DESA /KELURAHAN],B32,Table13678[PAGU ANGGARAN])</f>
        <v>1133182000</v>
      </c>
      <c r="E32" s="93">
        <v>8</v>
      </c>
      <c r="F32" s="93">
        <v>106</v>
      </c>
      <c r="G32" s="93">
        <v>37</v>
      </c>
      <c r="H32" s="82">
        <f t="shared" si="0"/>
        <v>151</v>
      </c>
      <c r="M32" s="110" t="e">
        <f ca="1">_xlfn.XLOOKUP(B32,'[4]KONFIRMASI OPD_final 9 Aprl'!$B$4:$B$125,'[4]KONFIRMASI OPD_final 9 Aprl'!$D$4:$D$125,1,FALSE)</f>
        <v>#NAME?</v>
      </c>
      <c r="N32" s="111" t="e">
        <f t="shared" ca="1" si="1"/>
        <v>#NAME?</v>
      </c>
    </row>
    <row r="33" spans="1:14" ht="16" hidden="1" thickBot="1">
      <c r="A33" s="90">
        <v>30</v>
      </c>
      <c r="B33" s="91" t="s">
        <v>914</v>
      </c>
      <c r="C33" s="91" t="s">
        <v>59</v>
      </c>
      <c r="D33" s="92">
        <f>SUMIF(Table13678[DESA /KELURAHAN],B33,Table13678[PAGU ANGGARAN])</f>
        <v>1368186100</v>
      </c>
      <c r="E33" s="93">
        <v>7</v>
      </c>
      <c r="F33" s="93">
        <v>162</v>
      </c>
      <c r="G33" s="93">
        <v>46</v>
      </c>
      <c r="H33" s="82">
        <f t="shared" si="0"/>
        <v>215</v>
      </c>
      <c r="M33" s="110" t="e">
        <f ca="1">_xlfn.XLOOKUP(B33,'[4]KONFIRMASI OPD_final 9 Aprl'!$B$4:$B$125,'[4]KONFIRMASI OPD_final 9 Aprl'!$D$4:$D$125,1,FALSE)</f>
        <v>#NAME?</v>
      </c>
      <c r="N33" s="111" t="e">
        <f t="shared" ca="1" si="1"/>
        <v>#NAME?</v>
      </c>
    </row>
    <row r="34" spans="1:14" ht="16" hidden="1" thickBot="1">
      <c r="A34" s="94">
        <v>31</v>
      </c>
      <c r="B34" s="95" t="s">
        <v>835</v>
      </c>
      <c r="C34" s="95" t="s">
        <v>59</v>
      </c>
      <c r="D34" s="92">
        <f>SUMIF(Table13678[DESA /KELURAHAN],B34,Table13678[PAGU ANGGARAN])</f>
        <v>4956295800</v>
      </c>
      <c r="E34" s="96">
        <v>13</v>
      </c>
      <c r="F34" s="96">
        <v>254</v>
      </c>
      <c r="G34" s="96">
        <v>50</v>
      </c>
      <c r="H34" s="97">
        <f t="shared" si="0"/>
        <v>317</v>
      </c>
      <c r="M34" s="110" t="e">
        <f ca="1">_xlfn.XLOOKUP(B34,'[4]KONFIRMASI OPD_final 9 Aprl'!$B$4:$B$125,'[4]KONFIRMASI OPD_final 9 Aprl'!$D$4:$D$125,1,FALSE)</f>
        <v>#NAME?</v>
      </c>
      <c r="N34" s="111" t="e">
        <f t="shared" ca="1" si="1"/>
        <v>#NAME?</v>
      </c>
    </row>
    <row r="35" spans="1:14" ht="16" hidden="1" thickBot="1">
      <c r="A35" s="90">
        <v>32</v>
      </c>
      <c r="B35" s="91" t="s">
        <v>899</v>
      </c>
      <c r="C35" s="91" t="s">
        <v>59</v>
      </c>
      <c r="D35" s="92">
        <f>SUMIF(Table13678[DESA /KELURAHAN],B35,Table13678[PAGU ANGGARAN])</f>
        <v>2609525400</v>
      </c>
      <c r="E35" s="93">
        <v>7</v>
      </c>
      <c r="F35" s="93">
        <v>333</v>
      </c>
      <c r="G35" s="93">
        <v>48</v>
      </c>
      <c r="H35" s="82">
        <f t="shared" si="0"/>
        <v>388</v>
      </c>
      <c r="M35" s="110" t="e">
        <f ca="1">_xlfn.XLOOKUP(B35,'[4]KONFIRMASI OPD_final 9 Aprl'!$B$4:$B$125,'[4]KONFIRMASI OPD_final 9 Aprl'!$D$4:$D$125,1,FALSE)</f>
        <v>#NAME?</v>
      </c>
      <c r="N35" s="111" t="e">
        <f t="shared" ca="1" si="1"/>
        <v>#NAME?</v>
      </c>
    </row>
    <row r="36" spans="1:14" ht="16" hidden="1" thickBot="1">
      <c r="A36" s="90">
        <v>33</v>
      </c>
      <c r="B36" s="91" t="s">
        <v>851</v>
      </c>
      <c r="C36" s="91" t="s">
        <v>59</v>
      </c>
      <c r="D36" s="92">
        <f>SUMIF(Table13678[DESA /KELURAHAN],B36,Table13678[PAGU ANGGARAN])</f>
        <v>1732715000</v>
      </c>
      <c r="E36" s="93">
        <v>9</v>
      </c>
      <c r="F36" s="93">
        <v>220</v>
      </c>
      <c r="G36" s="93">
        <v>46</v>
      </c>
      <c r="H36" s="82">
        <f t="shared" si="0"/>
        <v>275</v>
      </c>
      <c r="M36" s="110" t="e">
        <f ca="1">_xlfn.XLOOKUP(B36,'[4]KONFIRMASI OPD_final 9 Aprl'!$B$4:$B$125,'[4]KONFIRMASI OPD_final 9 Aprl'!$D$4:$D$125,1,FALSE)</f>
        <v>#NAME?</v>
      </c>
      <c r="N36" s="111" t="e">
        <f t="shared" ca="1" si="1"/>
        <v>#NAME?</v>
      </c>
    </row>
    <row r="37" spans="1:14" ht="16" hidden="1" thickBot="1">
      <c r="A37" s="90">
        <v>34</v>
      </c>
      <c r="B37" s="91" t="s">
        <v>685</v>
      </c>
      <c r="C37" s="91" t="s">
        <v>59</v>
      </c>
      <c r="D37" s="92">
        <f>SUMIF(Table13678[DESA /KELURAHAN],B37,Table13678[PAGU ANGGARAN])</f>
        <v>1278355200</v>
      </c>
      <c r="E37" s="93">
        <v>8</v>
      </c>
      <c r="F37" s="93">
        <v>250</v>
      </c>
      <c r="G37" s="93">
        <v>44</v>
      </c>
      <c r="H37" s="82">
        <f t="shared" si="0"/>
        <v>302</v>
      </c>
      <c r="M37" s="110" t="e">
        <f ca="1">_xlfn.XLOOKUP(B37,'[4]KONFIRMASI OPD_final 9 Aprl'!$B$4:$B$125,'[4]KONFIRMASI OPD_final 9 Aprl'!$D$4:$D$125,1,FALSE)</f>
        <v>#NAME?</v>
      </c>
      <c r="N37" s="111" t="e">
        <f t="shared" ca="1" si="1"/>
        <v>#NAME?</v>
      </c>
    </row>
    <row r="38" spans="1:14" ht="16" hidden="1" thickBot="1">
      <c r="A38" s="90">
        <v>35</v>
      </c>
      <c r="B38" s="91" t="s">
        <v>878</v>
      </c>
      <c r="C38" s="91" t="s">
        <v>59</v>
      </c>
      <c r="D38" s="92">
        <f>SUMIF(Table13678[DESA /KELURAHAN],B38,Table13678[PAGU ANGGARAN])</f>
        <v>1610935600</v>
      </c>
      <c r="E38" s="93">
        <v>12</v>
      </c>
      <c r="F38" s="93">
        <v>197</v>
      </c>
      <c r="G38" s="93">
        <v>49</v>
      </c>
      <c r="H38" s="82">
        <f t="shared" si="0"/>
        <v>258</v>
      </c>
      <c r="M38" s="110" t="e">
        <f ca="1">_xlfn.XLOOKUP(B38,'[4]KONFIRMASI OPD_final 9 Aprl'!$B$4:$B$125,'[4]KONFIRMASI OPD_final 9 Aprl'!$D$4:$D$125,1,FALSE)</f>
        <v>#NAME?</v>
      </c>
      <c r="N38" s="111" t="e">
        <f t="shared" ca="1" si="1"/>
        <v>#NAME?</v>
      </c>
    </row>
    <row r="39" spans="1:14" ht="16" hidden="1" thickBot="1">
      <c r="A39" s="90">
        <v>36</v>
      </c>
      <c r="B39" s="91" t="s">
        <v>392</v>
      </c>
      <c r="C39" s="91" t="s">
        <v>59</v>
      </c>
      <c r="D39" s="92">
        <f>SUMIF(Table13678[DESA /KELURAHAN],B39,Table13678[PAGU ANGGARAN])</f>
        <v>1014967800</v>
      </c>
      <c r="E39" s="93">
        <v>11</v>
      </c>
      <c r="F39" s="93">
        <v>181</v>
      </c>
      <c r="G39" s="93">
        <v>47</v>
      </c>
      <c r="H39" s="82">
        <f t="shared" si="0"/>
        <v>239</v>
      </c>
      <c r="M39" s="110" t="e">
        <f ca="1">_xlfn.XLOOKUP(B39,'[4]KONFIRMASI OPD_final 9 Aprl'!$B$4:$B$125,'[4]KONFIRMASI OPD_final 9 Aprl'!$D$4:$D$125,1,FALSE)</f>
        <v>#NAME?</v>
      </c>
      <c r="N39" s="111" t="e">
        <f t="shared" ca="1" si="1"/>
        <v>#NAME?</v>
      </c>
    </row>
    <row r="40" spans="1:14" ht="16" hidden="1" thickBot="1">
      <c r="A40" s="90">
        <v>37</v>
      </c>
      <c r="B40" s="91" t="s">
        <v>57</v>
      </c>
      <c r="C40" s="91" t="s">
        <v>59</v>
      </c>
      <c r="D40" s="92">
        <f>SUMIF(Table13678[DESA /KELURAHAN],B40,Table13678[PAGU ANGGARAN])</f>
        <v>2615726460.6349201</v>
      </c>
      <c r="E40" s="93">
        <v>9</v>
      </c>
      <c r="F40" s="93">
        <v>185</v>
      </c>
      <c r="G40" s="93">
        <v>48</v>
      </c>
      <c r="H40" s="82">
        <f t="shared" si="0"/>
        <v>242</v>
      </c>
      <c r="M40" s="110" t="e">
        <f ca="1">_xlfn.XLOOKUP(B40,'[4]KONFIRMASI OPD_final 9 Aprl'!$B$4:$B$125,'[4]KONFIRMASI OPD_final 9 Aprl'!$D$4:$D$125,1,FALSE)</f>
        <v>#NAME?</v>
      </c>
      <c r="N40" s="111" t="e">
        <f t="shared" ca="1" si="1"/>
        <v>#NAME?</v>
      </c>
    </row>
    <row r="41" spans="1:14" ht="16" hidden="1" thickBot="1">
      <c r="A41" s="90">
        <v>38</v>
      </c>
      <c r="B41" s="91" t="s">
        <v>855</v>
      </c>
      <c r="C41" s="91" t="s">
        <v>59</v>
      </c>
      <c r="D41" s="92">
        <f>SUMIF(Table13678[DESA /KELURAHAN],B41,Table13678[PAGU ANGGARAN])</f>
        <v>1363585200</v>
      </c>
      <c r="E41" s="93">
        <v>13</v>
      </c>
      <c r="F41" s="93">
        <v>189</v>
      </c>
      <c r="G41" s="93">
        <v>51</v>
      </c>
      <c r="H41" s="82">
        <f t="shared" si="0"/>
        <v>253</v>
      </c>
      <c r="M41" s="110" t="e">
        <f ca="1">_xlfn.XLOOKUP(B41,'[4]KONFIRMASI OPD_final 9 Aprl'!$B$4:$B$125,'[4]KONFIRMASI OPD_final 9 Aprl'!$D$4:$D$125,1,FALSE)</f>
        <v>#NAME?</v>
      </c>
      <c r="N41" s="111" t="e">
        <f t="shared" ca="1" si="1"/>
        <v>#NAME?</v>
      </c>
    </row>
    <row r="42" spans="1:14" ht="16" hidden="1" thickBot="1">
      <c r="A42" s="90">
        <v>39</v>
      </c>
      <c r="B42" s="91" t="s">
        <v>623</v>
      </c>
      <c r="C42" s="91" t="s">
        <v>59</v>
      </c>
      <c r="D42" s="92">
        <f>SUMIF(Table13678[DESA /KELURAHAN],B42,Table13678[PAGU ANGGARAN])</f>
        <v>1083504600</v>
      </c>
      <c r="E42" s="93">
        <v>9</v>
      </c>
      <c r="F42" s="93">
        <v>225</v>
      </c>
      <c r="G42" s="93">
        <v>60</v>
      </c>
      <c r="H42" s="82">
        <f t="shared" si="0"/>
        <v>294</v>
      </c>
      <c r="M42" s="110" t="e">
        <f ca="1">_xlfn.XLOOKUP(B42,'[4]KONFIRMASI OPD_final 9 Aprl'!$B$4:$B$125,'[4]KONFIRMASI OPD_final 9 Aprl'!$D$4:$D$125,1,FALSE)</f>
        <v>#NAME?</v>
      </c>
      <c r="N42" s="111" t="e">
        <f t="shared" ca="1" si="1"/>
        <v>#NAME?</v>
      </c>
    </row>
    <row r="43" spans="1:14" ht="16" hidden="1" thickBot="1">
      <c r="A43" s="90">
        <v>40</v>
      </c>
      <c r="B43" s="98" t="s">
        <v>458</v>
      </c>
      <c r="C43" s="91" t="s">
        <v>59</v>
      </c>
      <c r="D43" s="92">
        <f>SUMIF(Table13678[DESA /KELURAHAN],B43,Table13678[PAGU ANGGARAN])</f>
        <v>1005892200</v>
      </c>
      <c r="E43" s="93">
        <v>8</v>
      </c>
      <c r="F43" s="93">
        <v>199</v>
      </c>
      <c r="G43" s="93">
        <v>46</v>
      </c>
      <c r="H43" s="82">
        <f t="shared" si="0"/>
        <v>253</v>
      </c>
      <c r="I43" s="99">
        <v>1000000000</v>
      </c>
      <c r="J43" s="100">
        <f>I43-D43</f>
        <v>-5892200</v>
      </c>
      <c r="K43" s="101">
        <v>4</v>
      </c>
      <c r="L43" s="102" t="s">
        <v>974</v>
      </c>
      <c r="M43" s="110" t="e">
        <f ca="1">_xlfn.XLOOKUP(B43,'[4]KONFIRMASI OPD_final 9 Aprl'!$B$4:$B$125,'[4]KONFIRMASI OPD_final 9 Aprl'!$D$4:$D$125,1,FALSE)</f>
        <v>#NAME?</v>
      </c>
      <c r="N43" s="111" t="e">
        <f t="shared" ca="1" si="1"/>
        <v>#NAME?</v>
      </c>
    </row>
    <row r="44" spans="1:14" ht="16" hidden="1" thickBot="1">
      <c r="A44" s="90">
        <v>41</v>
      </c>
      <c r="B44" s="91" t="s">
        <v>784</v>
      </c>
      <c r="C44" s="91" t="s">
        <v>59</v>
      </c>
      <c r="D44" s="92">
        <f>SUMIF(Table13678[DESA /KELURAHAN],B44,Table13678[PAGU ANGGARAN])</f>
        <v>1176432224</v>
      </c>
      <c r="E44" s="93">
        <v>10</v>
      </c>
      <c r="F44" s="93">
        <v>193</v>
      </c>
      <c r="G44" s="93">
        <v>27</v>
      </c>
      <c r="H44" s="82">
        <f t="shared" si="0"/>
        <v>230</v>
      </c>
      <c r="M44" s="110" t="e">
        <f ca="1">_xlfn.XLOOKUP(B44,'[4]KONFIRMASI OPD_final 9 Aprl'!$B$4:$B$125,'[4]KONFIRMASI OPD_final 9 Aprl'!$D$4:$D$125,1,FALSE)</f>
        <v>#NAME?</v>
      </c>
      <c r="N44" s="111" t="e">
        <f t="shared" ca="1" si="1"/>
        <v>#NAME?</v>
      </c>
    </row>
    <row r="45" spans="1:14" ht="16" hidden="1" thickBot="1">
      <c r="A45" s="90">
        <v>42</v>
      </c>
      <c r="B45" s="91" t="s">
        <v>501</v>
      </c>
      <c r="C45" s="91" t="s">
        <v>59</v>
      </c>
      <c r="D45" s="92">
        <f>SUMIF(Table13678[DESA /KELURAHAN],B45,Table13678[PAGU ANGGARAN])</f>
        <v>1704642200</v>
      </c>
      <c r="E45" s="93">
        <v>8</v>
      </c>
      <c r="F45" s="93">
        <v>129</v>
      </c>
      <c r="G45" s="93">
        <v>35</v>
      </c>
      <c r="H45" s="82">
        <f t="shared" si="0"/>
        <v>172</v>
      </c>
      <c r="M45" s="110" t="e">
        <f ca="1">_xlfn.XLOOKUP(B45,'[4]KONFIRMASI OPD_final 9 Aprl'!$B$4:$B$125,'[4]KONFIRMASI OPD_final 9 Aprl'!$D$4:$D$125,1,FALSE)</f>
        <v>#NAME?</v>
      </c>
      <c r="N45" s="111" t="e">
        <f t="shared" ca="1" si="1"/>
        <v>#NAME?</v>
      </c>
    </row>
    <row r="46" spans="1:14" ht="16" hidden="1" thickBot="1">
      <c r="A46" s="90">
        <v>43</v>
      </c>
      <c r="B46" s="91" t="s">
        <v>742</v>
      </c>
      <c r="C46" s="91" t="s">
        <v>59</v>
      </c>
      <c r="D46" s="92">
        <f>SUMIF(Table13678[DESA /KELURAHAN],B46,Table13678[PAGU ANGGARAN])</f>
        <v>2290815600</v>
      </c>
      <c r="E46" s="93">
        <v>6</v>
      </c>
      <c r="F46" s="93">
        <v>365</v>
      </c>
      <c r="G46" s="93">
        <v>20</v>
      </c>
      <c r="H46" s="82">
        <f t="shared" si="0"/>
        <v>391</v>
      </c>
      <c r="M46" s="110" t="e">
        <f ca="1">_xlfn.XLOOKUP(B46,'[4]KONFIRMASI OPD_final 9 Aprl'!$B$4:$B$125,'[4]KONFIRMASI OPD_final 9 Aprl'!$D$4:$D$125,1,FALSE)</f>
        <v>#NAME?</v>
      </c>
      <c r="N46" s="111" t="e">
        <f t="shared" ca="1" si="1"/>
        <v>#NAME?</v>
      </c>
    </row>
    <row r="47" spans="1:14" ht="16" hidden="1" thickBot="1">
      <c r="A47" s="90">
        <v>44</v>
      </c>
      <c r="B47" s="91" t="s">
        <v>313</v>
      </c>
      <c r="C47" s="91" t="s">
        <v>59</v>
      </c>
      <c r="D47" s="92">
        <f>SUMIF(Table13678[DESA /KELURAHAN],B47,Table13678[PAGU ANGGARAN])</f>
        <v>1606137600</v>
      </c>
      <c r="E47" s="93">
        <v>11</v>
      </c>
      <c r="F47" s="93">
        <v>260</v>
      </c>
      <c r="G47" s="93">
        <v>25</v>
      </c>
      <c r="H47" s="82">
        <f t="shared" si="0"/>
        <v>296</v>
      </c>
      <c r="M47" s="110" t="e">
        <f ca="1">_xlfn.XLOOKUP(B47,'[4]KONFIRMASI OPD_final 9 Aprl'!$B$4:$B$125,'[4]KONFIRMASI OPD_final 9 Aprl'!$D$4:$D$125,1,FALSE)</f>
        <v>#NAME?</v>
      </c>
      <c r="N47" s="111" t="e">
        <f t="shared" ca="1" si="1"/>
        <v>#NAME?</v>
      </c>
    </row>
    <row r="48" spans="1:14" ht="16" hidden="1" thickBot="1">
      <c r="A48" s="90">
        <v>45</v>
      </c>
      <c r="B48" s="91" t="s">
        <v>59</v>
      </c>
      <c r="C48" s="91" t="s">
        <v>59</v>
      </c>
      <c r="D48" s="92">
        <f>SUMIF(Table13678[DESA /KELURAHAN],B48,Table13678[PAGU ANGGARAN])</f>
        <v>3394737600</v>
      </c>
      <c r="E48" s="93">
        <v>9</v>
      </c>
      <c r="F48" s="93">
        <v>81</v>
      </c>
      <c r="G48" s="93">
        <v>39</v>
      </c>
      <c r="H48" s="82">
        <f t="shared" si="0"/>
        <v>129</v>
      </c>
      <c r="M48" s="110" t="e">
        <f ca="1">_xlfn.XLOOKUP(B48,'[4]KONFIRMASI OPD_final 9 Aprl'!$B$4:$B$125,'[4]KONFIRMASI OPD_final 9 Aprl'!$D$4:$D$125,1,FALSE)</f>
        <v>#NAME?</v>
      </c>
      <c r="N48" s="111" t="e">
        <f t="shared" ca="1" si="1"/>
        <v>#NAME?</v>
      </c>
    </row>
    <row r="49" spans="1:14" ht="16" hidden="1" thickBot="1">
      <c r="A49" s="90">
        <v>46</v>
      </c>
      <c r="B49" s="91" t="s">
        <v>843</v>
      </c>
      <c r="C49" s="91" t="s">
        <v>197</v>
      </c>
      <c r="D49" s="92">
        <f>SUMIF(Table13678[DESA /KELURAHAN],B49,Table13678[PAGU ANGGARAN])</f>
        <v>9404227474</v>
      </c>
      <c r="E49" s="93">
        <v>29</v>
      </c>
      <c r="F49" s="93">
        <v>640</v>
      </c>
      <c r="G49" s="93">
        <v>72</v>
      </c>
      <c r="H49" s="82">
        <f t="shared" si="0"/>
        <v>741</v>
      </c>
      <c r="M49" s="110" t="e">
        <f ca="1">_xlfn.XLOOKUP(B49,'[4]KONFIRMASI OPD_final 9 Aprl'!$B$4:$B$125,'[4]KONFIRMASI OPD_final 9 Aprl'!$D$4:$D$125,1,FALSE)</f>
        <v>#NAME?</v>
      </c>
      <c r="N49" s="111" t="e">
        <f t="shared" ca="1" si="1"/>
        <v>#NAME?</v>
      </c>
    </row>
    <row r="50" spans="1:14" ht="16" hidden="1" thickBot="1">
      <c r="A50" s="90">
        <v>47</v>
      </c>
      <c r="B50" s="91" t="s">
        <v>840</v>
      </c>
      <c r="C50" s="91" t="s">
        <v>197</v>
      </c>
      <c r="D50" s="92">
        <f>SUMIF(Table13678[DESA /KELURAHAN],B50,Table13678[PAGU ANGGARAN])</f>
        <v>1138925200</v>
      </c>
      <c r="E50" s="93">
        <v>5</v>
      </c>
      <c r="F50" s="93">
        <v>696</v>
      </c>
      <c r="G50" s="93">
        <v>62</v>
      </c>
      <c r="H50" s="82">
        <f t="shared" si="0"/>
        <v>763</v>
      </c>
      <c r="M50" s="110" t="e">
        <f ca="1">_xlfn.XLOOKUP(B50,'[4]KONFIRMASI OPD_final 9 Aprl'!$B$4:$B$125,'[4]KONFIRMASI OPD_final 9 Aprl'!$D$4:$D$125,1,FALSE)</f>
        <v>#NAME?</v>
      </c>
      <c r="N50" s="111" t="e">
        <f t="shared" ca="1" si="1"/>
        <v>#NAME?</v>
      </c>
    </row>
    <row r="51" spans="1:14" ht="16" hidden="1" thickBot="1">
      <c r="A51" s="90">
        <v>48</v>
      </c>
      <c r="B51" s="91" t="s">
        <v>789</v>
      </c>
      <c r="C51" s="91" t="s">
        <v>197</v>
      </c>
      <c r="D51" s="92">
        <f>SUMIF(Table13678[DESA /KELURAHAN],B51,Table13678[PAGU ANGGARAN])</f>
        <v>2249438200</v>
      </c>
      <c r="E51" s="93">
        <v>13</v>
      </c>
      <c r="F51" s="93">
        <v>664</v>
      </c>
      <c r="G51" s="93">
        <v>75</v>
      </c>
      <c r="H51" s="82">
        <f t="shared" si="0"/>
        <v>752</v>
      </c>
      <c r="M51" s="110" t="e">
        <f ca="1">_xlfn.XLOOKUP(B51,'[4]KONFIRMASI OPD_final 9 Aprl'!$B$4:$B$125,'[4]KONFIRMASI OPD_final 9 Aprl'!$D$4:$D$125,1,FALSE)</f>
        <v>#NAME?</v>
      </c>
      <c r="N51" s="111" t="e">
        <f t="shared" ca="1" si="1"/>
        <v>#NAME?</v>
      </c>
    </row>
    <row r="52" spans="1:14" ht="16" hidden="1" thickBot="1">
      <c r="A52" s="94">
        <v>49</v>
      </c>
      <c r="B52" s="95" t="s">
        <v>297</v>
      </c>
      <c r="C52" s="95" t="s">
        <v>197</v>
      </c>
      <c r="D52" s="92">
        <f>SUMIF(Table13678[DESA /KELURAHAN],B52,Table13678[PAGU ANGGARAN])</f>
        <v>5580829600</v>
      </c>
      <c r="E52" s="96">
        <v>15</v>
      </c>
      <c r="F52" s="96">
        <v>1250</v>
      </c>
      <c r="G52" s="96">
        <v>116</v>
      </c>
      <c r="H52" s="97">
        <f t="shared" si="0"/>
        <v>1381</v>
      </c>
      <c r="M52" s="110" t="e">
        <f ca="1">_xlfn.XLOOKUP(B52,'[4]KONFIRMASI OPD_final 9 Aprl'!$B$4:$B$125,'[4]KONFIRMASI OPD_final 9 Aprl'!$D$4:$D$125,1,FALSE)</f>
        <v>#NAME?</v>
      </c>
      <c r="N52" s="111" t="e">
        <f t="shared" ca="1" si="1"/>
        <v>#NAME?</v>
      </c>
    </row>
    <row r="53" spans="1:14" ht="16" hidden="1" thickBot="1">
      <c r="A53" s="90">
        <v>50</v>
      </c>
      <c r="B53" s="91" t="s">
        <v>587</v>
      </c>
      <c r="C53" s="91" t="s">
        <v>197</v>
      </c>
      <c r="D53" s="92">
        <f>SUMIF(Table13678[DESA /KELURAHAN],B53,Table13678[PAGU ANGGARAN])</f>
        <v>1021603020</v>
      </c>
      <c r="E53" s="93">
        <v>7</v>
      </c>
      <c r="F53" s="93">
        <v>428</v>
      </c>
      <c r="G53" s="93">
        <v>43</v>
      </c>
      <c r="H53" s="82">
        <f t="shared" si="0"/>
        <v>478</v>
      </c>
      <c r="M53" s="110" t="e">
        <f ca="1">_xlfn.XLOOKUP(B53,'[4]KONFIRMASI OPD_final 9 Aprl'!$B$4:$B$125,'[4]KONFIRMASI OPD_final 9 Aprl'!$D$4:$D$125,1,FALSE)</f>
        <v>#NAME?</v>
      </c>
      <c r="N53" s="111" t="e">
        <f t="shared" ca="1" si="1"/>
        <v>#NAME?</v>
      </c>
    </row>
    <row r="54" spans="1:14" ht="16" hidden="1" thickBot="1">
      <c r="A54" s="90">
        <v>51</v>
      </c>
      <c r="B54" s="91" t="s">
        <v>195</v>
      </c>
      <c r="C54" s="91" t="s">
        <v>197</v>
      </c>
      <c r="D54" s="92">
        <f>SUMIF(Table13678[DESA /KELURAHAN],B54,Table13678[PAGU ANGGARAN])</f>
        <v>1074503500</v>
      </c>
      <c r="E54" s="93">
        <v>8</v>
      </c>
      <c r="F54" s="93">
        <v>756</v>
      </c>
      <c r="G54" s="93">
        <v>78</v>
      </c>
      <c r="H54" s="82">
        <f t="shared" si="0"/>
        <v>842</v>
      </c>
      <c r="M54" s="110" t="e">
        <f ca="1">_xlfn.XLOOKUP(B54,'[4]KONFIRMASI OPD_final 9 Aprl'!$B$4:$B$125,'[4]KONFIRMASI OPD_final 9 Aprl'!$D$4:$D$125,1,FALSE)</f>
        <v>#NAME?</v>
      </c>
      <c r="N54" s="111" t="e">
        <f t="shared" ca="1" si="1"/>
        <v>#NAME?</v>
      </c>
    </row>
    <row r="55" spans="1:14" ht="16" hidden="1" thickBot="1">
      <c r="A55" s="90">
        <v>52</v>
      </c>
      <c r="B55" s="91" t="s">
        <v>479</v>
      </c>
      <c r="C55" s="91" t="s">
        <v>197</v>
      </c>
      <c r="D55" s="92">
        <f>SUMIF(Table13678[DESA /KELURAHAN],B55,Table13678[PAGU ANGGARAN])</f>
        <v>2034954500</v>
      </c>
      <c r="E55" s="93">
        <v>11</v>
      </c>
      <c r="F55" s="93">
        <v>53</v>
      </c>
      <c r="G55" s="93">
        <v>11</v>
      </c>
      <c r="H55" s="82">
        <f t="shared" si="0"/>
        <v>75</v>
      </c>
      <c r="M55" s="110" t="e">
        <f ca="1">_xlfn.XLOOKUP(B55,'[4]KONFIRMASI OPD_final 9 Aprl'!$B$4:$B$125,'[4]KONFIRMASI OPD_final 9 Aprl'!$D$4:$D$125,1,FALSE)</f>
        <v>#NAME?</v>
      </c>
      <c r="N55" s="111" t="e">
        <f t="shared" ca="1" si="1"/>
        <v>#NAME?</v>
      </c>
    </row>
    <row r="56" spans="1:14" ht="16" hidden="1" thickBot="1">
      <c r="A56" s="90">
        <v>53</v>
      </c>
      <c r="B56" s="91" t="s">
        <v>330</v>
      </c>
      <c r="C56" s="91" t="s">
        <v>197</v>
      </c>
      <c r="D56" s="92">
        <f>SUMIF(Table13678[DESA /KELURAHAN],B56,Table13678[PAGU ANGGARAN])</f>
        <v>1429908000</v>
      </c>
      <c r="E56" s="93">
        <v>8</v>
      </c>
      <c r="F56" s="93">
        <v>402</v>
      </c>
      <c r="G56" s="93">
        <v>72</v>
      </c>
      <c r="H56" s="82">
        <f t="shared" si="0"/>
        <v>482</v>
      </c>
      <c r="M56" s="110" t="e">
        <f ca="1">_xlfn.XLOOKUP(B56,'[4]KONFIRMASI OPD_final 9 Aprl'!$B$4:$B$125,'[4]KONFIRMASI OPD_final 9 Aprl'!$D$4:$D$125,1,FALSE)</f>
        <v>#NAME?</v>
      </c>
      <c r="N56" s="111" t="e">
        <f t="shared" ca="1" si="1"/>
        <v>#NAME?</v>
      </c>
    </row>
    <row r="57" spans="1:14" ht="16" hidden="1" thickBot="1">
      <c r="A57" s="90">
        <v>54</v>
      </c>
      <c r="B57" s="91" t="s">
        <v>907</v>
      </c>
      <c r="C57" s="91" t="s">
        <v>197</v>
      </c>
      <c r="D57" s="92">
        <f>SUMIF(Table13678[DESA /KELURAHAN],B57,Table13678[PAGU ANGGARAN])</f>
        <v>1085828036</v>
      </c>
      <c r="E57" s="93">
        <v>7</v>
      </c>
      <c r="F57" s="93">
        <v>316</v>
      </c>
      <c r="G57" s="93">
        <v>42</v>
      </c>
      <c r="H57" s="82">
        <f t="shared" si="0"/>
        <v>365</v>
      </c>
      <c r="M57" s="110" t="e">
        <f ca="1">_xlfn.XLOOKUP(B57,'[4]KONFIRMASI OPD_final 9 Aprl'!$B$4:$B$125,'[4]KONFIRMASI OPD_final 9 Aprl'!$D$4:$D$125,1,FALSE)</f>
        <v>#NAME?</v>
      </c>
      <c r="N57" s="111" t="e">
        <f t="shared" ca="1" si="1"/>
        <v>#NAME?</v>
      </c>
    </row>
    <row r="58" spans="1:14" ht="16" hidden="1" thickBot="1">
      <c r="A58" s="90">
        <v>55</v>
      </c>
      <c r="B58" s="91" t="s">
        <v>81</v>
      </c>
      <c r="C58" s="91" t="s">
        <v>83</v>
      </c>
      <c r="D58" s="92">
        <f>SUMIF(Table13678[DESA /KELURAHAN],B58,Table13678[PAGU ANGGARAN])</f>
        <v>3148309747</v>
      </c>
      <c r="E58" s="93">
        <v>12</v>
      </c>
      <c r="F58" s="93">
        <v>110</v>
      </c>
      <c r="G58" s="93">
        <v>14</v>
      </c>
      <c r="H58" s="82">
        <f t="shared" si="0"/>
        <v>136</v>
      </c>
      <c r="M58" s="110" t="e">
        <f ca="1">_xlfn.XLOOKUP(B58,'[4]KONFIRMASI OPD_final 9 Aprl'!$B$4:$B$125,'[4]KONFIRMASI OPD_final 9 Aprl'!$D$4:$D$125,1,FALSE)</f>
        <v>#NAME?</v>
      </c>
      <c r="N58" s="111" t="e">
        <f t="shared" ca="1" si="1"/>
        <v>#NAME?</v>
      </c>
    </row>
    <row r="59" spans="1:14" ht="16" hidden="1" thickBot="1">
      <c r="A59" s="90">
        <v>56</v>
      </c>
      <c r="B59" s="98" t="s">
        <v>109</v>
      </c>
      <c r="C59" s="91" t="s">
        <v>83</v>
      </c>
      <c r="D59" s="92">
        <f>SUMIF(Table13678[DESA /KELURAHAN],B59,Table13678[PAGU ANGGARAN])</f>
        <v>1000985200</v>
      </c>
      <c r="E59" s="93">
        <v>7</v>
      </c>
      <c r="F59" s="93">
        <v>78</v>
      </c>
      <c r="G59" s="93">
        <v>15</v>
      </c>
      <c r="H59" s="82">
        <f t="shared" si="0"/>
        <v>100</v>
      </c>
      <c r="I59" s="99">
        <v>1000000000</v>
      </c>
      <c r="J59" s="100">
        <f>I59-D59</f>
        <v>-985200</v>
      </c>
      <c r="K59" s="101">
        <v>1</v>
      </c>
      <c r="L59" s="102" t="s">
        <v>974</v>
      </c>
      <c r="M59" s="110" t="e">
        <f ca="1">_xlfn.XLOOKUP(B59,'[4]KONFIRMASI OPD_final 9 Aprl'!$B$4:$B$125,'[4]KONFIRMASI OPD_final 9 Aprl'!$D$4:$D$125,1,FALSE)</f>
        <v>#NAME?</v>
      </c>
      <c r="N59" s="111" t="e">
        <f t="shared" ca="1" si="1"/>
        <v>#NAME?</v>
      </c>
    </row>
    <row r="60" spans="1:14" ht="16" hidden="1" thickBot="1">
      <c r="A60" s="90">
        <v>57</v>
      </c>
      <c r="B60" s="91" t="s">
        <v>116</v>
      </c>
      <c r="C60" s="91" t="s">
        <v>83</v>
      </c>
      <c r="D60" s="92">
        <f>SUMIF(Table13678[DESA /KELURAHAN],B60,Table13678[PAGU ANGGARAN])</f>
        <v>2288238400</v>
      </c>
      <c r="E60" s="93">
        <v>9</v>
      </c>
      <c r="F60" s="93">
        <v>280</v>
      </c>
      <c r="G60" s="93">
        <v>88</v>
      </c>
      <c r="H60" s="82">
        <f t="shared" si="0"/>
        <v>377</v>
      </c>
      <c r="M60" s="110" t="e">
        <f ca="1">_xlfn.XLOOKUP(B60,'[4]KONFIRMASI OPD_final 9 Aprl'!$B$4:$B$125,'[4]KONFIRMASI OPD_final 9 Aprl'!$D$4:$D$125,1,FALSE)</f>
        <v>#NAME?</v>
      </c>
      <c r="N60" s="111" t="e">
        <f t="shared" ca="1" si="1"/>
        <v>#NAME?</v>
      </c>
    </row>
    <row r="61" spans="1:14" ht="16" hidden="1" thickBot="1">
      <c r="A61" s="90">
        <v>58</v>
      </c>
      <c r="B61" s="91" t="s">
        <v>242</v>
      </c>
      <c r="C61" s="91" t="s">
        <v>83</v>
      </c>
      <c r="D61" s="92">
        <f>SUMIF(Table13678[DESA /KELURAHAN],B61,Table13678[PAGU ANGGARAN])</f>
        <v>3329136000</v>
      </c>
      <c r="E61" s="93">
        <v>17</v>
      </c>
      <c r="F61" s="93">
        <v>203</v>
      </c>
      <c r="G61" s="93">
        <v>43</v>
      </c>
      <c r="H61" s="82">
        <f t="shared" si="0"/>
        <v>263</v>
      </c>
      <c r="M61" s="110" t="e">
        <f ca="1">_xlfn.XLOOKUP(B61,'[4]KONFIRMASI OPD_final 9 Aprl'!$B$4:$B$125,'[4]KONFIRMASI OPD_final 9 Aprl'!$D$4:$D$125,1,FALSE)</f>
        <v>#NAME?</v>
      </c>
      <c r="N61" s="111" t="e">
        <f t="shared" ca="1" si="1"/>
        <v>#NAME?</v>
      </c>
    </row>
    <row r="62" spans="1:14" ht="16" hidden="1" thickBot="1">
      <c r="A62" s="94">
        <v>59</v>
      </c>
      <c r="B62" s="95" t="s">
        <v>574</v>
      </c>
      <c r="C62" s="95" t="s">
        <v>83</v>
      </c>
      <c r="D62" s="92">
        <f>SUMIF(Table13678[DESA /KELURAHAN],B62,Table13678[PAGU ANGGARAN])</f>
        <v>8260164800</v>
      </c>
      <c r="E62" s="96">
        <v>12</v>
      </c>
      <c r="F62" s="96">
        <v>113</v>
      </c>
      <c r="G62" s="96">
        <v>76</v>
      </c>
      <c r="H62" s="97">
        <f t="shared" si="0"/>
        <v>201</v>
      </c>
      <c r="M62" s="110" t="e">
        <f ca="1">_xlfn.XLOOKUP(B62,'[4]KONFIRMASI OPD_final 9 Aprl'!$B$4:$B$125,'[4]KONFIRMASI OPD_final 9 Aprl'!$D$4:$D$125,1,FALSE)</f>
        <v>#NAME?</v>
      </c>
      <c r="N62" s="111" t="e">
        <f t="shared" ca="1" si="1"/>
        <v>#NAME?</v>
      </c>
    </row>
    <row r="63" spans="1:14" ht="16" hidden="1" thickBot="1">
      <c r="A63" s="90">
        <v>60</v>
      </c>
      <c r="B63" s="91" t="s">
        <v>630</v>
      </c>
      <c r="C63" s="91" t="s">
        <v>83</v>
      </c>
      <c r="D63" s="92">
        <f>SUMIF(Table13678[DESA /KELURAHAN],B63,Table13678[PAGU ANGGARAN])</f>
        <v>1240112200</v>
      </c>
      <c r="E63" s="93">
        <v>6</v>
      </c>
      <c r="F63" s="93">
        <v>209</v>
      </c>
      <c r="G63" s="93">
        <v>11</v>
      </c>
      <c r="H63" s="82">
        <f t="shared" si="0"/>
        <v>226</v>
      </c>
      <c r="M63" s="110" t="e">
        <f ca="1">_xlfn.XLOOKUP(B63,'[4]KONFIRMASI OPD_final 9 Aprl'!$B$4:$B$125,'[4]KONFIRMASI OPD_final 9 Aprl'!$D$4:$D$125,1,FALSE)</f>
        <v>#NAME?</v>
      </c>
      <c r="N63" s="111" t="e">
        <f t="shared" ca="1" si="1"/>
        <v>#NAME?</v>
      </c>
    </row>
    <row r="64" spans="1:14" ht="16" hidden="1" thickBot="1">
      <c r="A64" s="90">
        <v>61</v>
      </c>
      <c r="B64" s="91" t="s">
        <v>634</v>
      </c>
      <c r="C64" s="91" t="s">
        <v>83</v>
      </c>
      <c r="D64" s="92">
        <f>SUMIF(Table13678[DESA /KELURAHAN],B64,Table13678[PAGU ANGGARAN])</f>
        <v>1046879650</v>
      </c>
      <c r="E64" s="93">
        <v>9</v>
      </c>
      <c r="F64" s="93">
        <v>123</v>
      </c>
      <c r="G64" s="93">
        <v>15</v>
      </c>
      <c r="H64" s="82">
        <f t="shared" si="0"/>
        <v>147</v>
      </c>
      <c r="M64" s="110" t="e">
        <f ca="1">_xlfn.XLOOKUP(B64,'[4]KONFIRMASI OPD_final 9 Aprl'!$B$4:$B$125,'[4]KONFIRMASI OPD_final 9 Aprl'!$D$4:$D$125,1,FALSE)</f>
        <v>#NAME?</v>
      </c>
      <c r="N64" s="111" t="e">
        <f t="shared" ca="1" si="1"/>
        <v>#NAME?</v>
      </c>
    </row>
    <row r="65" spans="1:14" ht="16" hidden="1" thickBot="1">
      <c r="A65" s="90">
        <v>62</v>
      </c>
      <c r="B65" s="91" t="s">
        <v>83</v>
      </c>
      <c r="C65" s="91" t="s">
        <v>83</v>
      </c>
      <c r="D65" s="92">
        <f>SUMIF(Table13678[DESA /KELURAHAN],B65,Table13678[PAGU ANGGARAN])</f>
        <v>2623303800</v>
      </c>
      <c r="E65" s="93">
        <v>6</v>
      </c>
      <c r="F65" s="93">
        <v>105</v>
      </c>
      <c r="G65" s="93">
        <v>9</v>
      </c>
      <c r="H65" s="82">
        <f t="shared" si="0"/>
        <v>120</v>
      </c>
      <c r="M65" s="110" t="e">
        <f ca="1">_xlfn.XLOOKUP(B65,'[4]KONFIRMASI OPD_final 9 Aprl'!$B$4:$B$125,'[4]KONFIRMASI OPD_final 9 Aprl'!$D$4:$D$125,1,FALSE)</f>
        <v>#NAME?</v>
      </c>
      <c r="N65" s="111" t="e">
        <f t="shared" ca="1" si="1"/>
        <v>#NAME?</v>
      </c>
    </row>
    <row r="66" spans="1:14" ht="16" hidden="1" thickBot="1">
      <c r="A66" s="90">
        <v>63</v>
      </c>
      <c r="B66" s="91" t="s">
        <v>752</v>
      </c>
      <c r="C66" s="91" t="s">
        <v>83</v>
      </c>
      <c r="D66" s="92">
        <f>SUMIF(Table13678[DESA /KELURAHAN],B66,Table13678[PAGU ANGGARAN])</f>
        <v>2731415700</v>
      </c>
      <c r="E66" s="93">
        <v>16</v>
      </c>
      <c r="F66" s="93">
        <v>222</v>
      </c>
      <c r="G66" s="93">
        <v>64</v>
      </c>
      <c r="H66" s="82">
        <f t="shared" si="0"/>
        <v>302</v>
      </c>
      <c r="M66" s="110" t="e">
        <f ca="1">_xlfn.XLOOKUP(B66,'[4]KONFIRMASI OPD_final 9 Aprl'!$B$4:$B$125,'[4]KONFIRMASI OPD_final 9 Aprl'!$D$4:$D$125,1,FALSE)</f>
        <v>#NAME?</v>
      </c>
      <c r="N66" s="111" t="e">
        <f t="shared" ca="1" si="1"/>
        <v>#NAME?</v>
      </c>
    </row>
    <row r="67" spans="1:14" ht="16" hidden="1" thickBot="1">
      <c r="A67" s="90">
        <v>64</v>
      </c>
      <c r="B67" s="91" t="s">
        <v>796</v>
      </c>
      <c r="C67" s="91" t="s">
        <v>83</v>
      </c>
      <c r="D67" s="92">
        <f>SUMIF(Table13678[DESA /KELURAHAN],B67,Table13678[PAGU ANGGARAN])</f>
        <v>1258321100</v>
      </c>
      <c r="E67" s="93">
        <v>5</v>
      </c>
      <c r="F67" s="93">
        <v>200</v>
      </c>
      <c r="G67" s="93">
        <v>73</v>
      </c>
      <c r="H67" s="82">
        <f t="shared" si="0"/>
        <v>278</v>
      </c>
      <c r="M67" s="110" t="e">
        <f ca="1">_xlfn.XLOOKUP(B67,'[4]KONFIRMASI OPD_final 9 Aprl'!$B$4:$B$125,'[4]KONFIRMASI OPD_final 9 Aprl'!$D$4:$D$125,1,FALSE)</f>
        <v>#NAME?</v>
      </c>
      <c r="N67" s="111" t="e">
        <f t="shared" ca="1" si="1"/>
        <v>#NAME?</v>
      </c>
    </row>
    <row r="68" spans="1:14" ht="16" hidden="1" thickBot="1">
      <c r="A68" s="90">
        <v>65</v>
      </c>
      <c r="B68" s="91" t="s">
        <v>917</v>
      </c>
      <c r="C68" s="91" t="s">
        <v>83</v>
      </c>
      <c r="D68" s="92">
        <f>SUMIF(Table13678[DESA /KELURAHAN],B68,Table13678[PAGU ANGGARAN])</f>
        <v>1761832100</v>
      </c>
      <c r="E68" s="93">
        <v>10</v>
      </c>
      <c r="F68" s="93">
        <v>103</v>
      </c>
      <c r="G68" s="93">
        <v>42</v>
      </c>
      <c r="H68" s="82">
        <f t="shared" si="0"/>
        <v>155</v>
      </c>
      <c r="M68" s="110" t="e">
        <f ca="1">_xlfn.XLOOKUP(B68,'[4]KONFIRMASI OPD_final 9 Aprl'!$B$4:$B$125,'[4]KONFIRMASI OPD_final 9 Aprl'!$D$4:$D$125,1,FALSE)</f>
        <v>#NAME?</v>
      </c>
      <c r="N68" s="111" t="e">
        <f t="shared" ca="1" si="1"/>
        <v>#NAME?</v>
      </c>
    </row>
    <row r="69" spans="1:14" ht="16" hidden="1" thickBot="1">
      <c r="A69" s="90">
        <v>66</v>
      </c>
      <c r="B69" s="91" t="s">
        <v>937</v>
      </c>
      <c r="C69" s="91" t="s">
        <v>83</v>
      </c>
      <c r="D69" s="92">
        <f>SUMIF(Table13678[DESA /KELURAHAN],B69,Table13678[PAGU ANGGARAN])</f>
        <v>1334794000</v>
      </c>
      <c r="E69" s="93">
        <v>4</v>
      </c>
      <c r="F69" s="93">
        <v>300</v>
      </c>
      <c r="G69" s="93">
        <v>78</v>
      </c>
      <c r="H69" s="82">
        <f t="shared" ref="H69:H125" si="2">SUM(E69:G69)</f>
        <v>382</v>
      </c>
      <c r="M69" s="110" t="e">
        <f ca="1">_xlfn.XLOOKUP(B69,'[4]KONFIRMASI OPD_final 9 Aprl'!$B$4:$B$125,'[4]KONFIRMASI OPD_final 9 Aprl'!$D$4:$D$125,1,FALSE)</f>
        <v>#NAME?</v>
      </c>
      <c r="N69" s="111" t="e">
        <f t="shared" ref="N69:N126" ca="1" si="3">D69-M69</f>
        <v>#NAME?</v>
      </c>
    </row>
    <row r="70" spans="1:14" ht="16" hidden="1" thickBot="1">
      <c r="A70" s="90">
        <v>67</v>
      </c>
      <c r="B70" s="91" t="s">
        <v>287</v>
      </c>
      <c r="C70" s="91" t="s">
        <v>289</v>
      </c>
      <c r="D70" s="92">
        <f>SUMIF(Table13678[DESA /KELURAHAN],B70,Table13678[PAGU ANGGARAN])</f>
        <v>1055373700</v>
      </c>
      <c r="E70" s="93">
        <v>9</v>
      </c>
      <c r="F70" s="93">
        <v>134</v>
      </c>
      <c r="G70" s="93">
        <v>18</v>
      </c>
      <c r="H70" s="82">
        <f t="shared" si="2"/>
        <v>161</v>
      </c>
      <c r="M70" s="110" t="e">
        <f ca="1">_xlfn.XLOOKUP(B70,'[4]KONFIRMASI OPD_final 9 Aprl'!$B$4:$B$125,'[4]KONFIRMASI OPD_final 9 Aprl'!$D$4:$D$125,1,FALSE)</f>
        <v>#NAME?</v>
      </c>
      <c r="N70" s="111" t="e">
        <f t="shared" ca="1" si="3"/>
        <v>#NAME?</v>
      </c>
    </row>
    <row r="71" spans="1:14" ht="16" hidden="1" thickBot="1">
      <c r="A71" s="90">
        <v>68</v>
      </c>
      <c r="B71" s="91" t="s">
        <v>400</v>
      </c>
      <c r="C71" s="91" t="s">
        <v>289</v>
      </c>
      <c r="D71" s="92">
        <f>SUMIF(Table13678[DESA /KELURAHAN],B71,Table13678[PAGU ANGGARAN])</f>
        <v>2039941190</v>
      </c>
      <c r="E71" s="93">
        <v>14</v>
      </c>
      <c r="F71" s="93">
        <v>165</v>
      </c>
      <c r="G71" s="93">
        <v>9</v>
      </c>
      <c r="H71" s="82">
        <f t="shared" si="2"/>
        <v>188</v>
      </c>
      <c r="M71" s="110" t="e">
        <f ca="1">_xlfn.XLOOKUP(B71,'[4]KONFIRMASI OPD_final 9 Aprl'!$B$4:$B$125,'[4]KONFIRMASI OPD_final 9 Aprl'!$D$4:$D$125,1,FALSE)</f>
        <v>#NAME?</v>
      </c>
      <c r="N71" s="111" t="e">
        <f t="shared" ca="1" si="3"/>
        <v>#NAME?</v>
      </c>
    </row>
    <row r="72" spans="1:14" ht="16" hidden="1" thickBot="1">
      <c r="A72" s="90">
        <v>69</v>
      </c>
      <c r="B72" s="91" t="s">
        <v>442</v>
      </c>
      <c r="C72" s="91" t="s">
        <v>289</v>
      </c>
      <c r="D72" s="92">
        <f>SUMIF(Table13678[DESA /KELURAHAN],B72,Table13678[PAGU ANGGARAN])</f>
        <v>1000383800</v>
      </c>
      <c r="E72" s="93">
        <v>12</v>
      </c>
      <c r="F72" s="93">
        <v>253</v>
      </c>
      <c r="G72" s="93">
        <v>23</v>
      </c>
      <c r="H72" s="82">
        <f t="shared" si="2"/>
        <v>288</v>
      </c>
      <c r="M72" s="110" t="e">
        <f ca="1">_xlfn.XLOOKUP(B72,'[4]KONFIRMASI OPD_final 9 Aprl'!$B$4:$B$125,'[4]KONFIRMASI OPD_final 9 Aprl'!$D$4:$D$125,1,FALSE)</f>
        <v>#NAME?</v>
      </c>
      <c r="N72" s="111" t="e">
        <f t="shared" ca="1" si="3"/>
        <v>#NAME?</v>
      </c>
    </row>
    <row r="73" spans="1:14" ht="16" hidden="1" thickBot="1">
      <c r="A73" s="90">
        <v>70</v>
      </c>
      <c r="B73" s="91" t="s">
        <v>511</v>
      </c>
      <c r="C73" s="91" t="s">
        <v>289</v>
      </c>
      <c r="D73" s="92">
        <f>SUMIF(Table13678[DESA /KELURAHAN],B73,Table13678[PAGU ANGGARAN])</f>
        <v>1406443000</v>
      </c>
      <c r="E73" s="93">
        <v>10</v>
      </c>
      <c r="F73" s="93">
        <v>141</v>
      </c>
      <c r="G73" s="93">
        <v>13</v>
      </c>
      <c r="H73" s="82">
        <f t="shared" si="2"/>
        <v>164</v>
      </c>
      <c r="M73" s="110" t="e">
        <f ca="1">_xlfn.XLOOKUP(B73,'[4]KONFIRMASI OPD_final 9 Aprl'!$B$4:$B$125,'[4]KONFIRMASI OPD_final 9 Aprl'!$D$4:$D$125,1,FALSE)</f>
        <v>#NAME?</v>
      </c>
      <c r="N73" s="111" t="e">
        <f t="shared" ca="1" si="3"/>
        <v>#NAME?</v>
      </c>
    </row>
    <row r="74" spans="1:14" ht="16" hidden="1" thickBot="1">
      <c r="A74" s="90">
        <v>71</v>
      </c>
      <c r="B74" s="91" t="s">
        <v>289</v>
      </c>
      <c r="C74" s="91" t="s">
        <v>289</v>
      </c>
      <c r="D74" s="92">
        <f>SUMIF(Table13678[DESA /KELURAHAN],B74,Table13678[PAGU ANGGARAN])</f>
        <v>2410282570</v>
      </c>
      <c r="E74" s="93">
        <v>18</v>
      </c>
      <c r="F74" s="93">
        <v>216</v>
      </c>
      <c r="G74" s="93">
        <v>32</v>
      </c>
      <c r="H74" s="82">
        <f t="shared" si="2"/>
        <v>266</v>
      </c>
      <c r="M74" s="110" t="e">
        <f ca="1">_xlfn.XLOOKUP(B74,'[4]KONFIRMASI OPD_final 9 Aprl'!$B$4:$B$125,'[4]KONFIRMASI OPD_final 9 Aprl'!$D$4:$D$125,1,FALSE)</f>
        <v>#NAME?</v>
      </c>
      <c r="N74" s="111" t="e">
        <f t="shared" ca="1" si="3"/>
        <v>#NAME?</v>
      </c>
    </row>
    <row r="75" spans="1:14" ht="16" hidden="1" thickBot="1">
      <c r="A75" s="90">
        <v>72</v>
      </c>
      <c r="B75" s="91" t="s">
        <v>540</v>
      </c>
      <c r="C75" s="91" t="s">
        <v>289</v>
      </c>
      <c r="D75" s="92">
        <f>SUMIF(Table13678[DESA /KELURAHAN],B75,Table13678[PAGU ANGGARAN])</f>
        <v>1404924900</v>
      </c>
      <c r="E75" s="93">
        <v>8</v>
      </c>
      <c r="F75" s="93">
        <v>145</v>
      </c>
      <c r="G75" s="93">
        <v>45</v>
      </c>
      <c r="H75" s="82">
        <f t="shared" si="2"/>
        <v>198</v>
      </c>
      <c r="M75" s="110" t="e">
        <f ca="1">_xlfn.XLOOKUP(B75,'[4]KONFIRMASI OPD_final 9 Aprl'!$B$4:$B$125,'[4]KONFIRMASI OPD_final 9 Aprl'!$D$4:$D$125,1,FALSE)</f>
        <v>#NAME?</v>
      </c>
      <c r="N75" s="111" t="e">
        <f t="shared" ca="1" si="3"/>
        <v>#NAME?</v>
      </c>
    </row>
    <row r="76" spans="1:14" ht="16" hidden="1" thickBot="1">
      <c r="A76" s="90">
        <v>73</v>
      </c>
      <c r="B76" s="91" t="s">
        <v>565</v>
      </c>
      <c r="C76" s="91" t="s">
        <v>289</v>
      </c>
      <c r="D76" s="92">
        <f>SUMIF(Table13678[DESA /KELURAHAN],B76,Table13678[PAGU ANGGARAN])</f>
        <v>1015215100</v>
      </c>
      <c r="E76" s="93">
        <v>8</v>
      </c>
      <c r="F76" s="93">
        <v>221</v>
      </c>
      <c r="G76" s="93">
        <v>18</v>
      </c>
      <c r="H76" s="82">
        <f t="shared" si="2"/>
        <v>247</v>
      </c>
      <c r="M76" s="110" t="e">
        <f ca="1">_xlfn.XLOOKUP(B76,'[4]KONFIRMASI OPD_final 9 Aprl'!$B$4:$B$125,'[4]KONFIRMASI OPD_final 9 Aprl'!$D$4:$D$125,1,FALSE)</f>
        <v>#NAME?</v>
      </c>
      <c r="N76" s="111" t="e">
        <f t="shared" ca="1" si="3"/>
        <v>#NAME?</v>
      </c>
    </row>
    <row r="77" spans="1:14" ht="16" hidden="1" thickBot="1">
      <c r="A77" s="90">
        <v>74</v>
      </c>
      <c r="B77" s="91" t="s">
        <v>605</v>
      </c>
      <c r="C77" s="91" t="s">
        <v>289</v>
      </c>
      <c r="D77" s="92">
        <f>SUMIF(Table13678[DESA /KELURAHAN],B77,Table13678[PAGU ANGGARAN])</f>
        <v>2328892000</v>
      </c>
      <c r="E77" s="93">
        <v>12</v>
      </c>
      <c r="F77" s="93">
        <v>208</v>
      </c>
      <c r="G77" s="93">
        <v>48</v>
      </c>
      <c r="H77" s="82">
        <f t="shared" si="2"/>
        <v>268</v>
      </c>
      <c r="M77" s="110" t="e">
        <f ca="1">_xlfn.XLOOKUP(B77,'[4]KONFIRMASI OPD_final 9 Aprl'!$B$4:$B$125,'[4]KONFIRMASI OPD_final 9 Aprl'!$D$4:$D$125,1,FALSE)</f>
        <v>#NAME?</v>
      </c>
      <c r="N77" s="111" t="e">
        <f t="shared" ca="1" si="3"/>
        <v>#NAME?</v>
      </c>
    </row>
    <row r="78" spans="1:14" ht="16" hidden="1" thickBot="1">
      <c r="A78" s="90">
        <v>75</v>
      </c>
      <c r="B78" s="91" t="s">
        <v>614</v>
      </c>
      <c r="C78" s="91" t="s">
        <v>289</v>
      </c>
      <c r="D78" s="92">
        <f>SUMIF(Table13678[DESA /KELURAHAN],B78,Table13678[PAGU ANGGARAN])</f>
        <v>1211648425</v>
      </c>
      <c r="E78" s="93">
        <v>9</v>
      </c>
      <c r="F78" s="93">
        <v>191</v>
      </c>
      <c r="G78" s="93">
        <v>61</v>
      </c>
      <c r="H78" s="82">
        <f t="shared" si="2"/>
        <v>261</v>
      </c>
      <c r="M78" s="110" t="e">
        <f ca="1">_xlfn.XLOOKUP(B78,'[4]KONFIRMASI OPD_final 9 Aprl'!$B$4:$B$125,'[4]KONFIRMASI OPD_final 9 Aprl'!$D$4:$D$125,1,FALSE)</f>
        <v>#NAME?</v>
      </c>
      <c r="N78" s="111" t="e">
        <f t="shared" ca="1" si="3"/>
        <v>#NAME?</v>
      </c>
    </row>
    <row r="79" spans="1:14" ht="16" hidden="1" thickBot="1">
      <c r="A79" s="90">
        <v>76</v>
      </c>
      <c r="B79" s="91" t="s">
        <v>727</v>
      </c>
      <c r="C79" s="91" t="s">
        <v>289</v>
      </c>
      <c r="D79" s="92">
        <f>SUMIF(Table13678[DESA /KELURAHAN],B79,Table13678[PAGU ANGGARAN])</f>
        <v>1080953740</v>
      </c>
      <c r="E79" s="93">
        <v>11</v>
      </c>
      <c r="F79" s="93">
        <v>229</v>
      </c>
      <c r="G79" s="93">
        <v>27</v>
      </c>
      <c r="H79" s="82">
        <f t="shared" si="2"/>
        <v>267</v>
      </c>
      <c r="M79" s="110" t="e">
        <f ca="1">_xlfn.XLOOKUP(B79,'[4]KONFIRMASI OPD_final 9 Aprl'!$B$4:$B$125,'[4]KONFIRMASI OPD_final 9 Aprl'!$D$4:$D$125,1,FALSE)</f>
        <v>#NAME?</v>
      </c>
      <c r="N79" s="111" t="e">
        <f t="shared" ca="1" si="3"/>
        <v>#NAME?</v>
      </c>
    </row>
    <row r="80" spans="1:14" ht="16" hidden="1" thickBot="1">
      <c r="A80" s="90">
        <v>77</v>
      </c>
      <c r="B80" s="91" t="s">
        <v>745</v>
      </c>
      <c r="C80" s="91" t="s">
        <v>289</v>
      </c>
      <c r="D80" s="92">
        <f>SUMIF(Table13678[DESA /KELURAHAN],B80,Table13678[PAGU ANGGARAN])</f>
        <v>1478774700</v>
      </c>
      <c r="E80" s="93">
        <v>9</v>
      </c>
      <c r="F80" s="93">
        <v>111</v>
      </c>
      <c r="G80" s="93">
        <v>21</v>
      </c>
      <c r="H80" s="82">
        <f t="shared" si="2"/>
        <v>141</v>
      </c>
      <c r="M80" s="110" t="e">
        <f ca="1">_xlfn.XLOOKUP(B80,'[4]KONFIRMASI OPD_final 9 Aprl'!$B$4:$B$125,'[4]KONFIRMASI OPD_final 9 Aprl'!$D$4:$D$125,1,FALSE)</f>
        <v>#NAME?</v>
      </c>
      <c r="N80" s="111" t="e">
        <f t="shared" ca="1" si="3"/>
        <v>#NAME?</v>
      </c>
    </row>
    <row r="81" spans="1:14" ht="16" hidden="1" thickBot="1">
      <c r="A81" s="90">
        <v>78</v>
      </c>
      <c r="B81" s="91" t="s">
        <v>762</v>
      </c>
      <c r="C81" s="91" t="s">
        <v>289</v>
      </c>
      <c r="D81" s="92">
        <f>SUMIF(Table13678[DESA /KELURAHAN],B81,Table13678[PAGU ANGGARAN])</f>
        <v>1979208200</v>
      </c>
      <c r="E81" s="93">
        <v>8</v>
      </c>
      <c r="F81" s="93">
        <v>111</v>
      </c>
      <c r="G81" s="93">
        <v>65</v>
      </c>
      <c r="H81" s="82">
        <f t="shared" si="2"/>
        <v>184</v>
      </c>
      <c r="M81" s="110" t="e">
        <f ca="1">_xlfn.XLOOKUP(B81,'[4]KONFIRMASI OPD_final 9 Aprl'!$B$4:$B$125,'[4]KONFIRMASI OPD_final 9 Aprl'!$D$4:$D$125,1,FALSE)</f>
        <v>#NAME?</v>
      </c>
      <c r="N81" s="111" t="e">
        <f t="shared" ca="1" si="3"/>
        <v>#NAME?</v>
      </c>
    </row>
    <row r="82" spans="1:14" ht="16" hidden="1" thickBot="1">
      <c r="A82" s="90">
        <v>79</v>
      </c>
      <c r="B82" s="91" t="s">
        <v>792</v>
      </c>
      <c r="C82" s="91" t="s">
        <v>289</v>
      </c>
      <c r="D82" s="92">
        <f>SUMIF(Table13678[DESA /KELURAHAN],B82,Table13678[PAGU ANGGARAN])</f>
        <v>1028406200</v>
      </c>
      <c r="E82" s="93">
        <v>6</v>
      </c>
      <c r="F82" s="93">
        <v>246</v>
      </c>
      <c r="G82" s="93">
        <v>22</v>
      </c>
      <c r="H82" s="82">
        <f t="shared" si="2"/>
        <v>274</v>
      </c>
      <c r="M82" s="110" t="e">
        <f ca="1">_xlfn.XLOOKUP(B82,'[4]KONFIRMASI OPD_final 9 Aprl'!$B$4:$B$125,'[4]KONFIRMASI OPD_final 9 Aprl'!$D$4:$D$125,1,FALSE)</f>
        <v>#NAME?</v>
      </c>
      <c r="N82" s="111" t="e">
        <f t="shared" ca="1" si="3"/>
        <v>#NAME?</v>
      </c>
    </row>
    <row r="83" spans="1:14" ht="16" hidden="1" thickBot="1">
      <c r="A83" s="90">
        <v>80</v>
      </c>
      <c r="B83" s="103" t="s">
        <v>811</v>
      </c>
      <c r="C83" s="91" t="s">
        <v>289</v>
      </c>
      <c r="D83" s="92">
        <f>SUMIF(Table13678[DESA /KELURAHAN],B83,Table13678[PAGU ANGGARAN])</f>
        <v>1049248400</v>
      </c>
      <c r="E83" s="93">
        <v>17</v>
      </c>
      <c r="F83" s="93">
        <v>53</v>
      </c>
      <c r="G83" s="93">
        <v>6</v>
      </c>
      <c r="H83" s="82">
        <f t="shared" si="2"/>
        <v>76</v>
      </c>
      <c r="M83" s="110" t="e">
        <f ca="1">_xlfn.XLOOKUP(B83,'[4]KONFIRMASI OPD_final 9 Aprl'!$B$4:$B$125,'[4]KONFIRMASI OPD_final 9 Aprl'!$D$4:$D$125,1,FALSE)</f>
        <v>#NAME?</v>
      </c>
      <c r="N83" s="111" t="e">
        <f t="shared" ca="1" si="3"/>
        <v>#NAME?</v>
      </c>
    </row>
    <row r="84" spans="1:14" ht="16" hidden="1" thickBot="1">
      <c r="A84" s="94">
        <v>81</v>
      </c>
      <c r="B84" s="95" t="s">
        <v>882</v>
      </c>
      <c r="C84" s="95" t="s">
        <v>289</v>
      </c>
      <c r="D84" s="92">
        <f>SUMIF(Table13678[DESA /KELURAHAN],B84,Table13678[PAGU ANGGARAN])</f>
        <v>11508210600</v>
      </c>
      <c r="E84" s="96">
        <v>16</v>
      </c>
      <c r="F84" s="96">
        <v>480</v>
      </c>
      <c r="G84" s="96">
        <v>53</v>
      </c>
      <c r="H84" s="97">
        <f t="shared" si="2"/>
        <v>549</v>
      </c>
      <c r="M84" s="110" t="e">
        <f ca="1">_xlfn.XLOOKUP(B84,'[4]KONFIRMASI OPD_final 9 Aprl'!$B$4:$B$125,'[4]KONFIRMASI OPD_final 9 Aprl'!$D$4:$D$125,1,FALSE)</f>
        <v>#NAME?</v>
      </c>
      <c r="N84" s="111" t="e">
        <f t="shared" ca="1" si="3"/>
        <v>#NAME?</v>
      </c>
    </row>
    <row r="85" spans="1:14" ht="16" hidden="1" thickBot="1">
      <c r="A85" s="90">
        <v>82</v>
      </c>
      <c r="B85" s="91" t="s">
        <v>911</v>
      </c>
      <c r="C85" s="91" t="s">
        <v>289</v>
      </c>
      <c r="D85" s="92">
        <f>SUMIF(Table13678[DESA /KELURAHAN],B85,Table13678[PAGU ANGGARAN])</f>
        <v>2215433300</v>
      </c>
      <c r="E85" s="93">
        <v>13</v>
      </c>
      <c r="F85" s="93">
        <v>421</v>
      </c>
      <c r="G85" s="93">
        <v>60</v>
      </c>
      <c r="H85" s="82">
        <f t="shared" si="2"/>
        <v>494</v>
      </c>
      <c r="M85" s="110" t="e">
        <f ca="1">_xlfn.XLOOKUP(B85,'[4]KONFIRMASI OPD_final 9 Aprl'!$B$4:$B$125,'[4]KONFIRMASI OPD_final 9 Aprl'!$D$4:$D$125,1,FALSE)</f>
        <v>#NAME?</v>
      </c>
      <c r="N85" s="111" t="e">
        <f t="shared" ca="1" si="3"/>
        <v>#NAME?</v>
      </c>
    </row>
    <row r="86" spans="1:14" ht="16" hidden="1" thickBot="1">
      <c r="A86" s="90">
        <v>83</v>
      </c>
      <c r="B86" s="91" t="s">
        <v>168</v>
      </c>
      <c r="C86" s="91" t="s">
        <v>168</v>
      </c>
      <c r="D86" s="92">
        <f>SUMIF(Table13678[DESA /KELURAHAN],B86,Table13678[PAGU ANGGARAN])</f>
        <v>4931784600</v>
      </c>
      <c r="E86" s="93">
        <v>21</v>
      </c>
      <c r="F86" s="93">
        <v>113</v>
      </c>
      <c r="G86" s="93">
        <v>10</v>
      </c>
      <c r="H86" s="82">
        <f t="shared" si="2"/>
        <v>144</v>
      </c>
      <c r="M86" s="110" t="e">
        <f ca="1">_xlfn.XLOOKUP(B86,'[4]KONFIRMASI OPD_final 9 Aprl'!$B$4:$B$125,'[4]KONFIRMASI OPD_final 9 Aprl'!$D$4:$D$125,1,FALSE)</f>
        <v>#NAME?</v>
      </c>
      <c r="N86" s="111" t="e">
        <f t="shared" ca="1" si="3"/>
        <v>#NAME?</v>
      </c>
    </row>
    <row r="87" spans="1:14" ht="16" hidden="1" thickBot="1">
      <c r="A87" s="90">
        <v>84</v>
      </c>
      <c r="B87" s="91" t="s">
        <v>166</v>
      </c>
      <c r="C87" s="91" t="s">
        <v>168</v>
      </c>
      <c r="D87" s="92">
        <f>SUMIF(Table13678[DESA /KELURAHAN],B87,Table13678[PAGU ANGGARAN])</f>
        <v>1763731200</v>
      </c>
      <c r="E87" s="93">
        <v>10</v>
      </c>
      <c r="F87" s="93">
        <v>214</v>
      </c>
      <c r="G87" s="93">
        <v>44</v>
      </c>
      <c r="H87" s="82">
        <f t="shared" si="2"/>
        <v>268</v>
      </c>
      <c r="M87" s="110" t="e">
        <f ca="1">_xlfn.XLOOKUP(B87,'[4]KONFIRMASI OPD_final 9 Aprl'!$B$4:$B$125,'[4]KONFIRMASI OPD_final 9 Aprl'!$D$4:$D$125,1,FALSE)</f>
        <v>#NAME?</v>
      </c>
      <c r="N87" s="111" t="e">
        <f t="shared" ca="1" si="3"/>
        <v>#NAME?</v>
      </c>
    </row>
    <row r="88" spans="1:14" ht="16" hidden="1" thickBot="1">
      <c r="A88" s="90">
        <v>85</v>
      </c>
      <c r="B88" s="91" t="s">
        <v>890</v>
      </c>
      <c r="C88" s="91" t="s">
        <v>168</v>
      </c>
      <c r="D88" s="92">
        <f>SUMIF(Table13678[DESA /KELURAHAN],B88,Table13678[PAGU ANGGARAN])</f>
        <v>2766229600</v>
      </c>
      <c r="E88" s="93">
        <v>10</v>
      </c>
      <c r="F88" s="93">
        <v>153</v>
      </c>
      <c r="G88" s="93">
        <v>42</v>
      </c>
      <c r="H88" s="82">
        <f t="shared" si="2"/>
        <v>205</v>
      </c>
      <c r="M88" s="110" t="e">
        <f ca="1">_xlfn.XLOOKUP(B88,'[4]KONFIRMASI OPD_final 9 Aprl'!$B$4:$B$125,'[4]KONFIRMASI OPD_final 9 Aprl'!$D$4:$D$125,1,FALSE)</f>
        <v>#NAME?</v>
      </c>
      <c r="N88" s="111" t="e">
        <f t="shared" ca="1" si="3"/>
        <v>#NAME?</v>
      </c>
    </row>
    <row r="89" spans="1:14" ht="16" hidden="1" thickBot="1">
      <c r="A89" s="94">
        <v>86</v>
      </c>
      <c r="B89" s="95" t="s">
        <v>411</v>
      </c>
      <c r="C89" s="95" t="s">
        <v>168</v>
      </c>
      <c r="D89" s="92">
        <f>SUMIF(Table13678[DESA /KELURAHAN],B89,Table13678[PAGU ANGGARAN])</f>
        <v>6772726900</v>
      </c>
      <c r="E89" s="96">
        <v>10</v>
      </c>
      <c r="F89" s="96">
        <v>86</v>
      </c>
      <c r="G89" s="96">
        <v>30</v>
      </c>
      <c r="H89" s="97">
        <f t="shared" si="2"/>
        <v>126</v>
      </c>
      <c r="M89" s="110" t="e">
        <f ca="1">_xlfn.XLOOKUP(B89,'[4]KONFIRMASI OPD_final 9 Aprl'!$B$4:$B$125,'[4]KONFIRMASI OPD_final 9 Aprl'!$D$4:$D$125,1,FALSE)</f>
        <v>#NAME?</v>
      </c>
      <c r="N89" s="111" t="e">
        <f t="shared" ca="1" si="3"/>
        <v>#NAME?</v>
      </c>
    </row>
    <row r="90" spans="1:14" ht="16" hidden="1" thickBot="1">
      <c r="A90" s="90">
        <v>87</v>
      </c>
      <c r="B90" s="91" t="s">
        <v>569</v>
      </c>
      <c r="C90" s="91" t="s">
        <v>168</v>
      </c>
      <c r="D90" s="92">
        <f>SUMIF(Table13678[DESA /KELURAHAN],B90,Table13678[PAGU ANGGARAN])</f>
        <v>1128306700</v>
      </c>
      <c r="E90" s="93">
        <v>6</v>
      </c>
      <c r="F90" s="93">
        <v>222</v>
      </c>
      <c r="G90" s="93">
        <v>51</v>
      </c>
      <c r="H90" s="82">
        <f t="shared" si="2"/>
        <v>279</v>
      </c>
      <c r="M90" s="110" t="e">
        <f ca="1">_xlfn.XLOOKUP(B90,'[4]KONFIRMASI OPD_final 9 Aprl'!$B$4:$B$125,'[4]KONFIRMASI OPD_final 9 Aprl'!$D$4:$D$125,1,FALSE)</f>
        <v>#NAME?</v>
      </c>
      <c r="N90" s="111" t="e">
        <f t="shared" ca="1" si="3"/>
        <v>#NAME?</v>
      </c>
    </row>
    <row r="91" spans="1:14" ht="16" hidden="1" thickBot="1">
      <c r="A91" s="90">
        <v>88</v>
      </c>
      <c r="B91" s="91" t="s">
        <v>678</v>
      </c>
      <c r="C91" s="91" t="s">
        <v>168</v>
      </c>
      <c r="D91" s="92">
        <f>SUMIF(Table13678[DESA /KELURAHAN],B91,Table13678[PAGU ANGGARAN])</f>
        <v>2401308400</v>
      </c>
      <c r="E91" s="93">
        <v>12</v>
      </c>
      <c r="F91" s="93">
        <v>253</v>
      </c>
      <c r="G91" s="93">
        <v>65</v>
      </c>
      <c r="H91" s="82">
        <f t="shared" si="2"/>
        <v>330</v>
      </c>
      <c r="M91" s="110" t="e">
        <f ca="1">_xlfn.XLOOKUP(B91,'[4]KONFIRMASI OPD_final 9 Aprl'!$B$4:$B$125,'[4]KONFIRMASI OPD_final 9 Aprl'!$D$4:$D$125,1,FALSE)</f>
        <v>#NAME?</v>
      </c>
      <c r="N91" s="111" t="e">
        <f t="shared" ca="1" si="3"/>
        <v>#NAME?</v>
      </c>
    </row>
    <row r="92" spans="1:14" ht="16" hidden="1" thickBot="1">
      <c r="A92" s="90">
        <v>89</v>
      </c>
      <c r="B92" s="91" t="s">
        <v>377</v>
      </c>
      <c r="C92" s="91" t="s">
        <v>168</v>
      </c>
      <c r="D92" s="92">
        <f>SUMIF(Table13678[DESA /KELURAHAN],B92,Table13678[PAGU ANGGARAN])</f>
        <v>2333611500</v>
      </c>
      <c r="E92" s="93">
        <v>9</v>
      </c>
      <c r="F92" s="93">
        <v>205</v>
      </c>
      <c r="G92" s="93">
        <v>49</v>
      </c>
      <c r="H92" s="82">
        <f t="shared" si="2"/>
        <v>263</v>
      </c>
      <c r="M92" s="110" t="e">
        <f ca="1">_xlfn.XLOOKUP(B92,'[4]KONFIRMASI OPD_final 9 Aprl'!$B$4:$B$125,'[4]KONFIRMASI OPD_final 9 Aprl'!$D$4:$D$125,1,FALSE)</f>
        <v>#NAME?</v>
      </c>
      <c r="N92" s="111" t="e">
        <f t="shared" ca="1" si="3"/>
        <v>#NAME?</v>
      </c>
    </row>
    <row r="93" spans="1:14" ht="16" hidden="1" thickBot="1">
      <c r="A93" s="90">
        <v>90</v>
      </c>
      <c r="B93" s="91" t="s">
        <v>803</v>
      </c>
      <c r="C93" s="91" t="s">
        <v>168</v>
      </c>
      <c r="D93" s="92">
        <f>SUMIF(Table13678[DESA /KELURAHAN],B93,Table13678[PAGU ANGGARAN])</f>
        <v>1141970400</v>
      </c>
      <c r="E93" s="93">
        <v>9</v>
      </c>
      <c r="F93" s="93">
        <v>96</v>
      </c>
      <c r="G93" s="93">
        <v>24</v>
      </c>
      <c r="H93" s="82">
        <f t="shared" si="2"/>
        <v>129</v>
      </c>
      <c r="M93" s="110" t="e">
        <f ca="1">_xlfn.XLOOKUP(B93,'[4]KONFIRMASI OPD_final 9 Aprl'!$B$4:$B$125,'[4]KONFIRMASI OPD_final 9 Aprl'!$D$4:$D$125,1,FALSE)</f>
        <v>#NAME?</v>
      </c>
      <c r="N93" s="111" t="e">
        <f t="shared" ca="1" si="3"/>
        <v>#NAME?</v>
      </c>
    </row>
    <row r="94" spans="1:14" ht="16" hidden="1" thickBot="1">
      <c r="A94" s="90">
        <v>91</v>
      </c>
      <c r="B94" s="91" t="s">
        <v>435</v>
      </c>
      <c r="C94" s="91" t="s">
        <v>168</v>
      </c>
      <c r="D94" s="92">
        <f>SUMIF(Table13678[DESA /KELURAHAN],B94,Table13678[PAGU ANGGARAN])</f>
        <v>1005829424</v>
      </c>
      <c r="E94" s="93">
        <v>8</v>
      </c>
      <c r="F94" s="93">
        <v>183</v>
      </c>
      <c r="G94" s="93">
        <v>33</v>
      </c>
      <c r="H94" s="82">
        <f t="shared" si="2"/>
        <v>224</v>
      </c>
      <c r="M94" s="110" t="e">
        <f ca="1">_xlfn.XLOOKUP(B94,'[4]KONFIRMASI OPD_final 9 Aprl'!$B$4:$B$125,'[4]KONFIRMASI OPD_final 9 Aprl'!$D$4:$D$125,1,FALSE)</f>
        <v>#NAME?</v>
      </c>
      <c r="N94" s="111" t="e">
        <f t="shared" ca="1" si="3"/>
        <v>#NAME?</v>
      </c>
    </row>
    <row r="95" spans="1:14" ht="16" hidden="1" thickBot="1">
      <c r="A95" s="90">
        <v>92</v>
      </c>
      <c r="B95" s="91" t="s">
        <v>184</v>
      </c>
      <c r="C95" s="91" t="s">
        <v>168</v>
      </c>
      <c r="D95" s="92">
        <f>SUMIF(Table13678[DESA /KELURAHAN],B95,Table13678[PAGU ANGGARAN])</f>
        <v>1740821200</v>
      </c>
      <c r="E95" s="93">
        <v>11</v>
      </c>
      <c r="F95" s="93">
        <v>383</v>
      </c>
      <c r="G95" s="93">
        <v>78</v>
      </c>
      <c r="H95" s="82">
        <f t="shared" si="2"/>
        <v>472</v>
      </c>
      <c r="M95" s="110" t="e">
        <f ca="1">_xlfn.XLOOKUP(B95,'[4]KONFIRMASI OPD_final 9 Aprl'!$B$4:$B$125,'[4]KONFIRMASI OPD_final 9 Aprl'!$D$4:$D$125,1,FALSE)</f>
        <v>#NAME?</v>
      </c>
      <c r="N95" s="111" t="e">
        <f t="shared" ca="1" si="3"/>
        <v>#NAME?</v>
      </c>
    </row>
    <row r="96" spans="1:14" ht="16" hidden="1" thickBot="1">
      <c r="A96" s="90">
        <v>93</v>
      </c>
      <c r="B96" s="98" t="s">
        <v>485</v>
      </c>
      <c r="C96" s="91" t="s">
        <v>168</v>
      </c>
      <c r="D96" s="92">
        <f>SUMIF(Table13678[DESA /KELURAHAN],B96,Table13678[PAGU ANGGARAN])</f>
        <v>1019802800</v>
      </c>
      <c r="E96" s="93">
        <v>5</v>
      </c>
      <c r="F96" s="93">
        <v>112</v>
      </c>
      <c r="G96" s="93">
        <v>25</v>
      </c>
      <c r="H96" s="82">
        <f t="shared" si="2"/>
        <v>142</v>
      </c>
      <c r="I96" s="99">
        <v>1000000000</v>
      </c>
      <c r="J96" s="100">
        <f>I96-D96</f>
        <v>-19802800</v>
      </c>
      <c r="K96" s="101">
        <v>7</v>
      </c>
      <c r="L96" s="102" t="s">
        <v>974</v>
      </c>
      <c r="M96" s="110" t="e">
        <f ca="1">_xlfn.XLOOKUP(B96,'[4]KONFIRMASI OPD_final 9 Aprl'!$B$4:$B$125,'[4]KONFIRMASI OPD_final 9 Aprl'!$D$4:$D$125,1,FALSE)</f>
        <v>#NAME?</v>
      </c>
      <c r="N96" s="111" t="e">
        <f t="shared" ca="1" si="3"/>
        <v>#NAME?</v>
      </c>
    </row>
    <row r="97" spans="1:14" ht="16" hidden="1" thickBot="1">
      <c r="A97" s="90">
        <v>94</v>
      </c>
      <c r="B97" s="91" t="s">
        <v>270</v>
      </c>
      <c r="C97" s="91" t="s">
        <v>168</v>
      </c>
      <c r="D97" s="92">
        <f>SUMIF(Table13678[DESA /KELURAHAN],B97,Table13678[PAGU ANGGARAN])</f>
        <v>1019938200</v>
      </c>
      <c r="E97" s="93">
        <v>13</v>
      </c>
      <c r="F97" s="93">
        <v>148</v>
      </c>
      <c r="G97" s="93">
        <v>16</v>
      </c>
      <c r="H97" s="82">
        <f t="shared" si="2"/>
        <v>177</v>
      </c>
      <c r="M97" s="110" t="e">
        <f ca="1">_xlfn.XLOOKUP(B97,'[4]KONFIRMASI OPD_final 9 Aprl'!$B$4:$B$125,'[4]KONFIRMASI OPD_final 9 Aprl'!$D$4:$D$125,1,FALSE)</f>
        <v>#NAME?</v>
      </c>
      <c r="N97" s="111" t="e">
        <f t="shared" ca="1" si="3"/>
        <v>#NAME?</v>
      </c>
    </row>
    <row r="98" spans="1:14" ht="16" hidden="1" thickBot="1">
      <c r="A98" s="90">
        <v>95</v>
      </c>
      <c r="B98" s="103" t="s">
        <v>426</v>
      </c>
      <c r="C98" s="91" t="s">
        <v>168</v>
      </c>
      <c r="D98" s="92">
        <f>SUMIF(Table13678[DESA /KELURAHAN],B98,Table13678[PAGU ANGGARAN])</f>
        <v>1036926928</v>
      </c>
      <c r="E98" s="93">
        <v>11</v>
      </c>
      <c r="F98" s="93">
        <v>135</v>
      </c>
      <c r="G98" s="93">
        <v>7</v>
      </c>
      <c r="H98" s="82">
        <f t="shared" si="2"/>
        <v>153</v>
      </c>
      <c r="M98" s="110" t="e">
        <f ca="1">_xlfn.XLOOKUP(B98,'[4]KONFIRMASI OPD_final 9 Aprl'!$B$4:$B$125,'[4]KONFIRMASI OPD_final 9 Aprl'!$D$4:$D$125,1,FALSE)</f>
        <v>#NAME?</v>
      </c>
      <c r="N98" s="111" t="e">
        <f t="shared" ca="1" si="3"/>
        <v>#NAME?</v>
      </c>
    </row>
    <row r="99" spans="1:14" ht="16" hidden="1" thickBot="1">
      <c r="A99" s="90">
        <v>96</v>
      </c>
      <c r="B99" s="103" t="s">
        <v>831</v>
      </c>
      <c r="C99" s="91" t="s">
        <v>168</v>
      </c>
      <c r="D99" s="92">
        <f>SUMIF(Table13678[DESA /KELURAHAN],B99,Table13678[PAGU ANGGARAN])</f>
        <v>1059053600</v>
      </c>
      <c r="E99" s="93">
        <v>7</v>
      </c>
      <c r="F99" s="93">
        <v>72</v>
      </c>
      <c r="G99" s="93">
        <v>17</v>
      </c>
      <c r="H99" s="82">
        <f t="shared" si="2"/>
        <v>96</v>
      </c>
      <c r="M99" s="110" t="e">
        <f ca="1">_xlfn.XLOOKUP(B99,'[4]KONFIRMASI OPD_final 9 Aprl'!$B$4:$B$125,'[4]KONFIRMASI OPD_final 9 Aprl'!$D$4:$D$125,1,FALSE)</f>
        <v>#NAME?</v>
      </c>
      <c r="N99" s="111" t="e">
        <f t="shared" ca="1" si="3"/>
        <v>#NAME?</v>
      </c>
    </row>
    <row r="100" spans="1:14" ht="16" hidden="1" thickBot="1">
      <c r="A100" s="90">
        <v>97</v>
      </c>
      <c r="B100" s="91" t="s">
        <v>506</v>
      </c>
      <c r="C100" s="91" t="s">
        <v>168</v>
      </c>
      <c r="D100" s="92">
        <f>SUMIF(Table13678[DESA /KELURAHAN],B100,Table13678[PAGU ANGGARAN])</f>
        <v>1083551100</v>
      </c>
      <c r="E100" s="93">
        <v>12</v>
      </c>
      <c r="F100" s="93">
        <v>94</v>
      </c>
      <c r="G100" s="93">
        <v>10</v>
      </c>
      <c r="H100" s="82">
        <f t="shared" si="2"/>
        <v>116</v>
      </c>
      <c r="M100" s="110" t="e">
        <f ca="1">_xlfn.XLOOKUP(B100,'[4]KONFIRMASI OPD_final 9 Aprl'!$B$4:$B$125,'[4]KONFIRMASI OPD_final 9 Aprl'!$D$4:$D$125,1,FALSE)</f>
        <v>#NAME?</v>
      </c>
      <c r="N100" s="111" t="e">
        <f t="shared" ca="1" si="3"/>
        <v>#NAME?</v>
      </c>
    </row>
    <row r="101" spans="1:14" ht="16" hidden="1" thickBot="1">
      <c r="A101" s="90">
        <v>98</v>
      </c>
      <c r="B101" s="91" t="s">
        <v>415</v>
      </c>
      <c r="C101" s="91" t="s">
        <v>415</v>
      </c>
      <c r="D101" s="92">
        <f>SUMIF(Table13678[DESA /KELURAHAN],B101,Table13678[PAGU ANGGARAN])</f>
        <v>2193195036</v>
      </c>
      <c r="E101" s="93">
        <v>14</v>
      </c>
      <c r="F101" s="93">
        <v>304</v>
      </c>
      <c r="G101" s="93">
        <v>48</v>
      </c>
      <c r="H101" s="82">
        <f t="shared" si="2"/>
        <v>366</v>
      </c>
      <c r="M101" s="110" t="e">
        <f ca="1">_xlfn.XLOOKUP(B101,'[4]KONFIRMASI OPD_final 9 Aprl'!$B$4:$B$125,'[4]KONFIRMASI OPD_final 9 Aprl'!$D$4:$D$125,1,FALSE)</f>
        <v>#NAME?</v>
      </c>
      <c r="N101" s="111" t="e">
        <f t="shared" ca="1" si="3"/>
        <v>#NAME?</v>
      </c>
    </row>
    <row r="102" spans="1:14" ht="16" hidden="1" thickBot="1">
      <c r="A102" s="90">
        <v>99</v>
      </c>
      <c r="B102" s="91" t="s">
        <v>552</v>
      </c>
      <c r="C102" s="91" t="s">
        <v>415</v>
      </c>
      <c r="D102" s="92">
        <f>SUMIF(Table13678[DESA /KELURAHAN],B102,Table13678[PAGU ANGGARAN])</f>
        <v>3229477900</v>
      </c>
      <c r="E102" s="93">
        <v>8</v>
      </c>
      <c r="F102" s="93">
        <v>271</v>
      </c>
      <c r="G102" s="93">
        <v>31</v>
      </c>
      <c r="H102" s="82">
        <f t="shared" si="2"/>
        <v>310</v>
      </c>
      <c r="M102" s="110" t="e">
        <f ca="1">_xlfn.XLOOKUP(B102,'[4]KONFIRMASI OPD_final 9 Aprl'!$B$4:$B$125,'[4]KONFIRMASI OPD_final 9 Aprl'!$D$4:$D$125,1,FALSE)</f>
        <v>#NAME?</v>
      </c>
      <c r="N102" s="111" t="e">
        <f t="shared" ca="1" si="3"/>
        <v>#NAME?</v>
      </c>
    </row>
    <row r="103" spans="1:14" ht="16" hidden="1" thickBot="1">
      <c r="A103" s="90">
        <v>100</v>
      </c>
      <c r="B103" s="91" t="s">
        <v>734</v>
      </c>
      <c r="C103" s="91" t="s">
        <v>415</v>
      </c>
      <c r="D103" s="92">
        <f>SUMIF(Table13678[DESA /KELURAHAN],B103,Table13678[PAGU ANGGARAN])</f>
        <v>1911223200</v>
      </c>
      <c r="E103" s="93">
        <v>13</v>
      </c>
      <c r="F103" s="93">
        <v>333</v>
      </c>
      <c r="G103" s="93">
        <v>24</v>
      </c>
      <c r="H103" s="82">
        <f t="shared" si="2"/>
        <v>370</v>
      </c>
      <c r="M103" s="110" t="e">
        <f ca="1">_xlfn.XLOOKUP(B103,'[4]KONFIRMASI OPD_final 9 Aprl'!$B$4:$B$125,'[4]KONFIRMASI OPD_final 9 Aprl'!$D$4:$D$125,1,FALSE)</f>
        <v>#NAME?</v>
      </c>
      <c r="N103" s="111" t="e">
        <f t="shared" ca="1" si="3"/>
        <v>#NAME?</v>
      </c>
    </row>
    <row r="104" spans="1:14" ht="16" hidden="1" thickBot="1">
      <c r="A104" s="94">
        <v>101</v>
      </c>
      <c r="B104" s="95" t="s">
        <v>848</v>
      </c>
      <c r="C104" s="95" t="s">
        <v>415</v>
      </c>
      <c r="D104" s="92">
        <f>SUMIF(Table13678[DESA /KELURAHAN],B104,Table13678[PAGU ANGGARAN])</f>
        <v>8405725363</v>
      </c>
      <c r="E104" s="96">
        <v>7</v>
      </c>
      <c r="F104" s="96">
        <v>411</v>
      </c>
      <c r="G104" s="96">
        <v>12</v>
      </c>
      <c r="H104" s="97">
        <f t="shared" si="2"/>
        <v>430</v>
      </c>
      <c r="M104" s="110" t="e">
        <f ca="1">_xlfn.XLOOKUP(B104,'[4]KONFIRMASI OPD_final 9 Aprl'!$B$4:$B$125,'[4]KONFIRMASI OPD_final 9 Aprl'!$D$4:$D$125,1,FALSE)</f>
        <v>#NAME?</v>
      </c>
      <c r="N104" s="111" t="e">
        <f t="shared" ca="1" si="3"/>
        <v>#NAME?</v>
      </c>
    </row>
    <row r="105" spans="1:14" ht="16" hidden="1" thickBot="1">
      <c r="A105" s="90">
        <v>102</v>
      </c>
      <c r="B105" s="91" t="s">
        <v>670</v>
      </c>
      <c r="C105" s="91" t="s">
        <v>415</v>
      </c>
      <c r="D105" s="92">
        <f>SUMIF(Table13678[DESA /KELURAHAN],B105,Table13678[PAGU ANGGARAN])</f>
        <v>2243894050</v>
      </c>
      <c r="E105" s="93">
        <v>12</v>
      </c>
      <c r="F105" s="93">
        <v>378</v>
      </c>
      <c r="G105" s="93">
        <v>19</v>
      </c>
      <c r="H105" s="82">
        <f t="shared" si="2"/>
        <v>409</v>
      </c>
      <c r="M105" s="110" t="e">
        <f ca="1">_xlfn.XLOOKUP(B105,'[4]KONFIRMASI OPD_final 9 Aprl'!$B$4:$B$125,'[4]KONFIRMASI OPD_final 9 Aprl'!$D$4:$D$125,1,FALSE)</f>
        <v>#NAME?</v>
      </c>
      <c r="N105" s="111" t="e">
        <f t="shared" ca="1" si="3"/>
        <v>#NAME?</v>
      </c>
    </row>
    <row r="106" spans="1:14" ht="16" hidden="1" thickBot="1">
      <c r="A106" s="90">
        <v>103</v>
      </c>
      <c r="B106" s="91" t="s">
        <v>543</v>
      </c>
      <c r="C106" s="91" t="s">
        <v>415</v>
      </c>
      <c r="D106" s="92">
        <f>SUMIF(Table13678[DESA /KELURAHAN],B106,Table13678[PAGU ANGGARAN])</f>
        <v>1054868400</v>
      </c>
      <c r="E106" s="93">
        <v>10</v>
      </c>
      <c r="F106" s="93">
        <v>283</v>
      </c>
      <c r="G106" s="93">
        <v>69</v>
      </c>
      <c r="H106" s="82">
        <f t="shared" si="2"/>
        <v>362</v>
      </c>
      <c r="M106" s="110" t="e">
        <f ca="1">_xlfn.XLOOKUP(B106,'[4]KONFIRMASI OPD_final 9 Aprl'!$B$4:$B$125,'[4]KONFIRMASI OPD_final 9 Aprl'!$D$4:$D$125,1,FALSE)</f>
        <v>#NAME?</v>
      </c>
      <c r="N106" s="111" t="e">
        <f t="shared" ca="1" si="3"/>
        <v>#NAME?</v>
      </c>
    </row>
    <row r="107" spans="1:14" ht="16" hidden="1" thickBot="1">
      <c r="A107" s="90">
        <v>104</v>
      </c>
      <c r="B107" s="91" t="s">
        <v>704</v>
      </c>
      <c r="C107" s="91" t="s">
        <v>415</v>
      </c>
      <c r="D107" s="92">
        <f>SUMIF(Table13678[DESA /KELURAHAN],B107,Table13678[PAGU ANGGARAN])</f>
        <v>8274921780</v>
      </c>
      <c r="E107" s="93">
        <v>17</v>
      </c>
      <c r="F107" s="93">
        <v>323</v>
      </c>
      <c r="G107" s="93">
        <v>96</v>
      </c>
      <c r="H107" s="82">
        <f t="shared" si="2"/>
        <v>436</v>
      </c>
      <c r="M107" s="110" t="e">
        <f ca="1">_xlfn.XLOOKUP(B107,'[4]KONFIRMASI OPD_final 9 Aprl'!$B$4:$B$125,'[4]KONFIRMASI OPD_final 9 Aprl'!$D$4:$D$125,1,FALSE)</f>
        <v>#NAME?</v>
      </c>
      <c r="N107" s="111" t="e">
        <f t="shared" ca="1" si="3"/>
        <v>#NAME?</v>
      </c>
    </row>
    <row r="108" spans="1:14" ht="16" hidden="1" thickBot="1">
      <c r="A108" s="90">
        <v>105</v>
      </c>
      <c r="B108" s="103" t="s">
        <v>739</v>
      </c>
      <c r="C108" s="91" t="s">
        <v>415</v>
      </c>
      <c r="D108" s="92">
        <f>SUMIF(Table13678[DESA /KELURAHAN],B108,Table13678[PAGU ANGGARAN])</f>
        <v>1114501600</v>
      </c>
      <c r="E108" s="93">
        <v>7</v>
      </c>
      <c r="F108" s="93">
        <v>227</v>
      </c>
      <c r="G108" s="93">
        <v>19</v>
      </c>
      <c r="H108" s="82">
        <f t="shared" si="2"/>
        <v>253</v>
      </c>
      <c r="M108" s="110" t="e">
        <f ca="1">_xlfn.XLOOKUP(B108,'[4]KONFIRMASI OPD_final 9 Aprl'!$B$4:$B$125,'[4]KONFIRMASI OPD_final 9 Aprl'!$D$4:$D$125,1,FALSE)</f>
        <v>#NAME?</v>
      </c>
      <c r="N108" s="111" t="e">
        <f t="shared" ca="1" si="3"/>
        <v>#NAME?</v>
      </c>
    </row>
    <row r="109" spans="1:14" ht="16" hidden="1" thickBot="1">
      <c r="A109" s="90">
        <v>106</v>
      </c>
      <c r="B109" s="91" t="s">
        <v>560</v>
      </c>
      <c r="C109" s="91" t="s">
        <v>415</v>
      </c>
      <c r="D109" s="92">
        <f>SUMIF(Table13678[DESA /KELURAHAN],B109,Table13678[PAGU ANGGARAN])</f>
        <v>2401193950</v>
      </c>
      <c r="E109" s="93">
        <v>8</v>
      </c>
      <c r="F109" s="93">
        <v>162</v>
      </c>
      <c r="G109" s="93">
        <v>32</v>
      </c>
      <c r="H109" s="82">
        <f t="shared" si="2"/>
        <v>202</v>
      </c>
      <c r="M109" s="110" t="e">
        <f ca="1">_xlfn.XLOOKUP(B109,'[4]KONFIRMASI OPD_final 9 Aprl'!$B$4:$B$125,'[4]KONFIRMASI OPD_final 9 Aprl'!$D$4:$D$125,1,FALSE)</f>
        <v>#NAME?</v>
      </c>
      <c r="N109" s="111" t="e">
        <f t="shared" ca="1" si="3"/>
        <v>#NAME?</v>
      </c>
    </row>
    <row r="110" spans="1:14" ht="16" hidden="1" thickBot="1">
      <c r="A110" s="90">
        <v>107</v>
      </c>
      <c r="B110" s="91" t="s">
        <v>413</v>
      </c>
      <c r="C110" s="91" t="s">
        <v>415</v>
      </c>
      <c r="D110" s="92">
        <f>SUMIF(Table13678[DESA /KELURAHAN],B110,Table13678[PAGU ANGGARAN])</f>
        <v>1564424400</v>
      </c>
      <c r="E110" s="93">
        <v>7</v>
      </c>
      <c r="F110" s="93">
        <v>249</v>
      </c>
      <c r="G110" s="93">
        <v>29</v>
      </c>
      <c r="H110" s="82">
        <f t="shared" si="2"/>
        <v>285</v>
      </c>
      <c r="M110" s="110" t="e">
        <f ca="1">_xlfn.XLOOKUP(B110,'[4]KONFIRMASI OPD_final 9 Aprl'!$B$4:$B$125,'[4]KONFIRMASI OPD_final 9 Aprl'!$D$4:$D$125,1,FALSE)</f>
        <v>#NAME?</v>
      </c>
      <c r="N110" s="111" t="e">
        <f t="shared" ca="1" si="3"/>
        <v>#NAME?</v>
      </c>
    </row>
    <row r="111" spans="1:14" ht="16" thickBot="1">
      <c r="A111" s="90">
        <v>108</v>
      </c>
      <c r="B111" s="91" t="s">
        <v>206</v>
      </c>
      <c r="C111" s="91" t="s">
        <v>206</v>
      </c>
      <c r="D111" s="92">
        <f>SUMIF(Table13678[DESA /KELURAHAN],B111,Table13678[PAGU ANGGARAN])</f>
        <v>1666323013</v>
      </c>
      <c r="E111" s="93">
        <v>9</v>
      </c>
      <c r="F111" s="93">
        <v>246</v>
      </c>
      <c r="G111" s="93">
        <v>32</v>
      </c>
      <c r="H111" s="82">
        <f t="shared" si="2"/>
        <v>287</v>
      </c>
      <c r="M111" s="110" t="e">
        <f ca="1">_xlfn.XLOOKUP(B111,'[4]KONFIRMASI OPD_final 9 Aprl'!$B$4:$B$125,'[4]KONFIRMASI OPD_final 9 Aprl'!$D$4:$D$125,1,FALSE)</f>
        <v>#NAME?</v>
      </c>
      <c r="N111" s="111" t="e">
        <f t="shared" ca="1" si="3"/>
        <v>#NAME?</v>
      </c>
    </row>
    <row r="112" spans="1:14" ht="16" thickBot="1">
      <c r="A112" s="90">
        <v>109</v>
      </c>
      <c r="B112" s="91" t="s">
        <v>748</v>
      </c>
      <c r="C112" s="91" t="s">
        <v>206</v>
      </c>
      <c r="D112" s="92">
        <f>SUMIF(Table13678[DESA /KELURAHAN],B112,Table13678[PAGU ANGGARAN])</f>
        <v>1409313200</v>
      </c>
      <c r="E112" s="93">
        <v>15</v>
      </c>
      <c r="F112" s="93">
        <v>146</v>
      </c>
      <c r="G112" s="93">
        <v>39</v>
      </c>
      <c r="H112" s="82">
        <f t="shared" si="2"/>
        <v>200</v>
      </c>
      <c r="M112" s="110" t="e">
        <f ca="1">_xlfn.XLOOKUP(B112,'[4]KONFIRMASI OPD_final 9 Aprl'!$B$4:$B$125,'[4]KONFIRMASI OPD_final 9 Aprl'!$D$4:$D$125,1,FALSE)</f>
        <v>#NAME?</v>
      </c>
      <c r="N112" s="111" t="e">
        <f t="shared" ca="1" si="3"/>
        <v>#NAME?</v>
      </c>
    </row>
    <row r="113" spans="1:14" ht="16" thickBot="1">
      <c r="A113" s="94">
        <v>110</v>
      </c>
      <c r="B113" s="95" t="s">
        <v>824</v>
      </c>
      <c r="C113" s="95" t="s">
        <v>206</v>
      </c>
      <c r="D113" s="92">
        <f>SUMIF(Table13678[DESA /KELURAHAN],B113,Table13678[PAGU ANGGARAN])</f>
        <v>4887662300</v>
      </c>
      <c r="E113" s="96">
        <v>19</v>
      </c>
      <c r="F113" s="96">
        <v>211</v>
      </c>
      <c r="G113" s="96">
        <v>73</v>
      </c>
      <c r="H113" s="97">
        <f t="shared" si="2"/>
        <v>303</v>
      </c>
      <c r="M113" s="110" t="e">
        <f ca="1">_xlfn.XLOOKUP(B113,'[4]KONFIRMASI OPD_final 9 Aprl'!$B$4:$B$125,'[4]KONFIRMASI OPD_final 9 Aprl'!$D$4:$D$125,1,FALSE)</f>
        <v>#NAME?</v>
      </c>
      <c r="N113" s="111" t="e">
        <f t="shared" ca="1" si="3"/>
        <v>#NAME?</v>
      </c>
    </row>
    <row r="114" spans="1:14" ht="16" thickBot="1">
      <c r="A114" s="90">
        <v>111</v>
      </c>
      <c r="B114" s="91" t="s">
        <v>692</v>
      </c>
      <c r="C114" s="91" t="s">
        <v>206</v>
      </c>
      <c r="D114" s="92">
        <f>SUMIF(Table13678[DESA /KELURAHAN],B114,Table13678[PAGU ANGGARAN])</f>
        <v>1147221200</v>
      </c>
      <c r="E114" s="93">
        <v>9</v>
      </c>
      <c r="F114" s="93">
        <v>110</v>
      </c>
      <c r="G114" s="93">
        <v>28</v>
      </c>
      <c r="H114" s="82">
        <f t="shared" si="2"/>
        <v>147</v>
      </c>
      <c r="M114" s="110" t="e">
        <f ca="1">_xlfn.XLOOKUP(B114,'[4]KONFIRMASI OPD_final 9 Aprl'!$B$4:$B$125,'[4]KONFIRMASI OPD_final 9 Aprl'!$D$4:$D$125,1,FALSE)</f>
        <v>#NAME?</v>
      </c>
      <c r="N114" s="111" t="e">
        <f t="shared" ca="1" si="3"/>
        <v>#NAME?</v>
      </c>
    </row>
    <row r="115" spans="1:14" ht="16" thickBot="1">
      <c r="A115" s="90">
        <v>112</v>
      </c>
      <c r="B115" s="91" t="s">
        <v>874</v>
      </c>
      <c r="C115" s="91" t="s">
        <v>206</v>
      </c>
      <c r="D115" s="92">
        <f>SUMIF(Table13678[DESA /KELURAHAN],B115,Table13678[PAGU ANGGARAN])</f>
        <v>3222438900</v>
      </c>
      <c r="E115" s="93">
        <v>10</v>
      </c>
      <c r="F115" s="93">
        <v>109</v>
      </c>
      <c r="G115" s="93">
        <v>25</v>
      </c>
      <c r="H115" s="82">
        <f t="shared" si="2"/>
        <v>144</v>
      </c>
      <c r="M115" s="110" t="e">
        <f ca="1">_xlfn.XLOOKUP(B115,'[4]KONFIRMASI OPD_final 9 Aprl'!$B$4:$B$125,'[4]KONFIRMASI OPD_final 9 Aprl'!$D$4:$D$125,1,FALSE)</f>
        <v>#NAME?</v>
      </c>
      <c r="N115" s="111" t="e">
        <f t="shared" ca="1" si="3"/>
        <v>#NAME?</v>
      </c>
    </row>
    <row r="116" spans="1:14" ht="16" thickBot="1">
      <c r="A116" s="90">
        <v>113</v>
      </c>
      <c r="B116" s="91" t="s">
        <v>866</v>
      </c>
      <c r="C116" s="91" t="s">
        <v>206</v>
      </c>
      <c r="D116" s="92">
        <f>SUMIF(Table13678[DESA /KELURAHAN],B116,Table13678[PAGU ANGGARAN])</f>
        <v>4166738188</v>
      </c>
      <c r="E116" s="93">
        <v>10</v>
      </c>
      <c r="F116" s="93">
        <v>109</v>
      </c>
      <c r="G116" s="93">
        <v>25</v>
      </c>
      <c r="H116" s="82">
        <f t="shared" si="2"/>
        <v>144</v>
      </c>
      <c r="M116" s="110" t="e">
        <f ca="1">_xlfn.XLOOKUP(B116,'[4]KONFIRMASI OPD_final 9 Aprl'!$B$4:$B$125,'[4]KONFIRMASI OPD_final 9 Aprl'!$D$4:$D$125,1,FALSE)</f>
        <v>#NAME?</v>
      </c>
      <c r="N116" s="111" t="e">
        <f t="shared" ca="1" si="3"/>
        <v>#NAME?</v>
      </c>
    </row>
    <row r="117" spans="1:14" ht="16" thickBot="1">
      <c r="A117" s="90">
        <v>114</v>
      </c>
      <c r="B117" s="91" t="s">
        <v>239</v>
      </c>
      <c r="C117" s="91" t="s">
        <v>206</v>
      </c>
      <c r="D117" s="92">
        <f>SUMIF(Table13678[DESA /KELURAHAN],B117,Table13678[PAGU ANGGARAN])</f>
        <v>1098268800</v>
      </c>
      <c r="E117" s="93">
        <v>6</v>
      </c>
      <c r="F117" s="93">
        <v>176</v>
      </c>
      <c r="G117" s="93">
        <v>29</v>
      </c>
      <c r="H117" s="82">
        <f t="shared" si="2"/>
        <v>211</v>
      </c>
      <c r="M117" s="110" t="e">
        <f ca="1">_xlfn.XLOOKUP(B117,'[4]KONFIRMASI OPD_final 9 Aprl'!$B$4:$B$125,'[4]KONFIRMASI OPD_final 9 Aprl'!$D$4:$D$125,1,FALSE)</f>
        <v>#NAME?</v>
      </c>
      <c r="N117" s="111" t="e">
        <f t="shared" ca="1" si="3"/>
        <v>#NAME?</v>
      </c>
    </row>
    <row r="118" spans="1:14" ht="16" thickBot="1">
      <c r="A118" s="90">
        <v>115</v>
      </c>
      <c r="B118" s="103" t="s">
        <v>807</v>
      </c>
      <c r="C118" s="91" t="s">
        <v>206</v>
      </c>
      <c r="D118" s="92">
        <f>SUMIF(Table13678[DESA /KELURAHAN],B118,Table13678[PAGU ANGGARAN])</f>
        <v>1032402048</v>
      </c>
      <c r="E118" s="93">
        <v>9</v>
      </c>
      <c r="F118" s="93">
        <v>41</v>
      </c>
      <c r="G118" s="93">
        <v>13</v>
      </c>
      <c r="H118" s="82">
        <f t="shared" si="2"/>
        <v>63</v>
      </c>
      <c r="M118" s="110" t="e">
        <f ca="1">_xlfn.XLOOKUP(B118,'[4]KONFIRMASI OPD_final 9 Aprl'!$B$4:$B$125,'[4]KONFIRMASI OPD_final 9 Aprl'!$D$4:$D$125,1,FALSE)</f>
        <v>#NAME?</v>
      </c>
      <c r="N118" s="111" t="e">
        <f t="shared" ca="1" si="3"/>
        <v>#NAME?</v>
      </c>
    </row>
    <row r="119" spans="1:14" ht="16" thickBot="1">
      <c r="A119" s="90">
        <v>116</v>
      </c>
      <c r="B119" s="91" t="s">
        <v>218</v>
      </c>
      <c r="C119" s="91" t="s">
        <v>206</v>
      </c>
      <c r="D119" s="92">
        <f>SUMIF(Table13678[DESA /KELURAHAN],B119,Table13678[PAGU ANGGARAN])</f>
        <v>1905804800</v>
      </c>
      <c r="E119" s="93">
        <v>9</v>
      </c>
      <c r="F119" s="93">
        <v>170</v>
      </c>
      <c r="G119" s="93">
        <v>43</v>
      </c>
      <c r="H119" s="82">
        <f t="shared" si="2"/>
        <v>222</v>
      </c>
      <c r="M119" s="110" t="e">
        <f ca="1">_xlfn.XLOOKUP(B119,'[4]KONFIRMASI OPD_final 9 Aprl'!$B$4:$B$125,'[4]KONFIRMASI OPD_final 9 Aprl'!$D$4:$D$125,1,FALSE)</f>
        <v>#NAME?</v>
      </c>
      <c r="N119" s="111" t="e">
        <f t="shared" ca="1" si="3"/>
        <v>#NAME?</v>
      </c>
    </row>
    <row r="120" spans="1:14" ht="16" hidden="1" thickBot="1">
      <c r="A120" s="90">
        <v>117</v>
      </c>
      <c r="B120" s="91" t="s">
        <v>488</v>
      </c>
      <c r="C120" s="91" t="s">
        <v>236</v>
      </c>
      <c r="D120" s="92">
        <f>SUMIF(Table13678[DESA /KELURAHAN],B120,Table13678[PAGU ANGGARAN])</f>
        <v>1244192000</v>
      </c>
      <c r="E120" s="93">
        <v>10</v>
      </c>
      <c r="F120" s="93">
        <v>251</v>
      </c>
      <c r="G120" s="93">
        <v>36</v>
      </c>
      <c r="H120" s="82">
        <f t="shared" si="2"/>
        <v>297</v>
      </c>
      <c r="M120" s="110" t="e">
        <f ca="1">_xlfn.XLOOKUP(B120,'[4]KONFIRMASI OPD_final 9 Aprl'!$B$4:$B$125,'[4]KONFIRMASI OPD_final 9 Aprl'!$D$4:$D$125,1,FALSE)</f>
        <v>#NAME?</v>
      </c>
      <c r="N120" s="111" t="e">
        <f t="shared" ca="1" si="3"/>
        <v>#NAME?</v>
      </c>
    </row>
    <row r="121" spans="1:14" ht="16" hidden="1" thickBot="1">
      <c r="A121" s="90">
        <v>118</v>
      </c>
      <c r="B121" s="91" t="s">
        <v>524</v>
      </c>
      <c r="C121" s="91" t="s">
        <v>236</v>
      </c>
      <c r="D121" s="92">
        <f>SUMIF(Table13678[DESA /KELURAHAN],B121,Table13678[PAGU ANGGARAN])</f>
        <v>2010281050</v>
      </c>
      <c r="E121" s="93">
        <v>15</v>
      </c>
      <c r="F121" s="93">
        <v>456</v>
      </c>
      <c r="G121" s="93">
        <v>73</v>
      </c>
      <c r="H121" s="82">
        <f t="shared" si="2"/>
        <v>544</v>
      </c>
      <c r="M121" s="110" t="e">
        <f ca="1">_xlfn.XLOOKUP(B121,'[4]KONFIRMASI OPD_final 9 Aprl'!$B$4:$B$125,'[4]KONFIRMASI OPD_final 9 Aprl'!$D$4:$D$125,1,FALSE)</f>
        <v>#NAME?</v>
      </c>
      <c r="N121" s="111" t="e">
        <f t="shared" ca="1" si="3"/>
        <v>#NAME?</v>
      </c>
    </row>
    <row r="122" spans="1:14" ht="16" hidden="1" thickBot="1">
      <c r="A122" s="90">
        <v>119</v>
      </c>
      <c r="B122" s="91" t="s">
        <v>236</v>
      </c>
      <c r="C122" s="91" t="s">
        <v>236</v>
      </c>
      <c r="D122" s="92">
        <f>SUMIF(Table13678[DESA /KELURAHAN],B122,Table13678[PAGU ANGGARAN])</f>
        <v>4245425100</v>
      </c>
      <c r="E122" s="93">
        <v>20</v>
      </c>
      <c r="F122" s="93">
        <v>376</v>
      </c>
      <c r="G122" s="93">
        <v>71</v>
      </c>
      <c r="H122" s="82">
        <f t="shared" si="2"/>
        <v>467</v>
      </c>
      <c r="M122" s="110" t="e">
        <f ca="1">_xlfn.XLOOKUP(B122,'[4]KONFIRMASI OPD_final 9 Aprl'!$B$4:$B$125,'[4]KONFIRMASI OPD_final 9 Aprl'!$D$4:$D$125,1,FALSE)</f>
        <v>#NAME?</v>
      </c>
      <c r="N122" s="111" t="e">
        <f t="shared" ca="1" si="3"/>
        <v>#NAME?</v>
      </c>
    </row>
    <row r="123" spans="1:14" ht="16" hidden="1" thickBot="1">
      <c r="A123" s="90">
        <v>120</v>
      </c>
      <c r="B123" s="91" t="s">
        <v>644</v>
      </c>
      <c r="C123" s="91" t="s">
        <v>236</v>
      </c>
      <c r="D123" s="92">
        <f>SUMIF(Table13678[DESA /KELURAHAN],B123,Table13678[PAGU ANGGARAN])</f>
        <v>1167245024</v>
      </c>
      <c r="E123" s="93">
        <v>13</v>
      </c>
      <c r="F123" s="93">
        <v>215</v>
      </c>
      <c r="G123" s="93">
        <v>42</v>
      </c>
      <c r="H123" s="82">
        <f t="shared" si="2"/>
        <v>270</v>
      </c>
      <c r="M123" s="110" t="e">
        <f ca="1">_xlfn.XLOOKUP(B123,'[4]KONFIRMASI OPD_final 9 Aprl'!$B$4:$B$125,'[4]KONFIRMASI OPD_final 9 Aprl'!$D$4:$D$125,1,FALSE)</f>
        <v>#NAME?</v>
      </c>
      <c r="N123" s="111" t="e">
        <f t="shared" ca="1" si="3"/>
        <v>#NAME?</v>
      </c>
    </row>
    <row r="124" spans="1:14" ht="16" hidden="1" thickBot="1">
      <c r="A124" s="90">
        <v>121</v>
      </c>
      <c r="B124" s="91" t="s">
        <v>654</v>
      </c>
      <c r="C124" s="91" t="s">
        <v>236</v>
      </c>
      <c r="D124" s="92">
        <f>SUMIF(Table13678[DESA /KELURAHAN],B124,Table13678[PAGU ANGGARAN])</f>
        <v>1333701800</v>
      </c>
      <c r="E124" s="93">
        <v>9</v>
      </c>
      <c r="F124" s="93">
        <v>142</v>
      </c>
      <c r="G124" s="93">
        <v>20</v>
      </c>
      <c r="H124" s="82">
        <f t="shared" si="2"/>
        <v>171</v>
      </c>
      <c r="M124" s="110" t="e">
        <f ca="1">_xlfn.XLOOKUP(B124,'[4]KONFIRMASI OPD_final 9 Aprl'!$B$4:$B$125,'[4]KONFIRMASI OPD_final 9 Aprl'!$D$4:$D$125,1,FALSE)</f>
        <v>#NAME?</v>
      </c>
      <c r="N124" s="111" t="e">
        <f t="shared" ca="1" si="3"/>
        <v>#NAME?</v>
      </c>
    </row>
    <row r="125" spans="1:14" ht="16" hidden="1" thickBot="1">
      <c r="A125" s="94">
        <v>122</v>
      </c>
      <c r="B125" s="95" t="s">
        <v>661</v>
      </c>
      <c r="C125" s="95" t="s">
        <v>236</v>
      </c>
      <c r="D125" s="92">
        <f>SUMIF(Table13678[DESA /KELURAHAN],B125,Table13678[PAGU ANGGARAN])</f>
        <v>10349192000</v>
      </c>
      <c r="E125" s="96">
        <v>14</v>
      </c>
      <c r="F125" s="96">
        <v>495</v>
      </c>
      <c r="G125" s="96">
        <v>72</v>
      </c>
      <c r="H125" s="97">
        <f t="shared" si="2"/>
        <v>581</v>
      </c>
      <c r="M125" s="110" t="e">
        <f ca="1">_xlfn.XLOOKUP(B125,'[4]KONFIRMASI OPD_final 9 Aprl'!$B$4:$B$125,'[4]KONFIRMASI OPD_final 9 Aprl'!$D$4:$D$125,1,FALSE)</f>
        <v>#NAME?</v>
      </c>
      <c r="N125" s="111" t="e">
        <f t="shared" ca="1" si="3"/>
        <v>#NAME?</v>
      </c>
    </row>
    <row r="126" spans="1:14" ht="15.5" hidden="1">
      <c r="D126" s="104">
        <f>SUM(D4:D125)</f>
        <v>415802130779.63489</v>
      </c>
      <c r="M126" s="112" t="e">
        <f ca="1">SUM(M4:M125)</f>
        <v>#NAME?</v>
      </c>
      <c r="N126" s="111" t="e">
        <f t="shared" ca="1" si="3"/>
        <v>#NAME?</v>
      </c>
    </row>
    <row r="128" spans="1:14">
      <c r="D128" s="105"/>
    </row>
    <row r="129" spans="4:10">
      <c r="D129" s="105">
        <f>SUBTOTAL(9,D4:D125)</f>
        <v>20536172449</v>
      </c>
      <c r="E129" s="105"/>
      <c r="F129" s="105"/>
    </row>
    <row r="130" spans="4:10">
      <c r="D130" s="106"/>
    </row>
    <row r="131" spans="4:10">
      <c r="D131" s="107"/>
    </row>
    <row r="132" spans="4:10">
      <c r="D132" s="108"/>
      <c r="J132" s="82" t="s">
        <v>975</v>
      </c>
    </row>
  </sheetData>
  <autoFilter ref="A3:H126" xr:uid="{EF72F17F-D9A5-422B-AE44-2AB01E832A73}">
    <filterColumn colId="2">
      <filters>
        <filter val="BATULAYAR"/>
      </filters>
    </filterColumn>
  </autoFilter>
  <mergeCells count="1">
    <mergeCell ref="A1:G1"/>
  </mergeCells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46C67-6B80-4ABD-B401-26322CCD33AC}">
  <sheetPr>
    <tabColor rgb="FF92D050"/>
  </sheetPr>
  <dimension ref="A1:E39"/>
  <sheetViews>
    <sheetView topLeftCell="A2" zoomScale="115" zoomScaleNormal="115" workbookViewId="0">
      <selection activeCell="S13" sqref="S13"/>
    </sheetView>
  </sheetViews>
  <sheetFormatPr defaultColWidth="8.90625" defaultRowHeight="14.5"/>
  <cols>
    <col min="1" max="1" width="4.36328125" style="113" customWidth="1"/>
    <col min="2" max="2" width="57.54296875" style="113" customWidth="1"/>
    <col min="3" max="3" width="20.81640625" style="113" customWidth="1"/>
    <col min="4" max="5" width="15.54296875" style="113" customWidth="1"/>
    <col min="6" max="16384" width="8.90625" style="113"/>
  </cols>
  <sheetData>
    <row r="1" spans="1:5">
      <c r="A1" s="129" t="s">
        <v>993</v>
      </c>
      <c r="B1" s="129"/>
      <c r="C1" s="129"/>
      <c r="D1" s="129"/>
      <c r="E1" s="129"/>
    </row>
    <row r="2" spans="1:5">
      <c r="A2" s="114"/>
      <c r="B2" s="114"/>
      <c r="C2" s="114"/>
      <c r="D2" s="114"/>
      <c r="E2" s="114"/>
    </row>
    <row r="3" spans="1:5" ht="29">
      <c r="A3" s="115" t="s">
        <v>0</v>
      </c>
      <c r="B3" s="115" t="s">
        <v>978</v>
      </c>
      <c r="C3" s="115" t="s">
        <v>979</v>
      </c>
      <c r="D3" s="115" t="s">
        <v>980</v>
      </c>
      <c r="E3" s="115" t="s">
        <v>981</v>
      </c>
    </row>
    <row r="4" spans="1:5" ht="29">
      <c r="A4" s="116">
        <v>1</v>
      </c>
      <c r="B4" s="117" t="s">
        <v>982</v>
      </c>
      <c r="C4" s="118">
        <f>SUMIF(Table13678[PILAR],B4,Table13678[PAGU ANGGARAN])</f>
        <v>20778846415</v>
      </c>
      <c r="D4" s="119">
        <f>C4/$C$8*100</f>
        <v>4.997291951351805</v>
      </c>
      <c r="E4" s="120" t="s">
        <v>983</v>
      </c>
    </row>
    <row r="5" spans="1:5" ht="29">
      <c r="A5" s="116">
        <v>2</v>
      </c>
      <c r="B5" s="117" t="s">
        <v>984</v>
      </c>
      <c r="C5" s="118">
        <f>SUMIF(Table13678[PILAR],B5,Table13678[PAGU ANGGARAN])</f>
        <v>109045722600</v>
      </c>
      <c r="D5" s="119">
        <f>C5/$C$8*100</f>
        <v>26.225388118030494</v>
      </c>
      <c r="E5" s="120" t="s">
        <v>985</v>
      </c>
    </row>
    <row r="6" spans="1:5">
      <c r="A6" s="116">
        <v>3</v>
      </c>
      <c r="B6" s="117" t="s">
        <v>986</v>
      </c>
      <c r="C6" s="118">
        <f>SUMIF(Table13678[PILAR],B6,Table13678[PAGU ANGGARAN])</f>
        <v>275459905589.63489</v>
      </c>
      <c r="D6" s="119">
        <f>C6/$C$8*100</f>
        <v>66.247834053457993</v>
      </c>
      <c r="E6" s="120" t="s">
        <v>985</v>
      </c>
    </row>
    <row r="7" spans="1:5" ht="29">
      <c r="A7" s="116">
        <v>4</v>
      </c>
      <c r="B7" s="117" t="s">
        <v>987</v>
      </c>
      <c r="C7" s="118">
        <f>SUMIF(Table13678[PILAR],B7,Table13678[PAGU ANGGARAN])</f>
        <v>10517656175</v>
      </c>
      <c r="D7" s="119">
        <f>C7/$C$8*100</f>
        <v>2.5294858771597073</v>
      </c>
      <c r="E7" s="120" t="s">
        <v>988</v>
      </c>
    </row>
    <row r="8" spans="1:5" ht="24.65" customHeight="1">
      <c r="A8" s="130" t="s">
        <v>989</v>
      </c>
      <c r="B8" s="131"/>
      <c r="C8" s="121">
        <f>SUM(C4:C7)</f>
        <v>415802130779.63489</v>
      </c>
      <c r="D8" s="121">
        <f>SUM(D4:D7)</f>
        <v>99.999999999999986</v>
      </c>
      <c r="E8" s="117"/>
    </row>
    <row r="10" spans="1:5">
      <c r="C10" s="122"/>
    </row>
    <row r="11" spans="1:5">
      <c r="C11" s="123"/>
    </row>
    <row r="12" spans="1:5">
      <c r="B12" s="113" t="s">
        <v>990</v>
      </c>
    </row>
    <row r="13" spans="1:5">
      <c r="B13" s="127" t="s">
        <v>991</v>
      </c>
    </row>
    <row r="14" spans="1:5">
      <c r="C14" s="124"/>
    </row>
    <row r="15" spans="1:5">
      <c r="C15" s="124"/>
    </row>
    <row r="16" spans="1:5">
      <c r="C16" s="124"/>
    </row>
    <row r="17" spans="1:5">
      <c r="C17" s="124"/>
    </row>
    <row r="18" spans="1:5">
      <c r="C18" s="125"/>
    </row>
    <row r="19" spans="1:5">
      <c r="B19" s="113" t="s">
        <v>992</v>
      </c>
    </row>
    <row r="22" spans="1:5">
      <c r="A22" s="129" t="s">
        <v>993</v>
      </c>
      <c r="B22" s="129"/>
      <c r="C22" s="129"/>
      <c r="D22" s="129"/>
      <c r="E22" s="129"/>
    </row>
    <row r="23" spans="1:5">
      <c r="A23" s="114"/>
      <c r="B23" s="114"/>
      <c r="C23" s="114"/>
      <c r="D23" s="114"/>
      <c r="E23" s="114"/>
    </row>
    <row r="24" spans="1:5" ht="29">
      <c r="A24" s="115" t="s">
        <v>0</v>
      </c>
      <c r="B24" s="115" t="s">
        <v>978</v>
      </c>
      <c r="C24" s="115" t="s">
        <v>979</v>
      </c>
      <c r="D24" s="115" t="s">
        <v>980</v>
      </c>
      <c r="E24" s="115" t="s">
        <v>981</v>
      </c>
    </row>
    <row r="25" spans="1:5" ht="29">
      <c r="A25" s="116">
        <v>1</v>
      </c>
      <c r="B25" s="117" t="s">
        <v>982</v>
      </c>
      <c r="C25" s="118">
        <v>1263473048</v>
      </c>
      <c r="D25" s="119">
        <f>C25/C$29*100</f>
        <v>6.152427143557242</v>
      </c>
      <c r="E25" s="120" t="s">
        <v>983</v>
      </c>
    </row>
    <row r="26" spans="1:5" ht="29">
      <c r="A26" s="116">
        <v>2</v>
      </c>
      <c r="B26" s="117" t="s">
        <v>984</v>
      </c>
      <c r="C26" s="118">
        <v>6036483400</v>
      </c>
      <c r="D26" s="119">
        <f t="shared" ref="D26:D28" si="0">C26/C$29*100</f>
        <v>29.394393794613581</v>
      </c>
      <c r="E26" s="120" t="s">
        <v>985</v>
      </c>
    </row>
    <row r="27" spans="1:5">
      <c r="A27" s="116">
        <v>3</v>
      </c>
      <c r="B27" s="117" t="s">
        <v>986</v>
      </c>
      <c r="C27" s="118">
        <v>12328576501</v>
      </c>
      <c r="D27" s="119">
        <f t="shared" si="0"/>
        <v>60.033467928929149</v>
      </c>
      <c r="E27" s="120" t="s">
        <v>985</v>
      </c>
    </row>
    <row r="28" spans="1:5" ht="29">
      <c r="A28" s="116">
        <v>4</v>
      </c>
      <c r="B28" s="117" t="s">
        <v>987</v>
      </c>
      <c r="C28" s="118">
        <v>907639500</v>
      </c>
      <c r="D28" s="119">
        <f t="shared" si="0"/>
        <v>4.4197111329000212</v>
      </c>
      <c r="E28" s="120" t="s">
        <v>988</v>
      </c>
    </row>
    <row r="29" spans="1:5">
      <c r="A29" s="130" t="s">
        <v>989</v>
      </c>
      <c r="B29" s="131"/>
      <c r="C29" s="121">
        <f>SUM(C25:C28)</f>
        <v>20536172449</v>
      </c>
      <c r="D29" s="121">
        <f>SUM(D25:D28)</f>
        <v>99.999999999999986</v>
      </c>
      <c r="E29" s="117"/>
    </row>
    <row r="32" spans="1:5">
      <c r="A32" s="129" t="s">
        <v>993</v>
      </c>
      <c r="B32" s="129"/>
      <c r="C32" s="129"/>
      <c r="D32" s="129"/>
      <c r="E32" s="129"/>
    </row>
    <row r="33" spans="1:5">
      <c r="A33" s="114"/>
      <c r="B33" s="114"/>
      <c r="C33" s="114"/>
      <c r="D33" s="114"/>
      <c r="E33" s="114"/>
    </row>
    <row r="34" spans="1:5" ht="29">
      <c r="A34" s="115" t="s">
        <v>0</v>
      </c>
      <c r="B34" s="115" t="s">
        <v>978</v>
      </c>
      <c r="C34" s="115" t="s">
        <v>979</v>
      </c>
      <c r="D34" s="115" t="s">
        <v>980</v>
      </c>
      <c r="E34" s="115" t="s">
        <v>981</v>
      </c>
    </row>
    <row r="35" spans="1:5" ht="29">
      <c r="A35" s="116">
        <v>1</v>
      </c>
      <c r="B35" s="117" t="s">
        <v>982</v>
      </c>
      <c r="C35" s="118">
        <v>1119408740</v>
      </c>
      <c r="D35" s="119">
        <f>C35/C$39*100</f>
        <v>11.617896049079571</v>
      </c>
      <c r="E35" s="120" t="s">
        <v>983</v>
      </c>
    </row>
    <row r="36" spans="1:5" ht="29">
      <c r="A36" s="116">
        <v>2</v>
      </c>
      <c r="B36" s="117" t="s">
        <v>984</v>
      </c>
      <c r="C36" s="118">
        <v>5040198840</v>
      </c>
      <c r="D36" s="119">
        <f t="shared" ref="D36:D38" si="1">C36/C$39*100</f>
        <v>52.310209932621611</v>
      </c>
      <c r="E36" s="120" t="s">
        <v>985</v>
      </c>
    </row>
    <row r="37" spans="1:5">
      <c r="A37" s="116">
        <v>3</v>
      </c>
      <c r="B37" s="117" t="s">
        <v>986</v>
      </c>
      <c r="C37" s="118">
        <v>3264477920</v>
      </c>
      <c r="D37" s="119">
        <f t="shared" si="1"/>
        <v>33.880711998975009</v>
      </c>
      <c r="E37" s="120" t="s">
        <v>985</v>
      </c>
    </row>
    <row r="38" spans="1:5" ht="29">
      <c r="A38" s="116">
        <v>4</v>
      </c>
      <c r="B38" s="117" t="s">
        <v>987</v>
      </c>
      <c r="C38" s="118">
        <v>211125000</v>
      </c>
      <c r="D38" s="119">
        <f t="shared" si="1"/>
        <v>2.1911820193238127</v>
      </c>
      <c r="E38" s="120" t="s">
        <v>988</v>
      </c>
    </row>
    <row r="39" spans="1:5">
      <c r="A39" s="130" t="s">
        <v>989</v>
      </c>
      <c r="B39" s="131"/>
      <c r="C39" s="121">
        <f>SUM(C35:C38)</f>
        <v>9635210500</v>
      </c>
      <c r="D39" s="121">
        <f>SUM(D35:D38)</f>
        <v>100.00000000000001</v>
      </c>
      <c r="E39" s="117"/>
    </row>
  </sheetData>
  <mergeCells count="6">
    <mergeCell ref="A32:E32"/>
    <mergeCell ref="A39:B39"/>
    <mergeCell ref="A1:E1"/>
    <mergeCell ref="A8:B8"/>
    <mergeCell ref="A22:E22"/>
    <mergeCell ref="A29:B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rekap</vt:lpstr>
      <vt:lpstr>KONFIRMASI OPD_final 9 Aprl</vt:lpstr>
      <vt:lpstr>PAGU PER PILAR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Deny Arif Nugroho</dc:creator>
  <cp:lastModifiedBy>Deny Arif Nugroho</cp:lastModifiedBy>
  <cp:lastPrinted>2026-04-08T05:30:38Z</cp:lastPrinted>
  <dcterms:created xsi:type="dcterms:W3CDTF">2026-02-20T14:41:00Z</dcterms:created>
  <dcterms:modified xsi:type="dcterms:W3CDTF">2026-06-16T10:56:54Z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